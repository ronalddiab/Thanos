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848" firstSheet="5" activeTab="35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  <externalReference r:id="rId45"/>
  </externalReferences>
  <definedNames>
    <definedName name="_xlnm.Print_Area" localSheetId="6">'1'!$A$1:$M$173</definedName>
    <definedName name="_xlnm.Print_Area" localSheetId="15">'10'!$A$1:$M$200</definedName>
    <definedName name="_xlnm.Print_Area" localSheetId="18">'13'!$A$1:$P$172</definedName>
    <definedName name="_xlnm.Print_Area" localSheetId="19">'14'!$A$1:$J$175</definedName>
    <definedName name="_xlnm.Print_Area" localSheetId="20">'15'!$A$1:$J$175</definedName>
    <definedName name="_xlnm.Print_Area" localSheetId="21">'16'!$A$1:$J$175</definedName>
    <definedName name="_xlnm.Print_Area" localSheetId="22">'17'!$A$1:$J$175</definedName>
    <definedName name="_xlnm.Print_Area" localSheetId="23">'18'!$A$1:$J$176</definedName>
    <definedName name="_xlnm.Print_Area" localSheetId="24">'19'!$A$1:$J$175</definedName>
    <definedName name="_xlnm.Print_Area" localSheetId="25">'20'!$A$1:$J$175</definedName>
    <definedName name="_xlnm.Print_Area" localSheetId="26">'21'!$A$1:$J$175</definedName>
    <definedName name="_xlnm.Print_Area" localSheetId="27">'22'!$A$1:$J$172</definedName>
    <definedName name="_xlnm.Print_Area" localSheetId="28">'23'!$A$1:$J$172</definedName>
    <definedName name="_xlnm.Print_Area" localSheetId="29">'24'!$A$1:$M$171</definedName>
    <definedName name="_xlnm.Print_Area" localSheetId="30">'25'!$A$1:$J$173</definedName>
    <definedName name="_xlnm.Print_Area" localSheetId="31">'26'!$A$1:$J$172</definedName>
    <definedName name="_xlnm.Print_Area" localSheetId="32">'27'!$A$1:$J$172</definedName>
    <definedName name="_xlnm.Print_Area" localSheetId="33">'28'!$A$1:$J$172</definedName>
    <definedName name="_xlnm.Print_Area" localSheetId="34">'29'!$A$1:$M$172</definedName>
    <definedName name="_xlnm.Print_Area" localSheetId="35">'30'!$A$1:$J$172</definedName>
    <definedName name="_xlnm.Print_Area" localSheetId="36">'31'!$A$1:$J$172</definedName>
    <definedName name="_xlnm.Print_Area" localSheetId="9">'4'!$A$1:$J$153</definedName>
    <definedName name="_xlnm.Print_Area" localSheetId="11">'6'!$A$1:$J$153</definedName>
    <definedName name="_xlnm.Print_Area" localSheetId="12">'7'!$A$1:$J$153</definedName>
    <definedName name="_xlnm.Print_Area" localSheetId="13">'8'!$A$1:$J$171</definedName>
    <definedName name="_xlnm.Print_Area" localSheetId="14">'9'!$A$1:$J$171</definedName>
  </definedNames>
  <calcPr calcId="124519"/>
</workbook>
</file>

<file path=xl/calcChain.xml><?xml version="1.0" encoding="utf-8"?>
<calcChain xmlns="http://schemas.openxmlformats.org/spreadsheetml/2006/main">
  <c r="D33" i="48"/>
  <c r="E33"/>
  <c r="F33"/>
  <c r="G33"/>
  <c r="C33"/>
  <c r="E31"/>
  <c r="G31"/>
  <c r="E131" i="43"/>
  <c r="E132"/>
  <c r="E133"/>
  <c r="E134"/>
  <c r="E135"/>
  <c r="E136"/>
  <c r="E137"/>
  <c r="E138"/>
  <c r="E139"/>
  <c r="E140"/>
  <c r="F55" i="28"/>
  <c r="E10" i="40" l="1"/>
  <c r="F134" i="24"/>
  <c r="E134" i="25" s="1"/>
  <c r="E133"/>
  <c r="G173" i="23"/>
  <c r="G173" i="22"/>
  <c r="G173" i="21"/>
  <c r="G173" i="20"/>
  <c r="E73" i="19"/>
  <c r="E74"/>
  <c r="E75"/>
  <c r="E76"/>
  <c r="E77"/>
  <c r="E78"/>
  <c r="E79"/>
  <c r="E80"/>
  <c r="E81"/>
  <c r="E82"/>
  <c r="E83"/>
  <c r="E84"/>
  <c r="E131"/>
  <c r="E132"/>
  <c r="E133"/>
  <c r="E134"/>
  <c r="E135"/>
  <c r="E136"/>
  <c r="E137"/>
  <c r="E138"/>
  <c r="E139"/>
  <c r="E140"/>
  <c r="E131" i="16"/>
  <c r="E132"/>
  <c r="E133"/>
  <c r="E135"/>
  <c r="E136"/>
  <c r="E137"/>
  <c r="E138"/>
  <c r="E139"/>
  <c r="E140"/>
  <c r="E45" i="11"/>
  <c r="E46"/>
  <c r="E104"/>
  <c r="D22" i="45"/>
  <c r="F66" i="9"/>
  <c r="F66" i="8"/>
  <c r="G2" i="48"/>
  <c r="E28" i="44"/>
  <c r="E5"/>
  <c r="D5"/>
  <c r="E92" i="9"/>
  <c r="E83"/>
  <c r="H116" i="3"/>
  <c r="H113"/>
  <c r="H108"/>
  <c r="H24"/>
  <c r="H23"/>
  <c r="H23" i="4" s="1"/>
  <c r="H23" i="5" s="1"/>
  <c r="H113" i="4"/>
  <c r="H113" i="5" s="1"/>
  <c r="H108" i="4"/>
  <c r="H108" i="5" s="1"/>
  <c r="H24" i="4"/>
  <c r="H24" i="5"/>
  <c r="E77" i="7" l="1"/>
  <c r="E12" i="9"/>
  <c r="E11"/>
  <c r="E12" i="8"/>
  <c r="E11"/>
  <c r="E11" i="7"/>
  <c r="E12"/>
  <c r="E12" i="3"/>
  <c r="E11"/>
  <c r="E23"/>
  <c r="E22"/>
  <c r="C5" i="44"/>
  <c r="B5"/>
  <c r="E161" i="5"/>
  <c r="E162"/>
  <c r="E163"/>
  <c r="E164"/>
  <c r="E165"/>
  <c r="E166"/>
  <c r="E167"/>
  <c r="E168"/>
  <c r="E169"/>
  <c r="E170"/>
  <c r="E171"/>
  <c r="E160"/>
  <c r="E131"/>
  <c r="E132"/>
  <c r="G132" s="1"/>
  <c r="E133"/>
  <c r="E134"/>
  <c r="E135"/>
  <c r="E136"/>
  <c r="E137"/>
  <c r="E138"/>
  <c r="E139"/>
  <c r="E140"/>
  <c r="E130"/>
  <c r="E124"/>
  <c r="E125"/>
  <c r="E126"/>
  <c r="E127"/>
  <c r="E123"/>
  <c r="E107"/>
  <c r="E108"/>
  <c r="E109"/>
  <c r="E110"/>
  <c r="E111"/>
  <c r="E112"/>
  <c r="E113"/>
  <c r="E114"/>
  <c r="E115"/>
  <c r="E105"/>
  <c r="E106"/>
  <c r="E104"/>
  <c r="E93"/>
  <c r="E95"/>
  <c r="E96"/>
  <c r="E97"/>
  <c r="E98"/>
  <c r="E99"/>
  <c r="E100"/>
  <c r="E92"/>
  <c r="E87"/>
  <c r="E88"/>
  <c r="E89"/>
  <c r="E90"/>
  <c r="E86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20"/>
  <c r="E18"/>
  <c r="E15"/>
  <c r="E8"/>
  <c r="E9"/>
  <c r="E10"/>
  <c r="E11"/>
  <c r="E12"/>
  <c r="E7"/>
  <c r="E171" i="3"/>
  <c r="E170"/>
  <c r="E169"/>
  <c r="E168"/>
  <c r="E167"/>
  <c r="E166"/>
  <c r="E165"/>
  <c r="E164"/>
  <c r="E163"/>
  <c r="E162"/>
  <c r="E161"/>
  <c r="E160"/>
  <c r="E171" i="4"/>
  <c r="E170"/>
  <c r="E169"/>
  <c r="E168"/>
  <c r="E167"/>
  <c r="E166"/>
  <c r="E165"/>
  <c r="E164"/>
  <c r="E163"/>
  <c r="E162"/>
  <c r="E161"/>
  <c r="E160"/>
  <c r="E140"/>
  <c r="E139"/>
  <c r="E138"/>
  <c r="E137"/>
  <c r="E136"/>
  <c r="E135"/>
  <c r="E134"/>
  <c r="E133"/>
  <c r="E132"/>
  <c r="E131"/>
  <c r="E130"/>
  <c r="E128"/>
  <c r="E127"/>
  <c r="E125"/>
  <c r="E124"/>
  <c r="E123"/>
  <c r="E117"/>
  <c r="E116"/>
  <c r="E115"/>
  <c r="E114"/>
  <c r="E113"/>
  <c r="E112"/>
  <c r="E111"/>
  <c r="E110"/>
  <c r="E109"/>
  <c r="E108"/>
  <c r="E107"/>
  <c r="E106"/>
  <c r="E105"/>
  <c r="E104"/>
  <c r="E103"/>
  <c r="E100"/>
  <c r="E99"/>
  <c r="E98"/>
  <c r="E97"/>
  <c r="E96"/>
  <c r="E95"/>
  <c r="E94"/>
  <c r="E93"/>
  <c r="E92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69"/>
  <c r="E68"/>
  <c r="E67"/>
  <c r="E66"/>
  <c r="E65"/>
  <c r="E64"/>
  <c r="E63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19"/>
  <c r="E15"/>
  <c r="E8"/>
  <c r="E9"/>
  <c r="E10"/>
  <c r="E11"/>
  <c r="E12"/>
  <c r="E7"/>
  <c r="E131" i="3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4"/>
  <c r="E95"/>
  <c r="E96"/>
  <c r="E97"/>
  <c r="E98"/>
  <c r="E99"/>
  <c r="E100"/>
  <c r="E93"/>
  <c r="E9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15"/>
  <c r="E9"/>
  <c r="E10"/>
  <c r="E8"/>
  <c r="E7"/>
  <c r="E12" i="10" l="1"/>
  <c r="E12" i="11" s="1"/>
  <c r="E11" i="10"/>
  <c r="E11" i="11" s="1"/>
  <c r="E29" i="5"/>
  <c r="F34" i="1"/>
  <c r="F33"/>
  <c r="E34"/>
  <c r="E33"/>
  <c r="D34"/>
  <c r="D33"/>
  <c r="AS34"/>
  <c r="T34"/>
  <c r="V34" s="1"/>
  <c r="T33"/>
  <c r="V33" s="1"/>
  <c r="AP34"/>
  <c r="Y34"/>
  <c r="X34"/>
  <c r="W34"/>
  <c r="Z34" s="1"/>
  <c r="L34"/>
  <c r="I34"/>
  <c r="AP33"/>
  <c r="Y33"/>
  <c r="X33"/>
  <c r="W33"/>
  <c r="Z33" s="1"/>
  <c r="L33"/>
  <c r="I33"/>
  <c r="E31" i="2"/>
  <c r="E30"/>
  <c r="E29"/>
  <c r="E27"/>
  <c r="E171" l="1"/>
  <c r="E170"/>
  <c r="E169"/>
  <c r="E168"/>
  <c r="E167"/>
  <c r="E166"/>
  <c r="E165"/>
  <c r="E164"/>
  <c r="N41" i="31"/>
  <c r="O134" i="29" l="1"/>
  <c r="E132"/>
  <c r="F24"/>
  <c r="F24" i="28"/>
  <c r="E24" i="29" s="1"/>
  <c r="E85" i="27"/>
  <c r="E94" i="40"/>
  <c r="E24" i="27"/>
  <c r="O16" i="40"/>
  <c r="O17"/>
  <c r="O32"/>
  <c r="O33"/>
  <c r="E22"/>
  <c r="E73" i="25"/>
  <c r="E74"/>
  <c r="E75"/>
  <c r="E76"/>
  <c r="E77"/>
  <c r="E78"/>
  <c r="E79"/>
  <c r="E80"/>
  <c r="E81"/>
  <c r="E82"/>
  <c r="E83"/>
  <c r="E84"/>
  <c r="E8"/>
  <c r="E9"/>
  <c r="E10"/>
  <c r="E131" i="24"/>
  <c r="E132"/>
  <c r="E133"/>
  <c r="E134"/>
  <c r="E135"/>
  <c r="E136"/>
  <c r="E137"/>
  <c r="E138"/>
  <c r="E139"/>
  <c r="E140"/>
  <c r="E124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E9"/>
  <c r="E10"/>
  <c r="E131" i="21"/>
  <c r="E132"/>
  <c r="E133"/>
  <c r="E134"/>
  <c r="E135"/>
  <c r="E136"/>
  <c r="E137"/>
  <c r="E138"/>
  <c r="E139"/>
  <c r="E140"/>
  <c r="E76"/>
  <c r="G76" s="1"/>
  <c r="R24" i="44" s="1"/>
  <c r="Q21" i="49" s="1"/>
  <c r="E73" i="21"/>
  <c r="E74"/>
  <c r="E75"/>
  <c r="E77"/>
  <c r="E38"/>
  <c r="E39"/>
  <c r="E40"/>
  <c r="E41"/>
  <c r="E42"/>
  <c r="E43"/>
  <c r="E44"/>
  <c r="E45"/>
  <c r="E46"/>
  <c r="E161" i="20"/>
  <c r="E162"/>
  <c r="E163"/>
  <c r="E164"/>
  <c r="E169"/>
  <c r="E160"/>
  <c r="F166" i="19"/>
  <c r="E166" i="20" s="1"/>
  <c r="F167" i="19"/>
  <c r="E167" i="20" s="1"/>
  <c r="F168" i="19"/>
  <c r="E168" i="20" s="1"/>
  <c r="F169" i="19"/>
  <c r="F170"/>
  <c r="E170" i="20" s="1"/>
  <c r="F171" i="19"/>
  <c r="E171" i="20" s="1"/>
  <c r="F165" i="19"/>
  <c r="E165" i="20" s="1"/>
  <c r="E161" i="19"/>
  <c r="E162"/>
  <c r="E163"/>
  <c r="E163" i="18"/>
  <c r="E162"/>
  <c r="E161"/>
  <c r="E160"/>
  <c r="E97"/>
  <c r="E133" i="15"/>
  <c r="E125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2"/>
  <c r="E74"/>
  <c r="E75"/>
  <c r="E76"/>
  <c r="E77"/>
  <c r="E78"/>
  <c r="E79"/>
  <c r="E80"/>
  <c r="E81"/>
  <c r="E82"/>
  <c r="E83"/>
  <c r="E84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96" i="10"/>
  <c r="E97"/>
  <c r="E98"/>
  <c r="E99"/>
  <c r="E100"/>
  <c r="E63" i="9"/>
  <c r="E64"/>
  <c r="E65"/>
  <c r="E66"/>
  <c r="E67"/>
  <c r="E68"/>
  <c r="E69"/>
  <c r="E8"/>
  <c r="E9"/>
  <c r="E10"/>
  <c r="F171" i="5"/>
  <c r="F170"/>
  <c r="F169"/>
  <c r="F168"/>
  <c r="F167"/>
  <c r="F166"/>
  <c r="G166" s="1"/>
  <c r="F165"/>
  <c r="G165" s="1"/>
  <c r="F164"/>
  <c r="G163"/>
  <c r="G162"/>
  <c r="G161"/>
  <c r="G160"/>
  <c r="G140"/>
  <c r="G139"/>
  <c r="G138"/>
  <c r="G137"/>
  <c r="G136"/>
  <c r="G135"/>
  <c r="G134"/>
  <c r="G133"/>
  <c r="G131"/>
  <c r="G130"/>
  <c r="G127"/>
  <c r="G126"/>
  <c r="G125"/>
  <c r="G124"/>
  <c r="G123"/>
  <c r="G116"/>
  <c r="G115"/>
  <c r="G114"/>
  <c r="J113"/>
  <c r="G111"/>
  <c r="G110"/>
  <c r="G109"/>
  <c r="G106"/>
  <c r="G105"/>
  <c r="G104"/>
  <c r="G100"/>
  <c r="G99"/>
  <c r="G98"/>
  <c r="G97"/>
  <c r="G96"/>
  <c r="G95"/>
  <c r="G93"/>
  <c r="G92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J24"/>
  <c r="J23"/>
  <c r="G22"/>
  <c r="G19"/>
  <c r="E30" s="1"/>
  <c r="I18"/>
  <c r="G18"/>
  <c r="G15"/>
  <c r="G12"/>
  <c r="H12" s="1"/>
  <c r="J12" s="1"/>
  <c r="G11"/>
  <c r="H11" s="1"/>
  <c r="J11" s="1"/>
  <c r="G10"/>
  <c r="G9"/>
  <c r="G8"/>
  <c r="I7"/>
  <c r="G7"/>
  <c r="F171" i="4"/>
  <c r="G171" s="1"/>
  <c r="F170"/>
  <c r="G170"/>
  <c r="F169"/>
  <c r="G169" s="1"/>
  <c r="F168"/>
  <c r="F167"/>
  <c r="G167" s="1"/>
  <c r="G166"/>
  <c r="G165"/>
  <c r="F164"/>
  <c r="G163"/>
  <c r="G162"/>
  <c r="G161"/>
  <c r="G160"/>
  <c r="G140"/>
  <c r="G139"/>
  <c r="G138"/>
  <c r="G137"/>
  <c r="G136"/>
  <c r="G135"/>
  <c r="G134"/>
  <c r="G133"/>
  <c r="G132"/>
  <c r="G131"/>
  <c r="G130"/>
  <c r="G127"/>
  <c r="G126"/>
  <c r="G125"/>
  <c r="G124"/>
  <c r="G123"/>
  <c r="G116"/>
  <c r="G115"/>
  <c r="G114"/>
  <c r="J113"/>
  <c r="G111"/>
  <c r="G110"/>
  <c r="G109"/>
  <c r="G106"/>
  <c r="G105"/>
  <c r="G104"/>
  <c r="G100"/>
  <c r="G99"/>
  <c r="G98"/>
  <c r="G97"/>
  <c r="G96"/>
  <c r="G95"/>
  <c r="G93"/>
  <c r="G92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J24"/>
  <c r="J23"/>
  <c r="G22"/>
  <c r="G19"/>
  <c r="I18"/>
  <c r="G18"/>
  <c r="G15"/>
  <c r="G12"/>
  <c r="G11"/>
  <c r="G10"/>
  <c r="G9"/>
  <c r="G8"/>
  <c r="I7"/>
  <c r="G7"/>
  <c r="F171" i="3"/>
  <c r="F170"/>
  <c r="G170" s="1"/>
  <c r="F169"/>
  <c r="G169"/>
  <c r="F168"/>
  <c r="F167"/>
  <c r="F166"/>
  <c r="F165"/>
  <c r="F164"/>
  <c r="G163"/>
  <c r="G162"/>
  <c r="G161"/>
  <c r="G160"/>
  <c r="G140"/>
  <c r="G139"/>
  <c r="H139" s="1"/>
  <c r="G138"/>
  <c r="G137"/>
  <c r="G136"/>
  <c r="H136" s="1"/>
  <c r="G135"/>
  <c r="G134"/>
  <c r="G133"/>
  <c r="G132"/>
  <c r="H132" s="1"/>
  <c r="G131"/>
  <c r="G130"/>
  <c r="G127"/>
  <c r="G126"/>
  <c r="G125"/>
  <c r="G124"/>
  <c r="G123"/>
  <c r="G116"/>
  <c r="J116" s="1"/>
  <c r="G115"/>
  <c r="G114"/>
  <c r="J113"/>
  <c r="G111"/>
  <c r="G110"/>
  <c r="G109"/>
  <c r="H109" s="1"/>
  <c r="G106"/>
  <c r="G105"/>
  <c r="G104"/>
  <c r="H104" s="1"/>
  <c r="G100"/>
  <c r="G99"/>
  <c r="G98"/>
  <c r="G97"/>
  <c r="G96"/>
  <c r="G95"/>
  <c r="H95" s="1"/>
  <c r="G93"/>
  <c r="G92"/>
  <c r="H92" s="1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H49" s="1"/>
  <c r="G46"/>
  <c r="G45"/>
  <c r="G44"/>
  <c r="G43"/>
  <c r="G42"/>
  <c r="G41"/>
  <c r="H41" s="1"/>
  <c r="G40"/>
  <c r="G39"/>
  <c r="H39" s="1"/>
  <c r="G38"/>
  <c r="H38" s="1"/>
  <c r="G37"/>
  <c r="H37" s="1"/>
  <c r="G36"/>
  <c r="H36" s="1"/>
  <c r="G35"/>
  <c r="H35" s="1"/>
  <c r="G29"/>
  <c r="E29"/>
  <c r="J24"/>
  <c r="J23"/>
  <c r="G22"/>
  <c r="G19"/>
  <c r="H19" s="1"/>
  <c r="I18"/>
  <c r="J18"/>
  <c r="G18"/>
  <c r="H18" s="1"/>
  <c r="G15"/>
  <c r="H12"/>
  <c r="G11"/>
  <c r="H11" s="1"/>
  <c r="G10"/>
  <c r="G9"/>
  <c r="H9" s="1"/>
  <c r="G8"/>
  <c r="I7"/>
  <c r="G7"/>
  <c r="F171" i="2"/>
  <c r="G171" s="1"/>
  <c r="F170"/>
  <c r="F169"/>
  <c r="F168"/>
  <c r="F167"/>
  <c r="G167" s="1"/>
  <c r="F166"/>
  <c r="G166" s="1"/>
  <c r="F165"/>
  <c r="G165" s="1"/>
  <c r="G164"/>
  <c r="G163"/>
  <c r="G162"/>
  <c r="G161"/>
  <c r="G160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5"/>
  <c r="H135" s="1"/>
  <c r="J135" s="1"/>
  <c r="G134"/>
  <c r="H134" s="1"/>
  <c r="J134" s="1"/>
  <c r="G133"/>
  <c r="H133" s="1"/>
  <c r="J133" s="1"/>
  <c r="G132"/>
  <c r="H132" s="1"/>
  <c r="J132" s="1"/>
  <c r="G131"/>
  <c r="H131" s="1"/>
  <c r="J131" s="1"/>
  <c r="G130"/>
  <c r="H130" s="1"/>
  <c r="J130" s="1"/>
  <c r="G127"/>
  <c r="H127" s="1"/>
  <c r="J127" s="1"/>
  <c r="G126"/>
  <c r="H126" s="1"/>
  <c r="J126" s="1"/>
  <c r="G125"/>
  <c r="H125" s="1"/>
  <c r="J125" s="1"/>
  <c r="G124"/>
  <c r="H124" s="1"/>
  <c r="J124" s="1"/>
  <c r="G123"/>
  <c r="H123" s="1"/>
  <c r="J123" s="1"/>
  <c r="G116"/>
  <c r="H116" s="1"/>
  <c r="J116" s="1"/>
  <c r="G115"/>
  <c r="H115" s="1"/>
  <c r="J115" s="1"/>
  <c r="G114"/>
  <c r="H113"/>
  <c r="J113" s="1"/>
  <c r="G111"/>
  <c r="H111" s="1"/>
  <c r="J111" s="1"/>
  <c r="G110"/>
  <c r="H110" s="1"/>
  <c r="J110" s="1"/>
  <c r="G109"/>
  <c r="J106" s="1"/>
  <c r="H108"/>
  <c r="G106"/>
  <c r="H106" s="1"/>
  <c r="G105"/>
  <c r="H105" s="1"/>
  <c r="J105" s="1"/>
  <c r="G104"/>
  <c r="H104" s="1"/>
  <c r="J104" s="1"/>
  <c r="G100"/>
  <c r="H100" s="1"/>
  <c r="J100" s="1"/>
  <c r="G99"/>
  <c r="H99" s="1"/>
  <c r="J99" s="1"/>
  <c r="G98"/>
  <c r="H98" s="1"/>
  <c r="J98" s="1"/>
  <c r="G97"/>
  <c r="G96"/>
  <c r="H96" s="1"/>
  <c r="J96" s="1"/>
  <c r="G95"/>
  <c r="H95" s="1"/>
  <c r="J95" s="1"/>
  <c r="H93"/>
  <c r="J93" s="1"/>
  <c r="G93"/>
  <c r="D8" i="45" s="1"/>
  <c r="AN2" i="49" s="1"/>
  <c r="G92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H83"/>
  <c r="J83" s="1"/>
  <c r="G83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H56"/>
  <c r="J56" s="1"/>
  <c r="G56"/>
  <c r="G55"/>
  <c r="H55" s="1"/>
  <c r="J55" s="1"/>
  <c r="H54"/>
  <c r="J54" s="1"/>
  <c r="G54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H44"/>
  <c r="J44" s="1"/>
  <c r="G44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H38"/>
  <c r="J38" s="1"/>
  <c r="G38"/>
  <c r="G37"/>
  <c r="H37" s="1"/>
  <c r="J37" s="1"/>
  <c r="G36"/>
  <c r="G35"/>
  <c r="H35" s="1"/>
  <c r="J35" s="1"/>
  <c r="G30"/>
  <c r="H30" s="1"/>
  <c r="J30" s="1"/>
  <c r="G23"/>
  <c r="H23" s="1"/>
  <c r="J23" s="1"/>
  <c r="G22"/>
  <c r="H22" s="1"/>
  <c r="J22" s="1"/>
  <c r="G19"/>
  <c r="G31" s="1"/>
  <c r="H31" s="1"/>
  <c r="J31" s="1"/>
  <c r="G18"/>
  <c r="G15"/>
  <c r="H12"/>
  <c r="J12" s="1"/>
  <c r="G12"/>
  <c r="G11"/>
  <c r="H11" s="1"/>
  <c r="J11" s="1"/>
  <c r="G10"/>
  <c r="H10" s="1"/>
  <c r="J10" s="1"/>
  <c r="G9"/>
  <c r="G8"/>
  <c r="G27" s="1"/>
  <c r="G7"/>
  <c r="H7" s="1"/>
  <c r="J7" s="1"/>
  <c r="J53" i="3" l="1"/>
  <c r="H53"/>
  <c r="H53" i="4" s="1"/>
  <c r="J82" i="3"/>
  <c r="H82"/>
  <c r="J37" i="4"/>
  <c r="H37"/>
  <c r="J52" i="3"/>
  <c r="H52"/>
  <c r="J130"/>
  <c r="H130"/>
  <c r="H15"/>
  <c r="H15" i="4" s="1"/>
  <c r="D6" i="44"/>
  <c r="H51" i="3"/>
  <c r="J51" s="1"/>
  <c r="J62"/>
  <c r="H62"/>
  <c r="H62" i="4" s="1"/>
  <c r="J62" s="1"/>
  <c r="J72" i="3"/>
  <c r="H72"/>
  <c r="J80"/>
  <c r="H80"/>
  <c r="H89"/>
  <c r="J89" s="1"/>
  <c r="J99"/>
  <c r="H99"/>
  <c r="H99" i="4" s="1"/>
  <c r="J127" i="3"/>
  <c r="H127"/>
  <c r="J137"/>
  <c r="H137"/>
  <c r="D7" i="44"/>
  <c r="J35" i="4"/>
  <c r="H35"/>
  <c r="H35" i="5" s="1"/>
  <c r="J35" s="1"/>
  <c r="J82" i="4"/>
  <c r="H82"/>
  <c r="H82" i="5" s="1"/>
  <c r="J127" i="4"/>
  <c r="H127"/>
  <c r="H127" i="5" s="1"/>
  <c r="J127" s="1"/>
  <c r="J137" i="4"/>
  <c r="H137"/>
  <c r="H137" i="5" s="1"/>
  <c r="E28"/>
  <c r="D8" i="44"/>
  <c r="H37" i="5"/>
  <c r="J37" s="1"/>
  <c r="J64" i="3"/>
  <c r="H64"/>
  <c r="H64" i="4" s="1"/>
  <c r="J131" i="3"/>
  <c r="H131"/>
  <c r="J42"/>
  <c r="H42"/>
  <c r="H42" i="4" s="1"/>
  <c r="J100" i="3"/>
  <c r="H100"/>
  <c r="J36" i="4"/>
  <c r="H36"/>
  <c r="J40" i="3"/>
  <c r="H40"/>
  <c r="J50"/>
  <c r="H50"/>
  <c r="H58"/>
  <c r="J58" s="1"/>
  <c r="J69"/>
  <c r="H69"/>
  <c r="H69" i="4" s="1"/>
  <c r="J79" i="3"/>
  <c r="H79"/>
  <c r="J88"/>
  <c r="H88"/>
  <c r="H98"/>
  <c r="J98" s="1"/>
  <c r="J111"/>
  <c r="H111"/>
  <c r="H111" i="4" s="1"/>
  <c r="J126" i="3"/>
  <c r="H126"/>
  <c r="H126" i="4" s="1"/>
  <c r="J52"/>
  <c r="H52"/>
  <c r="H52" i="5" s="1"/>
  <c r="J52" s="1"/>
  <c r="J98" i="4"/>
  <c r="H98"/>
  <c r="H98" i="5" s="1"/>
  <c r="J98" s="1"/>
  <c r="H92" i="4"/>
  <c r="H92" i="5" s="1"/>
  <c r="H36"/>
  <c r="J76"/>
  <c r="J126" i="4"/>
  <c r="H136"/>
  <c r="J82" i="5"/>
  <c r="J29" i="3"/>
  <c r="H29"/>
  <c r="H29" i="4" s="1"/>
  <c r="H114" i="3"/>
  <c r="J114" s="1"/>
  <c r="J57"/>
  <c r="H57"/>
  <c r="J68"/>
  <c r="H68"/>
  <c r="H78"/>
  <c r="J78" s="1"/>
  <c r="J87"/>
  <c r="H87"/>
  <c r="H87" i="4" s="1"/>
  <c r="J97" i="3"/>
  <c r="H97"/>
  <c r="J110"/>
  <c r="H110"/>
  <c r="H125"/>
  <c r="J125" s="1"/>
  <c r="J135"/>
  <c r="H135"/>
  <c r="H135" i="4" s="1"/>
  <c r="J41"/>
  <c r="H41"/>
  <c r="J51"/>
  <c r="H51"/>
  <c r="H80"/>
  <c r="H80" i="5" s="1"/>
  <c r="J89" i="4"/>
  <c r="H89"/>
  <c r="H89" i="5" s="1"/>
  <c r="J89" s="1"/>
  <c r="J97" i="4"/>
  <c r="H97"/>
  <c r="J110"/>
  <c r="H110"/>
  <c r="H125"/>
  <c r="J125" s="1"/>
  <c r="J41" i="5"/>
  <c r="H41"/>
  <c r="J51"/>
  <c r="H51"/>
  <c r="J130"/>
  <c r="H130"/>
  <c r="H104" i="4"/>
  <c r="H104" i="5" s="1"/>
  <c r="J104" s="1"/>
  <c r="H114" i="4"/>
  <c r="H114" i="5" s="1"/>
  <c r="J114" s="1"/>
  <c r="H72" i="4"/>
  <c r="H72" i="5" s="1"/>
  <c r="J100"/>
  <c r="J43" i="3"/>
  <c r="H43"/>
  <c r="H43" i="4" s="1"/>
  <c r="J76"/>
  <c r="H76"/>
  <c r="H76" i="5" s="1"/>
  <c r="J73" i="3"/>
  <c r="H73"/>
  <c r="H73" i="4" s="1"/>
  <c r="H138" i="3"/>
  <c r="H138" i="4" s="1"/>
  <c r="J44"/>
  <c r="H44"/>
  <c r="H44" i="5" s="1"/>
  <c r="J44" s="1"/>
  <c r="J100" i="4"/>
  <c r="H100"/>
  <c r="H100" i="5" s="1"/>
  <c r="J7"/>
  <c r="B8" i="44"/>
  <c r="H10" i="3"/>
  <c r="J10" s="1"/>
  <c r="J22"/>
  <c r="H22"/>
  <c r="H22" i="4" s="1"/>
  <c r="H22" i="5" s="1"/>
  <c r="J22" s="1"/>
  <c r="J46" i="3"/>
  <c r="H46"/>
  <c r="J56"/>
  <c r="H56"/>
  <c r="H67"/>
  <c r="J67" s="1"/>
  <c r="J77"/>
  <c r="H77"/>
  <c r="H77" i="4" s="1"/>
  <c r="J86" i="3"/>
  <c r="H86"/>
  <c r="J96"/>
  <c r="H96"/>
  <c r="H124"/>
  <c r="J124" s="1"/>
  <c r="J134"/>
  <c r="H134"/>
  <c r="H134" i="4" s="1"/>
  <c r="J10"/>
  <c r="H10"/>
  <c r="J40"/>
  <c r="H40"/>
  <c r="H50"/>
  <c r="J50" s="1"/>
  <c r="J58"/>
  <c r="H58"/>
  <c r="H58" i="5" s="1"/>
  <c r="J58" s="1"/>
  <c r="J79" i="4"/>
  <c r="H79"/>
  <c r="H79" i="5" s="1"/>
  <c r="H88" i="4"/>
  <c r="J88" s="1"/>
  <c r="J96"/>
  <c r="H96"/>
  <c r="H96" i="5" s="1"/>
  <c r="J96" s="1"/>
  <c r="J124" i="4"/>
  <c r="H124"/>
  <c r="H124" i="5" s="1"/>
  <c r="J124" s="1"/>
  <c r="H10"/>
  <c r="J10" s="1"/>
  <c r="J40"/>
  <c r="H40"/>
  <c r="J50"/>
  <c r="H50"/>
  <c r="H109" i="4"/>
  <c r="H109" i="5" s="1"/>
  <c r="J109" s="1"/>
  <c r="J80"/>
  <c r="J137"/>
  <c r="J55" i="4"/>
  <c r="H55"/>
  <c r="H55" i="5" s="1"/>
  <c r="J55" s="1"/>
  <c r="H131" i="4"/>
  <c r="H131" i="5" s="1"/>
  <c r="J131" s="1"/>
  <c r="H81" i="3"/>
  <c r="H81" i="4" s="1"/>
  <c r="J83"/>
  <c r="H83"/>
  <c r="H83" i="5" s="1"/>
  <c r="J83" s="1"/>
  <c r="E31"/>
  <c r="H18"/>
  <c r="J45" i="3"/>
  <c r="H45"/>
  <c r="H45" i="4" s="1"/>
  <c r="H66" i="3"/>
  <c r="J66" s="1"/>
  <c r="J76"/>
  <c r="H76"/>
  <c r="H84"/>
  <c r="H84" i="4" s="1"/>
  <c r="J106" i="3"/>
  <c r="H106"/>
  <c r="H123"/>
  <c r="J123" s="1"/>
  <c r="J133"/>
  <c r="H133"/>
  <c r="H57" i="4"/>
  <c r="J57" s="1"/>
  <c r="J68"/>
  <c r="H68"/>
  <c r="H68" i="5" s="1"/>
  <c r="H78" i="4"/>
  <c r="H78" i="5" s="1"/>
  <c r="J78" s="1"/>
  <c r="H106" i="4"/>
  <c r="H106" i="5" s="1"/>
  <c r="J106" s="1"/>
  <c r="H133" i="4"/>
  <c r="H133" i="5" s="1"/>
  <c r="J133" s="1"/>
  <c r="J39"/>
  <c r="H39"/>
  <c r="H57"/>
  <c r="J57" s="1"/>
  <c r="J88"/>
  <c r="H88"/>
  <c r="H126"/>
  <c r="J126" s="1"/>
  <c r="J136"/>
  <c r="H136"/>
  <c r="H18" i="4"/>
  <c r="H9"/>
  <c r="H39"/>
  <c r="H49"/>
  <c r="H95"/>
  <c r="J95" s="1"/>
  <c r="H9" i="5"/>
  <c r="J9" s="1"/>
  <c r="H49"/>
  <c r="J79"/>
  <c r="H74" i="3"/>
  <c r="J74" s="1"/>
  <c r="J115"/>
  <c r="H115"/>
  <c r="H115" i="4" s="1"/>
  <c r="J139"/>
  <c r="H139"/>
  <c r="H139" i="5" s="1"/>
  <c r="J139" s="1"/>
  <c r="H7" i="3"/>
  <c r="B6" i="44"/>
  <c r="J63" i="3"/>
  <c r="H63"/>
  <c r="H63" i="4" s="1"/>
  <c r="H90" i="3"/>
  <c r="H90" i="4" s="1"/>
  <c r="J7"/>
  <c r="H7"/>
  <c r="H7" i="5" s="1"/>
  <c r="B7" i="44"/>
  <c r="J130" i="4"/>
  <c r="H130"/>
  <c r="J55" i="3"/>
  <c r="H55"/>
  <c r="H8"/>
  <c r="J8" s="1"/>
  <c r="I9" s="1"/>
  <c r="C6" i="44"/>
  <c r="J44" i="3"/>
  <c r="H44"/>
  <c r="J54"/>
  <c r="H54"/>
  <c r="H54" i="4" s="1"/>
  <c r="J65" i="3"/>
  <c r="H65"/>
  <c r="H65" i="4" s="1"/>
  <c r="J75" i="3"/>
  <c r="H75"/>
  <c r="H75" i="4" s="1"/>
  <c r="J83" i="3"/>
  <c r="H83"/>
  <c r="J93"/>
  <c r="H93"/>
  <c r="J105"/>
  <c r="H105"/>
  <c r="J140"/>
  <c r="H140"/>
  <c r="H140" i="4" s="1"/>
  <c r="C7" i="44"/>
  <c r="J46" i="4"/>
  <c r="H46"/>
  <c r="J56"/>
  <c r="H56"/>
  <c r="J67"/>
  <c r="H67"/>
  <c r="H67" i="5" s="1"/>
  <c r="J67" s="1"/>
  <c r="J86" i="4"/>
  <c r="H86"/>
  <c r="H86" i="5" s="1"/>
  <c r="J86" s="1"/>
  <c r="J105" i="4"/>
  <c r="H105"/>
  <c r="H105" i="5" s="1"/>
  <c r="J116" i="4"/>
  <c r="H116"/>
  <c r="H116" i="5" s="1"/>
  <c r="J116" s="1"/>
  <c r="E27"/>
  <c r="C8" i="44"/>
  <c r="H46" i="5"/>
  <c r="J46" s="1"/>
  <c r="J56"/>
  <c r="H56"/>
  <c r="H97"/>
  <c r="J97" s="1"/>
  <c r="H125"/>
  <c r="J125" s="1"/>
  <c r="J68"/>
  <c r="H19" i="4"/>
  <c r="H19" i="5" s="1"/>
  <c r="H38" i="4"/>
  <c r="H38" i="5" s="1"/>
  <c r="J38" s="1"/>
  <c r="H93" i="4"/>
  <c r="H93" i="5" s="1"/>
  <c r="J93" s="1"/>
  <c r="H132" i="4"/>
  <c r="H132" i="5" s="1"/>
  <c r="J132" s="1"/>
  <c r="H110"/>
  <c r="J110" s="1"/>
  <c r="J11" i="3"/>
  <c r="H11" i="4"/>
  <c r="J12" i="3"/>
  <c r="H12" i="4"/>
  <c r="J12" s="1"/>
  <c r="J11"/>
  <c r="F118" i="5"/>
  <c r="G152"/>
  <c r="G164" i="3"/>
  <c r="G128" i="2"/>
  <c r="H128" s="1"/>
  <c r="J128" s="1"/>
  <c r="E28"/>
  <c r="G28" s="1"/>
  <c r="H28" s="1"/>
  <c r="J28" s="1"/>
  <c r="G94"/>
  <c r="G59"/>
  <c r="H59" s="1"/>
  <c r="J59" s="1"/>
  <c r="H19"/>
  <c r="J19" s="1"/>
  <c r="E27" i="4"/>
  <c r="G27" s="1"/>
  <c r="F8" i="45"/>
  <c r="AN4" i="49" s="1"/>
  <c r="G165" i="3"/>
  <c r="G171"/>
  <c r="E8" i="45"/>
  <c r="AN3" i="49" s="1"/>
  <c r="G20" i="5"/>
  <c r="G8" i="45"/>
  <c r="G168" i="2"/>
  <c r="G150"/>
  <c r="G151" s="1"/>
  <c r="H151" s="1"/>
  <c r="J151" s="1"/>
  <c r="G94" i="4"/>
  <c r="J92"/>
  <c r="F118"/>
  <c r="J19"/>
  <c r="E30"/>
  <c r="G30" s="1"/>
  <c r="G148"/>
  <c r="H148" s="1"/>
  <c r="J148" s="1"/>
  <c r="G101" i="3"/>
  <c r="J95"/>
  <c r="I138" i="4"/>
  <c r="J136"/>
  <c r="I135"/>
  <c r="J132"/>
  <c r="G13"/>
  <c r="G20"/>
  <c r="G13" i="2"/>
  <c r="I13" s="1"/>
  <c r="G20"/>
  <c r="H20" s="1"/>
  <c r="J20" s="1"/>
  <c r="I20" s="1"/>
  <c r="H36"/>
  <c r="J36" s="1"/>
  <c r="G112"/>
  <c r="H112" s="1"/>
  <c r="J112" s="1"/>
  <c r="I140"/>
  <c r="G170"/>
  <c r="J18" i="4"/>
  <c r="H9" i="2"/>
  <c r="J9" s="1"/>
  <c r="H18"/>
  <c r="J18" s="1"/>
  <c r="G20" i="3"/>
  <c r="G166"/>
  <c r="G146" i="5"/>
  <c r="G170"/>
  <c r="G152" i="2"/>
  <c r="G153" s="1"/>
  <c r="H153" s="1"/>
  <c r="J153" s="1"/>
  <c r="G117"/>
  <c r="H117" s="1"/>
  <c r="J117" s="1"/>
  <c r="G164" i="5"/>
  <c r="E31" i="4"/>
  <c r="G31" s="1"/>
  <c r="G94" i="5"/>
  <c r="G24" i="2"/>
  <c r="H24" s="1"/>
  <c r="J24" s="1"/>
  <c r="G142"/>
  <c r="G47"/>
  <c r="H47" s="1"/>
  <c r="J47" s="1"/>
  <c r="H109"/>
  <c r="J109" s="1"/>
  <c r="G148"/>
  <c r="H148" s="1"/>
  <c r="J148" s="1"/>
  <c r="G167" i="3"/>
  <c r="G164" i="4"/>
  <c r="G168"/>
  <c r="J92" i="5"/>
  <c r="G119" i="2"/>
  <c r="H119" s="1"/>
  <c r="J119" s="1"/>
  <c r="G128" i="4"/>
  <c r="G146" i="2"/>
  <c r="H146" s="1"/>
  <c r="J146" s="1"/>
  <c r="H92"/>
  <c r="J92" s="1"/>
  <c r="G118"/>
  <c r="H118" s="1"/>
  <c r="J118" s="1"/>
  <c r="G169"/>
  <c r="G168" i="3"/>
  <c r="G167" i="5"/>
  <c r="G112"/>
  <c r="J72"/>
  <c r="G85"/>
  <c r="G150"/>
  <c r="G144"/>
  <c r="G117"/>
  <c r="G13"/>
  <c r="G27"/>
  <c r="G148"/>
  <c r="J49"/>
  <c r="G59"/>
  <c r="F119"/>
  <c r="G119"/>
  <c r="G101"/>
  <c r="G107"/>
  <c r="J105"/>
  <c r="I133"/>
  <c r="G168"/>
  <c r="G128"/>
  <c r="G28"/>
  <c r="G142"/>
  <c r="G47"/>
  <c r="G66"/>
  <c r="I136"/>
  <c r="G169"/>
  <c r="J19"/>
  <c r="G31"/>
  <c r="G171"/>
  <c r="N8"/>
  <c r="I139"/>
  <c r="J36"/>
  <c r="G65"/>
  <c r="G30"/>
  <c r="J18"/>
  <c r="G118"/>
  <c r="G144" i="4"/>
  <c r="J72"/>
  <c r="G85"/>
  <c r="G112"/>
  <c r="H112" s="1"/>
  <c r="J109"/>
  <c r="G59"/>
  <c r="J49"/>
  <c r="F119"/>
  <c r="G119"/>
  <c r="G101"/>
  <c r="G150"/>
  <c r="H150" s="1"/>
  <c r="G146"/>
  <c r="J114"/>
  <c r="G117"/>
  <c r="G107"/>
  <c r="J104"/>
  <c r="G149"/>
  <c r="G47"/>
  <c r="G142"/>
  <c r="E28"/>
  <c r="G28" s="1"/>
  <c r="G118"/>
  <c r="I140"/>
  <c r="G152"/>
  <c r="J9"/>
  <c r="J39"/>
  <c r="J9" i="3"/>
  <c r="G13"/>
  <c r="J35"/>
  <c r="G142"/>
  <c r="H142" s="1"/>
  <c r="G47"/>
  <c r="H47" s="1"/>
  <c r="J136"/>
  <c r="I138"/>
  <c r="E27"/>
  <c r="G27" s="1"/>
  <c r="H27" s="1"/>
  <c r="J37"/>
  <c r="G152"/>
  <c r="H152" s="1"/>
  <c r="F118"/>
  <c r="E118" i="4" s="1"/>
  <c r="G118" i="3"/>
  <c r="E30"/>
  <c r="G30" s="1"/>
  <c r="J19"/>
  <c r="J41"/>
  <c r="G144"/>
  <c r="H144" s="1"/>
  <c r="J104"/>
  <c r="G107"/>
  <c r="J7"/>
  <c r="J109"/>
  <c r="G112"/>
  <c r="H112" s="1"/>
  <c r="G146"/>
  <c r="H146" s="1"/>
  <c r="J39"/>
  <c r="G94"/>
  <c r="J92"/>
  <c r="G59"/>
  <c r="J38"/>
  <c r="G148"/>
  <c r="H148" s="1"/>
  <c r="I133"/>
  <c r="J132"/>
  <c r="I140"/>
  <c r="J139"/>
  <c r="G128"/>
  <c r="E28"/>
  <c r="G28" s="1"/>
  <c r="J15"/>
  <c r="I16" s="1"/>
  <c r="O16"/>
  <c r="G150"/>
  <c r="H150" s="1"/>
  <c r="J36"/>
  <c r="E31"/>
  <c r="G31" s="1"/>
  <c r="G117"/>
  <c r="G119"/>
  <c r="G85"/>
  <c r="F119"/>
  <c r="J49"/>
  <c r="G60" i="2"/>
  <c r="H60" s="1"/>
  <c r="J60" s="1"/>
  <c r="H27"/>
  <c r="J27" s="1"/>
  <c r="H13"/>
  <c r="J13" s="1"/>
  <c r="G29"/>
  <c r="H29" s="1"/>
  <c r="J29" s="1"/>
  <c r="H142"/>
  <c r="J142" s="1"/>
  <c r="G143"/>
  <c r="H143" s="1"/>
  <c r="J143" s="1"/>
  <c r="H8"/>
  <c r="J8" s="1"/>
  <c r="I9" s="1"/>
  <c r="I138"/>
  <c r="H51"/>
  <c r="J51" s="1"/>
  <c r="G85"/>
  <c r="H85" s="1"/>
  <c r="J85" s="1"/>
  <c r="H97"/>
  <c r="J97" s="1"/>
  <c r="G144"/>
  <c r="G107"/>
  <c r="H107" s="1"/>
  <c r="J107" s="1"/>
  <c r="I135"/>
  <c r="G149"/>
  <c r="H149" s="1"/>
  <c r="J149" s="1"/>
  <c r="F118"/>
  <c r="H15"/>
  <c r="J15" s="1"/>
  <c r="I16" s="1"/>
  <c r="G101"/>
  <c r="H101" s="1"/>
  <c r="J101" s="1"/>
  <c r="F119"/>
  <c r="H114"/>
  <c r="J114" s="1"/>
  <c r="H75" i="5" l="1"/>
  <c r="J75" s="1"/>
  <c r="J75" i="4"/>
  <c r="J53"/>
  <c r="H53" i="5"/>
  <c r="J53" s="1"/>
  <c r="H84"/>
  <c r="J84" s="1"/>
  <c r="J84" i="4"/>
  <c r="H43" i="5"/>
  <c r="J43" s="1"/>
  <c r="J43" i="4"/>
  <c r="H135" i="5"/>
  <c r="J135" s="1"/>
  <c r="J135" i="4"/>
  <c r="J15"/>
  <c r="I16" s="1"/>
  <c r="H15" i="5"/>
  <c r="J15" s="1"/>
  <c r="I16" s="1"/>
  <c r="H140"/>
  <c r="J140" s="1"/>
  <c r="J140" i="4"/>
  <c r="H81" i="5"/>
  <c r="J81" s="1"/>
  <c r="J81" i="4"/>
  <c r="J87"/>
  <c r="H87" i="5"/>
  <c r="J87" s="1"/>
  <c r="H29"/>
  <c r="J29" s="1"/>
  <c r="J29" i="4"/>
  <c r="J42"/>
  <c r="H42" i="5"/>
  <c r="J42" s="1"/>
  <c r="H54"/>
  <c r="J54" s="1"/>
  <c r="J54" i="4"/>
  <c r="H115" i="5"/>
  <c r="J115" s="1"/>
  <c r="J115" i="4"/>
  <c r="H111" i="5"/>
  <c r="J111" s="1"/>
  <c r="J111" i="4"/>
  <c r="J99"/>
  <c r="H99" i="5"/>
  <c r="J99" s="1"/>
  <c r="H65"/>
  <c r="J65" i="4"/>
  <c r="J63"/>
  <c r="H63" i="5"/>
  <c r="J63" s="1"/>
  <c r="J45" i="4"/>
  <c r="H45" i="5"/>
  <c r="J45" s="1"/>
  <c r="H134"/>
  <c r="J134" s="1"/>
  <c r="J134" i="4"/>
  <c r="H73" i="5"/>
  <c r="J73" s="1"/>
  <c r="J73" i="4"/>
  <c r="H69" i="5"/>
  <c r="J69" s="1"/>
  <c r="J69" i="4"/>
  <c r="H90" i="5"/>
  <c r="J90" s="1"/>
  <c r="J90" i="4"/>
  <c r="H77" i="5"/>
  <c r="J77" s="1"/>
  <c r="J77" i="4"/>
  <c r="J138"/>
  <c r="H138" i="5"/>
  <c r="J138" s="1"/>
  <c r="J64" i="4"/>
  <c r="H64" i="5"/>
  <c r="J64" s="1"/>
  <c r="J31" i="3"/>
  <c r="H31"/>
  <c r="E7" i="44"/>
  <c r="G153" i="5"/>
  <c r="H74" i="4"/>
  <c r="H47"/>
  <c r="H150" i="5"/>
  <c r="J38" i="4"/>
  <c r="H27"/>
  <c r="H8"/>
  <c r="J117" i="3"/>
  <c r="H117"/>
  <c r="H117" i="4" s="1"/>
  <c r="H94" i="3"/>
  <c r="J94" s="1"/>
  <c r="H119"/>
  <c r="J119" s="1"/>
  <c r="H128"/>
  <c r="J128" s="1"/>
  <c r="I13"/>
  <c r="H13"/>
  <c r="H31" i="4"/>
  <c r="H31" i="5" s="1"/>
  <c r="J31" s="1"/>
  <c r="H101" i="3"/>
  <c r="J101" s="1"/>
  <c r="H142" i="4"/>
  <c r="H142" i="5" s="1"/>
  <c r="J142" s="1"/>
  <c r="H144" i="4"/>
  <c r="H144" i="5" s="1"/>
  <c r="J144" s="1"/>
  <c r="H47"/>
  <c r="H148"/>
  <c r="J93" i="4"/>
  <c r="J90" i="3"/>
  <c r="J106" i="4"/>
  <c r="J84" i="3"/>
  <c r="J131" i="4"/>
  <c r="J59" i="3"/>
  <c r="H59"/>
  <c r="J20"/>
  <c r="I20" s="1"/>
  <c r="H20"/>
  <c r="H20" i="4" s="1"/>
  <c r="E6" i="44"/>
  <c r="H94" i="4"/>
  <c r="H94" i="5" s="1"/>
  <c r="J94" s="1"/>
  <c r="H66" i="4"/>
  <c r="E8" i="44"/>
  <c r="J28" i="3"/>
  <c r="H28"/>
  <c r="H28" i="4" s="1"/>
  <c r="J118"/>
  <c r="H118"/>
  <c r="H118" i="5" s="1"/>
  <c r="J118" s="1"/>
  <c r="J101" i="4"/>
  <c r="H101"/>
  <c r="J119" i="5"/>
  <c r="H146" i="4"/>
  <c r="J146" s="1"/>
  <c r="J22"/>
  <c r="H95" i="5"/>
  <c r="J95" s="1"/>
  <c r="J101"/>
  <c r="H101"/>
  <c r="J85" i="3"/>
  <c r="H85"/>
  <c r="H85" i="4" s="1"/>
  <c r="J118" i="3"/>
  <c r="H118"/>
  <c r="I13" i="5"/>
  <c r="H13"/>
  <c r="H112"/>
  <c r="H123" i="4"/>
  <c r="J138" i="3"/>
  <c r="J80" i="4"/>
  <c r="J59"/>
  <c r="H59"/>
  <c r="H59" i="5" s="1"/>
  <c r="J59" s="1"/>
  <c r="J107" i="3"/>
  <c r="H107"/>
  <c r="H107" i="4" s="1"/>
  <c r="J119"/>
  <c r="H119"/>
  <c r="H119" i="5" s="1"/>
  <c r="J30" i="3"/>
  <c r="H30"/>
  <c r="H30" i="4" s="1"/>
  <c r="H13"/>
  <c r="J13" s="1"/>
  <c r="H152"/>
  <c r="H152" i="5" s="1"/>
  <c r="J152" s="1"/>
  <c r="I13" i="4"/>
  <c r="J65" i="5"/>
  <c r="J133" i="4"/>
  <c r="J78"/>
  <c r="J81" i="3"/>
  <c r="AN5" i="49"/>
  <c r="G147" i="5"/>
  <c r="G172" i="2"/>
  <c r="H150"/>
  <c r="J150" s="1"/>
  <c r="G120"/>
  <c r="H120" s="1"/>
  <c r="J120" s="1"/>
  <c r="F120"/>
  <c r="H152"/>
  <c r="J152" s="1"/>
  <c r="G147"/>
  <c r="H147" s="1"/>
  <c r="J147" s="1"/>
  <c r="G32" i="5"/>
  <c r="G143"/>
  <c r="J13"/>
  <c r="F120"/>
  <c r="G120"/>
  <c r="J112"/>
  <c r="G145"/>
  <c r="G60"/>
  <c r="J47"/>
  <c r="J150"/>
  <c r="G151"/>
  <c r="J148"/>
  <c r="G149"/>
  <c r="G151" i="4"/>
  <c r="J150"/>
  <c r="G147"/>
  <c r="J152"/>
  <c r="G153"/>
  <c r="G145"/>
  <c r="G32"/>
  <c r="J47"/>
  <c r="G60"/>
  <c r="G143"/>
  <c r="J112"/>
  <c r="F120"/>
  <c r="G120"/>
  <c r="J150" i="3"/>
  <c r="G151"/>
  <c r="J146"/>
  <c r="G147"/>
  <c r="J144"/>
  <c r="G145"/>
  <c r="J27"/>
  <c r="G32"/>
  <c r="J13"/>
  <c r="J152"/>
  <c r="G153"/>
  <c r="J142"/>
  <c r="G143"/>
  <c r="G60"/>
  <c r="H60" s="1"/>
  <c r="J47"/>
  <c r="G149"/>
  <c r="J148"/>
  <c r="J112"/>
  <c r="F120"/>
  <c r="G120"/>
  <c r="G145" i="2"/>
  <c r="H145" s="1"/>
  <c r="J145" s="1"/>
  <c r="H144"/>
  <c r="J144" s="1"/>
  <c r="I60"/>
  <c r="I59"/>
  <c r="G32"/>
  <c r="H32" s="1"/>
  <c r="J32" s="1"/>
  <c r="H20" i="5" l="1"/>
  <c r="J20" s="1"/>
  <c r="I20" s="1"/>
  <c r="J20" i="4"/>
  <c r="I20" s="1"/>
  <c r="H30" i="5"/>
  <c r="J30" s="1"/>
  <c r="J30" i="4"/>
  <c r="J85"/>
  <c r="H85" i="5"/>
  <c r="J85" s="1"/>
  <c r="H117"/>
  <c r="J117" s="1"/>
  <c r="J117" i="4"/>
  <c r="H107" i="5"/>
  <c r="J107" s="1"/>
  <c r="J107" i="4"/>
  <c r="J28"/>
  <c r="H28" i="5"/>
  <c r="J28" s="1"/>
  <c r="J142" i="4"/>
  <c r="J145" i="3"/>
  <c r="H145"/>
  <c r="H27" i="5"/>
  <c r="J27" s="1"/>
  <c r="J27" i="4"/>
  <c r="J144"/>
  <c r="H128"/>
  <c r="H146" i="5"/>
  <c r="J146" s="1"/>
  <c r="J94" i="4"/>
  <c r="J31"/>
  <c r="J147" i="3"/>
  <c r="H147"/>
  <c r="H143"/>
  <c r="J143" s="1"/>
  <c r="J149"/>
  <c r="H149"/>
  <c r="H149" i="4" s="1"/>
  <c r="J149" s="1"/>
  <c r="H145"/>
  <c r="J145" s="1"/>
  <c r="H8" i="5"/>
  <c r="J8" s="1"/>
  <c r="I9" s="1"/>
  <c r="J8" i="4"/>
  <c r="I9" s="1"/>
  <c r="H147"/>
  <c r="J147" s="1"/>
  <c r="H32"/>
  <c r="J32" s="1"/>
  <c r="J151"/>
  <c r="H151"/>
  <c r="H151" i="5" s="1"/>
  <c r="J151" s="1"/>
  <c r="J123" i="4"/>
  <c r="H123" i="5"/>
  <c r="J123" s="1"/>
  <c r="J74" i="4"/>
  <c r="H74" i="5"/>
  <c r="J74" s="1"/>
  <c r="H143" i="4"/>
  <c r="J143" s="1"/>
  <c r="J149" i="5"/>
  <c r="H149"/>
  <c r="H151" i="3"/>
  <c r="J151" s="1"/>
  <c r="H147" i="5"/>
  <c r="J147" s="1"/>
  <c r="H66"/>
  <c r="J66" s="1"/>
  <c r="J66" i="4"/>
  <c r="H120" i="3"/>
  <c r="H120" i="4" s="1"/>
  <c r="H32" i="3"/>
  <c r="J32" s="1"/>
  <c r="H145" i="5"/>
  <c r="J145" s="1"/>
  <c r="J153" i="3"/>
  <c r="H153"/>
  <c r="H153" i="4" s="1"/>
  <c r="H60"/>
  <c r="H60" i="5"/>
  <c r="J60" s="1"/>
  <c r="I59"/>
  <c r="I60"/>
  <c r="J60" i="4"/>
  <c r="I60"/>
  <c r="I59"/>
  <c r="J60" i="3"/>
  <c r="I59"/>
  <c r="I60"/>
  <c r="J153" i="4" l="1"/>
  <c r="H153" i="5"/>
  <c r="J153" s="1"/>
  <c r="H120"/>
  <c r="J120" s="1"/>
  <c r="J120" i="4"/>
  <c r="J120" i="3"/>
  <c r="H143" i="5"/>
  <c r="J143" s="1"/>
  <c r="H128"/>
  <c r="J128" s="1"/>
  <c r="J128" i="4"/>
  <c r="H32" i="5"/>
  <c r="J32" s="1"/>
  <c r="E8" i="7"/>
  <c r="E9"/>
  <c r="E10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E92" i="28" l="1"/>
  <c r="E36" i="27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6" i="25" l="1"/>
  <c r="E37"/>
  <c r="E38"/>
  <c r="E39"/>
  <c r="E40"/>
  <c r="E41"/>
  <c r="E42"/>
  <c r="E43"/>
  <c r="E44"/>
  <c r="E45"/>
  <c r="E46"/>
  <c r="E7" i="24"/>
  <c r="K31" i="47"/>
  <c r="G3" i="48"/>
  <c r="K3" i="47" s="1"/>
  <c r="G4" i="48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7"/>
  <c r="E18"/>
  <c r="E16"/>
  <c r="E163" i="17"/>
  <c r="E162"/>
  <c r="K2" i="47"/>
  <c r="E73" i="14"/>
  <c r="E72"/>
  <c r="E131" i="12"/>
  <c r="E132"/>
  <c r="E133"/>
  <c r="E134"/>
  <c r="E135"/>
  <c r="E136"/>
  <c r="E137"/>
  <c r="E138"/>
  <c r="E139"/>
  <c r="E140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 i="11"/>
  <c r="E9"/>
  <c r="E10"/>
  <c r="E131"/>
  <c r="E132"/>
  <c r="E133"/>
  <c r="E134"/>
  <c r="E135"/>
  <c r="E136"/>
  <c r="E137"/>
  <c r="E138"/>
  <c r="E139"/>
  <c r="E140"/>
  <c r="E63"/>
  <c r="E64"/>
  <c r="E65"/>
  <c r="E66"/>
  <c r="E67"/>
  <c r="E68"/>
  <c r="E69"/>
  <c r="E36"/>
  <c r="E37"/>
  <c r="E38"/>
  <c r="E39"/>
  <c r="E40"/>
  <c r="E41"/>
  <c r="E42"/>
  <c r="E43"/>
  <c r="E44"/>
  <c r="E131" i="10"/>
  <c r="E132"/>
  <c r="E133"/>
  <c r="E134"/>
  <c r="E135"/>
  <c r="E136"/>
  <c r="E137"/>
  <c r="E138"/>
  <c r="E139"/>
  <c r="E140"/>
  <c r="E73" i="9"/>
  <c r="E74"/>
  <c r="E75"/>
  <c r="E76"/>
  <c r="E77"/>
  <c r="E78"/>
  <c r="E79"/>
  <c r="E80"/>
  <c r="E81"/>
  <c r="E82"/>
  <c r="E84"/>
  <c r="E124" i="8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160"/>
  <c r="G161"/>
  <c r="G162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4" i="30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0" i="27"/>
  <c r="E111"/>
  <c r="E96" i="29"/>
  <c r="E97"/>
  <c r="E98"/>
  <c r="E99"/>
  <c r="E100"/>
  <c r="E124"/>
  <c r="E125"/>
  <c r="E126"/>
  <c r="E127"/>
  <c r="E73"/>
  <c r="E74"/>
  <c r="E75"/>
  <c r="E76"/>
  <c r="E77"/>
  <c r="E78"/>
  <c r="E79"/>
  <c r="E80"/>
  <c r="E81"/>
  <c r="E82"/>
  <c r="E83"/>
  <c r="E84"/>
  <c r="E50" i="28"/>
  <c r="E51"/>
  <c r="E52"/>
  <c r="E53"/>
  <c r="G53" s="1"/>
  <c r="E54"/>
  <c r="G54" s="1"/>
  <c r="E55"/>
  <c r="G55" s="1"/>
  <c r="E56"/>
  <c r="E57"/>
  <c r="E58"/>
  <c r="E124"/>
  <c r="E125"/>
  <c r="E126"/>
  <c r="E127"/>
  <c r="E131"/>
  <c r="E132"/>
  <c r="E133"/>
  <c r="E134"/>
  <c r="E135"/>
  <c r="E136"/>
  <c r="E137"/>
  <c r="E138"/>
  <c r="E139"/>
  <c r="E14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27"/>
  <c r="E132"/>
  <c r="E133"/>
  <c r="E134"/>
  <c r="E135"/>
  <c r="E136"/>
  <c r="E137"/>
  <c r="E138"/>
  <c r="E139"/>
  <c r="E140"/>
  <c r="E87" i="40"/>
  <c r="E88"/>
  <c r="E89"/>
  <c r="E90"/>
  <c r="E2" i="48"/>
  <c r="E5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1" i="17"/>
  <c r="E73" i="13"/>
  <c r="E161" i="12"/>
  <c r="E162"/>
  <c r="E163"/>
  <c r="E160"/>
  <c r="F166"/>
  <c r="F167"/>
  <c r="F168"/>
  <c r="F169"/>
  <c r="F170"/>
  <c r="F171"/>
  <c r="F165"/>
  <c r="E162" i="11"/>
  <c r="G162" s="1"/>
  <c r="E163"/>
  <c r="G163" s="1"/>
  <c r="E160"/>
  <c r="G160" s="1"/>
  <c r="E161"/>
  <c r="G161" s="1"/>
  <c r="F171"/>
  <c r="F170"/>
  <c r="F169"/>
  <c r="F168"/>
  <c r="F167"/>
  <c r="F166"/>
  <c r="F165"/>
  <c r="F164"/>
  <c r="E161" i="10"/>
  <c r="G161" s="1"/>
  <c r="E162"/>
  <c r="G162" s="1"/>
  <c r="E163"/>
  <c r="G163" s="1"/>
  <c r="E160"/>
  <c r="G160" s="1"/>
  <c r="F171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F164" i="10"/>
  <c r="E164" i="11" s="1"/>
  <c r="E161" i="9"/>
  <c r="G161" s="1"/>
  <c r="E162"/>
  <c r="G162" s="1"/>
  <c r="E163"/>
  <c r="G163" s="1"/>
  <c r="E160"/>
  <c r="G160" s="1"/>
  <c r="F171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64" i="9"/>
  <c r="E164" i="10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F164" i="8"/>
  <c r="G164" i="9" s="1"/>
  <c r="G163" i="8"/>
  <c r="H121" i="33"/>
  <c r="H11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E50" i="7"/>
  <c r="E51"/>
  <c r="E52"/>
  <c r="E53"/>
  <c r="E54"/>
  <c r="E55"/>
  <c r="E56"/>
  <c r="E57"/>
  <c r="E58"/>
  <c r="F171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F165" i="7"/>
  <c r="E165" i="8" s="1"/>
  <c r="F164" i="7"/>
  <c r="E164" i="8" s="1"/>
  <c r="G164" s="1"/>
  <c r="G163" i="7"/>
  <c r="G162"/>
  <c r="G161"/>
  <c r="G160"/>
  <c r="F171" i="33"/>
  <c r="F170"/>
  <c r="F169"/>
  <c r="F168"/>
  <c r="F167"/>
  <c r="F166"/>
  <c r="F165"/>
  <c r="F164"/>
  <c r="G163"/>
  <c r="G162"/>
  <c r="G161"/>
  <c r="G160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70" i="8" l="1"/>
  <c r="G164" i="10"/>
  <c r="G166" i="8"/>
  <c r="G164" i="11"/>
  <c r="G166"/>
  <c r="E4" i="48"/>
  <c r="G170" i="11"/>
  <c r="G168"/>
  <c r="G165" i="10"/>
  <c r="G171" i="9"/>
  <c r="G170" i="10"/>
  <c r="G169" i="9"/>
  <c r="G165"/>
  <c r="G170"/>
  <c r="G168" i="8"/>
  <c r="G167" i="9"/>
  <c r="G171" i="8"/>
  <c r="G167"/>
  <c r="G165"/>
  <c r="G167" i="10"/>
  <c r="G171"/>
  <c r="G165" i="11"/>
  <c r="G169" i="8"/>
  <c r="G166" i="10"/>
  <c r="G169"/>
  <c r="G168"/>
  <c r="G168" i="9"/>
  <c r="G169" i="11"/>
  <c r="G167"/>
  <c r="G171"/>
  <c r="G166" i="9"/>
  <c r="N18" i="43"/>
  <c r="N40"/>
  <c r="N41"/>
  <c r="N8"/>
  <c r="N9"/>
  <c r="N10"/>
  <c r="N11"/>
  <c r="N12"/>
  <c r="N13"/>
  <c r="N14"/>
  <c r="N15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N7"/>
  <c r="E15" i="30" l="1"/>
  <c r="G15" s="1"/>
  <c r="D33" i="44" s="1"/>
  <c r="E90" i="28"/>
  <c r="E74" i="27"/>
  <c r="E8" i="40" l="1"/>
  <c r="E9"/>
  <c r="AP43" i="44"/>
  <c r="AP39"/>
  <c r="N39" i="25"/>
  <c r="E58"/>
  <c r="N20" i="24"/>
  <c r="I19"/>
  <c r="I18"/>
  <c r="E49" i="21" l="1"/>
  <c r="E132" i="20"/>
  <c r="E134"/>
  <c r="E135"/>
  <c r="E136"/>
  <c r="E137"/>
  <c r="E138"/>
  <c r="E139"/>
  <c r="E140"/>
  <c r="E79"/>
  <c r="E80"/>
  <c r="E81"/>
  <c r="E82"/>
  <c r="E83"/>
  <c r="E73"/>
  <c r="E74"/>
  <c r="E75"/>
  <c r="E76"/>
  <c r="E77"/>
  <c r="E78"/>
  <c r="E84"/>
  <c r="E50"/>
  <c r="E51"/>
  <c r="E52"/>
  <c r="E54"/>
  <c r="E55"/>
  <c r="E56"/>
  <c r="E57"/>
  <c r="E58"/>
  <c r="E49"/>
  <c r="E133"/>
  <c r="E36" i="17"/>
  <c r="E37"/>
  <c r="E38"/>
  <c r="E39"/>
  <c r="G39" s="1"/>
  <c r="E40"/>
  <c r="E41"/>
  <c r="E42"/>
  <c r="E43"/>
  <c r="E44"/>
  <c r="E45"/>
  <c r="E46"/>
  <c r="E134" i="13"/>
  <c r="E162" i="14"/>
  <c r="G160" i="12" l="1"/>
  <c r="E24" i="8"/>
  <c r="E23"/>
  <c r="E22"/>
  <c r="E23" i="7"/>
  <c r="E24"/>
  <c r="E22"/>
  <c r="H113" i="31" l="1"/>
  <c r="H108"/>
  <c r="E161" l="1"/>
  <c r="E162"/>
  <c r="E163"/>
  <c r="E160"/>
  <c r="E131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6"/>
  <c r="E97"/>
  <c r="E98"/>
  <c r="E99"/>
  <c r="E100"/>
  <c r="E95"/>
  <c r="E93"/>
  <c r="E92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7"/>
  <c r="E7" i="43"/>
  <c r="E41" i="29"/>
  <c r="E131" i="40" l="1"/>
  <c r="E132"/>
  <c r="E133"/>
  <c r="E134"/>
  <c r="E135"/>
  <c r="E136"/>
  <c r="E137"/>
  <c r="E138"/>
  <c r="E139"/>
  <c r="E140"/>
  <c r="L86" i="20"/>
  <c r="E161" i="15" l="1"/>
  <c r="E104" i="9" l="1"/>
  <c r="E86" i="8"/>
  <c r="E104" i="7"/>
  <c r="E88" i="33"/>
  <c r="E89"/>
  <c r="E90"/>
  <c r="E85"/>
  <c r="E86"/>
  <c r="E87"/>
  <c r="G9" i="31" l="1"/>
  <c r="E171"/>
  <c r="E170"/>
  <c r="E169"/>
  <c r="E168"/>
  <c r="E167"/>
  <c r="E166"/>
  <c r="E165"/>
  <c r="E164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1"/>
  <c r="N102"/>
  <c r="N103"/>
  <c r="N108"/>
  <c r="N113"/>
  <c r="N121"/>
  <c r="N122"/>
  <c r="G89"/>
  <c r="G90"/>
  <c r="G18" i="30"/>
  <c r="E85" i="43"/>
  <c r="E86"/>
  <c r="E87"/>
  <c r="E88"/>
  <c r="E89"/>
  <c r="G89" s="1"/>
  <c r="E90"/>
  <c r="G90" s="1"/>
  <c r="E160" i="30"/>
  <c r="E85"/>
  <c r="E86"/>
  <c r="G88"/>
  <c r="G89"/>
  <c r="G90"/>
  <c r="AB32" i="49" l="1"/>
  <c r="E86" i="29" l="1"/>
  <c r="E85"/>
  <c r="E85" i="28"/>
  <c r="E86"/>
  <c r="E87"/>
  <c r="E88"/>
  <c r="E89"/>
  <c r="G89" s="1"/>
  <c r="G90"/>
  <c r="E89" i="27" l="1"/>
  <c r="G89" s="1"/>
  <c r="E90"/>
  <c r="G90" s="1"/>
  <c r="E86"/>
  <c r="E87"/>
  <c r="E88"/>
  <c r="N89" i="40"/>
  <c r="N82"/>
  <c r="P132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0" i="19"/>
  <c r="E134" i="15"/>
  <c r="E135"/>
  <c r="E72"/>
  <c r="E135" i="13" l="1"/>
  <c r="G160" i="31" l="1"/>
  <c r="G160" i="30"/>
  <c r="G161" i="15"/>
  <c r="G163" i="31"/>
  <c r="G162"/>
  <c r="G161"/>
  <c r="E163" i="43"/>
  <c r="G163" s="1"/>
  <c r="E162"/>
  <c r="G162" s="1"/>
  <c r="E161"/>
  <c r="G161" s="1"/>
  <c r="E160"/>
  <c r="G160" s="1"/>
  <c r="E163" i="30"/>
  <c r="G163" s="1"/>
  <c r="E162"/>
  <c r="G162" s="1"/>
  <c r="E161"/>
  <c r="G161" s="1"/>
  <c r="E163" i="29"/>
  <c r="G163" s="1"/>
  <c r="E162"/>
  <c r="G162" s="1"/>
  <c r="E161"/>
  <c r="G161" s="1"/>
  <c r="E160"/>
  <c r="G160" s="1"/>
  <c r="E163" i="28"/>
  <c r="G163" s="1"/>
  <c r="E162"/>
  <c r="G162" s="1"/>
  <c r="E161"/>
  <c r="G161" s="1"/>
  <c r="E160"/>
  <c r="G160" s="1"/>
  <c r="E163" i="27"/>
  <c r="G163" s="1"/>
  <c r="E162"/>
  <c r="G162" s="1"/>
  <c r="E161"/>
  <c r="G161" s="1"/>
  <c r="E160"/>
  <c r="G160" s="1"/>
  <c r="E163" i="40"/>
  <c r="G163" s="1"/>
  <c r="E162"/>
  <c r="G162" s="1"/>
  <c r="E161"/>
  <c r="G161" s="1"/>
  <c r="E160"/>
  <c r="G160" s="1"/>
  <c r="E163" i="25"/>
  <c r="G163" s="1"/>
  <c r="E162"/>
  <c r="G162" s="1"/>
  <c r="E161"/>
  <c r="G161" s="1"/>
  <c r="E160"/>
  <c r="G160" s="1"/>
  <c r="E163" i="24"/>
  <c r="G163" s="1"/>
  <c r="E162"/>
  <c r="G162" s="1"/>
  <c r="E161"/>
  <c r="G161" s="1"/>
  <c r="E160"/>
  <c r="G160" s="1"/>
  <c r="E163" i="23"/>
  <c r="G163" s="1"/>
  <c r="E162"/>
  <c r="G162" s="1"/>
  <c r="E161"/>
  <c r="G161" s="1"/>
  <c r="E160"/>
  <c r="G160" s="1"/>
  <c r="E163" i="22"/>
  <c r="G163" s="1"/>
  <c r="L163" s="1"/>
  <c r="E162"/>
  <c r="G162" s="1"/>
  <c r="L162" s="1"/>
  <c r="E161"/>
  <c r="G161" s="1"/>
  <c r="L161" s="1"/>
  <c r="E160"/>
  <c r="G160" s="1"/>
  <c r="L160" s="1"/>
  <c r="E163" i="21"/>
  <c r="G163" s="1"/>
  <c r="L163" s="1"/>
  <c r="E162"/>
  <c r="G162" s="1"/>
  <c r="L162" s="1"/>
  <c r="E161"/>
  <c r="G161" s="1"/>
  <c r="L161" s="1"/>
  <c r="E160"/>
  <c r="G160" s="1"/>
  <c r="G162" i="20"/>
  <c r="G161"/>
  <c r="G160"/>
  <c r="G163" i="19"/>
  <c r="G162"/>
  <c r="G161"/>
  <c r="G160"/>
  <c r="G163" i="18"/>
  <c r="G162"/>
  <c r="G161"/>
  <c r="G160"/>
  <c r="G163" i="17"/>
  <c r="G162"/>
  <c r="G161"/>
  <c r="E160"/>
  <c r="G160" s="1"/>
  <c r="E163" i="16"/>
  <c r="G163" s="1"/>
  <c r="E162"/>
  <c r="G162" s="1"/>
  <c r="E161"/>
  <c r="G161" s="1"/>
  <c r="E160"/>
  <c r="G160" s="1"/>
  <c r="E163" i="15"/>
  <c r="G163" s="1"/>
  <c r="E162"/>
  <c r="G162" s="1"/>
  <c r="E160"/>
  <c r="G160" s="1"/>
  <c r="E163" i="14"/>
  <c r="G163" s="1"/>
  <c r="G162"/>
  <c r="E161"/>
  <c r="G161" s="1"/>
  <c r="E160"/>
  <c r="G160" s="1"/>
  <c r="E163" i="13"/>
  <c r="G163" s="1"/>
  <c r="E162"/>
  <c r="G162" s="1"/>
  <c r="E161"/>
  <c r="G161" s="1"/>
  <c r="E160"/>
  <c r="G160" s="1"/>
  <c r="E137"/>
  <c r="G163" i="12"/>
  <c r="G162"/>
  <c r="G161"/>
  <c r="F171" i="31"/>
  <c r="F170"/>
  <c r="F169"/>
  <c r="F168"/>
  <c r="F167"/>
  <c r="F166"/>
  <c r="F165"/>
  <c r="G165" s="1"/>
  <c r="F164"/>
  <c r="G164" s="1"/>
  <c r="F171" i="43"/>
  <c r="F170"/>
  <c r="F169"/>
  <c r="F168"/>
  <c r="F167"/>
  <c r="F166"/>
  <c r="F165"/>
  <c r="F164"/>
  <c r="F171" i="30"/>
  <c r="F170"/>
  <c r="F169"/>
  <c r="F168"/>
  <c r="F167"/>
  <c r="F166"/>
  <c r="F165"/>
  <c r="F164"/>
  <c r="F171" i="29"/>
  <c r="F170"/>
  <c r="F169"/>
  <c r="F168"/>
  <c r="F167"/>
  <c r="F166"/>
  <c r="F165"/>
  <c r="F164"/>
  <c r="F171" i="28"/>
  <c r="F170"/>
  <c r="F169"/>
  <c r="F168"/>
  <c r="F167"/>
  <c r="F166"/>
  <c r="F165"/>
  <c r="F164"/>
  <c r="F171" i="27"/>
  <c r="F170"/>
  <c r="F169"/>
  <c r="F168"/>
  <c r="F167"/>
  <c r="F166"/>
  <c r="F165"/>
  <c r="F164"/>
  <c r="F171" i="40"/>
  <c r="F170"/>
  <c r="F169"/>
  <c r="F168"/>
  <c r="F167"/>
  <c r="F166"/>
  <c r="F165"/>
  <c r="F164"/>
  <c r="F171" i="25"/>
  <c r="F170"/>
  <c r="F169"/>
  <c r="F168"/>
  <c r="F167"/>
  <c r="F166"/>
  <c r="F165"/>
  <c r="F164"/>
  <c r="F171" i="24"/>
  <c r="F170"/>
  <c r="F169"/>
  <c r="F168"/>
  <c r="F167"/>
  <c r="F166"/>
  <c r="F165"/>
  <c r="F164"/>
  <c r="F171" i="23"/>
  <c r="F170"/>
  <c r="F169"/>
  <c r="F168"/>
  <c r="F167"/>
  <c r="F166"/>
  <c r="F165"/>
  <c r="F171" i="22"/>
  <c r="F170"/>
  <c r="F169"/>
  <c r="F168"/>
  <c r="F167"/>
  <c r="F166"/>
  <c r="F165"/>
  <c r="F164"/>
  <c r="F171" i="21"/>
  <c r="F170"/>
  <c r="F169"/>
  <c r="F168"/>
  <c r="F167"/>
  <c r="F166"/>
  <c r="F165"/>
  <c r="F164"/>
  <c r="G164" i="20"/>
  <c r="G163"/>
  <c r="F171" i="18"/>
  <c r="F170"/>
  <c r="F169"/>
  <c r="F168"/>
  <c r="F166"/>
  <c r="F165"/>
  <c r="F164"/>
  <c r="F171" i="17"/>
  <c r="F170"/>
  <c r="F169"/>
  <c r="F168"/>
  <c r="F167"/>
  <c r="F166"/>
  <c r="F165"/>
  <c r="F164"/>
  <c r="F171" i="16"/>
  <c r="E171" i="17" s="1"/>
  <c r="F170" i="16"/>
  <c r="E170" i="17" s="1"/>
  <c r="F169" i="16"/>
  <c r="E169" i="17" s="1"/>
  <c r="F168" i="16"/>
  <c r="E168" i="17" s="1"/>
  <c r="F167" i="16"/>
  <c r="E167" i="17" s="1"/>
  <c r="F166" i="16"/>
  <c r="E166" i="17" s="1"/>
  <c r="F165" i="16"/>
  <c r="E165" i="17" s="1"/>
  <c r="F164" i="16"/>
  <c r="E164" i="17" s="1"/>
  <c r="F171" i="15"/>
  <c r="F170"/>
  <c r="F169"/>
  <c r="F168"/>
  <c r="F167"/>
  <c r="F166"/>
  <c r="F165"/>
  <c r="F164"/>
  <c r="F171" i="14"/>
  <c r="F170"/>
  <c r="F169"/>
  <c r="F168"/>
  <c r="F167"/>
  <c r="F166"/>
  <c r="F165"/>
  <c r="F164"/>
  <c r="F171" i="13"/>
  <c r="F170"/>
  <c r="F169"/>
  <c r="F168"/>
  <c r="F167"/>
  <c r="F166"/>
  <c r="F165"/>
  <c r="F164"/>
  <c r="E164" i="12" s="1"/>
  <c r="F164"/>
  <c r="L160" i="21" l="1"/>
  <c r="AD5" i="44"/>
  <c r="E9" i="10"/>
  <c r="G18" i="7"/>
  <c r="E15" i="8"/>
  <c r="E87" i="7"/>
  <c r="E88"/>
  <c r="E89"/>
  <c r="G89" s="1"/>
  <c r="E90"/>
  <c r="G90" s="1"/>
  <c r="E86"/>
  <c r="E87" i="19"/>
  <c r="E88"/>
  <c r="E89"/>
  <c r="G89" s="1"/>
  <c r="E90"/>
  <c r="G90" s="1"/>
  <c r="E86"/>
  <c r="E87" i="18"/>
  <c r="E88"/>
  <c r="E89"/>
  <c r="G89" s="1"/>
  <c r="E90"/>
  <c r="G90" s="1"/>
  <c r="E86"/>
  <c r="G86" s="1"/>
  <c r="E87" i="17"/>
  <c r="E88"/>
  <c r="E89"/>
  <c r="G89" s="1"/>
  <c r="E90"/>
  <c r="G90" s="1"/>
  <c r="E86"/>
  <c r="E87" i="16"/>
  <c r="E88"/>
  <c r="E89"/>
  <c r="G89" s="1"/>
  <c r="E90"/>
  <c r="G90" s="1"/>
  <c r="E86"/>
  <c r="E87" i="15"/>
  <c r="E88"/>
  <c r="E89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E87" i="12"/>
  <c r="E88"/>
  <c r="E89"/>
  <c r="G89" s="1"/>
  <c r="E90"/>
  <c r="G90" s="1"/>
  <c r="E86"/>
  <c r="G86" s="1"/>
  <c r="E87" i="11"/>
  <c r="E88"/>
  <c r="E89"/>
  <c r="G89" s="1"/>
  <c r="E90"/>
  <c r="G90" s="1"/>
  <c r="E86"/>
  <c r="E87" i="10"/>
  <c r="E88"/>
  <c r="E89"/>
  <c r="G89" s="1"/>
  <c r="E90"/>
  <c r="G90" s="1"/>
  <c r="E86"/>
  <c r="E87" i="9"/>
  <c r="E88"/>
  <c r="E89"/>
  <c r="G89" s="1"/>
  <c r="E90"/>
  <c r="G90" s="1"/>
  <c r="E86"/>
  <c r="G90" i="40"/>
  <c r="G90" i="8"/>
  <c r="G89"/>
  <c r="G90" i="33"/>
  <c r="G89"/>
  <c r="AC2" i="49" l="1"/>
  <c r="AD12" i="44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8"/>
  <c r="J90" s="1"/>
  <c r="H89"/>
  <c r="J89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N90" s="1"/>
  <c r="J89" i="30"/>
  <c r="H89" i="43"/>
  <c r="J89" s="1"/>
  <c r="J89" i="19"/>
  <c r="H89" i="20"/>
  <c r="J90"/>
  <c r="H90" i="21"/>
  <c r="J89" i="9"/>
  <c r="H89" i="10"/>
  <c r="J90" i="9"/>
  <c r="H90" i="10"/>
  <c r="H90" i="11" s="1"/>
  <c r="J90" s="1"/>
  <c r="H89" i="31"/>
  <c r="J89" s="1"/>
  <c r="AD8" i="44"/>
  <c r="AC5" i="49" s="1"/>
  <c r="AD6" i="44"/>
  <c r="AD7"/>
  <c r="AC4" i="49" s="1"/>
  <c r="H89" i="29"/>
  <c r="J89" s="1"/>
  <c r="AC3" i="49" l="1"/>
  <c r="J90" i="43"/>
  <c r="H89" i="21"/>
  <c r="J89" i="20"/>
  <c r="H90" i="22"/>
  <c r="J90" i="21"/>
  <c r="AD13" i="44"/>
  <c r="AC10" i="49" s="1"/>
  <c r="J90" i="10"/>
  <c r="N89" i="31"/>
  <c r="H89" i="11"/>
  <c r="J89" s="1"/>
  <c r="J89" i="10"/>
  <c r="J90" i="31"/>
  <c r="E7" i="8"/>
  <c r="G7" s="1"/>
  <c r="B11" i="44" s="1"/>
  <c r="E99" i="43"/>
  <c r="E100"/>
  <c r="O59" i="30"/>
  <c r="N88"/>
  <c r="E99"/>
  <c r="E98"/>
  <c r="E100"/>
  <c r="H90" i="23" l="1"/>
  <c r="J90" s="1"/>
  <c r="J90" i="22"/>
  <c r="J89" i="21"/>
  <c r="H89" i="22"/>
  <c r="E133" i="29"/>
  <c r="E134"/>
  <c r="E135"/>
  <c r="E136"/>
  <c r="E137"/>
  <c r="E138"/>
  <c r="E139"/>
  <c r="E140"/>
  <c r="E105"/>
  <c r="E106"/>
  <c r="E107"/>
  <c r="E108"/>
  <c r="E109"/>
  <c r="E110"/>
  <c r="E111"/>
  <c r="E112"/>
  <c r="E113"/>
  <c r="E114"/>
  <c r="E11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50"/>
  <c r="E36"/>
  <c r="E37"/>
  <c r="E38"/>
  <c r="E39"/>
  <c r="G39" s="1"/>
  <c r="E40"/>
  <c r="E42"/>
  <c r="E43"/>
  <c r="E44"/>
  <c r="E45"/>
  <c r="E46"/>
  <c r="E18"/>
  <c r="E8"/>
  <c r="E9"/>
  <c r="E10"/>
  <c r="E7"/>
  <c r="E106" i="28"/>
  <c r="E107"/>
  <c r="E108"/>
  <c r="E109"/>
  <c r="E110"/>
  <c r="E111"/>
  <c r="E112"/>
  <c r="E113"/>
  <c r="E114"/>
  <c r="E115"/>
  <c r="E111" i="25"/>
  <c r="E15" i="28"/>
  <c r="G15" s="1"/>
  <c r="E7" i="40"/>
  <c r="E7" i="25"/>
  <c r="G7" s="1"/>
  <c r="B28" i="44" s="1"/>
  <c r="E7" i="23"/>
  <c r="E8"/>
  <c r="E9"/>
  <c r="G9" s="1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AC27" i="44" s="1"/>
  <c r="AB24" i="49" s="1"/>
  <c r="G86" i="24"/>
  <c r="AA27" i="44" s="1"/>
  <c r="Z24" i="49" s="1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AC11" i="44" s="1"/>
  <c r="AB8" i="49" s="1"/>
  <c r="G86" i="8"/>
  <c r="G87" i="7"/>
  <c r="G86"/>
  <c r="G87" i="33"/>
  <c r="G88"/>
  <c r="G86"/>
  <c r="N86" s="1"/>
  <c r="G88" i="10"/>
  <c r="G87" i="8"/>
  <c r="G87" i="12"/>
  <c r="G87" i="20"/>
  <c r="G87" i="3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AA33" i="44" s="1"/>
  <c r="Z30" i="49" s="1"/>
  <c r="H88" i="43" l="1"/>
  <c r="J88" s="1"/>
  <c r="D31" i="44"/>
  <c r="H89" i="23"/>
  <c r="J89" s="1"/>
  <c r="J89" i="22"/>
  <c r="AC13" i="44"/>
  <c r="AB10" i="49" s="1"/>
  <c r="H89" i="33"/>
  <c r="AC8" i="44"/>
  <c r="AB5" i="49" s="1"/>
  <c r="H90" i="33"/>
  <c r="AB27" i="44"/>
  <c r="AA24" i="49" s="1"/>
  <c r="AD27" i="44"/>
  <c r="AC24" i="49" s="1"/>
  <c r="AD28" i="44"/>
  <c r="AC25" i="49" s="1"/>
  <c r="AB28" i="44"/>
  <c r="AA25" i="49" s="1"/>
  <c r="AA32"/>
  <c r="H88" i="24"/>
  <c r="J88" s="1"/>
  <c r="H86"/>
  <c r="J86" s="1"/>
  <c r="AA14" i="44"/>
  <c r="Z11" i="49" s="1"/>
  <c r="AA13" i="44"/>
  <c r="Z10" i="49" s="1"/>
  <c r="H86" i="9"/>
  <c r="J86" s="1"/>
  <c r="AA12" i="44"/>
  <c r="Z9" i="49" s="1"/>
  <c r="H86" i="8"/>
  <c r="J86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3" i="49" s="1"/>
  <c r="AB6" i="44"/>
  <c r="AA3" i="49" s="1"/>
  <c r="AB5" i="44"/>
  <c r="AB7"/>
  <c r="AA4" i="49" s="1"/>
  <c r="AA6" i="44"/>
  <c r="Z3" i="49" s="1"/>
  <c r="AA5" i="44"/>
  <c r="AC5"/>
  <c r="AA3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Z12" i="49" s="1"/>
  <c r="AB10" i="44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C12" i="49" s="1"/>
  <c r="AB15" i="44"/>
  <c r="AA12" i="49" s="1"/>
  <c r="AD25" i="44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B14"/>
  <c r="AA11" i="49" s="1"/>
  <c r="AD23" i="44"/>
  <c r="AC20" i="49" s="1"/>
  <c r="AB23" i="44"/>
  <c r="AA20" i="49" s="1"/>
  <c r="H88" i="8"/>
  <c r="J88" s="1"/>
  <c r="AC14" i="44"/>
  <c r="AB11" i="49" s="1"/>
  <c r="H88" i="17"/>
  <c r="J88" s="1"/>
  <c r="AC20" i="44"/>
  <c r="AB17" i="49" s="1"/>
  <c r="H87" i="24"/>
  <c r="J87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Z32"/>
  <c r="H87" i="18"/>
  <c r="J87" s="1"/>
  <c r="AD21" i="44"/>
  <c r="AC18" i="49" s="1"/>
  <c r="AB21" i="44"/>
  <c r="AA18" i="49" s="1"/>
  <c r="H88" i="12"/>
  <c r="J88" s="1"/>
  <c r="AC15" i="44"/>
  <c r="AB12" i="49" s="1"/>
  <c r="AC32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H87" i="8"/>
  <c r="J87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H86" i="28"/>
  <c r="J86" s="1"/>
  <c r="E40" i="22"/>
  <c r="E8"/>
  <c r="Z2" i="49" l="1"/>
  <c r="AA36" i="44"/>
  <c r="AB2" i="49"/>
  <c r="AC36" i="44"/>
  <c r="AC11" i="49"/>
  <c r="AD36" i="44"/>
  <c r="AA2" i="49"/>
  <c r="AB36" i="44"/>
  <c r="H87" i="43"/>
  <c r="J87" s="1"/>
  <c r="J86" i="30"/>
  <c r="H86" i="43"/>
  <c r="J86" s="1"/>
  <c r="H88" i="20"/>
  <c r="H86"/>
  <c r="H87"/>
  <c r="H90" i="7"/>
  <c r="J90" s="1"/>
  <c r="J90" i="33"/>
  <c r="H86" i="10"/>
  <c r="H87"/>
  <c r="H88"/>
  <c r="H89" i="7"/>
  <c r="J89" s="1"/>
  <c r="J89" i="33"/>
  <c r="H88" i="31"/>
  <c r="N88" s="1"/>
  <c r="E15" i="20"/>
  <c r="E41" i="18"/>
  <c r="E7" i="20"/>
  <c r="E8" i="17"/>
  <c r="E9"/>
  <c r="E116" i="16"/>
  <c r="E8"/>
  <c r="G8" s="1"/>
  <c r="C19" i="44" s="1"/>
  <c r="E8" i="15"/>
  <c r="O8" i="14"/>
  <c r="O7"/>
  <c r="H87" i="31" l="1"/>
  <c r="N87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J88" i="31"/>
  <c r="E96" i="14"/>
  <c r="E97"/>
  <c r="E98"/>
  <c r="E99"/>
  <c r="E100"/>
  <c r="E8"/>
  <c r="E9"/>
  <c r="E10"/>
  <c r="E133" i="13"/>
  <c r="E136"/>
  <c r="E138"/>
  <c r="E139"/>
  <c r="E140"/>
  <c r="J87" i="31" l="1"/>
  <c r="J86"/>
  <c r="J87" i="21"/>
  <c r="H87" i="22"/>
  <c r="J88" i="21"/>
  <c r="H88" i="22"/>
  <c r="H86"/>
  <c r="J86" i="21"/>
  <c r="H87" i="33"/>
  <c r="H88"/>
  <c r="E115" i="13"/>
  <c r="E105"/>
  <c r="E106"/>
  <c r="E109"/>
  <c r="E110"/>
  <c r="E111"/>
  <c r="E114"/>
  <c r="E93"/>
  <c r="E94"/>
  <c r="E95"/>
  <c r="E96"/>
  <c r="E97"/>
  <c r="E98"/>
  <c r="E99"/>
  <c r="E100"/>
  <c r="E38"/>
  <c r="E37"/>
  <c r="E8"/>
  <c r="E9"/>
  <c r="E10"/>
  <c r="E8" i="12"/>
  <c r="E9"/>
  <c r="G9" s="1"/>
  <c r="E10"/>
  <c r="E7"/>
  <c r="E93"/>
  <c r="E94"/>
  <c r="E95"/>
  <c r="E96"/>
  <c r="E97"/>
  <c r="E98"/>
  <c r="E99"/>
  <c r="E100"/>
  <c r="E115"/>
  <c r="E114"/>
  <c r="E111"/>
  <c r="E110"/>
  <c r="E109"/>
  <c r="E106"/>
  <c r="E105"/>
  <c r="E104"/>
  <c r="E49"/>
  <c r="E76" i="10"/>
  <c r="E105" i="11"/>
  <c r="E106"/>
  <c r="E109"/>
  <c r="E110"/>
  <c r="E111"/>
  <c r="E114"/>
  <c r="E115"/>
  <c r="E100"/>
  <c r="E93"/>
  <c r="E95"/>
  <c r="E96"/>
  <c r="E97"/>
  <c r="E98"/>
  <c r="E99"/>
  <c r="E93" i="10"/>
  <c r="G93" s="1"/>
  <c r="L8" i="45" s="1"/>
  <c r="AN10" i="49" s="1"/>
  <c r="E94" i="10"/>
  <c r="E95"/>
  <c r="G95" s="1"/>
  <c r="G96"/>
  <c r="G97"/>
  <c r="G98"/>
  <c r="G99"/>
  <c r="G100"/>
  <c r="E73"/>
  <c r="G73" s="1"/>
  <c r="E74"/>
  <c r="G74" s="1"/>
  <c r="E75"/>
  <c r="G75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3"/>
  <c r="G63" s="1"/>
  <c r="AF13" i="44" s="1"/>
  <c r="AE10" i="49" s="1"/>
  <c r="E64" i="10"/>
  <c r="G64" s="1"/>
  <c r="E65"/>
  <c r="G65" s="1"/>
  <c r="E66"/>
  <c r="G66" s="1"/>
  <c r="E67"/>
  <c r="G67" s="1"/>
  <c r="E68"/>
  <c r="G68" s="1"/>
  <c r="E69"/>
  <c r="G69" s="1"/>
  <c r="E51"/>
  <c r="G51" s="1"/>
  <c r="E52"/>
  <c r="G52" s="1"/>
  <c r="E53"/>
  <c r="G53" s="1"/>
  <c r="G54"/>
  <c r="E55"/>
  <c r="G55" s="1"/>
  <c r="E56"/>
  <c r="G56" s="1"/>
  <c r="E57"/>
  <c r="G57" s="1"/>
  <c r="E58"/>
  <c r="G58" s="1"/>
  <c r="Y13" i="44" s="1"/>
  <c r="X10" i="49" s="1"/>
  <c r="E36" i="10"/>
  <c r="G36" s="1"/>
  <c r="E37"/>
  <c r="G37" s="1"/>
  <c r="E38"/>
  <c r="G38" s="1"/>
  <c r="E39"/>
  <c r="G39" s="1"/>
  <c r="G40"/>
  <c r="E41"/>
  <c r="G41" s="1"/>
  <c r="E42"/>
  <c r="G42" s="1"/>
  <c r="E43"/>
  <c r="G43" s="1"/>
  <c r="E44"/>
  <c r="G44" s="1"/>
  <c r="E45"/>
  <c r="G45" s="1"/>
  <c r="E46"/>
  <c r="G46" s="1"/>
  <c r="E23"/>
  <c r="E22"/>
  <c r="G22" s="1"/>
  <c r="E8"/>
  <c r="G8" s="1"/>
  <c r="C13" i="44" s="1"/>
  <c r="E10" i="10"/>
  <c r="G10" s="1"/>
  <c r="G11"/>
  <c r="G12"/>
  <c r="E7"/>
  <c r="G7" s="1"/>
  <c r="B13" i="44" s="1"/>
  <c r="E104" i="10"/>
  <c r="G104" s="1"/>
  <c r="E105"/>
  <c r="G105" s="1"/>
  <c r="E106"/>
  <c r="G106" s="1"/>
  <c r="E108"/>
  <c r="E109"/>
  <c r="G109" s="1"/>
  <c r="E110"/>
  <c r="G110" s="1"/>
  <c r="E111"/>
  <c r="G111" s="1"/>
  <c r="E114"/>
  <c r="G114" s="1"/>
  <c r="E115"/>
  <c r="G115" s="1"/>
  <c r="E15"/>
  <c r="G15" s="1"/>
  <c r="D13" i="44" s="1"/>
  <c r="G9" i="10"/>
  <c r="I7"/>
  <c r="E18"/>
  <c r="G18"/>
  <c r="E19"/>
  <c r="G19" s="1"/>
  <c r="E29"/>
  <c r="G29" s="1"/>
  <c r="E35"/>
  <c r="G35" s="1"/>
  <c r="E49"/>
  <c r="G49" s="1"/>
  <c r="E50"/>
  <c r="G50" s="1"/>
  <c r="E62"/>
  <c r="G62" s="1"/>
  <c r="AE13" i="44" s="1"/>
  <c r="AD10" i="49" s="1"/>
  <c r="E72" i="10"/>
  <c r="G72" s="1"/>
  <c r="E92"/>
  <c r="G92" s="1"/>
  <c r="J113"/>
  <c r="G116"/>
  <c r="E123"/>
  <c r="G123" s="1"/>
  <c r="E124"/>
  <c r="G124" s="1"/>
  <c r="E125"/>
  <c r="G125" s="1"/>
  <c r="E126"/>
  <c r="G126" s="1"/>
  <c r="E127"/>
  <c r="G127" s="1"/>
  <c r="E130"/>
  <c r="G130" s="1"/>
  <c r="G131"/>
  <c r="G132"/>
  <c r="G133"/>
  <c r="G134"/>
  <c r="G135"/>
  <c r="G136"/>
  <c r="AV13" i="44" s="1"/>
  <c r="G137" i="10"/>
  <c r="G138"/>
  <c r="G139"/>
  <c r="G140"/>
  <c r="E115" i="9"/>
  <c r="E110" i="8"/>
  <c r="E111"/>
  <c r="E111" i="9"/>
  <c r="E110" i="7"/>
  <c r="G110" s="1"/>
  <c r="E111"/>
  <c r="E109"/>
  <c r="E109" i="8"/>
  <c r="E109" i="9"/>
  <c r="E110"/>
  <c r="E114"/>
  <c r="E106"/>
  <c r="E105"/>
  <c r="G105" s="1"/>
  <c r="E15"/>
  <c r="G15" s="1"/>
  <c r="D12" i="44" s="1"/>
  <c r="E115" i="7"/>
  <c r="E114"/>
  <c r="E123" i="8"/>
  <c r="E115"/>
  <c r="E114"/>
  <c r="AU13" i="44" l="1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7" s="1"/>
  <c r="J88" i="22"/>
  <c r="H88" i="23"/>
  <c r="J88" s="1"/>
  <c r="H86"/>
  <c r="J86" s="1"/>
  <c r="J86" i="22"/>
  <c r="H87" i="7"/>
  <c r="J87" s="1"/>
  <c r="J87" i="33"/>
  <c r="L15" i="45"/>
  <c r="H88" i="7"/>
  <c r="J88" s="1"/>
  <c r="J88" i="33"/>
  <c r="L14" i="45"/>
  <c r="E31" i="10"/>
  <c r="G31" s="1"/>
  <c r="E30"/>
  <c r="G30" s="1"/>
  <c r="G76"/>
  <c r="G85" s="1"/>
  <c r="G20"/>
  <c r="E13" i="44" s="1"/>
  <c r="E27" i="10"/>
  <c r="G27" s="1"/>
  <c r="G117"/>
  <c r="I136"/>
  <c r="G118"/>
  <c r="F118"/>
  <c r="G94"/>
  <c r="I138"/>
  <c r="G144"/>
  <c r="G148"/>
  <c r="G47"/>
  <c r="G142"/>
  <c r="I133"/>
  <c r="G119"/>
  <c r="G101"/>
  <c r="F119"/>
  <c r="G146"/>
  <c r="G59"/>
  <c r="G150"/>
  <c r="G152"/>
  <c r="G128"/>
  <c r="E28"/>
  <c r="G28" s="1"/>
  <c r="G13"/>
  <c r="G112"/>
  <c r="G107"/>
  <c r="G109" i="7"/>
  <c r="E105"/>
  <c r="E106"/>
  <c r="AT10" i="49" l="1"/>
  <c r="BB10"/>
  <c r="AS10"/>
  <c r="BA10"/>
  <c r="H86" i="7"/>
  <c r="J86" s="1"/>
  <c r="J86" i="33"/>
  <c r="G120" i="10"/>
  <c r="F120"/>
  <c r="G149"/>
  <c r="G32"/>
  <c r="I13"/>
  <c r="G60"/>
  <c r="I60" s="1"/>
  <c r="G153"/>
  <c r="G151"/>
  <c r="G143"/>
  <c r="G147"/>
  <c r="G145"/>
  <c r="G106" i="7"/>
  <c r="G8"/>
  <c r="C10" i="44" s="1"/>
  <c r="I59" i="10" l="1"/>
  <c r="E107" i="33"/>
  <c r="E108"/>
  <c r="E112"/>
  <c r="E113"/>
  <c r="E100"/>
  <c r="E96" l="1"/>
  <c r="E8"/>
  <c r="G8" s="1"/>
  <c r="C9" i="44" s="1"/>
  <c r="E29" i="43" l="1"/>
  <c r="N27" i="31" l="1"/>
  <c r="A3" i="46"/>
  <c r="G79" i="31"/>
  <c r="G131"/>
  <c r="G132"/>
  <c r="AA34" i="1" s="1"/>
  <c r="G133" i="31"/>
  <c r="AB34" i="1" s="1"/>
  <c r="G135" i="31"/>
  <c r="AD34" i="1" s="1"/>
  <c r="G136" i="31"/>
  <c r="AH34" i="1" s="1"/>
  <c r="G137" i="31"/>
  <c r="AI34" i="1" s="1"/>
  <c r="G139" i="31"/>
  <c r="AL34" i="1" s="1"/>
  <c r="AO34" s="1"/>
  <c r="G140" i="31"/>
  <c r="AM34" i="1" s="1"/>
  <c r="G130" i="31"/>
  <c r="G125"/>
  <c r="G123"/>
  <c r="E108" i="30"/>
  <c r="E107"/>
  <c r="G105" i="31"/>
  <c r="G106"/>
  <c r="G109"/>
  <c r="G110"/>
  <c r="G111"/>
  <c r="G114"/>
  <c r="G104"/>
  <c r="G93"/>
  <c r="AH8" i="45" s="1"/>
  <c r="AN32" i="49" s="1"/>
  <c r="G95" i="31"/>
  <c r="G97"/>
  <c r="G98"/>
  <c r="G99"/>
  <c r="G92"/>
  <c r="G73"/>
  <c r="G74"/>
  <c r="G75"/>
  <c r="G76"/>
  <c r="G77"/>
  <c r="G78"/>
  <c r="G81"/>
  <c r="G82"/>
  <c r="G83"/>
  <c r="G84"/>
  <c r="BK34" i="1" s="1"/>
  <c r="G72" i="31"/>
  <c r="G63"/>
  <c r="G167"/>
  <c r="G169"/>
  <c r="G171"/>
  <c r="G62"/>
  <c r="G50"/>
  <c r="G51"/>
  <c r="BB34" i="1" s="1"/>
  <c r="G53" i="31"/>
  <c r="BD34" i="1" s="1"/>
  <c r="G54" i="31"/>
  <c r="BE34" i="1" s="1"/>
  <c r="G55" i="31"/>
  <c r="BF34" i="1" s="1"/>
  <c r="G57" i="31"/>
  <c r="BH34" i="1" s="1"/>
  <c r="G58" i="31"/>
  <c r="G49"/>
  <c r="BA34" i="1" s="1"/>
  <c r="G36" i="31"/>
  <c r="G37"/>
  <c r="G38"/>
  <c r="G39"/>
  <c r="AT34" i="1" s="1"/>
  <c r="BM34" s="1"/>
  <c r="G41" i="31"/>
  <c r="AV34" i="1" s="1"/>
  <c r="G42" i="31"/>
  <c r="AW34" i="1" s="1"/>
  <c r="G43" i="31"/>
  <c r="G45"/>
  <c r="G46"/>
  <c r="G35"/>
  <c r="AQ34" i="1" s="1"/>
  <c r="G22" i="31"/>
  <c r="G19"/>
  <c r="G15"/>
  <c r="G8"/>
  <c r="G10"/>
  <c r="G7"/>
  <c r="G80"/>
  <c r="G96"/>
  <c r="G100"/>
  <c r="G138"/>
  <c r="AJ34" i="1" s="1"/>
  <c r="G134" i="31"/>
  <c r="AC34" i="1" s="1"/>
  <c r="G127" i="31"/>
  <c r="G126"/>
  <c r="G124"/>
  <c r="G116"/>
  <c r="G115"/>
  <c r="J113"/>
  <c r="G69"/>
  <c r="G65"/>
  <c r="G56"/>
  <c r="BG34" i="1" s="1"/>
  <c r="G52" i="31"/>
  <c r="BC34" i="1" s="1"/>
  <c r="BN34" s="1"/>
  <c r="G44" i="31"/>
  <c r="AY34" i="1" s="1"/>
  <c r="G40" i="31"/>
  <c r="AU34" i="1" s="1"/>
  <c r="G29" i="31"/>
  <c r="G18"/>
  <c r="I15"/>
  <c r="K9"/>
  <c r="M8"/>
  <c r="I7"/>
  <c r="AE34" i="1" l="1"/>
  <c r="M34"/>
  <c r="O34" s="1"/>
  <c r="K32" i="49"/>
  <c r="BI34" i="1"/>
  <c r="J32" i="49"/>
  <c r="AX34" i="1"/>
  <c r="F32" i="49"/>
  <c r="AR34" i="1"/>
  <c r="L32" i="49"/>
  <c r="AZ34" i="1"/>
  <c r="H34"/>
  <c r="K34" s="1"/>
  <c r="G34"/>
  <c r="AK34"/>
  <c r="AF34"/>
  <c r="BJ34"/>
  <c r="BL34"/>
  <c r="BP34"/>
  <c r="H32" i="49"/>
  <c r="I32"/>
  <c r="G32"/>
  <c r="E32"/>
  <c r="E28" i="31"/>
  <c r="G28" s="1"/>
  <c r="E31"/>
  <c r="G31" s="1"/>
  <c r="AH14" i="45"/>
  <c r="E27" i="31"/>
  <c r="G27" s="1"/>
  <c r="AH15" i="45"/>
  <c r="E30" i="31"/>
  <c r="G30" s="1"/>
  <c r="AD32" i="49"/>
  <c r="AE32"/>
  <c r="G68" i="31"/>
  <c r="G170"/>
  <c r="G67"/>
  <c r="G66"/>
  <c r="G168"/>
  <c r="G64"/>
  <c r="G166"/>
  <c r="X32" i="49"/>
  <c r="G20" i="31"/>
  <c r="G47"/>
  <c r="G59"/>
  <c r="G94"/>
  <c r="G107"/>
  <c r="I133"/>
  <c r="G128"/>
  <c r="H128" s="1"/>
  <c r="N128" s="1"/>
  <c r="G152"/>
  <c r="G144"/>
  <c r="G101"/>
  <c r="G119"/>
  <c r="G117"/>
  <c r="I136"/>
  <c r="G150"/>
  <c r="G85"/>
  <c r="G142"/>
  <c r="G146"/>
  <c r="G112"/>
  <c r="G148"/>
  <c r="I138"/>
  <c r="G118"/>
  <c r="BQ34" i="1" l="1"/>
  <c r="AG34"/>
  <c r="P34"/>
  <c r="AT32" i="49"/>
  <c r="BB32"/>
  <c r="AS32"/>
  <c r="BA32"/>
  <c r="N28" i="31"/>
  <c r="G172"/>
  <c r="G32"/>
  <c r="G143"/>
  <c r="G145"/>
  <c r="G149"/>
  <c r="G120"/>
  <c r="G60"/>
  <c r="G153"/>
  <c r="G147"/>
  <c r="G151"/>
  <c r="R34" i="1" l="1"/>
  <c r="BO34" s="1"/>
  <c r="S34"/>
  <c r="I59" i="31"/>
  <c r="I8" i="29" l="1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F4" i="45" l="1"/>
  <c r="E4"/>
  <c r="D4"/>
  <c r="J4" i="1" l="1"/>
  <c r="E8" i="43"/>
  <c r="G8" s="1"/>
  <c r="E8" i="30"/>
  <c r="G8" s="1"/>
  <c r="E8" i="28"/>
  <c r="E8" i="27"/>
  <c r="G8" i="24"/>
  <c r="C27" i="44" s="1"/>
  <c r="E8" i="21"/>
  <c r="E8" i="20"/>
  <c r="E8" i="19"/>
  <c r="E8" i="18"/>
  <c r="K9" i="17"/>
  <c r="K8"/>
  <c r="K7"/>
  <c r="E15"/>
  <c r="G15" s="1"/>
  <c r="D20" i="44" s="1"/>
  <c r="G72" i="15"/>
  <c r="E73"/>
  <c r="E74"/>
  <c r="E75"/>
  <c r="E76"/>
  <c r="E77"/>
  <c r="E78"/>
  <c r="E79"/>
  <c r="E80"/>
  <c r="E81"/>
  <c r="E82"/>
  <c r="E83"/>
  <c r="E84"/>
  <c r="E36"/>
  <c r="E37"/>
  <c r="E38"/>
  <c r="E39"/>
  <c r="E41"/>
  <c r="E42"/>
  <c r="E43"/>
  <c r="E44"/>
  <c r="I8"/>
  <c r="G8"/>
  <c r="C18" i="44" s="1"/>
  <c r="G8" i="12"/>
  <c r="C15" i="44" s="1"/>
  <c r="G9" i="14"/>
  <c r="G58" i="12"/>
  <c r="G57"/>
  <c r="G56"/>
  <c r="G55"/>
  <c r="G54"/>
  <c r="G53"/>
  <c r="G52"/>
  <c r="G51"/>
  <c r="G50"/>
  <c r="G49"/>
  <c r="E50" i="13"/>
  <c r="E51"/>
  <c r="E52"/>
  <c r="E53"/>
  <c r="E54"/>
  <c r="E55"/>
  <c r="E56"/>
  <c r="E57"/>
  <c r="E58"/>
  <c r="E7"/>
  <c r="G7" s="1"/>
  <c r="B16" i="44" s="1"/>
  <c r="C34" l="1"/>
  <c r="G33" i="1"/>
  <c r="H33"/>
  <c r="K33" s="1"/>
  <c r="C33" i="44"/>
  <c r="H32" i="1"/>
  <c r="L15" i="44"/>
  <c r="K12" i="49" s="1"/>
  <c r="J35" i="1"/>
  <c r="Y15" i="44"/>
  <c r="X12" i="49" s="1"/>
  <c r="G59" i="12"/>
  <c r="E105" i="43"/>
  <c r="E106"/>
  <c r="E109"/>
  <c r="E110"/>
  <c r="E111"/>
  <c r="E114"/>
  <c r="E115"/>
  <c r="E104"/>
  <c r="E105" i="30"/>
  <c r="E106"/>
  <c r="E109"/>
  <c r="E110"/>
  <c r="E111"/>
  <c r="E112"/>
  <c r="E113"/>
  <c r="E114"/>
  <c r="E115"/>
  <c r="E104"/>
  <c r="G106" i="29"/>
  <c r="E104"/>
  <c r="E105" i="28"/>
  <c r="E104"/>
  <c r="E105" i="27"/>
  <c r="E106"/>
  <c r="E107"/>
  <c r="E108"/>
  <c r="E109"/>
  <c r="E112"/>
  <c r="E113"/>
  <c r="E114"/>
  <c r="E115"/>
  <c r="E104"/>
  <c r="E105" i="40"/>
  <c r="E106"/>
  <c r="E107"/>
  <c r="E108"/>
  <c r="E109"/>
  <c r="E110"/>
  <c r="E111"/>
  <c r="E112"/>
  <c r="E113"/>
  <c r="E114"/>
  <c r="E115"/>
  <c r="E104"/>
  <c r="E115" i="25"/>
  <c r="E109"/>
  <c r="E110"/>
  <c r="E105"/>
  <c r="E106"/>
  <c r="E108"/>
  <c r="E112"/>
  <c r="E114"/>
  <c r="E104"/>
  <c r="E105" i="24"/>
  <c r="E106"/>
  <c r="E107"/>
  <c r="E108"/>
  <c r="E109"/>
  <c r="E110"/>
  <c r="E111"/>
  <c r="E112"/>
  <c r="E113"/>
  <c r="E114"/>
  <c r="E115"/>
  <c r="E104"/>
  <c r="E105" i="23"/>
  <c r="E106"/>
  <c r="E107"/>
  <c r="E108"/>
  <c r="E109"/>
  <c r="E110"/>
  <c r="E111"/>
  <c r="E112"/>
  <c r="E113"/>
  <c r="E114"/>
  <c r="E115"/>
  <c r="E104"/>
  <c r="E105" i="22"/>
  <c r="E106"/>
  <c r="E107"/>
  <c r="E108"/>
  <c r="E109"/>
  <c r="E110"/>
  <c r="E111"/>
  <c r="E112"/>
  <c r="E113"/>
  <c r="E114"/>
  <c r="E115"/>
  <c r="E104"/>
  <c r="E105" i="21"/>
  <c r="E106"/>
  <c r="E107"/>
  <c r="E108"/>
  <c r="E109"/>
  <c r="E110"/>
  <c r="E111"/>
  <c r="E112"/>
  <c r="E113"/>
  <c r="E114"/>
  <c r="E115"/>
  <c r="E104"/>
  <c r="E105" i="20"/>
  <c r="E106"/>
  <c r="G106" s="1"/>
  <c r="E107"/>
  <c r="E108"/>
  <c r="E109"/>
  <c r="E110"/>
  <c r="E111"/>
  <c r="E112"/>
  <c r="E113"/>
  <c r="E114"/>
  <c r="E115"/>
  <c r="E104"/>
  <c r="E105" i="19"/>
  <c r="E106"/>
  <c r="E107"/>
  <c r="E108"/>
  <c r="E109"/>
  <c r="E110"/>
  <c r="E111"/>
  <c r="E112"/>
  <c r="E113"/>
  <c r="E114"/>
  <c r="E115"/>
  <c r="E104"/>
  <c r="E105" i="18"/>
  <c r="E106"/>
  <c r="E107"/>
  <c r="E108"/>
  <c r="E109"/>
  <c r="E110"/>
  <c r="E111"/>
  <c r="E112"/>
  <c r="E113"/>
  <c r="E114"/>
  <c r="E115"/>
  <c r="E104"/>
  <c r="E105" i="17"/>
  <c r="E106"/>
  <c r="E107"/>
  <c r="E108"/>
  <c r="E109"/>
  <c r="E110"/>
  <c r="E111"/>
  <c r="E112"/>
  <c r="E113"/>
  <c r="E114"/>
  <c r="E115"/>
  <c r="E104"/>
  <c r="E105" i="16"/>
  <c r="E106"/>
  <c r="E107"/>
  <c r="E108"/>
  <c r="E109"/>
  <c r="E110"/>
  <c r="E111"/>
  <c r="E112"/>
  <c r="E113"/>
  <c r="E114"/>
  <c r="E115"/>
  <c r="E104"/>
  <c r="E105" i="15"/>
  <c r="E106"/>
  <c r="E107"/>
  <c r="E108"/>
  <c r="E109"/>
  <c r="E110"/>
  <c r="E111"/>
  <c r="E112"/>
  <c r="E113"/>
  <c r="E114"/>
  <c r="E115"/>
  <c r="E104"/>
  <c r="E105" i="14"/>
  <c r="E106"/>
  <c r="E109"/>
  <c r="E110"/>
  <c r="E111"/>
  <c r="E114"/>
  <c r="E115"/>
  <c r="E104"/>
  <c r="E104" i="13"/>
  <c r="E115" i="33"/>
  <c r="E114"/>
  <c r="E106"/>
  <c r="E105"/>
  <c r="E104"/>
  <c r="E29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G29" i="25"/>
  <c r="E29" i="40"/>
  <c r="G29" s="1"/>
  <c r="E29" i="28"/>
  <c r="G29" s="1"/>
  <c r="E29" i="29"/>
  <c r="G29" s="1"/>
  <c r="E29" i="30"/>
  <c r="G29" s="1"/>
  <c r="G29" i="43"/>
  <c r="G29" i="13" l="1"/>
  <c r="G116" i="33"/>
  <c r="G115"/>
  <c r="G114"/>
  <c r="J113"/>
  <c r="G111"/>
  <c r="G110"/>
  <c r="G109"/>
  <c r="G106"/>
  <c r="G105"/>
  <c r="G104"/>
  <c r="G116" i="7"/>
  <c r="G115"/>
  <c r="G114"/>
  <c r="J113"/>
  <c r="G111"/>
  <c r="I21" i="45"/>
  <c r="AX7" i="49" s="1"/>
  <c r="I19" i="45"/>
  <c r="AW7" i="49" s="1"/>
  <c r="G105" i="7"/>
  <c r="G104"/>
  <c r="G116" i="8"/>
  <c r="G115"/>
  <c r="G114"/>
  <c r="J113"/>
  <c r="G111"/>
  <c r="G110"/>
  <c r="G109"/>
  <c r="G106"/>
  <c r="G105"/>
  <c r="G104"/>
  <c r="G116" i="9"/>
  <c r="G115"/>
  <c r="G114"/>
  <c r="J113"/>
  <c r="G111"/>
  <c r="G110"/>
  <c r="G109"/>
  <c r="G106"/>
  <c r="K18" i="45"/>
  <c r="AV9" i="49" s="1"/>
  <c r="G104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6" i="11"/>
  <c r="G115"/>
  <c r="G114"/>
  <c r="J113"/>
  <c r="G111"/>
  <c r="G110"/>
  <c r="G109"/>
  <c r="G106"/>
  <c r="G105"/>
  <c r="G116" i="12"/>
  <c r="G115"/>
  <c r="G114"/>
  <c r="N14" i="45" s="1"/>
  <c r="J113" i="12"/>
  <c r="G111"/>
  <c r="G110"/>
  <c r="G109"/>
  <c r="G106"/>
  <c r="G105"/>
  <c r="G104"/>
  <c r="G116" i="13"/>
  <c r="G115"/>
  <c r="G114"/>
  <c r="J113"/>
  <c r="G111"/>
  <c r="G110"/>
  <c r="G109"/>
  <c r="G106"/>
  <c r="G105"/>
  <c r="G104"/>
  <c r="G116" i="14"/>
  <c r="G115"/>
  <c r="P15" i="45" s="1"/>
  <c r="G114" i="14"/>
  <c r="J113"/>
  <c r="G111"/>
  <c r="P23" i="45" s="1"/>
  <c r="AZ14" i="49" s="1"/>
  <c r="G110" i="14"/>
  <c r="P22" i="45" s="1"/>
  <c r="AY14" i="49" s="1"/>
  <c r="G109" i="14"/>
  <c r="P21" i="45" s="1"/>
  <c r="AX14" i="49" s="1"/>
  <c r="G106" i="14"/>
  <c r="P19" i="45" s="1"/>
  <c r="AW14" i="49" s="1"/>
  <c r="G105" i="14"/>
  <c r="P18" i="45" s="1"/>
  <c r="AV14" i="49" s="1"/>
  <c r="G104" i="14"/>
  <c r="P17" i="45" s="1"/>
  <c r="AU14" i="49" s="1"/>
  <c r="G116" i="15"/>
  <c r="G115"/>
  <c r="Q15" i="45" s="1"/>
  <c r="G114" i="15"/>
  <c r="Q14" i="45" s="1"/>
  <c r="J113" i="15"/>
  <c r="G111"/>
  <c r="Q23" i="45" s="1"/>
  <c r="AZ15" i="49" s="1"/>
  <c r="G110" i="15"/>
  <c r="Q22" i="45" s="1"/>
  <c r="AY15" i="49" s="1"/>
  <c r="G109" i="15"/>
  <c r="Q21" i="45" s="1"/>
  <c r="AX15" i="49" s="1"/>
  <c r="G106" i="15"/>
  <c r="Q19" i="45" s="1"/>
  <c r="AW15" i="49" s="1"/>
  <c r="G105" i="15"/>
  <c r="Q18" i="45" s="1"/>
  <c r="AV15" i="49" s="1"/>
  <c r="G104" i="15"/>
  <c r="Q17" i="45" s="1"/>
  <c r="AU15" i="49" s="1"/>
  <c r="G116" i="16"/>
  <c r="G115"/>
  <c r="R15" i="45" s="1"/>
  <c r="G114" i="16"/>
  <c r="R14" i="45" s="1"/>
  <c r="J113" i="16"/>
  <c r="G111"/>
  <c r="R23" i="45" s="1"/>
  <c r="AZ16" i="49" s="1"/>
  <c r="G110" i="16"/>
  <c r="R22" i="45" s="1"/>
  <c r="AY16" i="49" s="1"/>
  <c r="G109" i="16"/>
  <c r="R21" i="45" s="1"/>
  <c r="AX16" i="49" s="1"/>
  <c r="G106" i="16"/>
  <c r="R19" i="45" s="1"/>
  <c r="AW16" i="49" s="1"/>
  <c r="G105" i="16"/>
  <c r="R18" i="45" s="1"/>
  <c r="AV16" i="49" s="1"/>
  <c r="G104" i="16"/>
  <c r="R17" i="45" s="1"/>
  <c r="AU16" i="49" s="1"/>
  <c r="G116" i="17"/>
  <c r="G115"/>
  <c r="S15" i="45" s="1"/>
  <c r="G114" i="17"/>
  <c r="J113"/>
  <c r="G111"/>
  <c r="S23" i="45" s="1"/>
  <c r="G110" i="17"/>
  <c r="S22" i="45" s="1"/>
  <c r="G109" i="17"/>
  <c r="S21" i="45" s="1"/>
  <c r="G106" i="17"/>
  <c r="S19" i="45" s="1"/>
  <c r="G105" i="17"/>
  <c r="S18" i="45" s="1"/>
  <c r="G104" i="17"/>
  <c r="S17" i="45" s="1"/>
  <c r="G116" i="18"/>
  <c r="G115"/>
  <c r="T15" i="45" s="1"/>
  <c r="G114" i="18"/>
  <c r="J113"/>
  <c r="G111"/>
  <c r="T23" i="45" s="1"/>
  <c r="AZ18" i="49" s="1"/>
  <c r="G110" i="18"/>
  <c r="T22" i="45" s="1"/>
  <c r="AY18" i="49" s="1"/>
  <c r="G109" i="18"/>
  <c r="T21" i="45" s="1"/>
  <c r="AX18" i="49" s="1"/>
  <c r="G106" i="18"/>
  <c r="T19" i="45" s="1"/>
  <c r="AW18" i="49" s="1"/>
  <c r="G105" i="18"/>
  <c r="T18" i="45" s="1"/>
  <c r="AV18" i="49" s="1"/>
  <c r="G104" i="18"/>
  <c r="T17" i="45" s="1"/>
  <c r="AU18" i="49" s="1"/>
  <c r="G116" i="19"/>
  <c r="G115"/>
  <c r="U15" i="45" s="1"/>
  <c r="G114" i="19"/>
  <c r="U14" i="45" s="1"/>
  <c r="J113" i="19"/>
  <c r="G111"/>
  <c r="U23" i="45" s="1"/>
  <c r="AZ19" i="49" s="1"/>
  <c r="G110" i="19"/>
  <c r="U22" i="45" s="1"/>
  <c r="AY19" i="49" s="1"/>
  <c r="G109" i="19"/>
  <c r="U21" i="45" s="1"/>
  <c r="AX19" i="49" s="1"/>
  <c r="G106" i="19"/>
  <c r="U19" i="45" s="1"/>
  <c r="AW19" i="49" s="1"/>
  <c r="G105" i="19"/>
  <c r="U18" i="45" s="1"/>
  <c r="AV19" i="49" s="1"/>
  <c r="G104" i="19"/>
  <c r="U17" i="45" s="1"/>
  <c r="AU19" i="49" s="1"/>
  <c r="G116" i="20"/>
  <c r="G115"/>
  <c r="G114"/>
  <c r="J113"/>
  <c r="G111"/>
  <c r="G110"/>
  <c r="G109"/>
  <c r="G105"/>
  <c r="G104"/>
  <c r="G116" i="21"/>
  <c r="G115"/>
  <c r="G114"/>
  <c r="J113"/>
  <c r="G111"/>
  <c r="G110"/>
  <c r="G109"/>
  <c r="G106"/>
  <c r="G105"/>
  <c r="G104"/>
  <c r="G116" i="22"/>
  <c r="G115"/>
  <c r="G114"/>
  <c r="J113"/>
  <c r="G111"/>
  <c r="G110"/>
  <c r="G109"/>
  <c r="G106"/>
  <c r="G105"/>
  <c r="G104"/>
  <c r="G116" i="23"/>
  <c r="G115"/>
  <c r="G114"/>
  <c r="J113"/>
  <c r="G111"/>
  <c r="G110"/>
  <c r="G109"/>
  <c r="G106"/>
  <c r="G105"/>
  <c r="G104"/>
  <c r="G116" i="24"/>
  <c r="G115"/>
  <c r="Z15" i="45" s="1"/>
  <c r="G114" i="24"/>
  <c r="Z14" i="45" s="1"/>
  <c r="J113" i="24"/>
  <c r="G111"/>
  <c r="Z23" i="45" s="1"/>
  <c r="AZ24" i="49" s="1"/>
  <c r="G110" i="24"/>
  <c r="Z22" i="45" s="1"/>
  <c r="AY24" i="49" s="1"/>
  <c r="G109" i="24"/>
  <c r="Z21" i="45" s="1"/>
  <c r="AX24" i="49" s="1"/>
  <c r="G106" i="24"/>
  <c r="Z19" i="45" s="1"/>
  <c r="AW24" i="49" s="1"/>
  <c r="G105" i="24"/>
  <c r="Z18" i="45" s="1"/>
  <c r="AV24" i="49" s="1"/>
  <c r="G104" i="24"/>
  <c r="Z17" i="45" s="1"/>
  <c r="AU24" i="49" s="1"/>
  <c r="G116" i="25"/>
  <c r="G115"/>
  <c r="AA15" i="45" s="1"/>
  <c r="G114" i="25"/>
  <c r="J113"/>
  <c r="G111"/>
  <c r="AA23" i="45" s="1"/>
  <c r="AZ25" i="49" s="1"/>
  <c r="G110" i="25"/>
  <c r="AA22" i="45" s="1"/>
  <c r="AY25" i="49" s="1"/>
  <c r="G109" i="25"/>
  <c r="AA21" i="45" s="1"/>
  <c r="AX25" i="49" s="1"/>
  <c r="G106" i="25"/>
  <c r="AA19" i="45" s="1"/>
  <c r="AW25" i="49" s="1"/>
  <c r="G105" i="25"/>
  <c r="AA18" i="45" s="1"/>
  <c r="AV25" i="49" s="1"/>
  <c r="G104" i="25"/>
  <c r="AA17" i="45" s="1"/>
  <c r="AU25" i="49" s="1"/>
  <c r="G116" i="40"/>
  <c r="G115"/>
  <c r="AB15" i="45" s="1"/>
  <c r="G114" i="40"/>
  <c r="J113"/>
  <c r="G111"/>
  <c r="AB23" i="45" s="1"/>
  <c r="AZ26" i="49" s="1"/>
  <c r="G110" i="40"/>
  <c r="AB22" i="45" s="1"/>
  <c r="AY26" i="49" s="1"/>
  <c r="G109" i="40"/>
  <c r="AB21" i="45" s="1"/>
  <c r="AX26" i="49" s="1"/>
  <c r="G106" i="40"/>
  <c r="AB19" i="45" s="1"/>
  <c r="AW26" i="49" s="1"/>
  <c r="G105" i="40"/>
  <c r="AB18" i="45" s="1"/>
  <c r="AV26" i="49" s="1"/>
  <c r="G104" i="40"/>
  <c r="AB17" i="45" s="1"/>
  <c r="AU26" i="49" s="1"/>
  <c r="G116" i="27"/>
  <c r="G115"/>
  <c r="AC15" i="45" s="1"/>
  <c r="G114" i="27"/>
  <c r="AC14" i="45" s="1"/>
  <c r="J113" i="27"/>
  <c r="G111"/>
  <c r="AC23" i="45" s="1"/>
  <c r="AZ27" i="49" s="1"/>
  <c r="G110" i="27"/>
  <c r="AC22" i="45" s="1"/>
  <c r="AY27" i="49" s="1"/>
  <c r="G109" i="27"/>
  <c r="AC21" i="45" s="1"/>
  <c r="AX27" i="49" s="1"/>
  <c r="G106" i="27"/>
  <c r="AC19" i="45" s="1"/>
  <c r="AW27" i="49" s="1"/>
  <c r="G105" i="27"/>
  <c r="AC18" i="45" s="1"/>
  <c r="AV27" i="49" s="1"/>
  <c r="G104" i="27"/>
  <c r="AC17" i="45" s="1"/>
  <c r="AU27" i="49" s="1"/>
  <c r="G116" i="28"/>
  <c r="G115"/>
  <c r="AD15" i="45" s="1"/>
  <c r="G114" i="28"/>
  <c r="J113"/>
  <c r="G111"/>
  <c r="AD23" i="45" s="1"/>
  <c r="AZ28" i="49" s="1"/>
  <c r="G110" i="28"/>
  <c r="AD22" i="45" s="1"/>
  <c r="AY28" i="49" s="1"/>
  <c r="G109" i="28"/>
  <c r="AD21" i="45" s="1"/>
  <c r="AX28" i="49" s="1"/>
  <c r="G106" i="28"/>
  <c r="AD19" i="45" s="1"/>
  <c r="AW28" i="49" s="1"/>
  <c r="G105" i="28"/>
  <c r="AD18" i="45" s="1"/>
  <c r="AV28" i="49" s="1"/>
  <c r="G104" i="28"/>
  <c r="AD17" i="45" s="1"/>
  <c r="AU28" i="49" s="1"/>
  <c r="G116" i="29"/>
  <c r="G115"/>
  <c r="AE15" i="45" s="1"/>
  <c r="G114" i="29"/>
  <c r="J113"/>
  <c r="G111"/>
  <c r="AE23" i="45" s="1"/>
  <c r="AZ29" i="49" s="1"/>
  <c r="G110" i="29"/>
  <c r="AE22" i="45" s="1"/>
  <c r="AY29" i="49" s="1"/>
  <c r="G109" i="29"/>
  <c r="AE21" i="45" s="1"/>
  <c r="AX29" i="49" s="1"/>
  <c r="AE19" i="45"/>
  <c r="AW29" i="49" s="1"/>
  <c r="G105" i="29"/>
  <c r="AE18" i="45" s="1"/>
  <c r="AV29" i="49" s="1"/>
  <c r="G104" i="29"/>
  <c r="AE17" i="45" s="1"/>
  <c r="AU29" i="49" s="1"/>
  <c r="G116" i="30"/>
  <c r="G115"/>
  <c r="G114"/>
  <c r="J113"/>
  <c r="G111"/>
  <c r="G110"/>
  <c r="G109"/>
  <c r="G106"/>
  <c r="G105"/>
  <c r="G104"/>
  <c r="G116" i="43"/>
  <c r="G115"/>
  <c r="G114"/>
  <c r="J113"/>
  <c r="G111"/>
  <c r="G110"/>
  <c r="G109"/>
  <c r="G106"/>
  <c r="G105"/>
  <c r="G104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H116" i="33"/>
  <c r="G190" i="11"/>
  <c r="G191"/>
  <c r="G189"/>
  <c r="G185"/>
  <c r="G186"/>
  <c r="G184"/>
  <c r="G180"/>
  <c r="G181"/>
  <c r="G179"/>
  <c r="AU17" i="49" l="1"/>
  <c r="AT26"/>
  <c r="BB26"/>
  <c r="AT25"/>
  <c r="BB25"/>
  <c r="AT24"/>
  <c r="BB24"/>
  <c r="AS24"/>
  <c r="BA24"/>
  <c r="AT19"/>
  <c r="BB19"/>
  <c r="AS19"/>
  <c r="BA19"/>
  <c r="AT18"/>
  <c r="BB18"/>
  <c r="AT17"/>
  <c r="BB17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6" i="7"/>
  <c r="H116" i="8" s="1"/>
  <c r="H116" i="9" s="1"/>
  <c r="H116" i="10" s="1"/>
  <c r="H116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H115" i="33"/>
  <c r="H115" i="7" s="1"/>
  <c r="H115" i="8" s="1"/>
  <c r="H115" i="9" s="1"/>
  <c r="H115" i="10" s="1"/>
  <c r="H115" i="11" s="1"/>
  <c r="D14" i="45"/>
  <c r="E22"/>
  <c r="AY3" i="49" s="1"/>
  <c r="H110" i="33"/>
  <c r="H110" i="7" s="1"/>
  <c r="H110" i="8" s="1"/>
  <c r="H110" i="9" s="1"/>
  <c r="H110" i="10" s="1"/>
  <c r="H110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09" i="33"/>
  <c r="H109" i="7" s="1"/>
  <c r="H109" i="8" s="1"/>
  <c r="H109" i="9" s="1"/>
  <c r="H109" i="10" s="1"/>
  <c r="H109" i="11" s="1"/>
  <c r="F21" i="45"/>
  <c r="AX4" i="49" s="1"/>
  <c r="E19" i="45"/>
  <c r="AW3" i="49" s="1"/>
  <c r="H106" i="33"/>
  <c r="H106" i="7" s="1"/>
  <c r="H106" i="8" s="1"/>
  <c r="H106" i="9" s="1"/>
  <c r="H106" i="10" s="1"/>
  <c r="H106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5" i="33"/>
  <c r="H105" i="7" s="1"/>
  <c r="H105" i="8" s="1"/>
  <c r="H105" i="9" s="1"/>
  <c r="H105" i="10" s="1"/>
  <c r="H105" i="11" s="1"/>
  <c r="E23" i="45"/>
  <c r="AZ3" i="49" s="1"/>
  <c r="H111" i="33"/>
  <c r="H111" i="7" s="1"/>
  <c r="H111" i="8" s="1"/>
  <c r="H111" i="9" s="1"/>
  <c r="H111" i="10" s="1"/>
  <c r="H111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4" i="29"/>
  <c r="J114" s="1"/>
  <c r="AE14" i="45"/>
  <c r="H114" i="28"/>
  <c r="J114" s="1"/>
  <c r="AD14" i="45"/>
  <c r="H114" i="40"/>
  <c r="J114" s="1"/>
  <c r="AB14" i="45"/>
  <c r="H114" i="25"/>
  <c r="J114" s="1"/>
  <c r="AA14" i="45"/>
  <c r="Y15"/>
  <c r="Y14"/>
  <c r="Y22"/>
  <c r="AY23" i="49" s="1"/>
  <c r="Y19" i="45"/>
  <c r="AW23" i="49" s="1"/>
  <c r="Y18" i="45"/>
  <c r="AV23" i="49" s="1"/>
  <c r="X14" i="45"/>
  <c r="W14"/>
  <c r="V14"/>
  <c r="H114" i="18"/>
  <c r="J114" s="1"/>
  <c r="T14" i="45"/>
  <c r="H114" i="17"/>
  <c r="J114" s="1"/>
  <c r="S14" i="45"/>
  <c r="AS17" i="49" s="1"/>
  <c r="O15" i="45"/>
  <c r="H114" i="14"/>
  <c r="J114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4" i="12"/>
  <c r="J114" s="1"/>
  <c r="N18" i="45"/>
  <c r="AV12" i="49" s="1"/>
  <c r="N23" i="45"/>
  <c r="AZ12" i="49" s="1"/>
  <c r="N17" i="45"/>
  <c r="AU12" i="49" s="1"/>
  <c r="N22" i="45"/>
  <c r="AY12" i="49" s="1"/>
  <c r="G107" i="11"/>
  <c r="M17" i="45"/>
  <c r="AU11" i="49" s="1"/>
  <c r="G112" i="11"/>
  <c r="M21" i="45"/>
  <c r="AX11" i="49" s="1"/>
  <c r="G117" i="11"/>
  <c r="I22" i="45"/>
  <c r="AY7" i="49" s="1"/>
  <c r="G112" i="7"/>
  <c r="G107" i="9"/>
  <c r="K19" i="45"/>
  <c r="AW9" i="49" s="1"/>
  <c r="G117" i="7"/>
  <c r="G112" i="8"/>
  <c r="I18" i="45"/>
  <c r="AV7" i="49" s="1"/>
  <c r="G107" i="7"/>
  <c r="G18" i="45"/>
  <c r="AV5" i="49" s="1"/>
  <c r="G112" i="23"/>
  <c r="Y21" i="45"/>
  <c r="AX23" i="49" s="1"/>
  <c r="G117" i="13"/>
  <c r="G193" i="11"/>
  <c r="G107" i="27"/>
  <c r="G107" i="24"/>
  <c r="G112" i="22"/>
  <c r="G117" i="12"/>
  <c r="G112" i="9"/>
  <c r="G112" i="30"/>
  <c r="G117"/>
  <c r="G117" i="20"/>
  <c r="G117" i="19"/>
  <c r="G112" i="15"/>
  <c r="G107" i="14"/>
  <c r="G117" i="9"/>
  <c r="G117" i="25"/>
  <c r="G112" i="24"/>
  <c r="G107" i="43"/>
  <c r="G117"/>
  <c r="G112"/>
  <c r="G107" i="30"/>
  <c r="G107" i="28"/>
  <c r="G117"/>
  <c r="G107" i="25"/>
  <c r="G117" i="22"/>
  <c r="G117" i="21"/>
  <c r="G107"/>
  <c r="G107" i="20"/>
  <c r="G107" i="19"/>
  <c r="G117" i="18"/>
  <c r="G117" i="16"/>
  <c r="G112"/>
  <c r="H114" i="13"/>
  <c r="J114" s="1"/>
  <c r="G107" i="12"/>
  <c r="G107" i="29"/>
  <c r="G117"/>
  <c r="G117" i="27"/>
  <c r="G112"/>
  <c r="G112" i="40"/>
  <c r="G117"/>
  <c r="G107"/>
  <c r="G112" i="25"/>
  <c r="G117" i="24"/>
  <c r="G107" i="23"/>
  <c r="G117"/>
  <c r="G107" i="22"/>
  <c r="G112" i="19"/>
  <c r="G112" i="18"/>
  <c r="G107"/>
  <c r="G112" i="17"/>
  <c r="G107"/>
  <c r="G107" i="15"/>
  <c r="G117"/>
  <c r="G112" i="14"/>
  <c r="G117"/>
  <c r="G107" i="13"/>
  <c r="G112" i="12"/>
  <c r="G107" i="8"/>
  <c r="G117"/>
  <c r="G112" i="33"/>
  <c r="G117"/>
  <c r="G107"/>
  <c r="H114" i="23"/>
  <c r="J114" s="1"/>
  <c r="H114" i="15"/>
  <c r="J114" s="1"/>
  <c r="H114" i="24"/>
  <c r="J114" s="1"/>
  <c r="H114" i="16"/>
  <c r="J114" s="1"/>
  <c r="G112" i="28"/>
  <c r="G112" i="20"/>
  <c r="G117" i="17"/>
  <c r="G107" i="16"/>
  <c r="G112" i="29"/>
  <c r="G112" i="21"/>
  <c r="G112" i="13"/>
  <c r="H114" i="27"/>
  <c r="J114" s="1"/>
  <c r="H114" i="19"/>
  <c r="J114" s="1"/>
  <c r="H114" i="30"/>
  <c r="J114" s="1"/>
  <c r="G187" i="11"/>
  <c r="G182"/>
  <c r="AZ17" i="49" l="1"/>
  <c r="H114" i="43"/>
  <c r="J114" s="1"/>
  <c r="AS26" i="49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4" i="20"/>
  <c r="H104" i="33"/>
  <c r="H104" i="7" s="1"/>
  <c r="H104" i="8" s="1"/>
  <c r="H104" i="9" s="1"/>
  <c r="H104" i="10" s="1"/>
  <c r="H104" i="11" s="1"/>
  <c r="H112" i="33"/>
  <c r="H112" i="7" s="1"/>
  <c r="H112" i="8" s="1"/>
  <c r="H112" i="9" s="1"/>
  <c r="H112" i="10" s="1"/>
  <c r="H112" i="11" s="1"/>
  <c r="H107" i="33"/>
  <c r="H107" i="7" s="1"/>
  <c r="H107" i="8" s="1"/>
  <c r="H107" i="9" s="1"/>
  <c r="H107" i="10" s="1"/>
  <c r="H107" i="11" s="1"/>
  <c r="G120" i="7"/>
  <c r="H117" i="33"/>
  <c r="H117" i="7" s="1"/>
  <c r="H117" i="8" s="1"/>
  <c r="H117" i="9" s="1"/>
  <c r="H117" i="10" s="1"/>
  <c r="H117" i="11" s="1"/>
  <c r="F120"/>
  <c r="G120"/>
  <c r="G120" i="9"/>
  <c r="F120"/>
  <c r="F120" i="8"/>
  <c r="G120"/>
  <c r="F120" i="7"/>
  <c r="G120" i="12"/>
  <c r="F120"/>
  <c r="F120" i="14"/>
  <c r="G120"/>
  <c r="G120" i="17"/>
  <c r="F120"/>
  <c r="G120" i="18"/>
  <c r="F120"/>
  <c r="G120" i="16"/>
  <c r="F120"/>
  <c r="G120" i="43"/>
  <c r="G120" i="13"/>
  <c r="F120"/>
  <c r="F120" i="33"/>
  <c r="G120"/>
  <c r="F120" i="19"/>
  <c r="G120"/>
  <c r="G120" i="15"/>
  <c r="F120"/>
  <c r="G120" i="30"/>
  <c r="G120" i="29"/>
  <c r="G120" i="28"/>
  <c r="G120" i="27"/>
  <c r="G120" i="40"/>
  <c r="G120" i="25"/>
  <c r="G120" i="24"/>
  <c r="F120" i="23"/>
  <c r="G120"/>
  <c r="F120" i="22"/>
  <c r="G120"/>
  <c r="G120" i="21"/>
  <c r="F120"/>
  <c r="F120" i="20"/>
  <c r="G120"/>
  <c r="G8" i="11"/>
  <c r="C14" i="44" s="1"/>
  <c r="G8" i="9"/>
  <c r="C12" i="44" s="1"/>
  <c r="I8" i="20"/>
  <c r="I8" i="19"/>
  <c r="I8" i="18"/>
  <c r="I8" i="17"/>
  <c r="I7" i="16"/>
  <c r="I8"/>
  <c r="I8" i="14"/>
  <c r="I8" i="13"/>
  <c r="H114" i="31" l="1"/>
  <c r="N114" s="1"/>
  <c r="J114" i="20"/>
  <c r="H114" i="21"/>
  <c r="H120" i="33"/>
  <c r="H120" i="7" s="1"/>
  <c r="H120" i="8" s="1"/>
  <c r="H120" i="9" s="1"/>
  <c r="H120" i="10" s="1"/>
  <c r="H120" i="11" s="1"/>
  <c r="E27"/>
  <c r="E27" i="9"/>
  <c r="G27" s="1"/>
  <c r="E19" i="8"/>
  <c r="E8"/>
  <c r="G8" s="1"/>
  <c r="C11" i="44" s="1"/>
  <c r="J114" i="31" l="1"/>
  <c r="H114" i="22"/>
  <c r="J114" s="1"/>
  <c r="J114" i="21"/>
  <c r="H114" i="33"/>
  <c r="G27" i="11"/>
  <c r="H11" i="1"/>
  <c r="K11" s="1"/>
  <c r="H12"/>
  <c r="K12" s="1"/>
  <c r="H13"/>
  <c r="K13" s="1"/>
  <c r="G8" i="13"/>
  <c r="C16" i="44" s="1"/>
  <c r="G8" i="14"/>
  <c r="C17" i="44" s="1"/>
  <c r="G8" i="17"/>
  <c r="C20" i="44" s="1"/>
  <c r="G8" i="18"/>
  <c r="G8" i="19"/>
  <c r="G8" i="20"/>
  <c r="C23" i="44" s="1"/>
  <c r="G8" i="21"/>
  <c r="C24" i="44" s="1"/>
  <c r="G8" i="22"/>
  <c r="C25" i="44" s="1"/>
  <c r="G8" i="23"/>
  <c r="C26" i="44" s="1"/>
  <c r="G8" i="25"/>
  <c r="C28" i="44" s="1"/>
  <c r="G8" i="40"/>
  <c r="C29" i="44" s="1"/>
  <c r="G8" i="27"/>
  <c r="C30" i="44" s="1"/>
  <c r="G8" i="28"/>
  <c r="C31" i="44" s="1"/>
  <c r="G8" i="29"/>
  <c r="C32" i="44" s="1"/>
  <c r="K9" i="43"/>
  <c r="M8"/>
  <c r="N11" i="19" l="1"/>
  <c r="C22" i="44"/>
  <c r="N11" i="18"/>
  <c r="C21" i="44"/>
  <c r="H114" i="7"/>
  <c r="J114" i="33"/>
  <c r="L8" i="22"/>
  <c r="E27" i="7"/>
  <c r="G27" s="1"/>
  <c r="E27" i="8"/>
  <c r="G27" s="1"/>
  <c r="E27" i="33"/>
  <c r="G27" s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K32" i="1"/>
  <c r="E27" i="30"/>
  <c r="H24" i="1"/>
  <c r="K24" s="1"/>
  <c r="E27" i="22"/>
  <c r="G27" s="1"/>
  <c r="H16" i="1"/>
  <c r="K16" s="1"/>
  <c r="E27" i="14"/>
  <c r="G27" s="1"/>
  <c r="H4" i="1"/>
  <c r="H10"/>
  <c r="K10" s="1"/>
  <c r="H9"/>
  <c r="K9" s="1"/>
  <c r="H8"/>
  <c r="K8" s="1"/>
  <c r="H7"/>
  <c r="K7" s="1"/>
  <c r="H6"/>
  <c r="K6" s="1"/>
  <c r="H5"/>
  <c r="K5" s="1"/>
  <c r="C36" i="44" l="1"/>
  <c r="H35" i="1"/>
  <c r="H114" i="8"/>
  <c r="J114" i="7"/>
  <c r="K4" i="1"/>
  <c r="K35" s="1"/>
  <c r="G27" i="13"/>
  <c r="G27" i="30"/>
  <c r="M10" i="29"/>
  <c r="I7"/>
  <c r="J114" i="8" l="1"/>
  <c r="H114" i="9"/>
  <c r="N7" i="28"/>
  <c r="J114" i="9" l="1"/>
  <c r="H114" i="10"/>
  <c r="E9" i="28"/>
  <c r="G9" s="1"/>
  <c r="E10"/>
  <c r="L16" i="27"/>
  <c r="L19" s="1"/>
  <c r="H114" i="11" l="1"/>
  <c r="J114" s="1"/>
  <c r="J114" i="10"/>
  <c r="E23" i="27"/>
  <c r="G23" s="1"/>
  <c r="G24"/>
  <c r="I15"/>
  <c r="L10" i="40"/>
  <c r="G29" i="27" l="1"/>
  <c r="I15" i="40"/>
  <c r="J3" i="25"/>
  <c r="I3"/>
  <c r="H3"/>
  <c r="G3"/>
  <c r="I7"/>
  <c r="I15"/>
  <c r="E7" i="19" l="1"/>
  <c r="E7" i="18"/>
  <c r="G18" i="2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5" i="30"/>
  <c r="G165" s="1"/>
  <c r="E166"/>
  <c r="G166" s="1"/>
  <c r="E167"/>
  <c r="G167" s="1"/>
  <c r="E168"/>
  <c r="G168" s="1"/>
  <c r="E169"/>
  <c r="G169" s="1"/>
  <c r="E170"/>
  <c r="G170" s="1"/>
  <c r="E171"/>
  <c r="G171" s="1"/>
  <c r="E51" i="29"/>
  <c r="E52"/>
  <c r="E53"/>
  <c r="E54"/>
  <c r="E55"/>
  <c r="E56"/>
  <c r="E57"/>
  <c r="E58"/>
  <c r="G7"/>
  <c r="B32" i="44" s="1"/>
  <c r="E7" i="28"/>
  <c r="G7" s="1"/>
  <c r="B31" i="44" s="1"/>
  <c r="H17" i="25"/>
  <c r="G35" i="1" l="1"/>
  <c r="E72" i="17"/>
  <c r="E69"/>
  <c r="G171" s="1"/>
  <c r="E68"/>
  <c r="G170" s="1"/>
  <c r="E67"/>
  <c r="G169" s="1"/>
  <c r="E66"/>
  <c r="G168" s="1"/>
  <c r="E65"/>
  <c r="G167" s="1"/>
  <c r="E64"/>
  <c r="G166" s="1"/>
  <c r="E63"/>
  <c r="G165" s="1"/>
  <c r="E62"/>
  <c r="G164" s="1"/>
  <c r="E58"/>
  <c r="E57"/>
  <c r="E56"/>
  <c r="E55"/>
  <c r="E54"/>
  <c r="E53"/>
  <c r="E52"/>
  <c r="E51"/>
  <c r="E50"/>
  <c r="E49"/>
  <c r="K49" s="1"/>
  <c r="G42"/>
  <c r="E35"/>
  <c r="E10"/>
  <c r="E7"/>
  <c r="E24" i="12"/>
  <c r="E24" i="11"/>
  <c r="G172" i="17" l="1"/>
  <c r="E49" i="8" l="1"/>
  <c r="E72" l="1"/>
  <c r="E93" i="7" l="1"/>
  <c r="E7"/>
  <c r="G7" s="1"/>
  <c r="B10" i="44" s="1"/>
  <c r="E7" i="27" l="1"/>
  <c r="G7" s="1"/>
  <c r="B30" i="44" s="1"/>
  <c r="E131" i="25"/>
  <c r="E132"/>
  <c r="E135"/>
  <c r="E136"/>
  <c r="E137"/>
  <c r="E138"/>
  <c r="E139"/>
  <c r="E140"/>
  <c r="E130"/>
  <c r="E124"/>
  <c r="E125"/>
  <c r="E126"/>
  <c r="E127"/>
  <c r="E123"/>
  <c r="E93"/>
  <c r="E94"/>
  <c r="E95"/>
  <c r="E96"/>
  <c r="E97"/>
  <c r="E98"/>
  <c r="E99"/>
  <c r="E100"/>
  <c r="E92"/>
  <c r="G83"/>
  <c r="Z28" i="44" s="1"/>
  <c r="Y25" i="49" s="1"/>
  <c r="E72" i="2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62"/>
  <c r="E164" s="1"/>
  <c r="G164" s="1"/>
  <c r="E50"/>
  <c r="G50" s="1"/>
  <c r="E51"/>
  <c r="E52"/>
  <c r="E53"/>
  <c r="E54"/>
  <c r="E55"/>
  <c r="E56"/>
  <c r="E57"/>
  <c r="E49"/>
  <c r="E35"/>
  <c r="E23"/>
  <c r="G23" s="1"/>
  <c r="E24"/>
  <c r="E22"/>
  <c r="E19"/>
  <c r="E18"/>
  <c r="E15"/>
  <c r="G9"/>
  <c r="L28" i="44" l="1"/>
  <c r="K25" i="49" s="1"/>
  <c r="G172" i="25"/>
  <c r="E35" i="13"/>
  <c r="I7" i="9"/>
  <c r="E92" i="8"/>
  <c r="E93"/>
  <c r="I7"/>
  <c r="G140" i="25" l="1"/>
  <c r="G139"/>
  <c r="G138"/>
  <c r="AX28" i="44" s="1"/>
  <c r="G137" i="25"/>
  <c r="G136"/>
  <c r="AV28" i="44" s="1"/>
  <c r="G135" i="25"/>
  <c r="G134"/>
  <c r="H134" s="1"/>
  <c r="G133"/>
  <c r="G132"/>
  <c r="G131"/>
  <c r="G130"/>
  <c r="G127"/>
  <c r="AS28" i="44" s="1"/>
  <c r="BL25" i="49" s="1"/>
  <c r="G126" i="25"/>
  <c r="AR28" i="44" s="1"/>
  <c r="BK25" i="49" s="1"/>
  <c r="G125" i="25"/>
  <c r="AQ28" i="44" s="1"/>
  <c r="BJ25" i="49" s="1"/>
  <c r="G124" i="25"/>
  <c r="AP28" i="44" s="1"/>
  <c r="BI25" i="49" s="1"/>
  <c r="G123" i="25"/>
  <c r="AO28" i="44" s="1"/>
  <c r="BH25" i="49" s="1"/>
  <c r="G100" i="25"/>
  <c r="G99"/>
  <c r="G98"/>
  <c r="AA13" i="45" s="1"/>
  <c r="BC25" i="49" s="1"/>
  <c r="G97" i="25"/>
  <c r="AA11" i="45" s="1"/>
  <c r="AQ25" i="49" s="1"/>
  <c r="G96" i="25"/>
  <c r="AA10" i="45" s="1"/>
  <c r="G95" i="25"/>
  <c r="AA9" i="45" s="1"/>
  <c r="G93" i="25"/>
  <c r="AA8" i="45" s="1"/>
  <c r="AN25" i="49" s="1"/>
  <c r="G92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G18"/>
  <c r="G15"/>
  <c r="D28" i="44" s="1"/>
  <c r="G10" i="25"/>
  <c r="AA27" i="45" l="1"/>
  <c r="BF25" i="49" s="1"/>
  <c r="AR25"/>
  <c r="AP25"/>
  <c r="AM25"/>
  <c r="AA29" i="45"/>
  <c r="AO25" i="49"/>
  <c r="E28" i="25"/>
  <c r="G28" s="1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31" s="1"/>
  <c r="E31" i="25"/>
  <c r="G31" s="1"/>
  <c r="AA5" i="45"/>
  <c r="H137" i="25"/>
  <c r="J137" s="1"/>
  <c r="AW28" i="44"/>
  <c r="AY28" s="1"/>
  <c r="AA25" i="45"/>
  <c r="BE25" i="49" s="1"/>
  <c r="E30" i="25"/>
  <c r="G30" s="1"/>
  <c r="AA6" i="45"/>
  <c r="G119" i="25"/>
  <c r="G118"/>
  <c r="H135"/>
  <c r="J135" s="1"/>
  <c r="M27" i="1"/>
  <c r="G25" i="47" s="1"/>
  <c r="AN28" i="44"/>
  <c r="BG25" i="49" s="1"/>
  <c r="H138" i="25"/>
  <c r="J138" s="1"/>
  <c r="G128"/>
  <c r="G150"/>
  <c r="G151" s="1"/>
  <c r="I133"/>
  <c r="G47"/>
  <c r="G144"/>
  <c r="G145" s="1"/>
  <c r="G152"/>
  <c r="G153" s="1"/>
  <c r="G101"/>
  <c r="J134"/>
  <c r="I136"/>
  <c r="G148"/>
  <c r="G59"/>
  <c r="G94"/>
  <c r="I138"/>
  <c r="G146"/>
  <c r="G142"/>
  <c r="E50" i="14"/>
  <c r="E51"/>
  <c r="E52"/>
  <c r="E53"/>
  <c r="E54"/>
  <c r="E55"/>
  <c r="E56"/>
  <c r="E57"/>
  <c r="E58"/>
  <c r="E36"/>
  <c r="E37"/>
  <c r="E38"/>
  <c r="E39"/>
  <c r="E41"/>
  <c r="E42"/>
  <c r="E43"/>
  <c r="E44"/>
  <c r="E41" i="13"/>
  <c r="G41" s="1"/>
  <c r="AA24" i="45" l="1"/>
  <c r="BD25" i="49" s="1"/>
  <c r="AT28" i="44"/>
  <c r="BM25" i="49" s="1"/>
  <c r="G32" i="25"/>
  <c r="G60"/>
  <c r="G143"/>
  <c r="G147"/>
  <c r="G149"/>
  <c r="E123" i="30"/>
  <c r="E35" i="28"/>
  <c r="G35" s="1"/>
  <c r="BA28" i="44" l="1"/>
  <c r="I59" i="25"/>
  <c r="E36" i="23" l="1"/>
  <c r="E37"/>
  <c r="E38"/>
  <c r="E39"/>
  <c r="E43"/>
  <c r="G43" s="1"/>
  <c r="E44"/>
  <c r="E45"/>
  <c r="E46"/>
  <c r="E69" i="16"/>
  <c r="E171" s="1"/>
  <c r="G171" s="1"/>
  <c r="E68"/>
  <c r="E170" s="1"/>
  <c r="G170" s="1"/>
  <c r="E67"/>
  <c r="E169" s="1"/>
  <c r="G169" s="1"/>
  <c r="E66"/>
  <c r="E168" s="1"/>
  <c r="G168" s="1"/>
  <c r="E65"/>
  <c r="E167" s="1"/>
  <c r="G167" s="1"/>
  <c r="E64"/>
  <c r="E166" s="1"/>
  <c r="G166" s="1"/>
  <c r="E63"/>
  <c r="E165" s="1"/>
  <c r="G165" s="1"/>
  <c r="E164"/>
  <c r="G164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5"/>
  <c r="E10"/>
  <c r="E9"/>
  <c r="G9" s="1"/>
  <c r="E50" i="15"/>
  <c r="E51"/>
  <c r="E52"/>
  <c r="E53"/>
  <c r="E54"/>
  <c r="E55"/>
  <c r="E56"/>
  <c r="E57"/>
  <c r="E58"/>
  <c r="I7"/>
  <c r="E36" i="13"/>
  <c r="E39"/>
  <c r="E42"/>
  <c r="E43"/>
  <c r="E44"/>
  <c r="G172" i="16" l="1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7" i="17"/>
  <c r="G97" s="1"/>
  <c r="S11" i="45" s="1"/>
  <c r="E96" i="17"/>
  <c r="G96" s="1"/>
  <c r="E124" i="13"/>
  <c r="E125"/>
  <c r="G125" s="1"/>
  <c r="E126"/>
  <c r="G126" s="1"/>
  <c r="E127"/>
  <c r="G127" s="1"/>
  <c r="E63"/>
  <c r="E64"/>
  <c r="E42" i="7"/>
  <c r="G42" s="1"/>
  <c r="AW9" i="1" s="1"/>
  <c r="BI32" i="49"/>
  <c r="BJ32"/>
  <c r="BK32"/>
  <c r="BL32"/>
  <c r="AH10" i="45"/>
  <c r="AH11"/>
  <c r="AQ32" i="49" s="1"/>
  <c r="AH13" i="45"/>
  <c r="BC32" i="49" s="1"/>
  <c r="AH9" i="45"/>
  <c r="AH7"/>
  <c r="N32" i="49"/>
  <c r="Q32"/>
  <c r="R32"/>
  <c r="S32"/>
  <c r="T32"/>
  <c r="U32"/>
  <c r="V32"/>
  <c r="W32"/>
  <c r="Y32"/>
  <c r="M32"/>
  <c r="AF32"/>
  <c r="AG32"/>
  <c r="AH32"/>
  <c r="AI32"/>
  <c r="AJ32"/>
  <c r="AK32"/>
  <c r="G131" i="43"/>
  <c r="G132"/>
  <c r="AA33" i="1" s="1"/>
  <c r="G134" i="43"/>
  <c r="AC33" i="1" s="1"/>
  <c r="G135" i="43"/>
  <c r="AD33" i="1" s="1"/>
  <c r="G136" i="43"/>
  <c r="G137"/>
  <c r="AI33" i="1" s="1"/>
  <c r="G138" i="43"/>
  <c r="AJ33" i="1" s="1"/>
  <c r="G139" i="43"/>
  <c r="G140"/>
  <c r="AM33" i="1" s="1"/>
  <c r="E130" i="43"/>
  <c r="G130" s="1"/>
  <c r="E124"/>
  <c r="G124" s="1"/>
  <c r="AP34" i="44" s="1"/>
  <c r="BI31" i="49" s="1"/>
  <c r="E125" i="43"/>
  <c r="G125" s="1"/>
  <c r="AQ34" i="44" s="1"/>
  <c r="BJ31" i="49" s="1"/>
  <c r="E126" i="43"/>
  <c r="G126" s="1"/>
  <c r="AR34" i="44" s="1"/>
  <c r="BK31" i="49" s="1"/>
  <c r="E127" i="43"/>
  <c r="G127" s="1"/>
  <c r="AS34" i="44" s="1"/>
  <c r="BL31" i="49" s="1"/>
  <c r="E123" i="43"/>
  <c r="G123" s="1"/>
  <c r="E96"/>
  <c r="G96" s="1"/>
  <c r="E97"/>
  <c r="G97" s="1"/>
  <c r="E98"/>
  <c r="G98" s="1"/>
  <c r="AG13" i="45" s="1"/>
  <c r="BC31" i="49" s="1"/>
  <c r="G99" i="43"/>
  <c r="E95"/>
  <c r="G95" s="1"/>
  <c r="E93"/>
  <c r="G93" s="1"/>
  <c r="AG8" i="45" s="1"/>
  <c r="AN31" i="49" s="1"/>
  <c r="E92" i="43"/>
  <c r="G92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BE33" i="1" s="1"/>
  <c r="G55" i="43"/>
  <c r="BF33" i="1" s="1"/>
  <c r="G56" i="43"/>
  <c r="BG33" i="1" s="1"/>
  <c r="G57" i="43"/>
  <c r="BH33" i="1" s="1"/>
  <c r="G58" i="43"/>
  <c r="E49"/>
  <c r="G49" s="1"/>
  <c r="G36"/>
  <c r="G37"/>
  <c r="G38"/>
  <c r="G39"/>
  <c r="AT33" i="1" s="1"/>
  <c r="G40" i="43"/>
  <c r="AU33" i="1" s="1"/>
  <c r="G41" i="43"/>
  <c r="AV33" i="1" s="1"/>
  <c r="G42" i="43"/>
  <c r="AW33" i="1" s="1"/>
  <c r="G43" i="43"/>
  <c r="G44"/>
  <c r="AY33" i="1" s="1"/>
  <c r="G45" i="43"/>
  <c r="G46"/>
  <c r="E35"/>
  <c r="G35" s="1"/>
  <c r="E19"/>
  <c r="G19" s="1"/>
  <c r="E18"/>
  <c r="E15"/>
  <c r="G15" s="1"/>
  <c r="E10"/>
  <c r="G10" s="1"/>
  <c r="E9"/>
  <c r="G9" s="1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0"/>
  <c r="G100" s="1"/>
  <c r="E99"/>
  <c r="G99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E58" i="19"/>
  <c r="G58" s="1"/>
  <c r="Y22" i="44" s="1"/>
  <c r="X19" i="49" s="1"/>
  <c r="E52" i="18"/>
  <c r="G52" s="1"/>
  <c r="BC20" i="1" s="1"/>
  <c r="E54" i="18"/>
  <c r="G54" s="1"/>
  <c r="BE20" i="1" s="1"/>
  <c r="G135" i="16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I15" i="24"/>
  <c r="E100" i="20"/>
  <c r="G100" s="1"/>
  <c r="E7" i="16"/>
  <c r="G7" s="1"/>
  <c r="B19" i="44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7" i="20"/>
  <c r="G127" s="1"/>
  <c r="AS23" i="44" s="1"/>
  <c r="BL20" i="49" s="1"/>
  <c r="E126" i="20"/>
  <c r="G126" s="1"/>
  <c r="AR23" i="44" s="1"/>
  <c r="BK20" i="49" s="1"/>
  <c r="E125" i="20"/>
  <c r="G125" s="1"/>
  <c r="AQ23" i="44" s="1"/>
  <c r="BJ20" i="49" s="1"/>
  <c r="E95" i="20"/>
  <c r="G95" s="1"/>
  <c r="V9" i="45" s="1"/>
  <c r="E96" i="20"/>
  <c r="G96" s="1"/>
  <c r="E97"/>
  <c r="G97" s="1"/>
  <c r="E98"/>
  <c r="G98" s="1"/>
  <c r="V13" i="45" s="1"/>
  <c r="BC20" i="49" s="1"/>
  <c r="E99" i="20"/>
  <c r="G99" s="1"/>
  <c r="G73" i="15"/>
  <c r="G74"/>
  <c r="G75"/>
  <c r="G76"/>
  <c r="G77"/>
  <c r="G78"/>
  <c r="G79"/>
  <c r="G80"/>
  <c r="G81"/>
  <c r="G82"/>
  <c r="G83"/>
  <c r="G84"/>
  <c r="E9"/>
  <c r="G9" s="1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3" i="12"/>
  <c r="G134"/>
  <c r="G135"/>
  <c r="G136"/>
  <c r="G137"/>
  <c r="G138"/>
  <c r="G139"/>
  <c r="G140"/>
  <c r="E171"/>
  <c r="BD14" i="1"/>
  <c r="BE14"/>
  <c r="BF14"/>
  <c r="BG14"/>
  <c r="BH14"/>
  <c r="G36" i="12"/>
  <c r="G37"/>
  <c r="G38"/>
  <c r="G39"/>
  <c r="G40"/>
  <c r="G41"/>
  <c r="G42"/>
  <c r="G43"/>
  <c r="G44"/>
  <c r="G45"/>
  <c r="G46"/>
  <c r="G96" i="11"/>
  <c r="M10" i="45" s="1"/>
  <c r="G97" i="11"/>
  <c r="G98"/>
  <c r="M13" i="45" s="1"/>
  <c r="BC11" i="49" s="1"/>
  <c r="G99" i="11"/>
  <c r="G100"/>
  <c r="G93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G15"/>
  <c r="D11" i="44" s="1"/>
  <c r="E18" i="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2"/>
  <c r="J7" i="45" s="1"/>
  <c r="G93" i="8"/>
  <c r="J8" i="45" s="1"/>
  <c r="AN8" i="49" s="1"/>
  <c r="E94" i="8"/>
  <c r="E95"/>
  <c r="G95" s="1"/>
  <c r="J9" i="45" s="1"/>
  <c r="E96" i="8"/>
  <c r="G96" s="1"/>
  <c r="E97"/>
  <c r="G97" s="1"/>
  <c r="E98"/>
  <c r="G98" s="1"/>
  <c r="J13" i="45" s="1"/>
  <c r="BC8" i="49" s="1"/>
  <c r="E99" i="8"/>
  <c r="G99" s="1"/>
  <c r="E100"/>
  <c r="G100" s="1"/>
  <c r="G123"/>
  <c r="G124"/>
  <c r="AP11" i="44" s="1"/>
  <c r="BI8" i="49" s="1"/>
  <c r="G125" i="8"/>
  <c r="AQ11" i="44" s="1"/>
  <c r="BJ8" i="49" s="1"/>
  <c r="G126" i="8"/>
  <c r="AR11" i="44" s="1"/>
  <c r="BK8" i="49" s="1"/>
  <c r="G127" i="8"/>
  <c r="AS11" i="44" s="1"/>
  <c r="BL8" i="49" s="1"/>
  <c r="E130" i="8"/>
  <c r="G130" s="1"/>
  <c r="E131"/>
  <c r="G131" s="1"/>
  <c r="E132"/>
  <c r="G132" s="1"/>
  <c r="E133"/>
  <c r="G133" s="1"/>
  <c r="AB10" i="1" s="1"/>
  <c r="E134" i="8"/>
  <c r="G134" s="1"/>
  <c r="AC10" i="1" s="1"/>
  <c r="E135" i="8"/>
  <c r="G135" s="1"/>
  <c r="E136"/>
  <c r="G136" s="1"/>
  <c r="AV11" i="44" s="1"/>
  <c r="E137" i="8"/>
  <c r="G137" s="1"/>
  <c r="AW11" i="44" s="1"/>
  <c r="E138" i="8"/>
  <c r="G138" s="1"/>
  <c r="E139"/>
  <c r="G139" s="1"/>
  <c r="E140"/>
  <c r="G140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0" i="23"/>
  <c r="G140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E63" i="19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1" i="13"/>
  <c r="G131" s="1"/>
  <c r="E132"/>
  <c r="G132" s="1"/>
  <c r="G133"/>
  <c r="G134"/>
  <c r="G135"/>
  <c r="G136"/>
  <c r="AV16" i="44" s="1"/>
  <c r="G137" i="13"/>
  <c r="G138"/>
  <c r="G139"/>
  <c r="G140"/>
  <c r="G96"/>
  <c r="G97"/>
  <c r="G98"/>
  <c r="G99"/>
  <c r="G100"/>
  <c r="G93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E72"/>
  <c r="G72" s="1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Y3" i="49" s="1"/>
  <c r="X6" i="44"/>
  <c r="W3" i="49" s="1"/>
  <c r="W6" i="44"/>
  <c r="V3" i="49" s="1"/>
  <c r="V6" i="44"/>
  <c r="U3" i="49" s="1"/>
  <c r="U6" i="44"/>
  <c r="T3" i="49" s="1"/>
  <c r="T6" i="44"/>
  <c r="S3" i="49" s="1"/>
  <c r="S6" i="44"/>
  <c r="R3" i="49" s="1"/>
  <c r="R6" i="44"/>
  <c r="Q3" i="49" s="1"/>
  <c r="Q6" i="44"/>
  <c r="P3" i="49" s="1"/>
  <c r="P6" i="44"/>
  <c r="O3" i="49" s="1"/>
  <c r="O6" i="44"/>
  <c r="N3" i="49" s="1"/>
  <c r="N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1" i="11"/>
  <c r="G132"/>
  <c r="AA13" i="1" s="1"/>
  <c r="G133" i="11"/>
  <c r="AB13" i="1" s="1"/>
  <c r="G134" i="11"/>
  <c r="G135"/>
  <c r="AD13" i="1" s="1"/>
  <c r="G136" i="11"/>
  <c r="AV14" i="44" s="1"/>
  <c r="G137" i="11"/>
  <c r="G138"/>
  <c r="G139"/>
  <c r="G140"/>
  <c r="E124"/>
  <c r="G124" s="1"/>
  <c r="AP14" i="44" s="1"/>
  <c r="BI11" i="49" s="1"/>
  <c r="E125" i="11"/>
  <c r="G125" s="1"/>
  <c r="AQ14" i="44" s="1"/>
  <c r="BJ11" i="49" s="1"/>
  <c r="E126" i="11"/>
  <c r="G126" s="1"/>
  <c r="AR14" i="44" s="1"/>
  <c r="BK11" i="49" s="1"/>
  <c r="E127" i="11"/>
  <c r="G127" s="1"/>
  <c r="AS14" i="44" s="1"/>
  <c r="BL11" i="49" s="1"/>
  <c r="G10" i="11"/>
  <c r="G11"/>
  <c r="G12"/>
  <c r="E124" i="9"/>
  <c r="G124" s="1"/>
  <c r="AP12" i="44" s="1"/>
  <c r="BI9" i="49" s="1"/>
  <c r="E125" i="9"/>
  <c r="G125" s="1"/>
  <c r="AQ12" i="44" s="1"/>
  <c r="BJ9" i="49" s="1"/>
  <c r="E126" i="9"/>
  <c r="G126" s="1"/>
  <c r="AR12" i="44" s="1"/>
  <c r="BK9" i="49" s="1"/>
  <c r="E127" i="9"/>
  <c r="G127" s="1"/>
  <c r="AS12" i="44" s="1"/>
  <c r="BL9" i="49" s="1"/>
  <c r="E123" i="9"/>
  <c r="G123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0" i="30"/>
  <c r="G140" s="1"/>
  <c r="E139"/>
  <c r="G139" s="1"/>
  <c r="E138"/>
  <c r="G138" s="1"/>
  <c r="E137"/>
  <c r="G137" s="1"/>
  <c r="E136"/>
  <c r="G136" s="1"/>
  <c r="AV33" i="44" s="1"/>
  <c r="E135" i="30"/>
  <c r="G135" s="1"/>
  <c r="E134"/>
  <c r="G134" s="1"/>
  <c r="E133"/>
  <c r="G133" s="1"/>
  <c r="E132"/>
  <c r="G132" s="1"/>
  <c r="E131"/>
  <c r="G131" s="1"/>
  <c r="E130"/>
  <c r="G130" s="1"/>
  <c r="G127"/>
  <c r="G126"/>
  <c r="G125"/>
  <c r="G124"/>
  <c r="G123"/>
  <c r="G100"/>
  <c r="G99"/>
  <c r="G98"/>
  <c r="E97"/>
  <c r="G97" s="1"/>
  <c r="E96"/>
  <c r="G96" s="1"/>
  <c r="E95"/>
  <c r="G95" s="1"/>
  <c r="E93"/>
  <c r="E92"/>
  <c r="G92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I33" i="44" s="1"/>
  <c r="H30" i="49" s="1"/>
  <c r="E38" i="30"/>
  <c r="G38" s="1"/>
  <c r="E37"/>
  <c r="G37" s="1"/>
  <c r="E36"/>
  <c r="G36" s="1"/>
  <c r="M33" i="44" s="1"/>
  <c r="L30" i="49" s="1"/>
  <c r="E35" i="30"/>
  <c r="G35" s="1"/>
  <c r="E24"/>
  <c r="E23"/>
  <c r="E22"/>
  <c r="G22" s="1"/>
  <c r="E19"/>
  <c r="G19" s="1"/>
  <c r="E18"/>
  <c r="E10"/>
  <c r="G10" s="1"/>
  <c r="E9"/>
  <c r="G9" s="1"/>
  <c r="E7"/>
  <c r="G7" s="1"/>
  <c r="B33" i="44" s="1"/>
  <c r="G140" i="29"/>
  <c r="G139"/>
  <c r="G138"/>
  <c r="G137"/>
  <c r="AW32" i="44" s="1"/>
  <c r="G136" i="29"/>
  <c r="AV32" i="44" s="1"/>
  <c r="G135" i="29"/>
  <c r="AD31" i="1" s="1"/>
  <c r="G134" i="29"/>
  <c r="AC31" i="1" s="1"/>
  <c r="G133" i="29"/>
  <c r="AB31" i="1" s="1"/>
  <c r="G132" i="29"/>
  <c r="AA31" i="1" s="1"/>
  <c r="E131" i="29"/>
  <c r="G131" s="1"/>
  <c r="E130"/>
  <c r="G130" s="1"/>
  <c r="G127"/>
  <c r="AS32" i="44" s="1"/>
  <c r="BL29" i="49" s="1"/>
  <c r="G126" i="29"/>
  <c r="AR32" i="44" s="1"/>
  <c r="BK29" i="49" s="1"/>
  <c r="G125" i="29"/>
  <c r="AQ32" i="44" s="1"/>
  <c r="BJ29" i="49" s="1"/>
  <c r="G124" i="29"/>
  <c r="AP32" i="44" s="1"/>
  <c r="BI29" i="49" s="1"/>
  <c r="E123" i="29"/>
  <c r="G123" s="1"/>
  <c r="AO32" i="44" s="1"/>
  <c r="BH29" i="49" s="1"/>
  <c r="G100" i="29"/>
  <c r="G99"/>
  <c r="G98"/>
  <c r="AE13" i="45" s="1"/>
  <c r="BC29" i="49" s="1"/>
  <c r="G97" i="29"/>
  <c r="G96"/>
  <c r="E95"/>
  <c r="G95" s="1"/>
  <c r="AE9" i="45" s="1"/>
  <c r="E94" i="29"/>
  <c r="E93"/>
  <c r="G93" s="1"/>
  <c r="AE8" i="45" s="1"/>
  <c r="AN29" i="49" s="1"/>
  <c r="E92" i="29"/>
  <c r="G92" s="1"/>
  <c r="AE7" i="45" s="1"/>
  <c r="G84" i="29"/>
  <c r="AM32" i="44" s="1"/>
  <c r="AL29" i="49" s="1"/>
  <c r="G83" i="29"/>
  <c r="Z32" i="44" s="1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E19"/>
  <c r="G19" s="1"/>
  <c r="E15"/>
  <c r="G15" s="1"/>
  <c r="D32" i="44" s="1"/>
  <c r="G10" i="29"/>
  <c r="G9"/>
  <c r="G140" i="28"/>
  <c r="G138"/>
  <c r="G137"/>
  <c r="G136"/>
  <c r="AV31" i="44" s="1"/>
  <c r="G135" i="28"/>
  <c r="G134"/>
  <c r="AC30" i="1" s="1"/>
  <c r="G133" i="28"/>
  <c r="AB30" i="1" s="1"/>
  <c r="G132" i="28"/>
  <c r="AA30" i="1" s="1"/>
  <c r="G131" i="28"/>
  <c r="E130"/>
  <c r="G130" s="1"/>
  <c r="G127"/>
  <c r="AS31" i="44" s="1"/>
  <c r="BL28" i="49" s="1"/>
  <c r="G126" i="28"/>
  <c r="AR31" i="44" s="1"/>
  <c r="BK28" i="49" s="1"/>
  <c r="G125" i="28"/>
  <c r="AQ31" i="44" s="1"/>
  <c r="BJ28" i="49" s="1"/>
  <c r="G124" i="28"/>
  <c r="AP31" i="44" s="1"/>
  <c r="BI28" i="49" s="1"/>
  <c r="E123" i="28"/>
  <c r="G123" s="1"/>
  <c r="E100"/>
  <c r="G100" s="1"/>
  <c r="E99"/>
  <c r="G99" s="1"/>
  <c r="E98"/>
  <c r="G98" s="1"/>
  <c r="AD13" i="45" s="1"/>
  <c r="BC28" i="49" s="1"/>
  <c r="E97" i="28"/>
  <c r="G97" s="1"/>
  <c r="E96"/>
  <c r="G96" s="1"/>
  <c r="AD10" i="45" s="1"/>
  <c r="E95" i="28"/>
  <c r="G95" s="1"/>
  <c r="AD9" i="45" s="1"/>
  <c r="E94" i="28"/>
  <c r="E93"/>
  <c r="G93" s="1"/>
  <c r="AD8" i="45" s="1"/>
  <c r="AN28" i="49" s="1"/>
  <c r="G92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BE30"/>
  <c r="G52" i="28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9"/>
  <c r="G19" s="1"/>
  <c r="E18"/>
  <c r="G10"/>
  <c r="G140" i="27"/>
  <c r="G139"/>
  <c r="G138"/>
  <c r="G137"/>
  <c r="G136"/>
  <c r="AV30" i="44" s="1"/>
  <c r="G135" i="27"/>
  <c r="AD29" i="1" s="1"/>
  <c r="G134" i="27"/>
  <c r="AC29" i="1" s="1"/>
  <c r="G133" i="27"/>
  <c r="AB29" i="1" s="1"/>
  <c r="G132" i="27"/>
  <c r="AA29" i="1" s="1"/>
  <c r="G131" i="27"/>
  <c r="E130"/>
  <c r="G130" s="1"/>
  <c r="E127"/>
  <c r="G127" s="1"/>
  <c r="AS30" i="44" s="1"/>
  <c r="BL27" i="49" s="1"/>
  <c r="E126" i="27"/>
  <c r="G126" s="1"/>
  <c r="AR30" i="44" s="1"/>
  <c r="BK27" i="49" s="1"/>
  <c r="E125" i="27"/>
  <c r="G125" s="1"/>
  <c r="AQ30" i="44" s="1"/>
  <c r="BJ27" i="49" s="1"/>
  <c r="E124" i="27"/>
  <c r="G124" s="1"/>
  <c r="AP30" i="44" s="1"/>
  <c r="BI27" i="49" s="1"/>
  <c r="E123" i="27"/>
  <c r="G123" s="1"/>
  <c r="E100"/>
  <c r="G100" s="1"/>
  <c r="E99"/>
  <c r="G99" s="1"/>
  <c r="E98"/>
  <c r="G98" s="1"/>
  <c r="AC13" i="45" s="1"/>
  <c r="BC27" i="49" s="1"/>
  <c r="E97" i="27"/>
  <c r="G97" s="1"/>
  <c r="E96"/>
  <c r="G96" s="1"/>
  <c r="E95"/>
  <c r="G95" s="1"/>
  <c r="AC9" i="45" s="1"/>
  <c r="E94" i="27"/>
  <c r="E93"/>
  <c r="G93" s="1"/>
  <c r="AC8" i="45" s="1"/>
  <c r="AN27" i="49" s="1"/>
  <c r="E92" i="27"/>
  <c r="G92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9" i="27"/>
  <c r="E68"/>
  <c r="E67"/>
  <c r="E66"/>
  <c r="E65"/>
  <c r="E64"/>
  <c r="E63"/>
  <c r="E62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5"/>
  <c r="G15" s="1"/>
  <c r="D30" i="44" s="1"/>
  <c r="E10" i="27"/>
  <c r="G10" s="1"/>
  <c r="E9"/>
  <c r="G9" s="1"/>
  <c r="G140" i="40"/>
  <c r="G139"/>
  <c r="G138"/>
  <c r="AX29" i="44" s="1"/>
  <c r="G137" i="40"/>
  <c r="AW29" i="44" s="1"/>
  <c r="G136" i="40"/>
  <c r="AV29" i="44" s="1"/>
  <c r="G135" i="40"/>
  <c r="AD28" i="1" s="1"/>
  <c r="G134" i="40"/>
  <c r="AC28" i="1" s="1"/>
  <c r="G133" i="40"/>
  <c r="AB28" i="1" s="1"/>
  <c r="G132" i="40"/>
  <c r="AA28" i="1" s="1"/>
  <c r="G131" i="40"/>
  <c r="E130"/>
  <c r="G130" s="1"/>
  <c r="E127"/>
  <c r="G127" s="1"/>
  <c r="AS29" i="44" s="1"/>
  <c r="BL26" i="49" s="1"/>
  <c r="E126" i="40"/>
  <c r="G126" s="1"/>
  <c r="AR29" i="44" s="1"/>
  <c r="BK26" i="49" s="1"/>
  <c r="E125" i="40"/>
  <c r="G125" s="1"/>
  <c r="AQ29" i="44" s="1"/>
  <c r="BJ26" i="49" s="1"/>
  <c r="E124" i="40"/>
  <c r="G124" s="1"/>
  <c r="AP29" i="44" s="1"/>
  <c r="BI26" i="49" s="1"/>
  <c r="E123" i="40"/>
  <c r="G123" s="1"/>
  <c r="E100"/>
  <c r="G100" s="1"/>
  <c r="E99"/>
  <c r="G99" s="1"/>
  <c r="E98"/>
  <c r="G98" s="1"/>
  <c r="AB13" i="45" s="1"/>
  <c r="BC26" i="49" s="1"/>
  <c r="E97" i="40"/>
  <c r="G97" s="1"/>
  <c r="E96"/>
  <c r="G96" s="1"/>
  <c r="E95"/>
  <c r="G95" s="1"/>
  <c r="AB9" i="45" s="1"/>
  <c r="E93" i="40"/>
  <c r="G93" s="1"/>
  <c r="AB8" i="45" s="1"/>
  <c r="AN26" i="49" s="1"/>
  <c r="E92" i="40"/>
  <c r="G92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E35"/>
  <c r="G35" s="1"/>
  <c r="E24"/>
  <c r="E23"/>
  <c r="G22"/>
  <c r="E19"/>
  <c r="G19" s="1"/>
  <c r="E18"/>
  <c r="E15"/>
  <c r="G15" s="1"/>
  <c r="G10"/>
  <c r="G9"/>
  <c r="G7"/>
  <c r="B29" i="44" s="1"/>
  <c r="AM28" i="1"/>
  <c r="AL27"/>
  <c r="AD27"/>
  <c r="AB27"/>
  <c r="AA27"/>
  <c r="AP27"/>
  <c r="BH27"/>
  <c r="BG27"/>
  <c r="BF27"/>
  <c r="BD27"/>
  <c r="BB27"/>
  <c r="BI27"/>
  <c r="BA27"/>
  <c r="AQ27"/>
  <c r="G140" i="24"/>
  <c r="G139"/>
  <c r="G138"/>
  <c r="G137"/>
  <c r="G136"/>
  <c r="AV27" i="44" s="1"/>
  <c r="G135" i="24"/>
  <c r="AD26" i="1" s="1"/>
  <c r="G134" i="24"/>
  <c r="AC26" i="1" s="1"/>
  <c r="G133" i="24"/>
  <c r="AB26" i="1" s="1"/>
  <c r="G132" i="24"/>
  <c r="AA26" i="1" s="1"/>
  <c r="G131" i="24"/>
  <c r="E130"/>
  <c r="G130" s="1"/>
  <c r="G127"/>
  <c r="AS27" i="44" s="1"/>
  <c r="BL24" i="49" s="1"/>
  <c r="G126" i="24"/>
  <c r="AR27" i="44" s="1"/>
  <c r="BK24" i="49" s="1"/>
  <c r="G125" i="24"/>
  <c r="AQ27" i="44" s="1"/>
  <c r="BJ24" i="49" s="1"/>
  <c r="G124" i="24"/>
  <c r="AP27" i="44" s="1"/>
  <c r="BI24" i="49" s="1"/>
  <c r="E123" i="24"/>
  <c r="G123" s="1"/>
  <c r="E100"/>
  <c r="G100" s="1"/>
  <c r="E99"/>
  <c r="G99" s="1"/>
  <c r="E98"/>
  <c r="G98" s="1"/>
  <c r="Z13" i="45" s="1"/>
  <c r="BC24" i="49" s="1"/>
  <c r="E97" i="24"/>
  <c r="G97" s="1"/>
  <c r="E96"/>
  <c r="G96" s="1"/>
  <c r="E95"/>
  <c r="G95" s="1"/>
  <c r="Z9" i="45" s="1"/>
  <c r="E94" i="24"/>
  <c r="E93"/>
  <c r="G93" s="1"/>
  <c r="Z8" i="45" s="1"/>
  <c r="AN24" i="49" s="1"/>
  <c r="E92" i="24"/>
  <c r="G92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E19"/>
  <c r="G19" s="1"/>
  <c r="E18"/>
  <c r="E15"/>
  <c r="G15" s="1"/>
  <c r="D27" i="44" s="1"/>
  <c r="G10" i="24"/>
  <c r="G9"/>
  <c r="G7"/>
  <c r="B27" i="44" s="1"/>
  <c r="E139" i="23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30"/>
  <c r="G130" s="1"/>
  <c r="E127"/>
  <c r="G127" s="1"/>
  <c r="E126"/>
  <c r="G126" s="1"/>
  <c r="E125"/>
  <c r="G125" s="1"/>
  <c r="E124"/>
  <c r="G124" s="1"/>
  <c r="E123"/>
  <c r="G123" s="1"/>
  <c r="E100"/>
  <c r="G100" s="1"/>
  <c r="E99"/>
  <c r="G99" s="1"/>
  <c r="E98"/>
  <c r="G98" s="1"/>
  <c r="E97"/>
  <c r="G97" s="1"/>
  <c r="E96"/>
  <c r="G96" s="1"/>
  <c r="E95"/>
  <c r="G95" s="1"/>
  <c r="E94"/>
  <c r="E93"/>
  <c r="G93" s="1"/>
  <c r="Y8" i="45" s="1"/>
  <c r="AN23" i="49" s="1"/>
  <c r="E92" i="23"/>
  <c r="G92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D26" i="44" s="1"/>
  <c r="E10" i="23"/>
  <c r="G10" s="1"/>
  <c r="G7"/>
  <c r="B26" i="44" s="1"/>
  <c r="E140" i="22"/>
  <c r="G140" s="1"/>
  <c r="E139"/>
  <c r="G139" s="1"/>
  <c r="E138"/>
  <c r="G138" s="1"/>
  <c r="AX25" i="44" s="1"/>
  <c r="E137" i="22"/>
  <c r="G137" s="1"/>
  <c r="E136"/>
  <c r="G136" s="1"/>
  <c r="AV25" i="44" s="1"/>
  <c r="E135" i="22"/>
  <c r="G135" s="1"/>
  <c r="AD24" i="1" s="1"/>
  <c r="E134" i="22"/>
  <c r="G134" s="1"/>
  <c r="E133"/>
  <c r="G133" s="1"/>
  <c r="AB24" i="1" s="1"/>
  <c r="E132" i="22"/>
  <c r="G132" s="1"/>
  <c r="AA24" i="1" s="1"/>
  <c r="E131" i="22"/>
  <c r="G131" s="1"/>
  <c r="E130"/>
  <c r="G130" s="1"/>
  <c r="E127"/>
  <c r="G127" s="1"/>
  <c r="AS25" i="44" s="1"/>
  <c r="BL22" i="49" s="1"/>
  <c r="E126" i="22"/>
  <c r="G126" s="1"/>
  <c r="AR25" i="44" s="1"/>
  <c r="BK22" i="49" s="1"/>
  <c r="E125" i="22"/>
  <c r="G125" s="1"/>
  <c r="AQ25" i="44" s="1"/>
  <c r="BJ22" i="49" s="1"/>
  <c r="E124" i="22"/>
  <c r="G124" s="1"/>
  <c r="AP25" i="44" s="1"/>
  <c r="BI22" i="49" s="1"/>
  <c r="E123" i="22"/>
  <c r="G123" s="1"/>
  <c r="E100"/>
  <c r="G100" s="1"/>
  <c r="E99"/>
  <c r="G99" s="1"/>
  <c r="E98"/>
  <c r="G98" s="1"/>
  <c r="X13" i="45" s="1"/>
  <c r="BC22" i="49" s="1"/>
  <c r="E97" i="22"/>
  <c r="G97" s="1"/>
  <c r="E96"/>
  <c r="G96" s="1"/>
  <c r="E95"/>
  <c r="G95" s="1"/>
  <c r="X9" i="45" s="1"/>
  <c r="E93" i="22"/>
  <c r="G93" s="1"/>
  <c r="X8" i="45" s="1"/>
  <c r="AN22" i="49" s="1"/>
  <c r="E92" i="22"/>
  <c r="G92" s="1"/>
  <c r="X7" i="45" s="1"/>
  <c r="E72" i="22"/>
  <c r="G72" s="1"/>
  <c r="N25" i="44" s="1"/>
  <c r="M22" i="49" s="1"/>
  <c r="E62" i="22"/>
  <c r="E49"/>
  <c r="G49" s="1"/>
  <c r="E35"/>
  <c r="G35" s="1"/>
  <c r="G22"/>
  <c r="E19"/>
  <c r="G19" s="1"/>
  <c r="E18"/>
  <c r="E15"/>
  <c r="G15" s="1"/>
  <c r="D25" i="44" s="1"/>
  <c r="E10" i="22"/>
  <c r="G10" s="1"/>
  <c r="E9"/>
  <c r="G9" s="1"/>
  <c r="E7"/>
  <c r="G7" s="1"/>
  <c r="B25" i="44" s="1"/>
  <c r="G140" i="21"/>
  <c r="G139"/>
  <c r="G138"/>
  <c r="AX24" i="44" s="1"/>
  <c r="G137" i="21"/>
  <c r="G136"/>
  <c r="AV24" i="44" s="1"/>
  <c r="G135" i="21"/>
  <c r="AD23" i="1" s="1"/>
  <c r="G134" i="21"/>
  <c r="G133"/>
  <c r="AB23" i="1" s="1"/>
  <c r="G132" i="21"/>
  <c r="G131"/>
  <c r="E130"/>
  <c r="G130" s="1"/>
  <c r="E127"/>
  <c r="G127" s="1"/>
  <c r="AS24" i="44" s="1"/>
  <c r="BL21" i="49" s="1"/>
  <c r="E126" i="21"/>
  <c r="G126" s="1"/>
  <c r="AR24" i="44" s="1"/>
  <c r="BK21" i="49" s="1"/>
  <c r="E125" i="21"/>
  <c r="G125" s="1"/>
  <c r="AQ24" i="44" s="1"/>
  <c r="BJ21" i="49" s="1"/>
  <c r="E124" i="21"/>
  <c r="G124" s="1"/>
  <c r="AP24" i="44" s="1"/>
  <c r="BI21" i="49" s="1"/>
  <c r="E123" i="21"/>
  <c r="G123" s="1"/>
  <c r="E100"/>
  <c r="G100" s="1"/>
  <c r="E99"/>
  <c r="G99" s="1"/>
  <c r="E98"/>
  <c r="G98" s="1"/>
  <c r="W13" i="45" s="1"/>
  <c r="BC21" i="49" s="1"/>
  <c r="E97" i="21"/>
  <c r="G97" s="1"/>
  <c r="E96"/>
  <c r="G96" s="1"/>
  <c r="E95"/>
  <c r="G95" s="1"/>
  <c r="W9" i="45" s="1"/>
  <c r="E94" i="21"/>
  <c r="E93"/>
  <c r="G93" s="1"/>
  <c r="W8" i="45" s="1"/>
  <c r="AN21" i="49" s="1"/>
  <c r="E92" i="21"/>
  <c r="G92" s="1"/>
  <c r="W7" i="45" s="1"/>
  <c r="E84" i="21"/>
  <c r="G84" s="1"/>
  <c r="E83"/>
  <c r="G83" s="1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E37"/>
  <c r="G37" s="1"/>
  <c r="E36"/>
  <c r="G36" s="1"/>
  <c r="E35"/>
  <c r="G35" s="1"/>
  <c r="E23"/>
  <c r="E22"/>
  <c r="E19"/>
  <c r="G19" s="1"/>
  <c r="E18"/>
  <c r="E15"/>
  <c r="G15" s="1"/>
  <c r="D24" i="44" s="1"/>
  <c r="E10" i="21"/>
  <c r="G10" s="1"/>
  <c r="E9"/>
  <c r="G9" s="1"/>
  <c r="E7"/>
  <c r="G7" s="1"/>
  <c r="B24" i="44" s="1"/>
  <c r="G140" i="20"/>
  <c r="G139"/>
  <c r="G138"/>
  <c r="G137"/>
  <c r="G136"/>
  <c r="AV23" i="44" s="1"/>
  <c r="G135" i="20"/>
  <c r="AD22" i="1" s="1"/>
  <c r="G134" i="20"/>
  <c r="G133"/>
  <c r="AB22" i="1" s="1"/>
  <c r="G132" i="20"/>
  <c r="AA22" i="1" s="1"/>
  <c r="E131" i="20"/>
  <c r="G131" s="1"/>
  <c r="E130"/>
  <c r="G130" s="1"/>
  <c r="E124"/>
  <c r="G124" s="1"/>
  <c r="AP23" i="44" s="1"/>
  <c r="BI20" i="49" s="1"/>
  <c r="E123" i="20"/>
  <c r="G123" s="1"/>
  <c r="E94"/>
  <c r="E93"/>
  <c r="G93" s="1"/>
  <c r="V8" i="45" s="1"/>
  <c r="AN20" i="49" s="1"/>
  <c r="E92" i="20"/>
  <c r="G92" s="1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E69" i="20"/>
  <c r="E68"/>
  <c r="E67"/>
  <c r="E66"/>
  <c r="E65"/>
  <c r="E64"/>
  <c r="E63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5"/>
  <c r="D23" i="44" s="1"/>
  <c r="E10" i="20"/>
  <c r="E9"/>
  <c r="G9" s="1"/>
  <c r="G7"/>
  <c r="B23" i="44" s="1"/>
  <c r="G137" i="19"/>
  <c r="G136"/>
  <c r="AV22" i="44" s="1"/>
  <c r="G131" i="19"/>
  <c r="E130"/>
  <c r="G130" s="1"/>
  <c r="E127"/>
  <c r="G127" s="1"/>
  <c r="AS22" i="44" s="1"/>
  <c r="BL19" i="49" s="1"/>
  <c r="E126" i="19"/>
  <c r="G126" s="1"/>
  <c r="AR22" i="44" s="1"/>
  <c r="BK19" i="49" s="1"/>
  <c r="E125" i="19"/>
  <c r="G125" s="1"/>
  <c r="AQ22" i="44" s="1"/>
  <c r="BJ19" i="49" s="1"/>
  <c r="E124" i="19"/>
  <c r="G124" s="1"/>
  <c r="AP22" i="44" s="1"/>
  <c r="BI19" i="49" s="1"/>
  <c r="E123" i="19"/>
  <c r="G123" s="1"/>
  <c r="E100"/>
  <c r="G100" s="1"/>
  <c r="E99"/>
  <c r="G99" s="1"/>
  <c r="E98"/>
  <c r="G98" s="1"/>
  <c r="U13" i="45" s="1"/>
  <c r="BC19" i="49" s="1"/>
  <c r="E97" i="19"/>
  <c r="G97" s="1"/>
  <c r="E96"/>
  <c r="G96" s="1"/>
  <c r="E95"/>
  <c r="G95" s="1"/>
  <c r="U9" i="45" s="1"/>
  <c r="E94" i="19"/>
  <c r="E93"/>
  <c r="G93" s="1"/>
  <c r="U8" i="45" s="1"/>
  <c r="AN19" i="49" s="1"/>
  <c r="E92" i="19"/>
  <c r="G92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E69"/>
  <c r="G171" s="1"/>
  <c r="E68"/>
  <c r="E67"/>
  <c r="E66"/>
  <c r="E65"/>
  <c r="E64"/>
  <c r="E62"/>
  <c r="E57"/>
  <c r="G57" s="1"/>
  <c r="BH21" i="1" s="1"/>
  <c r="E56" i="19"/>
  <c r="G56" s="1"/>
  <c r="BG21" i="1" s="1"/>
  <c r="E55" i="19"/>
  <c r="G55" s="1"/>
  <c r="E54"/>
  <c r="G54" s="1"/>
  <c r="E53"/>
  <c r="G53" s="1"/>
  <c r="BD21" i="1" s="1"/>
  <c r="E52" i="19"/>
  <c r="G52" s="1"/>
  <c r="E51"/>
  <c r="G51" s="1"/>
  <c r="BB21" i="1" s="1"/>
  <c r="E50" i="19"/>
  <c r="G50" s="1"/>
  <c r="E49"/>
  <c r="E46"/>
  <c r="G46" s="1"/>
  <c r="E45"/>
  <c r="G45" s="1"/>
  <c r="E44"/>
  <c r="G44" s="1"/>
  <c r="E43"/>
  <c r="G43" s="1"/>
  <c r="E42"/>
  <c r="G42" s="1"/>
  <c r="AW21" i="1" s="1"/>
  <c r="E41" i="19"/>
  <c r="G41" s="1"/>
  <c r="E39"/>
  <c r="E38"/>
  <c r="G38" s="1"/>
  <c r="E37"/>
  <c r="E36"/>
  <c r="G36" s="1"/>
  <c r="E35"/>
  <c r="G35" s="1"/>
  <c r="E24"/>
  <c r="E22"/>
  <c r="G22" s="1"/>
  <c r="E19"/>
  <c r="G19" s="1"/>
  <c r="E18"/>
  <c r="E15"/>
  <c r="G15" s="1"/>
  <c r="D22" i="44" s="1"/>
  <c r="E10" i="19"/>
  <c r="G10" s="1"/>
  <c r="E9"/>
  <c r="G9" s="1"/>
  <c r="E140" i="18"/>
  <c r="G140" s="1"/>
  <c r="E139"/>
  <c r="E138"/>
  <c r="G138" s="1"/>
  <c r="E137"/>
  <c r="G137" s="1"/>
  <c r="E136"/>
  <c r="G136" s="1"/>
  <c r="AV21" i="44" s="1"/>
  <c r="E135" i="18"/>
  <c r="E134"/>
  <c r="G134" s="1"/>
  <c r="E133"/>
  <c r="E132"/>
  <c r="E131"/>
  <c r="G131" s="1"/>
  <c r="E130"/>
  <c r="G130" s="1"/>
  <c r="E127"/>
  <c r="G127" s="1"/>
  <c r="AS21" i="44" s="1"/>
  <c r="BL18" i="49" s="1"/>
  <c r="E126" i="18"/>
  <c r="G126" s="1"/>
  <c r="AR21" i="44" s="1"/>
  <c r="BK18" i="49" s="1"/>
  <c r="E125" i="18"/>
  <c r="G125" s="1"/>
  <c r="AQ21" i="44" s="1"/>
  <c r="BJ18" i="49" s="1"/>
  <c r="E124" i="18"/>
  <c r="G124" s="1"/>
  <c r="AP21" i="44" s="1"/>
  <c r="BI18" i="49" s="1"/>
  <c r="E123" i="18"/>
  <c r="G123" s="1"/>
  <c r="E100"/>
  <c r="G100" s="1"/>
  <c r="E99"/>
  <c r="G99" s="1"/>
  <c r="E98"/>
  <c r="G98" s="1"/>
  <c r="T13" i="45" s="1"/>
  <c r="BC18" i="49" s="1"/>
  <c r="G97" i="18"/>
  <c r="E96"/>
  <c r="G96" s="1"/>
  <c r="E95"/>
  <c r="G95" s="1"/>
  <c r="T9" i="45" s="1"/>
  <c r="AO18" i="49" s="1"/>
  <c r="E94" i="18"/>
  <c r="E93"/>
  <c r="G93" s="1"/>
  <c r="T8" i="45" s="1"/>
  <c r="AN18" i="49" s="1"/>
  <c r="E92" i="18"/>
  <c r="G92" s="1"/>
  <c r="T7" i="45" s="1"/>
  <c r="E84" i="18"/>
  <c r="G84" s="1"/>
  <c r="E83"/>
  <c r="G83" s="1"/>
  <c r="Z21" i="44" s="1"/>
  <c r="Y18" i="49" s="1"/>
  <c r="E82" i="18"/>
  <c r="G82" s="1"/>
  <c r="X21" i="44" s="1"/>
  <c r="W18" i="49" s="1"/>
  <c r="E81" i="18"/>
  <c r="G81" s="1"/>
  <c r="W21" i="44" s="1"/>
  <c r="V18" i="49" s="1"/>
  <c r="E80" i="18"/>
  <c r="G80" s="1"/>
  <c r="V21" i="44" s="1"/>
  <c r="U18" i="49" s="1"/>
  <c r="E79" i="18"/>
  <c r="G79" s="1"/>
  <c r="U21" i="44" s="1"/>
  <c r="T18" i="49" s="1"/>
  <c r="E78" i="18"/>
  <c r="G78" s="1"/>
  <c r="T21" i="44" s="1"/>
  <c r="S18" i="49" s="1"/>
  <c r="E77" i="18"/>
  <c r="G77" s="1"/>
  <c r="S21" i="44" s="1"/>
  <c r="R18" i="49" s="1"/>
  <c r="E76" i="18"/>
  <c r="G76" s="1"/>
  <c r="R21" i="44" s="1"/>
  <c r="Q18" i="49" s="1"/>
  <c r="E75" i="18"/>
  <c r="G75" s="1"/>
  <c r="Q21" i="44" s="1"/>
  <c r="P18" i="49" s="1"/>
  <c r="E74" i="18"/>
  <c r="G74" s="1"/>
  <c r="P21" i="44" s="1"/>
  <c r="O18" i="49" s="1"/>
  <c r="E73" i="18"/>
  <c r="G73" s="1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M21" i="44" s="1"/>
  <c r="L18" i="49" s="1"/>
  <c r="E35" i="18"/>
  <c r="G35" s="1"/>
  <c r="E24"/>
  <c r="E23"/>
  <c r="E22"/>
  <c r="E19"/>
  <c r="G19" s="1"/>
  <c r="E18"/>
  <c r="E15"/>
  <c r="G15" s="1"/>
  <c r="D21" i="44" s="1"/>
  <c r="E10" i="18"/>
  <c r="G10" s="1"/>
  <c r="E9"/>
  <c r="G9" s="1"/>
  <c r="G7"/>
  <c r="B21" i="44" s="1"/>
  <c r="E140" i="17"/>
  <c r="G140" s="1"/>
  <c r="E139"/>
  <c r="G139" s="1"/>
  <c r="E138"/>
  <c r="G138" s="1"/>
  <c r="E137"/>
  <c r="G137" s="1"/>
  <c r="E136"/>
  <c r="E135"/>
  <c r="G135" s="1"/>
  <c r="AD19" i="1" s="1"/>
  <c r="E134" i="17"/>
  <c r="G134" s="1"/>
  <c r="AC19" i="1" s="1"/>
  <c r="E133" i="17"/>
  <c r="G133" s="1"/>
  <c r="AB19" i="1" s="1"/>
  <c r="E132" i="17"/>
  <c r="G132" s="1"/>
  <c r="AA19" i="1" s="1"/>
  <c r="E131" i="17"/>
  <c r="G131" s="1"/>
  <c r="E130"/>
  <c r="G130" s="1"/>
  <c r="E127"/>
  <c r="G127" s="1"/>
  <c r="AS20" i="44" s="1"/>
  <c r="BL17" i="49" s="1"/>
  <c r="E126" i="17"/>
  <c r="G126" s="1"/>
  <c r="AR20" i="44" s="1"/>
  <c r="BK17" i="49" s="1"/>
  <c r="E125" i="17"/>
  <c r="G125" s="1"/>
  <c r="AQ20" i="44" s="1"/>
  <c r="BJ17" i="49" s="1"/>
  <c r="E124" i="17"/>
  <c r="G124" s="1"/>
  <c r="AP20" i="44" s="1"/>
  <c r="BI17" i="49" s="1"/>
  <c r="E123" i="17"/>
  <c r="G123" s="1"/>
  <c r="E98"/>
  <c r="G98" s="1"/>
  <c r="S13" i="45" s="1"/>
  <c r="E95" i="17"/>
  <c r="G95" s="1"/>
  <c r="S9" i="45" s="1"/>
  <c r="E94" i="17"/>
  <c r="E93"/>
  <c r="G93" s="1"/>
  <c r="S8" i="45" s="1"/>
  <c r="AN17" i="49" s="1"/>
  <c r="E92" i="17"/>
  <c r="G92" s="1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9"/>
  <c r="G7"/>
  <c r="B20" i="44" s="1"/>
  <c r="G140" i="16"/>
  <c r="G139"/>
  <c r="G138"/>
  <c r="G137"/>
  <c r="G136"/>
  <c r="AV19" i="44" s="1"/>
  <c r="G134" i="16"/>
  <c r="G133"/>
  <c r="G132"/>
  <c r="AA18" i="1" s="1"/>
  <c r="G131" i="16"/>
  <c r="E130"/>
  <c r="G130" s="1"/>
  <c r="E127"/>
  <c r="G127" s="1"/>
  <c r="AS19" i="44" s="1"/>
  <c r="BL16" i="49" s="1"/>
  <c r="E126" i="16"/>
  <c r="G126" s="1"/>
  <c r="AR19" i="44" s="1"/>
  <c r="BK16" i="49" s="1"/>
  <c r="G125" i="16"/>
  <c r="AQ19" i="44" s="1"/>
  <c r="BJ16" i="49" s="1"/>
  <c r="E124" i="16"/>
  <c r="G124" s="1"/>
  <c r="AP19" i="44" s="1"/>
  <c r="BI16" i="49" s="1"/>
  <c r="E123" i="16"/>
  <c r="G123" s="1"/>
  <c r="E100"/>
  <c r="G100" s="1"/>
  <c r="E99"/>
  <c r="G99" s="1"/>
  <c r="E98"/>
  <c r="G98" s="1"/>
  <c r="R13" i="45" s="1"/>
  <c r="BC16" i="49" s="1"/>
  <c r="E97" i="16"/>
  <c r="G97" s="1"/>
  <c r="E96"/>
  <c r="G96" s="1"/>
  <c r="E95"/>
  <c r="G95" s="1"/>
  <c r="R9" i="45" s="1"/>
  <c r="E93" i="16"/>
  <c r="G93" s="1"/>
  <c r="R8" i="45" s="1"/>
  <c r="AN16" i="49" s="1"/>
  <c r="E92" i="16"/>
  <c r="G92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5"/>
  <c r="D19" i="44" s="1"/>
  <c r="G10" i="16"/>
  <c r="E140" i="15"/>
  <c r="G140" s="1"/>
  <c r="E139"/>
  <c r="G139" s="1"/>
  <c r="E138"/>
  <c r="G138" s="1"/>
  <c r="E137"/>
  <c r="G137" s="1"/>
  <c r="E136"/>
  <c r="G136" s="1"/>
  <c r="AV18" i="44" s="1"/>
  <c r="G135" i="15"/>
  <c r="AD17" i="1" s="1"/>
  <c r="G134" i="15"/>
  <c r="G133"/>
  <c r="AB17" i="1" s="1"/>
  <c r="E132" i="15"/>
  <c r="G132" s="1"/>
  <c r="AA17" i="1" s="1"/>
  <c r="E131" i="15"/>
  <c r="G131" s="1"/>
  <c r="E130"/>
  <c r="G130" s="1"/>
  <c r="E127"/>
  <c r="G127" s="1"/>
  <c r="AS18" i="44" s="1"/>
  <c r="BL15" i="49" s="1"/>
  <c r="E126" i="15"/>
  <c r="G126" s="1"/>
  <c r="AR18" i="44" s="1"/>
  <c r="BK15" i="49" s="1"/>
  <c r="E125" i="15"/>
  <c r="G125" s="1"/>
  <c r="AQ18" i="44" s="1"/>
  <c r="BJ15" i="49" s="1"/>
  <c r="E124" i="15"/>
  <c r="G124" s="1"/>
  <c r="AP18" i="44" s="1"/>
  <c r="BI15" i="49" s="1"/>
  <c r="E123" i="15"/>
  <c r="G123" s="1"/>
  <c r="E100"/>
  <c r="G100" s="1"/>
  <c r="E99"/>
  <c r="G99" s="1"/>
  <c r="E98"/>
  <c r="G98" s="1"/>
  <c r="Q13" i="45" s="1"/>
  <c r="BC15" i="49" s="1"/>
  <c r="E97" i="15"/>
  <c r="G97" s="1"/>
  <c r="E96"/>
  <c r="G96" s="1"/>
  <c r="E95"/>
  <c r="G95" s="1"/>
  <c r="Q9" i="45" s="1"/>
  <c r="E94" i="15"/>
  <c r="E93"/>
  <c r="G93" s="1"/>
  <c r="Q8" i="45" s="1"/>
  <c r="AN15" i="49" s="1"/>
  <c r="E92" i="15"/>
  <c r="G92" s="1"/>
  <c r="Q7" i="45" s="1"/>
  <c r="E69" i="15"/>
  <c r="E68"/>
  <c r="E67"/>
  <c r="E66"/>
  <c r="E65"/>
  <c r="E64"/>
  <c r="E63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D18" i="44" s="1"/>
  <c r="E10" i="15"/>
  <c r="G10" s="1"/>
  <c r="E7"/>
  <c r="G7" s="1"/>
  <c r="B18" i="44" s="1"/>
  <c r="E140" i="14"/>
  <c r="G140" s="1"/>
  <c r="E139"/>
  <c r="G139" s="1"/>
  <c r="E138"/>
  <c r="G138" s="1"/>
  <c r="AX17" i="44" s="1"/>
  <c r="E137" i="14"/>
  <c r="G137" s="1"/>
  <c r="E136"/>
  <c r="G136" s="1"/>
  <c r="AV17" i="44" s="1"/>
  <c r="E135" i="14"/>
  <c r="G135" s="1"/>
  <c r="AD16" i="1" s="1"/>
  <c r="E134" i="14"/>
  <c r="G134" s="1"/>
  <c r="AC16" i="1" s="1"/>
  <c r="E133" i="14"/>
  <c r="G133" s="1"/>
  <c r="AB16" i="1" s="1"/>
  <c r="E132" i="14"/>
  <c r="G132" s="1"/>
  <c r="AA16" i="1" s="1"/>
  <c r="E131" i="14"/>
  <c r="G131" s="1"/>
  <c r="E130"/>
  <c r="G130" s="1"/>
  <c r="E127"/>
  <c r="G127" s="1"/>
  <c r="AS17" i="44" s="1"/>
  <c r="BL14" i="49" s="1"/>
  <c r="E126" i="14"/>
  <c r="G126" s="1"/>
  <c r="AR17" i="44" s="1"/>
  <c r="BK14" i="49" s="1"/>
  <c r="E125" i="14"/>
  <c r="G125" s="1"/>
  <c r="AQ17" i="44" s="1"/>
  <c r="BJ14" i="49" s="1"/>
  <c r="E124" i="14"/>
  <c r="G124" s="1"/>
  <c r="AP17" i="44" s="1"/>
  <c r="BI14" i="49" s="1"/>
  <c r="E123" i="14"/>
  <c r="G123" s="1"/>
  <c r="G100"/>
  <c r="G99"/>
  <c r="G98"/>
  <c r="P13" i="45" s="1"/>
  <c r="BC14" i="49" s="1"/>
  <c r="G97" i="14"/>
  <c r="P11" i="45" s="1"/>
  <c r="AQ14" i="49" s="1"/>
  <c r="G96" i="14"/>
  <c r="E95"/>
  <c r="G95" s="1"/>
  <c r="P9" i="45" s="1"/>
  <c r="E94" i="14"/>
  <c r="E93"/>
  <c r="G93" s="1"/>
  <c r="P8" i="45" s="1"/>
  <c r="AN14" i="49" s="1"/>
  <c r="E92" i="14"/>
  <c r="G92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5" s="1"/>
  <c r="D17" i="44" s="1"/>
  <c r="G10" i="14"/>
  <c r="E7"/>
  <c r="G7" s="1"/>
  <c r="B17" i="44" s="1"/>
  <c r="E130" i="13"/>
  <c r="G130" s="1"/>
  <c r="E123"/>
  <c r="G123" s="1"/>
  <c r="G95"/>
  <c r="E92"/>
  <c r="G92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E15"/>
  <c r="G10"/>
  <c r="G9"/>
  <c r="G132" i="12"/>
  <c r="G131"/>
  <c r="E130"/>
  <c r="G130" s="1"/>
  <c r="E127"/>
  <c r="G127" s="1"/>
  <c r="E126"/>
  <c r="G126" s="1"/>
  <c r="E125"/>
  <c r="G125" s="1"/>
  <c r="E124"/>
  <c r="G124" s="1"/>
  <c r="E123"/>
  <c r="G123" s="1"/>
  <c r="G100"/>
  <c r="G99"/>
  <c r="G98"/>
  <c r="G97"/>
  <c r="G96"/>
  <c r="G95"/>
  <c r="G93"/>
  <c r="E92"/>
  <c r="G92" s="1"/>
  <c r="E62"/>
  <c r="G164" s="1"/>
  <c r="BA14" i="1"/>
  <c r="E35" i="12"/>
  <c r="G35" s="1"/>
  <c r="E23"/>
  <c r="E22"/>
  <c r="G22" s="1"/>
  <c r="E19"/>
  <c r="G19" s="1"/>
  <c r="E18"/>
  <c r="E15"/>
  <c r="G15" s="1"/>
  <c r="D15" i="44" s="1"/>
  <c r="G10" i="12"/>
  <c r="G7"/>
  <c r="B15" i="44" s="1"/>
  <c r="E130" i="11"/>
  <c r="G130" s="1"/>
  <c r="E123"/>
  <c r="G123" s="1"/>
  <c r="AO14" i="44" s="1"/>
  <c r="BH11" i="49" s="1"/>
  <c r="G95" i="11"/>
  <c r="E92"/>
  <c r="G92" s="1"/>
  <c r="E62"/>
  <c r="E49"/>
  <c r="G49" s="1"/>
  <c r="BA13" i="1" s="1"/>
  <c r="E35" i="11"/>
  <c r="G35" s="1"/>
  <c r="E23"/>
  <c r="E22"/>
  <c r="G22" s="1"/>
  <c r="E19"/>
  <c r="G19" s="1"/>
  <c r="E18"/>
  <c r="E15"/>
  <c r="G15" s="1"/>
  <c r="D14" i="44" s="1"/>
  <c r="G9" i="11"/>
  <c r="E7"/>
  <c r="G7" s="1"/>
  <c r="B14" i="44" s="1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0" i="9"/>
  <c r="G140" s="1"/>
  <c r="E139"/>
  <c r="G139" s="1"/>
  <c r="E138"/>
  <c r="G138" s="1"/>
  <c r="E137"/>
  <c r="G137" s="1"/>
  <c r="E136"/>
  <c r="G136" s="1"/>
  <c r="AV12" i="44" s="1"/>
  <c r="E135" i="9"/>
  <c r="G135" s="1"/>
  <c r="AD11" i="1" s="1"/>
  <c r="E134" i="9"/>
  <c r="G134" s="1"/>
  <c r="AC11" i="1" s="1"/>
  <c r="E133" i="9"/>
  <c r="G133" s="1"/>
  <c r="AB11" i="1" s="1"/>
  <c r="E132" i="9"/>
  <c r="G132" s="1"/>
  <c r="AA11" i="1" s="1"/>
  <c r="E131" i="9"/>
  <c r="G131" s="1"/>
  <c r="E130"/>
  <c r="G130" s="1"/>
  <c r="E100"/>
  <c r="G100" s="1"/>
  <c r="E99"/>
  <c r="G99" s="1"/>
  <c r="E98"/>
  <c r="G98" s="1"/>
  <c r="K13" i="45" s="1"/>
  <c r="BC9" i="49" s="1"/>
  <c r="E97" i="9"/>
  <c r="G97" s="1"/>
  <c r="E96"/>
  <c r="G96" s="1"/>
  <c r="K10" i="45" s="1"/>
  <c r="E95" i="9"/>
  <c r="G95" s="1"/>
  <c r="K9" i="45" s="1"/>
  <c r="E94" i="9"/>
  <c r="E93"/>
  <c r="G92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E58" i="9"/>
  <c r="G58" s="1"/>
  <c r="Y12" i="44" s="1"/>
  <c r="X9" i="49" s="1"/>
  <c r="E57" i="9"/>
  <c r="G57" s="1"/>
  <c r="BH11" i="1" s="1"/>
  <c r="E56" i="9"/>
  <c r="G56" s="1"/>
  <c r="BG11" i="1" s="1"/>
  <c r="E55" i="9"/>
  <c r="G55" s="1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7"/>
  <c r="G7" s="1"/>
  <c r="B12" i="44" s="1"/>
  <c r="E140" i="7"/>
  <c r="G140" s="1"/>
  <c r="E139"/>
  <c r="G139" s="1"/>
  <c r="E138"/>
  <c r="G138" s="1"/>
  <c r="E137"/>
  <c r="G137" s="1"/>
  <c r="AW10" i="44" s="1"/>
  <c r="E136" i="7"/>
  <c r="G136" s="1"/>
  <c r="AV10" i="44" s="1"/>
  <c r="E135" i="7"/>
  <c r="G135" s="1"/>
  <c r="AD9" i="1" s="1"/>
  <c r="E134" i="7"/>
  <c r="G134" s="1"/>
  <c r="AC9" i="1" s="1"/>
  <c r="E133" i="7"/>
  <c r="G133" s="1"/>
  <c r="AB9" i="1" s="1"/>
  <c r="G132" i="7"/>
  <c r="E131"/>
  <c r="G131" s="1"/>
  <c r="E130"/>
  <c r="G130" s="1"/>
  <c r="E127"/>
  <c r="G127" s="1"/>
  <c r="AS10" i="44" s="1"/>
  <c r="BL7" i="49" s="1"/>
  <c r="E126" i="7"/>
  <c r="G126" s="1"/>
  <c r="AR10" i="44" s="1"/>
  <c r="BK7" i="49" s="1"/>
  <c r="E125" i="7"/>
  <c r="G125" s="1"/>
  <c r="AQ10" i="44" s="1"/>
  <c r="BJ7" i="49" s="1"/>
  <c r="E124" i="7"/>
  <c r="G124" s="1"/>
  <c r="AP10" i="44" s="1"/>
  <c r="BI7" i="49" s="1"/>
  <c r="E123" i="7"/>
  <c r="G123" s="1"/>
  <c r="E100"/>
  <c r="G100" s="1"/>
  <c r="E99"/>
  <c r="G99" s="1"/>
  <c r="E98"/>
  <c r="G98" s="1"/>
  <c r="I13" i="45" s="1"/>
  <c r="BC7" i="49" s="1"/>
  <c r="G97" i="7"/>
  <c r="E96"/>
  <c r="G96" s="1"/>
  <c r="I10" i="45" s="1"/>
  <c r="E95" i="7"/>
  <c r="G95" s="1"/>
  <c r="I9" i="45" s="1"/>
  <c r="E94" i="7"/>
  <c r="G93"/>
  <c r="I8" i="45" s="1"/>
  <c r="AN7" i="49" s="1"/>
  <c r="E92" i="7"/>
  <c r="G92" s="1"/>
  <c r="I7" i="45" s="1"/>
  <c r="E69" i="7"/>
  <c r="E171" s="1"/>
  <c r="E68"/>
  <c r="E170" s="1"/>
  <c r="E67"/>
  <c r="E169" s="1"/>
  <c r="E66"/>
  <c r="E168" s="1"/>
  <c r="E65"/>
  <c r="E167" s="1"/>
  <c r="E64"/>
  <c r="E166" s="1"/>
  <c r="E63"/>
  <c r="E165" s="1"/>
  <c r="E62"/>
  <c r="E164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D10" i="44" s="1"/>
  <c r="G12" i="7"/>
  <c r="G11"/>
  <c r="G10"/>
  <c r="G9"/>
  <c r="E15" i="33"/>
  <c r="G15" s="1"/>
  <c r="D9" i="44" s="1"/>
  <c r="E131" i="33"/>
  <c r="G131" s="1"/>
  <c r="E132"/>
  <c r="G132" s="1"/>
  <c r="AA8" i="1" s="1"/>
  <c r="E133" i="33"/>
  <c r="G133" s="1"/>
  <c r="AB8" i="1" s="1"/>
  <c r="E134" i="33"/>
  <c r="G134" s="1"/>
  <c r="E135"/>
  <c r="G135" s="1"/>
  <c r="AD8" i="1" s="1"/>
  <c r="E136" i="33"/>
  <c r="G136" s="1"/>
  <c r="AV9" i="44" s="1"/>
  <c r="E137" i="33"/>
  <c r="G137" s="1"/>
  <c r="E138"/>
  <c r="G138" s="1"/>
  <c r="E139"/>
  <c r="G139" s="1"/>
  <c r="E140"/>
  <c r="G140" s="1"/>
  <c r="E130"/>
  <c r="G130" s="1"/>
  <c r="E124"/>
  <c r="G124" s="1"/>
  <c r="AP9" i="44" s="1"/>
  <c r="BI6" i="49" s="1"/>
  <c r="E125" i="33"/>
  <c r="G125" s="1"/>
  <c r="AQ9" i="44" s="1"/>
  <c r="BJ6" i="49" s="1"/>
  <c r="E126" i="33"/>
  <c r="G126" s="1"/>
  <c r="AR9" i="44" s="1"/>
  <c r="BK6" i="49" s="1"/>
  <c r="E127" i="33"/>
  <c r="G127" s="1"/>
  <c r="AS9" i="44" s="1"/>
  <c r="BL6" i="49" s="1"/>
  <c r="E123" i="33"/>
  <c r="G123" s="1"/>
  <c r="G96"/>
  <c r="E97"/>
  <c r="G97" s="1"/>
  <c r="E98"/>
  <c r="G98" s="1"/>
  <c r="H13" i="45" s="1"/>
  <c r="BC6" i="49" s="1"/>
  <c r="E99" i="33"/>
  <c r="G99" s="1"/>
  <c r="G100"/>
  <c r="E95"/>
  <c r="G95" s="1"/>
  <c r="H9" i="45" s="1"/>
  <c r="E93" i="33"/>
  <c r="G93" s="1"/>
  <c r="H8" i="45" s="1"/>
  <c r="AN6" i="49" s="1"/>
  <c r="E92" i="33"/>
  <c r="G92" s="1"/>
  <c r="H7" i="45" s="1"/>
  <c r="E63" i="33"/>
  <c r="E64"/>
  <c r="E65"/>
  <c r="E66"/>
  <c r="E67"/>
  <c r="E68"/>
  <c r="E69"/>
  <c r="E62"/>
  <c r="E164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E40"/>
  <c r="G40" s="1"/>
  <c r="E41"/>
  <c r="G41" s="1"/>
  <c r="E42"/>
  <c r="G42" s="1"/>
  <c r="AW8" i="1" s="1"/>
  <c r="E43" i="33"/>
  <c r="G43" s="1"/>
  <c r="E44"/>
  <c r="G44" s="1"/>
  <c r="E45"/>
  <c r="G45" s="1"/>
  <c r="E46"/>
  <c r="G46" s="1"/>
  <c r="E35"/>
  <c r="G35" s="1"/>
  <c r="G22"/>
  <c r="E19"/>
  <c r="G19" s="1"/>
  <c r="E10"/>
  <c r="G10" s="1"/>
  <c r="E11"/>
  <c r="E12"/>
  <c r="E9"/>
  <c r="G9" s="1"/>
  <c r="E7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39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G20" i="44" s="1"/>
  <c r="AF17" i="49" s="1"/>
  <c r="G18" i="17"/>
  <c r="I15"/>
  <c r="I7"/>
  <c r="G39" i="16"/>
  <c r="G18"/>
  <c r="G18" i="15"/>
  <c r="G18" i="14"/>
  <c r="G124" i="13"/>
  <c r="G18"/>
  <c r="G18" i="12"/>
  <c r="G18" i="11"/>
  <c r="G18" i="9"/>
  <c r="G18" i="33"/>
  <c r="AW6" i="44"/>
  <c r="AV6"/>
  <c r="AD5" i="1"/>
  <c r="AB5"/>
  <c r="AS6" i="44"/>
  <c r="BL3" i="49" s="1"/>
  <c r="AR6" i="44"/>
  <c r="BK3" i="49" s="1"/>
  <c r="AQ6" i="44"/>
  <c r="BJ3" i="49" s="1"/>
  <c r="AP6" i="44"/>
  <c r="BI3" i="49" s="1"/>
  <c r="E13" i="45"/>
  <c r="BC3" i="49" s="1"/>
  <c r="E9" i="45"/>
  <c r="AO3" i="49" s="1"/>
  <c r="E7" i="45"/>
  <c r="AE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K8" i="45" l="1"/>
  <c r="AN9" i="49" s="1"/>
  <c r="G93" i="9"/>
  <c r="AS33" i="1"/>
  <c r="H34" i="44"/>
  <c r="G11" i="33"/>
  <c r="E11" i="13"/>
  <c r="G11" s="1"/>
  <c r="E11" i="17"/>
  <c r="G11" s="1"/>
  <c r="E11" i="21"/>
  <c r="G11" s="1"/>
  <c r="E11" i="25"/>
  <c r="G11" s="1"/>
  <c r="G13" s="1"/>
  <c r="E11" i="29"/>
  <c r="G11" s="1"/>
  <c r="G13" s="1"/>
  <c r="E11" i="22"/>
  <c r="G11" s="1"/>
  <c r="E11" i="12"/>
  <c r="G11" s="1"/>
  <c r="E11" i="16"/>
  <c r="G11" s="1"/>
  <c r="E11" i="20"/>
  <c r="G11" s="1"/>
  <c r="E11" i="24"/>
  <c r="G11" s="1"/>
  <c r="E11" i="28"/>
  <c r="G11" s="1"/>
  <c r="E11" i="31"/>
  <c r="G11" s="1"/>
  <c r="G13" s="1"/>
  <c r="E11" i="18"/>
  <c r="G11" s="1"/>
  <c r="G13" s="1"/>
  <c r="I13" s="1"/>
  <c r="E11" i="15"/>
  <c r="G11" s="1"/>
  <c r="E11" i="19"/>
  <c r="G11" s="1"/>
  <c r="E11" i="23"/>
  <c r="G11" s="1"/>
  <c r="E11" i="27"/>
  <c r="G11" s="1"/>
  <c r="E11" i="43"/>
  <c r="G11" s="1"/>
  <c r="E11" i="14"/>
  <c r="G11" s="1"/>
  <c r="E11" i="40"/>
  <c r="G11" s="1"/>
  <c r="G13" s="1"/>
  <c r="I13" s="1"/>
  <c r="E11" i="30"/>
  <c r="G11" s="1"/>
  <c r="G13" s="1"/>
  <c r="AQ33" i="1"/>
  <c r="F34" i="44"/>
  <c r="G128" i="12"/>
  <c r="G12" i="33"/>
  <c r="E12" i="14"/>
  <c r="G12" s="1"/>
  <c r="E12" i="18"/>
  <c r="G12" s="1"/>
  <c r="E12" i="22"/>
  <c r="G12" s="1"/>
  <c r="E12" i="40"/>
  <c r="G12" s="1"/>
  <c r="E12" i="30"/>
  <c r="G12" s="1"/>
  <c r="E12" i="19"/>
  <c r="G12" s="1"/>
  <c r="E12" i="13"/>
  <c r="G12" s="1"/>
  <c r="E12" i="17"/>
  <c r="G12" s="1"/>
  <c r="E12" i="21"/>
  <c r="G12" s="1"/>
  <c r="G13" s="1"/>
  <c r="I13" s="1"/>
  <c r="E12" i="25"/>
  <c r="G12" s="1"/>
  <c r="E12" i="29"/>
  <c r="G12" s="1"/>
  <c r="E12" i="15"/>
  <c r="G12" s="1"/>
  <c r="E12" i="27"/>
  <c r="G12" s="1"/>
  <c r="E12" i="43"/>
  <c r="G12" s="1"/>
  <c r="E12" i="23"/>
  <c r="G12" s="1"/>
  <c r="E12" i="12"/>
  <c r="G12" s="1"/>
  <c r="E12" i="16"/>
  <c r="G12" s="1"/>
  <c r="G13" s="1"/>
  <c r="E12" i="20"/>
  <c r="G12" s="1"/>
  <c r="G13" s="1"/>
  <c r="I13" s="1"/>
  <c r="E12" i="24"/>
  <c r="G12" s="1"/>
  <c r="E12" i="28"/>
  <c r="G12" s="1"/>
  <c r="E12" i="31"/>
  <c r="G12" s="1"/>
  <c r="L2" i="49"/>
  <c r="G22" i="28"/>
  <c r="E24"/>
  <c r="AR33" i="1"/>
  <c r="G34" i="44"/>
  <c r="AX33" i="1"/>
  <c r="K34" i="44"/>
  <c r="BB33" i="1"/>
  <c r="G31" i="49"/>
  <c r="BC33" i="1"/>
  <c r="BN33" s="1"/>
  <c r="AU34" i="44"/>
  <c r="AL33" i="1"/>
  <c r="AO33" s="1"/>
  <c r="AM34" i="44"/>
  <c r="AL31" i="49" s="1"/>
  <c r="BK33" i="1"/>
  <c r="BP33" s="1"/>
  <c r="BM33"/>
  <c r="I34" i="44"/>
  <c r="H31" i="49" s="1"/>
  <c r="BD33" i="1"/>
  <c r="L34" i="44"/>
  <c r="K31" i="49" s="1"/>
  <c r="BI33" i="1"/>
  <c r="E31" i="49"/>
  <c r="BA33" i="1"/>
  <c r="BJ33"/>
  <c r="AF33"/>
  <c r="BL33"/>
  <c r="M34" i="44"/>
  <c r="L31" i="49" s="1"/>
  <c r="AZ33" i="1"/>
  <c r="AV34" i="44"/>
  <c r="AH33" i="1"/>
  <c r="AK33" s="1"/>
  <c r="D34" i="44"/>
  <c r="M33" i="1"/>
  <c r="O33" s="1"/>
  <c r="I123" i="28"/>
  <c r="G128"/>
  <c r="BA28" i="1"/>
  <c r="G142" i="40"/>
  <c r="E28"/>
  <c r="G28" s="1"/>
  <c r="D29" i="44"/>
  <c r="N8" i="45"/>
  <c r="AN12" i="49" s="1"/>
  <c r="G93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G27" i="45"/>
  <c r="BF31" i="49" s="1"/>
  <c r="AR31"/>
  <c r="AA23" i="1"/>
  <c r="N132" i="21"/>
  <c r="G119" i="18"/>
  <c r="H119" s="1"/>
  <c r="J119" s="1"/>
  <c r="G33" i="44"/>
  <c r="F30" i="49" s="1"/>
  <c r="R23" i="44"/>
  <c r="Q20" i="49" s="1"/>
  <c r="AB18" i="1"/>
  <c r="I133" i="16"/>
  <c r="AU16" i="44"/>
  <c r="I8"/>
  <c r="H5" i="49" s="1"/>
  <c r="AU26" i="44"/>
  <c r="K10"/>
  <c r="J7" i="49" s="1"/>
  <c r="G25" i="44"/>
  <c r="F22" i="49" s="1"/>
  <c r="A6" i="46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J3" i="49" s="1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K3" i="49" s="1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A5" i="46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H3" i="49" s="1"/>
  <c r="M6" i="44"/>
  <c r="L3" i="49" s="1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G3" i="49" s="1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F3" i="49" s="1"/>
  <c r="M29" i="44"/>
  <c r="L26" i="49" s="1"/>
  <c r="AU33" i="44"/>
  <c r="J5"/>
  <c r="AU8"/>
  <c r="H19"/>
  <c r="G16" i="49" s="1"/>
  <c r="BI18" i="1"/>
  <c r="L19" i="44"/>
  <c r="K16" i="49" s="1"/>
  <c r="M22" i="44"/>
  <c r="L19" i="49" s="1"/>
  <c r="AL22" i="1"/>
  <c r="AU23" i="44"/>
  <c r="F26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J2" i="49" s="1"/>
  <c r="AU6" i="44"/>
  <c r="F14"/>
  <c r="E11" i="49" s="1"/>
  <c r="AL16" i="1"/>
  <c r="AU17" i="44"/>
  <c r="F25"/>
  <c r="E22" i="49" s="1"/>
  <c r="M26" i="44"/>
  <c r="L23" i="49" s="1"/>
  <c r="J33" i="44"/>
  <c r="I30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I3" i="49" s="1"/>
  <c r="H30" i="44"/>
  <c r="G27" i="49" s="1"/>
  <c r="H5" i="44"/>
  <c r="G2" i="49" s="1"/>
  <c r="F5" i="44"/>
  <c r="E2" i="49" s="1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/>
  <c r="L5"/>
  <c r="AU9"/>
  <c r="J10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J3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E3" i="49" s="1"/>
  <c r="K30" i="44"/>
  <c r="J27" i="49" s="1"/>
  <c r="G29" i="44"/>
  <c r="F26" i="49" s="1"/>
  <c r="G24" i="9"/>
  <c r="G13"/>
  <c r="I13" s="1"/>
  <c r="AF6" i="44"/>
  <c r="AE3" i="49" s="1"/>
  <c r="AE8" i="44"/>
  <c r="AD5" i="49" s="1"/>
  <c r="AI8" i="44"/>
  <c r="AH5" i="49" s="1"/>
  <c r="G68" i="33"/>
  <c r="AK9" i="44" s="1"/>
  <c r="AJ6" i="49" s="1"/>
  <c r="E170" i="33"/>
  <c r="G170" s="1"/>
  <c r="G64"/>
  <c r="AG9" i="44" s="1"/>
  <c r="AF6" i="49" s="1"/>
  <c r="E166" i="33"/>
  <c r="G166" s="1"/>
  <c r="G62" i="7"/>
  <c r="AE10" i="44" s="1"/>
  <c r="AD7" i="49" s="1"/>
  <c r="G164" i="7"/>
  <c r="G66"/>
  <c r="AI10" i="44" s="1"/>
  <c r="AH7" i="49" s="1"/>
  <c r="G168" i="7"/>
  <c r="G136" i="17"/>
  <c r="AV20" i="44" s="1"/>
  <c r="AH7"/>
  <c r="AG4" i="49" s="1"/>
  <c r="E170" i="12"/>
  <c r="G170" s="1"/>
  <c r="E165"/>
  <c r="G165" s="1"/>
  <c r="AJ6" i="44"/>
  <c r="AI3" i="49" s="1"/>
  <c r="AI6" i="44"/>
  <c r="AH3" i="49" s="1"/>
  <c r="AJ8" i="44"/>
  <c r="AI5" i="49" s="1"/>
  <c r="AF8" i="44"/>
  <c r="AE5" i="49" s="1"/>
  <c r="G69" i="33"/>
  <c r="AL9" i="44" s="1"/>
  <c r="AK6" i="49" s="1"/>
  <c r="E171" i="33"/>
  <c r="G171" s="1"/>
  <c r="G65"/>
  <c r="AH9" i="44" s="1"/>
  <c r="AG6" i="49" s="1"/>
  <c r="E167" i="33"/>
  <c r="G167" s="1"/>
  <c r="G65" i="7"/>
  <c r="AH10" i="44" s="1"/>
  <c r="AG7" i="49" s="1"/>
  <c r="G167" i="7"/>
  <c r="G69"/>
  <c r="AL10" i="44" s="1"/>
  <c r="AK7" i="49" s="1"/>
  <c r="G171" i="7"/>
  <c r="AE7" i="44"/>
  <c r="AD4" i="49" s="1"/>
  <c r="E166" i="12"/>
  <c r="G166" s="1"/>
  <c r="AH6" i="44"/>
  <c r="AG3" i="49" s="1"/>
  <c r="AK8" i="44"/>
  <c r="AJ5" i="49" s="1"/>
  <c r="AG8" i="44"/>
  <c r="AF5" i="49" s="1"/>
  <c r="G62" i="33"/>
  <c r="AE9" i="44" s="1"/>
  <c r="AD6" i="49" s="1"/>
  <c r="G164" i="33"/>
  <c r="G66"/>
  <c r="AI9" i="44" s="1"/>
  <c r="AH6" i="49" s="1"/>
  <c r="E168" i="33"/>
  <c r="G168" s="1"/>
  <c r="G64" i="7"/>
  <c r="AG10" i="44" s="1"/>
  <c r="AF7" i="49" s="1"/>
  <c r="G166" i="7"/>
  <c r="G68"/>
  <c r="AK10" i="44" s="1"/>
  <c r="AJ7" i="49" s="1"/>
  <c r="G170" i="7"/>
  <c r="AJ7" i="44"/>
  <c r="AI4" i="49" s="1"/>
  <c r="AF7" i="44"/>
  <c r="AE4" i="49" s="1"/>
  <c r="E167" i="12"/>
  <c r="G167" s="1"/>
  <c r="AG6" i="44"/>
  <c r="AF3" i="49" s="1"/>
  <c r="AK6" i="44"/>
  <c r="AJ3" i="49" s="1"/>
  <c r="AL8" i="44"/>
  <c r="AK5" i="49" s="1"/>
  <c r="AH8" i="44"/>
  <c r="AG5" i="49" s="1"/>
  <c r="G67" i="33"/>
  <c r="AJ9" i="44" s="1"/>
  <c r="AI6" i="49" s="1"/>
  <c r="E169" i="33"/>
  <c r="G169" s="1"/>
  <c r="G63"/>
  <c r="AF9" i="44" s="1"/>
  <c r="AE6" i="49" s="1"/>
  <c r="E165" i="33"/>
  <c r="G165" s="1"/>
  <c r="G63" i="7"/>
  <c r="AF10" i="44" s="1"/>
  <c r="AE7" i="49" s="1"/>
  <c r="G165" i="7"/>
  <c r="G67"/>
  <c r="AJ10" i="44" s="1"/>
  <c r="AI7" i="49" s="1"/>
  <c r="G169" i="7"/>
  <c r="AK7" i="44"/>
  <c r="AJ4" i="49" s="1"/>
  <c r="AG7" i="44"/>
  <c r="AF4" i="49" s="1"/>
  <c r="E169" i="12"/>
  <c r="G169" s="1"/>
  <c r="E168"/>
  <c r="G168" s="1"/>
  <c r="G128" i="30"/>
  <c r="G128" i="22"/>
  <c r="G118" i="33"/>
  <c r="F118"/>
  <c r="D35" i="1"/>
  <c r="F35"/>
  <c r="F38" s="1"/>
  <c r="AH30" i="45"/>
  <c r="AH31" s="1"/>
  <c r="G133" i="43"/>
  <c r="AB33" i="1" s="1"/>
  <c r="AE33" s="1"/>
  <c r="G119" i="40"/>
  <c r="H119" s="1"/>
  <c r="J119" s="1"/>
  <c r="N27" i="44"/>
  <c r="M24" i="49" s="1"/>
  <c r="G7" i="33"/>
  <c r="G15" i="13"/>
  <c r="Y30" i="44"/>
  <c r="X27" i="49" s="1"/>
  <c r="Y31" i="44"/>
  <c r="X28" i="49" s="1"/>
  <c r="AW30" i="1"/>
  <c r="Y29" i="44"/>
  <c r="X26" i="49" s="1"/>
  <c r="G119" i="23"/>
  <c r="Y17" i="44"/>
  <c r="X14" i="49" s="1"/>
  <c r="Y18" i="44"/>
  <c r="X15" i="49" s="1"/>
  <c r="BC17" i="1"/>
  <c r="BC16"/>
  <c r="AW17"/>
  <c r="AW16"/>
  <c r="Y6" i="44"/>
  <c r="X3" i="49" s="1"/>
  <c r="AW5" i="1"/>
  <c r="A4" i="46"/>
  <c r="AM5" i="1"/>
  <c r="AM8"/>
  <c r="AM11"/>
  <c r="G63" i="15"/>
  <c r="AF18" i="44" s="1"/>
  <c r="AE15" i="49" s="1"/>
  <c r="E165" i="15"/>
  <c r="G165" s="1"/>
  <c r="AM18" i="1"/>
  <c r="AO18" s="1"/>
  <c r="AM19"/>
  <c r="G49" i="18"/>
  <c r="F21" i="44" s="1"/>
  <c r="E18" i="49" s="1"/>
  <c r="K49" i="18"/>
  <c r="G62"/>
  <c r="AE21" i="44" s="1"/>
  <c r="AD18" i="49" s="1"/>
  <c r="E164" i="18"/>
  <c r="G164" s="1"/>
  <c r="T29" i="45"/>
  <c r="G135" i="18"/>
  <c r="AD20" i="1" s="1"/>
  <c r="G139" i="18"/>
  <c r="E166" i="19"/>
  <c r="G166"/>
  <c r="G64"/>
  <c r="AG22" i="44" s="1"/>
  <c r="AF19" i="49" s="1"/>
  <c r="E170" i="19"/>
  <c r="G170"/>
  <c r="G133"/>
  <c r="AB21" i="1" s="1"/>
  <c r="G42" i="20"/>
  <c r="AW22" i="1" s="1"/>
  <c r="G169" i="20"/>
  <c r="BB23" i="1"/>
  <c r="L51" i="21"/>
  <c r="G62"/>
  <c r="AE24" i="44" s="1"/>
  <c r="AD21" i="49" s="1"/>
  <c r="E164" i="21"/>
  <c r="G164" s="1"/>
  <c r="BG25" i="1"/>
  <c r="G63" i="23"/>
  <c r="E165"/>
  <c r="G165" s="1"/>
  <c r="AR26" i="44"/>
  <c r="BK23" i="49" s="1"/>
  <c r="BB24" i="1"/>
  <c r="L51" i="22"/>
  <c r="G63"/>
  <c r="AF25" i="44" s="1"/>
  <c r="AE22" i="49" s="1"/>
  <c r="E165" i="22"/>
  <c r="G165" s="1"/>
  <c r="L165" s="1"/>
  <c r="G63" i="11"/>
  <c r="AF14" i="44" s="1"/>
  <c r="AE11" i="49" s="1"/>
  <c r="G62" i="11"/>
  <c r="AE14" i="44" s="1"/>
  <c r="AD11" i="49" s="1"/>
  <c r="AM17" i="1"/>
  <c r="G42" i="18"/>
  <c r="AW20" i="1" s="1"/>
  <c r="G62" i="19"/>
  <c r="E164"/>
  <c r="G164" s="1"/>
  <c r="E169"/>
  <c r="G169"/>
  <c r="G67"/>
  <c r="AJ22" i="44" s="1"/>
  <c r="AI19" i="49" s="1"/>
  <c r="AA21" i="1"/>
  <c r="G140" i="19"/>
  <c r="G168" i="20"/>
  <c r="BE23" i="1"/>
  <c r="L54" i="21"/>
  <c r="BB25" i="1"/>
  <c r="BF25"/>
  <c r="G62" i="23"/>
  <c r="E164"/>
  <c r="G164" s="1"/>
  <c r="AD25" i="1"/>
  <c r="AL25"/>
  <c r="G62" i="30"/>
  <c r="AE33" i="44" s="1"/>
  <c r="AD30" i="49" s="1"/>
  <c r="E164" i="30"/>
  <c r="G164" s="1"/>
  <c r="G172" s="1"/>
  <c r="BG24" i="1"/>
  <c r="L56" i="22"/>
  <c r="G62" i="43"/>
  <c r="AE34" i="44" s="1"/>
  <c r="AD31" i="49" s="1"/>
  <c r="E164" i="43"/>
  <c r="G164" s="1"/>
  <c r="AM7" i="1"/>
  <c r="AM16"/>
  <c r="G133" i="18"/>
  <c r="AB20" i="1" s="1"/>
  <c r="G49" i="19"/>
  <c r="BA21" i="1" s="1"/>
  <c r="K49" i="19"/>
  <c r="E168"/>
  <c r="G66"/>
  <c r="AI22" i="44" s="1"/>
  <c r="AH19" i="49" s="1"/>
  <c r="G168" i="19"/>
  <c r="G135"/>
  <c r="AD21" i="1" s="1"/>
  <c r="G139" i="19"/>
  <c r="G167" i="20"/>
  <c r="G171"/>
  <c r="BH23" i="1"/>
  <c r="L57" i="21"/>
  <c r="BE25" i="1"/>
  <c r="AP26" i="44"/>
  <c r="BI23" i="49" s="1"/>
  <c r="AC25" i="1"/>
  <c r="AM13"/>
  <c r="G63" i="14"/>
  <c r="AF17" i="44" s="1"/>
  <c r="AE14" i="49" s="1"/>
  <c r="E165" i="14"/>
  <c r="G165" s="1"/>
  <c r="G63" i="19"/>
  <c r="AF22" i="44" s="1"/>
  <c r="AE19" i="49" s="1"/>
  <c r="E165" i="19"/>
  <c r="G165" s="1"/>
  <c r="BH24" i="1"/>
  <c r="L57" i="22"/>
  <c r="AW6" i="1"/>
  <c r="G63" i="43"/>
  <c r="AF34" i="44" s="1"/>
  <c r="AE31" i="49" s="1"/>
  <c r="E165" i="43"/>
  <c r="G165" s="1"/>
  <c r="G128" i="33"/>
  <c r="G62" i="13"/>
  <c r="AE16" i="44" s="1"/>
  <c r="AD13" i="49" s="1"/>
  <c r="E164" i="13"/>
  <c r="G164" s="1"/>
  <c r="G62" i="14"/>
  <c r="AE17" i="44" s="1"/>
  <c r="AD14" i="49" s="1"/>
  <c r="E164" i="14"/>
  <c r="G164" s="1"/>
  <c r="G63" i="18"/>
  <c r="AF21" i="44" s="1"/>
  <c r="AE18" i="49" s="1"/>
  <c r="E165" i="18"/>
  <c r="G165" s="1"/>
  <c r="G132"/>
  <c r="AA20" i="1" s="1"/>
  <c r="E167" i="19"/>
  <c r="G65"/>
  <c r="AH22" i="44" s="1"/>
  <c r="AG19" i="49" s="1"/>
  <c r="G167" i="19"/>
  <c r="G134"/>
  <c r="AC21" i="1" s="1"/>
  <c r="G138" i="19"/>
  <c r="AX22" i="44" s="1"/>
  <c r="G166" i="20"/>
  <c r="G170"/>
  <c r="BG23" i="1"/>
  <c r="L56" i="21"/>
  <c r="G63"/>
  <c r="AF24" i="44" s="1"/>
  <c r="AE21" i="49" s="1"/>
  <c r="E165" i="21"/>
  <c r="G165" s="1"/>
  <c r="L165" s="1"/>
  <c r="G62" i="22"/>
  <c r="AE25" i="44" s="1"/>
  <c r="AD22" i="49" s="1"/>
  <c r="E164" i="22"/>
  <c r="G164" s="1"/>
  <c r="L164" s="1"/>
  <c r="BH25" i="1"/>
  <c r="AS26" i="44"/>
  <c r="BL23" i="49" s="1"/>
  <c r="AV15" i="44"/>
  <c r="AV36" s="1"/>
  <c r="G63" i="13"/>
  <c r="AF16" i="44" s="1"/>
  <c r="AE13" i="49" s="1"/>
  <c r="E165" i="13"/>
  <c r="G165" s="1"/>
  <c r="BA19" i="1"/>
  <c r="AM31"/>
  <c r="AM30"/>
  <c r="AM29"/>
  <c r="N7" i="40"/>
  <c r="N11" s="1"/>
  <c r="AM26" i="1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L7"/>
  <c r="AM23" i="1"/>
  <c r="AO23" s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L7"/>
  <c r="G69" i="19"/>
  <c r="AL22" i="44" s="1"/>
  <c r="AK19" i="49" s="1"/>
  <c r="E171" i="19"/>
  <c r="Y16" i="44"/>
  <c r="X13" i="49" s="1"/>
  <c r="G69" i="12"/>
  <c r="G171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F118" i="11"/>
  <c r="BH4" i="1"/>
  <c r="AY4"/>
  <c r="BI4"/>
  <c r="BG4"/>
  <c r="AG5" i="44"/>
  <c r="AS5"/>
  <c r="AH5"/>
  <c r="J104" i="10"/>
  <c r="AJ5" i="44"/>
  <c r="J117" i="10"/>
  <c r="N30" i="31"/>
  <c r="AX4" i="1"/>
  <c r="AF5" i="44"/>
  <c r="AM4" i="1"/>
  <c r="Y5" i="44"/>
  <c r="AZ4" i="1"/>
  <c r="AI5" i="44"/>
  <c r="AE5"/>
  <c r="AK5"/>
  <c r="AA4" i="1"/>
  <c r="AX5" i="44"/>
  <c r="J120" i="10"/>
  <c r="J115"/>
  <c r="N5" i="44"/>
  <c r="G69" i="43"/>
  <c r="AL34" i="44" s="1"/>
  <c r="AK31" i="49" s="1"/>
  <c r="E171" i="43"/>
  <c r="G171" s="1"/>
  <c r="G68"/>
  <c r="AK34" i="44" s="1"/>
  <c r="AJ31" i="49" s="1"/>
  <c r="E170" i="43"/>
  <c r="G170" s="1"/>
  <c r="G67"/>
  <c r="AJ34" i="44" s="1"/>
  <c r="AI31" i="49" s="1"/>
  <c r="E169" i="43"/>
  <c r="G169" s="1"/>
  <c r="G66"/>
  <c r="AI34" i="44" s="1"/>
  <c r="AH31" i="49" s="1"/>
  <c r="E168" i="43"/>
  <c r="G168" s="1"/>
  <c r="G65"/>
  <c r="AH34" i="44" s="1"/>
  <c r="AG31" i="49" s="1"/>
  <c r="E167" i="43"/>
  <c r="G167" s="1"/>
  <c r="G64"/>
  <c r="AG34" i="44" s="1"/>
  <c r="AF31" i="49" s="1"/>
  <c r="E166" i="43"/>
  <c r="G166" s="1"/>
  <c r="Y34" i="44"/>
  <c r="X31" i="49" s="1"/>
  <c r="Y33" i="44"/>
  <c r="X30" i="49" s="1"/>
  <c r="G62" i="29"/>
  <c r="AE32" i="44" s="1"/>
  <c r="AD29" i="49" s="1"/>
  <c r="E164" i="29"/>
  <c r="G164" s="1"/>
  <c r="G172" s="1"/>
  <c r="BD31" i="1"/>
  <c r="AW29"/>
  <c r="N42" i="27"/>
  <c r="G62" i="28"/>
  <c r="AE31" i="44" s="1"/>
  <c r="AD28" i="49" s="1"/>
  <c r="E164" i="28"/>
  <c r="G164" s="1"/>
  <c r="G66"/>
  <c r="AI31" i="44" s="1"/>
  <c r="AH28" i="49" s="1"/>
  <c r="E168" i="28"/>
  <c r="G168" s="1"/>
  <c r="G65"/>
  <c r="AH31" i="44" s="1"/>
  <c r="AG28" i="49" s="1"/>
  <c r="E167" i="28"/>
  <c r="G167" s="1"/>
  <c r="G69"/>
  <c r="AL31" i="44" s="1"/>
  <c r="AK28" i="49" s="1"/>
  <c r="E171" i="28"/>
  <c r="G171" s="1"/>
  <c r="G64"/>
  <c r="AG31" i="44" s="1"/>
  <c r="AF28" i="49" s="1"/>
  <c r="E166" i="28"/>
  <c r="G166" s="1"/>
  <c r="G68"/>
  <c r="AK31" i="44" s="1"/>
  <c r="AJ28" i="49" s="1"/>
  <c r="E170" i="28"/>
  <c r="G170" s="1"/>
  <c r="G63"/>
  <c r="AF31" i="44" s="1"/>
  <c r="AE28" i="49" s="1"/>
  <c r="E165" i="28"/>
  <c r="G165" s="1"/>
  <c r="G67"/>
  <c r="AJ31" i="44" s="1"/>
  <c r="AI28" i="49" s="1"/>
  <c r="E169" i="28"/>
  <c r="G169" s="1"/>
  <c r="G63" i="27"/>
  <c r="AF30" i="44" s="1"/>
  <c r="AE27" i="49" s="1"/>
  <c r="E165" i="27"/>
  <c r="G165" s="1"/>
  <c r="G67"/>
  <c r="AJ30" i="44" s="1"/>
  <c r="AI27" i="49" s="1"/>
  <c r="E169" i="27"/>
  <c r="G169" s="1"/>
  <c r="G62"/>
  <c r="AE30" i="44" s="1"/>
  <c r="AD27" i="49" s="1"/>
  <c r="E164" i="27"/>
  <c r="G164" s="1"/>
  <c r="G66"/>
  <c r="AI30" i="44" s="1"/>
  <c r="AH27" i="49" s="1"/>
  <c r="E168" i="27"/>
  <c r="G168" s="1"/>
  <c r="G65"/>
  <c r="AH30" i="44" s="1"/>
  <c r="AG27" i="49" s="1"/>
  <c r="E167" i="27"/>
  <c r="G167" s="1"/>
  <c r="G69"/>
  <c r="AL30" i="44" s="1"/>
  <c r="AK27" i="49" s="1"/>
  <c r="E171" i="27"/>
  <c r="G171" s="1"/>
  <c r="G64"/>
  <c r="AG30" i="44" s="1"/>
  <c r="AF27" i="49" s="1"/>
  <c r="E166" i="27"/>
  <c r="G166" s="1"/>
  <c r="G68"/>
  <c r="AK30" i="44" s="1"/>
  <c r="AJ27" i="49" s="1"/>
  <c r="E170" i="27"/>
  <c r="G170" s="1"/>
  <c r="G63" i="40"/>
  <c r="AF29" i="44" s="1"/>
  <c r="AE26" i="49" s="1"/>
  <c r="E165" i="40"/>
  <c r="G165" s="1"/>
  <c r="G67"/>
  <c r="AJ29" i="44" s="1"/>
  <c r="AI26" i="49" s="1"/>
  <c r="E169" i="40"/>
  <c r="G169" s="1"/>
  <c r="G62"/>
  <c r="AE29" i="44" s="1"/>
  <c r="AD26" i="49" s="1"/>
  <c r="E164" i="40"/>
  <c r="G164" s="1"/>
  <c r="G66"/>
  <c r="AI29" i="44" s="1"/>
  <c r="AH26" i="49" s="1"/>
  <c r="E168" i="40"/>
  <c r="G168" s="1"/>
  <c r="G65"/>
  <c r="AH29" i="44" s="1"/>
  <c r="AG26" i="49" s="1"/>
  <c r="E167" i="40"/>
  <c r="G167" s="1"/>
  <c r="G69"/>
  <c r="AL29" i="44" s="1"/>
  <c r="AK26" i="49" s="1"/>
  <c r="E171" i="40"/>
  <c r="G171" s="1"/>
  <c r="I28" i="1"/>
  <c r="E26" i="47" s="1"/>
  <c r="G64" i="40"/>
  <c r="AG29" i="44" s="1"/>
  <c r="AF26" i="49" s="1"/>
  <c r="E166" i="40"/>
  <c r="G166" s="1"/>
  <c r="G68"/>
  <c r="AK29" i="44" s="1"/>
  <c r="AJ26" i="49" s="1"/>
  <c r="E170" i="40"/>
  <c r="G170" s="1"/>
  <c r="G65" i="24"/>
  <c r="AH27" i="44" s="1"/>
  <c r="AG24" i="49" s="1"/>
  <c r="E167" i="24"/>
  <c r="G167" s="1"/>
  <c r="G69"/>
  <c r="AL27" i="44" s="1"/>
  <c r="AK24" i="49" s="1"/>
  <c r="E171" i="24"/>
  <c r="G171" s="1"/>
  <c r="G64"/>
  <c r="AG27" i="44" s="1"/>
  <c r="AF24" i="49" s="1"/>
  <c r="E166" i="24"/>
  <c r="G166" s="1"/>
  <c r="G68"/>
  <c r="AK27" i="44" s="1"/>
  <c r="AJ24" i="49" s="1"/>
  <c r="E170" i="24"/>
  <c r="G170" s="1"/>
  <c r="G63"/>
  <c r="AF27" i="44" s="1"/>
  <c r="AE24" i="49" s="1"/>
  <c r="E165" i="24"/>
  <c r="G165" s="1"/>
  <c r="G67"/>
  <c r="AJ27" i="44" s="1"/>
  <c r="AI24" i="49" s="1"/>
  <c r="E169" i="24"/>
  <c r="G169" s="1"/>
  <c r="G62"/>
  <c r="AE27" i="44" s="1"/>
  <c r="AD24" i="49" s="1"/>
  <c r="E164" i="24"/>
  <c r="G164" s="1"/>
  <c r="G66"/>
  <c r="AI27" i="44" s="1"/>
  <c r="AH24" i="49" s="1"/>
  <c r="E168" i="24"/>
  <c r="G168" s="1"/>
  <c r="G69" i="23"/>
  <c r="E171"/>
  <c r="G171" s="1"/>
  <c r="G68"/>
  <c r="E170"/>
  <c r="G170" s="1"/>
  <c r="G67"/>
  <c r="E169"/>
  <c r="G169" s="1"/>
  <c r="G66"/>
  <c r="E168"/>
  <c r="G168" s="1"/>
  <c r="G65"/>
  <c r="E167"/>
  <c r="G167" s="1"/>
  <c r="G64"/>
  <c r="E166"/>
  <c r="G166" s="1"/>
  <c r="G69" i="22"/>
  <c r="AL25" i="44" s="1"/>
  <c r="AK22" i="49" s="1"/>
  <c r="E171" i="22"/>
  <c r="G171" s="1"/>
  <c r="L171" s="1"/>
  <c r="G68"/>
  <c r="AK25" i="44" s="1"/>
  <c r="AJ22" i="49" s="1"/>
  <c r="E170" i="22"/>
  <c r="G170" s="1"/>
  <c r="L170" s="1"/>
  <c r="G67"/>
  <c r="AJ25" i="44" s="1"/>
  <c r="AI22" i="49" s="1"/>
  <c r="E169" i="22"/>
  <c r="G169" s="1"/>
  <c r="L169" s="1"/>
  <c r="G66"/>
  <c r="AI25" i="44" s="1"/>
  <c r="AH22" i="49" s="1"/>
  <c r="E168" i="22"/>
  <c r="G168" s="1"/>
  <c r="L168" s="1"/>
  <c r="G65"/>
  <c r="AH25" i="44" s="1"/>
  <c r="AG22" i="49" s="1"/>
  <c r="E167" i="22"/>
  <c r="G167" s="1"/>
  <c r="L167" s="1"/>
  <c r="G64"/>
  <c r="AG25" i="44" s="1"/>
  <c r="AF22" i="49" s="1"/>
  <c r="E166" i="22"/>
  <c r="G166" s="1"/>
  <c r="L166" s="1"/>
  <c r="G69" i="21"/>
  <c r="AL24" i="44" s="1"/>
  <c r="AK21" i="49" s="1"/>
  <c r="E171" i="21"/>
  <c r="G171" s="1"/>
  <c r="L171" s="1"/>
  <c r="G68"/>
  <c r="AK24" i="44" s="1"/>
  <c r="AJ21" i="49" s="1"/>
  <c r="E170" i="21"/>
  <c r="G170" s="1"/>
  <c r="L170" s="1"/>
  <c r="G67"/>
  <c r="AJ24" i="44" s="1"/>
  <c r="AI21" i="49" s="1"/>
  <c r="E169" i="21"/>
  <c r="G169" s="1"/>
  <c r="L169" s="1"/>
  <c r="G66"/>
  <c r="AI24" i="44" s="1"/>
  <c r="AH21" i="49" s="1"/>
  <c r="E168" i="21"/>
  <c r="G168" s="1"/>
  <c r="L168" s="1"/>
  <c r="G65"/>
  <c r="AH24" i="44" s="1"/>
  <c r="AG21" i="49" s="1"/>
  <c r="E167" i="21"/>
  <c r="G167" s="1"/>
  <c r="L167" s="1"/>
  <c r="G64"/>
  <c r="AG24" i="44" s="1"/>
  <c r="AF21" i="49" s="1"/>
  <c r="E166" i="21"/>
  <c r="G166" s="1"/>
  <c r="L166" s="1"/>
  <c r="G63" i="20"/>
  <c r="AF23" i="44" s="1"/>
  <c r="AE20" i="49" s="1"/>
  <c r="G165" i="20"/>
  <c r="AE22" i="44"/>
  <c r="AD19" i="49" s="1"/>
  <c r="G69" i="20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1" i="18"/>
  <c r="G171" s="1"/>
  <c r="G68"/>
  <c r="AK21" i="44" s="1"/>
  <c r="AJ18" i="49" s="1"/>
  <c r="E170" i="18"/>
  <c r="G170" s="1"/>
  <c r="G67"/>
  <c r="AJ21" i="44" s="1"/>
  <c r="AI18" i="49" s="1"/>
  <c r="E169" i="18"/>
  <c r="G169" s="1"/>
  <c r="G66"/>
  <c r="AI21" i="44" s="1"/>
  <c r="AH18" i="49" s="1"/>
  <c r="E168" i="18"/>
  <c r="G168" s="1"/>
  <c r="G65"/>
  <c r="AH21" i="44" s="1"/>
  <c r="AG18" i="49" s="1"/>
  <c r="E167" i="18"/>
  <c r="G167" s="1"/>
  <c r="G64"/>
  <c r="AG21" i="44" s="1"/>
  <c r="AF18" i="49" s="1"/>
  <c r="E166" i="18"/>
  <c r="G166" s="1"/>
  <c r="G69" i="15"/>
  <c r="I17" i="35" s="1"/>
  <c r="E171" i="15"/>
  <c r="G171" s="1"/>
  <c r="G68"/>
  <c r="AK18" i="44" s="1"/>
  <c r="AJ15" i="49" s="1"/>
  <c r="E170" i="15"/>
  <c r="G170" s="1"/>
  <c r="G67"/>
  <c r="AJ18" i="44" s="1"/>
  <c r="AI15" i="49" s="1"/>
  <c r="E169" i="15"/>
  <c r="G169" s="1"/>
  <c r="G66"/>
  <c r="AI18" i="44" s="1"/>
  <c r="AH15" i="49" s="1"/>
  <c r="E168" i="15"/>
  <c r="G168" s="1"/>
  <c r="G65"/>
  <c r="AH18" i="44" s="1"/>
  <c r="AG15" i="49" s="1"/>
  <c r="E167" i="15"/>
  <c r="G167" s="1"/>
  <c r="G64"/>
  <c r="AG18" i="44" s="1"/>
  <c r="AF15" i="49" s="1"/>
  <c r="E166" i="15"/>
  <c r="G166" s="1"/>
  <c r="G62"/>
  <c r="AE18" i="44" s="1"/>
  <c r="AD15" i="49" s="1"/>
  <c r="E164" i="15"/>
  <c r="G164" s="1"/>
  <c r="G69" i="14"/>
  <c r="I16" i="35" s="1"/>
  <c r="E171" i="14"/>
  <c r="G171" s="1"/>
  <c r="G68"/>
  <c r="AK17" i="44" s="1"/>
  <c r="AJ14" i="49" s="1"/>
  <c r="E170" i="14"/>
  <c r="G170" s="1"/>
  <c r="G67"/>
  <c r="AJ17" i="44" s="1"/>
  <c r="AI14" i="49" s="1"/>
  <c r="E169" i="14"/>
  <c r="G169" s="1"/>
  <c r="G66"/>
  <c r="AI17" i="44" s="1"/>
  <c r="AH14" i="49" s="1"/>
  <c r="E168" i="14"/>
  <c r="G168" s="1"/>
  <c r="G65"/>
  <c r="AH17" i="44" s="1"/>
  <c r="AG14" i="49" s="1"/>
  <c r="E167" i="14"/>
  <c r="G167" s="1"/>
  <c r="G64"/>
  <c r="AG17" i="44" s="1"/>
  <c r="AF14" i="49" s="1"/>
  <c r="E166" i="14"/>
  <c r="G166" s="1"/>
  <c r="G69" i="13"/>
  <c r="E171"/>
  <c r="G171" s="1"/>
  <c r="G68"/>
  <c r="AK16" i="44" s="1"/>
  <c r="AJ13" i="49" s="1"/>
  <c r="E170" i="13"/>
  <c r="G170" s="1"/>
  <c r="G67"/>
  <c r="E169"/>
  <c r="G169" s="1"/>
  <c r="G66"/>
  <c r="AI16" i="44" s="1"/>
  <c r="AH13" i="49" s="1"/>
  <c r="E168" i="13"/>
  <c r="G168" s="1"/>
  <c r="G65"/>
  <c r="AH16" i="44" s="1"/>
  <c r="AG13" i="49" s="1"/>
  <c r="E167" i="13"/>
  <c r="G167" s="1"/>
  <c r="G64"/>
  <c r="AG16" i="44" s="1"/>
  <c r="AF13" i="49" s="1"/>
  <c r="E166" i="13"/>
  <c r="G166" s="1"/>
  <c r="F119" i="11"/>
  <c r="M9" i="45"/>
  <c r="F196" i="11"/>
  <c r="M7" i="45"/>
  <c r="F194" i="11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0" i="10"/>
  <c r="J105"/>
  <c r="V33" i="44"/>
  <c r="U30" i="49" s="1"/>
  <c r="R33" i="44"/>
  <c r="Q30" i="49" s="1"/>
  <c r="J107" i="10"/>
  <c r="AW32" i="1"/>
  <c r="BG32"/>
  <c r="AJ33" i="44"/>
  <c r="AI30" i="49" s="1"/>
  <c r="AF7" i="45"/>
  <c r="AF11"/>
  <c r="AQ30" i="49" s="1"/>
  <c r="AS33" i="44"/>
  <c r="BL30" i="49" s="1"/>
  <c r="AB32" i="1"/>
  <c r="AW33" i="44"/>
  <c r="J111" i="10"/>
  <c r="J106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6" i="10"/>
  <c r="BH36" i="1"/>
  <c r="AH33" i="44"/>
  <c r="AG30" i="49" s="1"/>
  <c r="AL33" i="44"/>
  <c r="AK30" i="49" s="1"/>
  <c r="AQ33" i="44"/>
  <c r="BJ30" i="49" s="1"/>
  <c r="AL32" i="1"/>
  <c r="J109" i="10"/>
  <c r="Z33" i="44"/>
  <c r="Y30" i="49" s="1"/>
  <c r="U33" i="44"/>
  <c r="T30" i="49" s="1"/>
  <c r="Q33" i="44"/>
  <c r="P30" i="49" s="1"/>
  <c r="J112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G118" i="13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19" i="9"/>
  <c r="AW15" i="1"/>
  <c r="AP16" i="44"/>
  <c r="BI13" i="49" s="1"/>
  <c r="G20" i="7"/>
  <c r="O7" i="9"/>
  <c r="E28" i="20"/>
  <c r="G28" s="1"/>
  <c r="AA15" i="1"/>
  <c r="Z16" i="44"/>
  <c r="Y13" i="49" s="1"/>
  <c r="U16" i="44"/>
  <c r="T13" i="49" s="1"/>
  <c r="Q16" i="44"/>
  <c r="P13" i="49" s="1"/>
  <c r="N7" i="14"/>
  <c r="AB15" i="1"/>
  <c r="AL15"/>
  <c r="AD15"/>
  <c r="AM15"/>
  <c r="AC15"/>
  <c r="BF15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/>
  <c r="F119" i="33"/>
  <c r="G13" i="12"/>
  <c r="I13" s="1"/>
  <c r="N9" i="45"/>
  <c r="F119" i="12"/>
  <c r="E31" i="18"/>
  <c r="T5" i="45"/>
  <c r="E30" i="19"/>
  <c r="G30" s="1"/>
  <c r="U6" i="45"/>
  <c r="Y21" i="1"/>
  <c r="U11" i="45"/>
  <c r="AQ19" i="49" s="1"/>
  <c r="AI21" i="1"/>
  <c r="AW22" i="44"/>
  <c r="AH22" i="1"/>
  <c r="E28" i="22"/>
  <c r="G28" s="1"/>
  <c r="AH24" i="1"/>
  <c r="AI25"/>
  <c r="AW26" i="44"/>
  <c r="E28" i="24"/>
  <c r="G28" s="1"/>
  <c r="AI26" i="1"/>
  <c r="AW27" i="44"/>
  <c r="AF9" i="45"/>
  <c r="AH13" i="1"/>
  <c r="X15"/>
  <c r="O10" i="45"/>
  <c r="AI15" i="1"/>
  <c r="AW16" i="44"/>
  <c r="G5" i="45"/>
  <c r="E30" i="8"/>
  <c r="G30" s="1"/>
  <c r="J6" i="45"/>
  <c r="Y13" i="1"/>
  <c r="M11" i="45"/>
  <c r="G67" i="12"/>
  <c r="AH14" i="1"/>
  <c r="AJ12"/>
  <c r="AX13" i="44"/>
  <c r="E28" i="43"/>
  <c r="G28" s="1"/>
  <c r="E31" i="11"/>
  <c r="M5" i="45"/>
  <c r="E31" i="28"/>
  <c r="G31" s="1"/>
  <c r="AD5" i="45"/>
  <c r="Y8" i="1"/>
  <c r="H11" i="45"/>
  <c r="AQ6" i="49" s="1"/>
  <c r="AJ17" i="1"/>
  <c r="AX18" i="44"/>
  <c r="E30" i="18"/>
  <c r="G30" s="1"/>
  <c r="T6" i="45"/>
  <c r="T24" s="1"/>
  <c r="BD18" i="49" s="1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E28" i="33"/>
  <c r="G28" s="1"/>
  <c r="AJ9" i="1"/>
  <c r="AX10" i="44"/>
  <c r="AY10" s="1"/>
  <c r="E28" i="9"/>
  <c r="G28" s="1"/>
  <c r="Y11" i="1"/>
  <c r="K11" i="45"/>
  <c r="AJ11" i="1"/>
  <c r="AX12" i="44"/>
  <c r="E30" i="12"/>
  <c r="G30" s="1"/>
  <c r="N6" i="45"/>
  <c r="E30" i="14"/>
  <c r="G30" s="1"/>
  <c r="P6" i="45"/>
  <c r="Y17" i="1"/>
  <c r="Q11" i="45"/>
  <c r="AQ15" i="49" s="1"/>
  <c r="AI17" i="1"/>
  <c r="AW18" i="44"/>
  <c r="E28" i="16"/>
  <c r="G28" s="1"/>
  <c r="AJ20" i="1"/>
  <c r="AX21" i="44"/>
  <c r="X21" i="1"/>
  <c r="U10" i="45"/>
  <c r="AH21" i="1"/>
  <c r="AI23"/>
  <c r="AW24" i="44"/>
  <c r="AY24" s="1"/>
  <c r="AH25" i="1"/>
  <c r="AH26"/>
  <c r="AH31"/>
  <c r="G118" i="30"/>
  <c r="AI13" i="1"/>
  <c r="AW14" i="44"/>
  <c r="Y15" i="1"/>
  <c r="O11" i="45"/>
  <c r="AQ13" i="49" s="1"/>
  <c r="AJ15" i="1"/>
  <c r="AX16" i="44"/>
  <c r="AH10" i="1"/>
  <c r="X10"/>
  <c r="J10" i="45"/>
  <c r="E28" i="8"/>
  <c r="G28" s="1"/>
  <c r="G68" i="12"/>
  <c r="G63"/>
  <c r="AF15" i="44" s="1"/>
  <c r="AE12" i="49" s="1"/>
  <c r="AI14" i="1"/>
  <c r="AW15" i="44"/>
  <c r="E31" i="14"/>
  <c r="G31" s="1"/>
  <c r="P5" i="45"/>
  <c r="E28" i="11"/>
  <c r="G62" i="12"/>
  <c r="AE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30" s="1"/>
  <c r="H6" i="45"/>
  <c r="AJ8" i="1"/>
  <c r="AX9" i="44"/>
  <c r="E30" i="7"/>
  <c r="G30" s="1"/>
  <c r="I6" i="45"/>
  <c r="Y9" i="1"/>
  <c r="I11" i="45"/>
  <c r="AI11" i="1"/>
  <c r="AW12" i="44"/>
  <c r="Y12" i="1"/>
  <c r="L11" i="45"/>
  <c r="AQ10" i="49" s="1"/>
  <c r="E30" i="11"/>
  <c r="M6" i="45"/>
  <c r="Y14" i="1"/>
  <c r="N11" i="45"/>
  <c r="AQ12" i="49" s="1"/>
  <c r="AI16" i="1"/>
  <c r="AW17" i="44"/>
  <c r="E28" i="15"/>
  <c r="G28" s="1"/>
  <c r="X17" i="1"/>
  <c r="Q10" i="45"/>
  <c r="AH17" i="1"/>
  <c r="AW18"/>
  <c r="Y18"/>
  <c r="R11" i="45"/>
  <c r="AQ16" i="49" s="1"/>
  <c r="AJ18" i="1"/>
  <c r="AX19" i="44"/>
  <c r="E28" i="17"/>
  <c r="G28" s="1"/>
  <c r="AJ19" i="1"/>
  <c r="AX20" i="44"/>
  <c r="E28" i="18"/>
  <c r="G28" s="1"/>
  <c r="Y20" i="1"/>
  <c r="T11" i="45"/>
  <c r="AQ18" i="49" s="1"/>
  <c r="AI20" i="1"/>
  <c r="AW21" i="44"/>
  <c r="E28" i="19"/>
  <c r="G28" s="1"/>
  <c r="AJ22" i="1"/>
  <c r="AX23" i="44"/>
  <c r="E28" i="21"/>
  <c r="G28" s="1"/>
  <c r="AH23" i="1"/>
  <c r="E28" i="23"/>
  <c r="G28" s="1"/>
  <c r="AH30" i="1"/>
  <c r="AJ13"/>
  <c r="AX14" i="44"/>
  <c r="E30" i="17"/>
  <c r="G30" s="1"/>
  <c r="S6" i="45"/>
  <c r="BF24" i="1"/>
  <c r="Y10"/>
  <c r="J11" i="45"/>
  <c r="AQ8" i="49" s="1"/>
  <c r="G64" i="12"/>
  <c r="AJ14" i="1"/>
  <c r="AX15" i="44"/>
  <c r="AH12" i="1"/>
  <c r="G118" i="43"/>
  <c r="X19" i="1"/>
  <c r="S10" i="45"/>
  <c r="E31" i="33"/>
  <c r="G31" s="1"/>
  <c r="H5" i="45"/>
  <c r="E28" i="7"/>
  <c r="G28" s="1"/>
  <c r="E30" i="13"/>
  <c r="G30" s="1"/>
  <c r="O6" i="45"/>
  <c r="AH18" i="1"/>
  <c r="E31" i="7"/>
  <c r="G31" s="1"/>
  <c r="I5" i="45"/>
  <c r="E31" i="12"/>
  <c r="G31" s="1"/>
  <c r="N5" i="45"/>
  <c r="E31" i="15"/>
  <c r="G31" s="1"/>
  <c r="Q5" i="45"/>
  <c r="X8" i="1"/>
  <c r="H10" i="45"/>
  <c r="E30" i="9"/>
  <c r="G30" s="1"/>
  <c r="K6" i="45"/>
  <c r="K24" s="1"/>
  <c r="BD9" i="49" s="1"/>
  <c r="AH11" i="1"/>
  <c r="L6" i="45"/>
  <c r="L24" s="1"/>
  <c r="BD10" i="49" s="1"/>
  <c r="X12" i="1"/>
  <c r="L10" i="45"/>
  <c r="E28" i="12"/>
  <c r="G28" s="1"/>
  <c r="X14" i="1"/>
  <c r="N10" i="45"/>
  <c r="E28" i="14"/>
  <c r="G28" s="1"/>
  <c r="X16" i="1"/>
  <c r="P10" i="45"/>
  <c r="AH16" i="1"/>
  <c r="E30" i="16"/>
  <c r="G30" s="1"/>
  <c r="R6" i="45"/>
  <c r="X18" i="1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0" i="43"/>
  <c r="G119" s="1"/>
  <c r="BG6" i="1"/>
  <c r="BG7"/>
  <c r="AJ7"/>
  <c r="AX8" i="44"/>
  <c r="AY8" s="1"/>
  <c r="X7" i="1"/>
  <c r="G10" i="45"/>
  <c r="G6"/>
  <c r="G24" s="1"/>
  <c r="BD5" i="49" s="1"/>
  <c r="Y7" i="1"/>
  <c r="G11" i="45"/>
  <c r="AQ5" i="49" s="1"/>
  <c r="F6" i="45"/>
  <c r="F24" s="1"/>
  <c r="BD4" i="49" s="1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Y6" s="1"/>
  <c r="AH4" i="1"/>
  <c r="D10" i="45"/>
  <c r="H104" i="30"/>
  <c r="D13" i="45"/>
  <c r="AH5"/>
  <c r="E31" i="43"/>
  <c r="G31" s="1"/>
  <c r="AG5" i="45"/>
  <c r="AH6"/>
  <c r="AH24" s="1"/>
  <c r="BD32" i="49" s="1"/>
  <c r="AH25" i="45"/>
  <c r="BE32" i="49" s="1"/>
  <c r="AG9" i="45"/>
  <c r="E31" i="30"/>
  <c r="G31" s="1"/>
  <c r="AF5" i="45"/>
  <c r="AX34" i="44"/>
  <c r="AW34"/>
  <c r="AG11" i="45"/>
  <c r="AQ31" i="49" s="1"/>
  <c r="AG10" i="45"/>
  <c r="E30" i="43"/>
  <c r="G30" s="1"/>
  <c r="AG6" i="45"/>
  <c r="E30" i="30"/>
  <c r="G30" s="1"/>
  <c r="AF6" i="45"/>
  <c r="AF24" s="1"/>
  <c r="BD30" i="49" s="1"/>
  <c r="E28" i="30"/>
  <c r="G28" s="1"/>
  <c r="AJ31" i="1"/>
  <c r="AX32" i="44"/>
  <c r="Y31" i="1"/>
  <c r="AE11" i="45"/>
  <c r="AQ29" i="49" s="1"/>
  <c r="X31" i="1"/>
  <c r="AE10" i="45"/>
  <c r="BF31" i="1"/>
  <c r="E30" i="29"/>
  <c r="G30" s="1"/>
  <c r="AE6" i="45"/>
  <c r="AE24" s="1"/>
  <c r="BD29" i="49" s="1"/>
  <c r="E28" i="29"/>
  <c r="G28" s="1"/>
  <c r="AJ30" i="1"/>
  <c r="AX31" i="44"/>
  <c r="AI30" i="1"/>
  <c r="AW31" i="44"/>
  <c r="Y30" i="1"/>
  <c r="AD11" i="45"/>
  <c r="BF30" i="1"/>
  <c r="BF29"/>
  <c r="BC30"/>
  <c r="E30" i="28"/>
  <c r="G30" s="1"/>
  <c r="AD6" i="45"/>
  <c r="E28" i="27"/>
  <c r="G28" s="1"/>
  <c r="E28" i="28"/>
  <c r="G28" s="1"/>
  <c r="AJ29" i="1"/>
  <c r="AX30" i="44"/>
  <c r="AI29" i="1"/>
  <c r="AW30" i="44"/>
  <c r="Y29" i="1"/>
  <c r="AC11" i="45"/>
  <c r="AQ27" i="49" s="1"/>
  <c r="X29" i="1"/>
  <c r="AC10" i="45"/>
  <c r="E30" i="27"/>
  <c r="G30" s="1"/>
  <c r="AC6" i="45"/>
  <c r="AY29" i="44"/>
  <c r="Y28" i="1"/>
  <c r="AB11" i="45"/>
  <c r="AQ26" i="49" s="1"/>
  <c r="X28" i="1"/>
  <c r="AB10" i="45"/>
  <c r="E30" i="40"/>
  <c r="G30" s="1"/>
  <c r="AB6" i="45"/>
  <c r="E31" i="23"/>
  <c r="G31" s="1"/>
  <c r="Y5" i="45"/>
  <c r="E31" i="24"/>
  <c r="G31" s="1"/>
  <c r="Z5" i="45"/>
  <c r="Y26" i="1"/>
  <c r="Z11" i="45"/>
  <c r="AQ24" i="49" s="1"/>
  <c r="X26" i="1"/>
  <c r="Z10" i="45"/>
  <c r="E30" i="24"/>
  <c r="G30" s="1"/>
  <c r="Z6" i="45"/>
  <c r="Z24" s="1"/>
  <c r="BD24" i="49" s="1"/>
  <c r="Y25" i="1"/>
  <c r="Y11" i="45"/>
  <c r="AQ23" i="49" s="1"/>
  <c r="X25" i="1"/>
  <c r="Y10" i="45"/>
  <c r="E30" i="23"/>
  <c r="G30" s="1"/>
  <c r="Y6" i="45"/>
  <c r="Y24" i="1"/>
  <c r="X11" i="45"/>
  <c r="AQ22" i="49" s="1"/>
  <c r="X24" i="1"/>
  <c r="X10" i="45"/>
  <c r="E30" i="22"/>
  <c r="G30" s="1"/>
  <c r="X6" i="45"/>
  <c r="Y23" i="1"/>
  <c r="W11" i="45"/>
  <c r="AQ21" i="49" s="1"/>
  <c r="Y22" i="1"/>
  <c r="V11" i="45"/>
  <c r="AQ20" i="49" s="1"/>
  <c r="X23" i="1"/>
  <c r="W10" i="45"/>
  <c r="X22" i="1"/>
  <c r="V10" i="45"/>
  <c r="E30" i="21"/>
  <c r="G30" s="1"/>
  <c r="W6" i="45"/>
  <c r="W24" s="1"/>
  <c r="BD21" i="49" s="1"/>
  <c r="E30" i="20"/>
  <c r="G30" s="1"/>
  <c r="V6" i="45"/>
  <c r="V24" s="1"/>
  <c r="BD20" i="49" s="1"/>
  <c r="D11" i="45"/>
  <c r="AQ2" i="49" s="1"/>
  <c r="D6" i="45"/>
  <c r="Y5" i="1"/>
  <c r="E11" i="45"/>
  <c r="AQ3" i="49" s="1"/>
  <c r="E5" i="45"/>
  <c r="X5" i="1"/>
  <c r="E10" i="45"/>
  <c r="E6"/>
  <c r="E24" s="1"/>
  <c r="BD3" i="49" s="1"/>
  <c r="H107" i="12"/>
  <c r="J107" s="1"/>
  <c r="H107" i="14"/>
  <c r="J107" s="1"/>
  <c r="H107" i="24"/>
  <c r="J107" s="1"/>
  <c r="H107" i="28"/>
  <c r="J107" s="1"/>
  <c r="H107" i="27"/>
  <c r="J107" s="1"/>
  <c r="H107" i="15"/>
  <c r="J107" s="1"/>
  <c r="J107" i="9"/>
  <c r="H107" i="19"/>
  <c r="H107" i="29"/>
  <c r="J107" s="1"/>
  <c r="H107" i="40"/>
  <c r="J107" s="1"/>
  <c r="H107" i="25"/>
  <c r="J107" s="1"/>
  <c r="J107" i="33"/>
  <c r="H107" i="30"/>
  <c r="J107" i="7"/>
  <c r="H107" i="23"/>
  <c r="J107" s="1"/>
  <c r="J107" i="8"/>
  <c r="H107" i="18"/>
  <c r="J107" s="1"/>
  <c r="J107" i="11"/>
  <c r="H107" i="17"/>
  <c r="J107" s="1"/>
  <c r="H107" i="13"/>
  <c r="J107" s="1"/>
  <c r="H107" i="16"/>
  <c r="J107" s="1"/>
  <c r="J109" i="8"/>
  <c r="H109" i="23"/>
  <c r="J109" s="1"/>
  <c r="H109" i="13"/>
  <c r="J109" s="1"/>
  <c r="H109" i="17"/>
  <c r="J109" s="1"/>
  <c r="H109" i="25"/>
  <c r="J109" s="1"/>
  <c r="H109" i="30"/>
  <c r="H109" i="28"/>
  <c r="J109" s="1"/>
  <c r="H109" i="16"/>
  <c r="J109" s="1"/>
  <c r="J109" i="9"/>
  <c r="H109" i="15"/>
  <c r="J109" s="1"/>
  <c r="H109" i="24"/>
  <c r="J109" s="1"/>
  <c r="H109" i="29"/>
  <c r="J109" s="1"/>
  <c r="J109" i="7"/>
  <c r="H109" i="14"/>
  <c r="J109" s="1"/>
  <c r="H109" i="40"/>
  <c r="J109" s="1"/>
  <c r="H109" i="27"/>
  <c r="J109" s="1"/>
  <c r="H109" i="12"/>
  <c r="J109" s="1"/>
  <c r="H109" i="19"/>
  <c r="J109" i="11"/>
  <c r="H109" i="18"/>
  <c r="J109" s="1"/>
  <c r="J109" i="33"/>
  <c r="J104" i="9"/>
  <c r="J104" i="11"/>
  <c r="H104" i="13"/>
  <c r="J104" s="1"/>
  <c r="H104" i="17"/>
  <c r="J104" s="1"/>
  <c r="H104" i="25"/>
  <c r="J104" s="1"/>
  <c r="H104" i="19"/>
  <c r="H104" i="16"/>
  <c r="J104" s="1"/>
  <c r="H104" i="27"/>
  <c r="J104" s="1"/>
  <c r="H104" i="12"/>
  <c r="J104" s="1"/>
  <c r="H104" i="24"/>
  <c r="J104" s="1"/>
  <c r="H104" i="28"/>
  <c r="J104" s="1"/>
  <c r="H104" i="15"/>
  <c r="J104" s="1"/>
  <c r="H104" i="14"/>
  <c r="J104" s="1"/>
  <c r="H104" i="29"/>
  <c r="J104" s="1"/>
  <c r="J104" i="7"/>
  <c r="H104" i="40"/>
  <c r="J104" s="1"/>
  <c r="J104" i="8"/>
  <c r="H104" i="18"/>
  <c r="J104" s="1"/>
  <c r="J104" i="33"/>
  <c r="H104" i="23"/>
  <c r="J104" s="1"/>
  <c r="H110" i="12"/>
  <c r="J110" s="1"/>
  <c r="H110" i="15"/>
  <c r="J110" s="1"/>
  <c r="J110" i="33"/>
  <c r="H110" i="18"/>
  <c r="J110" s="1"/>
  <c r="H110" i="24"/>
  <c r="J110" s="1"/>
  <c r="H110" i="40"/>
  <c r="J110" s="1"/>
  <c r="H110" i="23"/>
  <c r="J110" s="1"/>
  <c r="J110" i="8"/>
  <c r="H110" i="29"/>
  <c r="J110" s="1"/>
  <c r="H110" i="30"/>
  <c r="J110" i="11"/>
  <c r="H110" i="19"/>
  <c r="H110" i="28"/>
  <c r="J110" s="1"/>
  <c r="H110" i="16"/>
  <c r="J110" s="1"/>
  <c r="H110" i="27"/>
  <c r="J110" s="1"/>
  <c r="J110" i="9"/>
  <c r="J110" i="7"/>
  <c r="H110" i="13"/>
  <c r="J110" s="1"/>
  <c r="H110" i="25"/>
  <c r="J110" s="1"/>
  <c r="H110" i="17"/>
  <c r="J110" s="1"/>
  <c r="H110" i="14"/>
  <c r="J110" s="1"/>
  <c r="J115" i="7"/>
  <c r="H115" i="15"/>
  <c r="J115" s="1"/>
  <c r="H115" i="24"/>
  <c r="J115" s="1"/>
  <c r="J115" i="8"/>
  <c r="H115" i="13"/>
  <c r="J115" s="1"/>
  <c r="H115" i="17"/>
  <c r="J115" s="1"/>
  <c r="H115" i="23"/>
  <c r="J115" s="1"/>
  <c r="H115" i="25"/>
  <c r="J115" s="1"/>
  <c r="H115" i="30"/>
  <c r="H115" i="29"/>
  <c r="J115" s="1"/>
  <c r="H115" i="28"/>
  <c r="J115" s="1"/>
  <c r="J115" i="9"/>
  <c r="H115" i="16"/>
  <c r="J115" s="1"/>
  <c r="H115" i="12"/>
  <c r="J115" s="1"/>
  <c r="H115" i="18"/>
  <c r="J115" s="1"/>
  <c r="H115" i="19"/>
  <c r="H115" i="14"/>
  <c r="J115" s="1"/>
  <c r="H115" i="40"/>
  <c r="J115" s="1"/>
  <c r="J115" i="33"/>
  <c r="H115" i="27"/>
  <c r="J115" s="1"/>
  <c r="J115" i="11"/>
  <c r="H111" i="19"/>
  <c r="J111" i="7"/>
  <c r="H111" i="14"/>
  <c r="J111" s="1"/>
  <c r="H111" i="15"/>
  <c r="J111" s="1"/>
  <c r="H111" i="27"/>
  <c r="J111" s="1"/>
  <c r="H111" i="23"/>
  <c r="J111" s="1"/>
  <c r="J111" i="33"/>
  <c r="H111" i="18"/>
  <c r="J111" s="1"/>
  <c r="H111" i="40"/>
  <c r="J111" s="1"/>
  <c r="H111" i="13"/>
  <c r="J111" s="1"/>
  <c r="H111" i="29"/>
  <c r="J111" s="1"/>
  <c r="J111" i="11"/>
  <c r="H111" i="28"/>
  <c r="J111" s="1"/>
  <c r="H111" i="24"/>
  <c r="J111" s="1"/>
  <c r="H111" i="12"/>
  <c r="J111" s="1"/>
  <c r="J111" i="8"/>
  <c r="H111" i="16"/>
  <c r="J111" s="1"/>
  <c r="H111" i="17"/>
  <c r="J111" s="1"/>
  <c r="H111" i="30"/>
  <c r="H111" i="25"/>
  <c r="J111" s="1"/>
  <c r="J111" i="9"/>
  <c r="W4" i="1"/>
  <c r="H117" i="13"/>
  <c r="J117" s="1"/>
  <c r="H117" i="29"/>
  <c r="J117" s="1"/>
  <c r="H117" i="12"/>
  <c r="J117" s="1"/>
  <c r="H117" i="28"/>
  <c r="J117" s="1"/>
  <c r="H117" i="16"/>
  <c r="J117" s="1"/>
  <c r="J117" i="33"/>
  <c r="J117" i="8"/>
  <c r="H117" i="15"/>
  <c r="J117" s="1"/>
  <c r="J117" i="7"/>
  <c r="H117" i="24"/>
  <c r="J117" s="1"/>
  <c r="H117" i="23"/>
  <c r="J117" s="1"/>
  <c r="H117" i="25"/>
  <c r="J117" s="1"/>
  <c r="H117" i="18"/>
  <c r="J117" s="1"/>
  <c r="H117" i="27"/>
  <c r="J117" s="1"/>
  <c r="H117" i="14"/>
  <c r="J117" s="1"/>
  <c r="H117" i="30"/>
  <c r="J117" i="9"/>
  <c r="H117" i="40"/>
  <c r="J117" s="1"/>
  <c r="J117" i="11"/>
  <c r="H117" i="19"/>
  <c r="H117" i="17"/>
  <c r="J117" s="1"/>
  <c r="X4" i="1"/>
  <c r="H118" i="25"/>
  <c r="J118" s="1"/>
  <c r="H119"/>
  <c r="J119" s="1"/>
  <c r="H105" i="15"/>
  <c r="J105" s="1"/>
  <c r="H105" i="16"/>
  <c r="J105" s="1"/>
  <c r="H105" i="24"/>
  <c r="J105" s="1"/>
  <c r="J105" i="7"/>
  <c r="H105" i="12"/>
  <c r="J105" s="1"/>
  <c r="H105" i="23"/>
  <c r="J105" s="1"/>
  <c r="H105" i="27"/>
  <c r="J105" s="1"/>
  <c r="J105" i="8"/>
  <c r="J105" i="33"/>
  <c r="H105" i="14"/>
  <c r="J105" s="1"/>
  <c r="H105" i="19"/>
  <c r="H105" i="30"/>
  <c r="J105" i="11"/>
  <c r="H105" i="13"/>
  <c r="J105" s="1"/>
  <c r="H105" i="18"/>
  <c r="J105" s="1"/>
  <c r="H105" i="40"/>
  <c r="J105" s="1"/>
  <c r="H105" i="17"/>
  <c r="J105" s="1"/>
  <c r="J105" i="9"/>
  <c r="H105" i="29"/>
  <c r="J105" s="1"/>
  <c r="H105" i="28"/>
  <c r="J105" s="1"/>
  <c r="H105" i="25"/>
  <c r="J105" s="1"/>
  <c r="H116" i="12"/>
  <c r="J116" s="1"/>
  <c r="H116" i="16"/>
  <c r="J116" s="1"/>
  <c r="H116" i="18"/>
  <c r="J116" s="1"/>
  <c r="H116" i="40"/>
  <c r="J116" s="1"/>
  <c r="H116" i="23"/>
  <c r="J116" s="1"/>
  <c r="J116" i="11"/>
  <c r="H116" i="24"/>
  <c r="J116" s="1"/>
  <c r="J116" i="8"/>
  <c r="H116" i="27"/>
  <c r="J116" s="1"/>
  <c r="H116" i="19"/>
  <c r="H116" i="17"/>
  <c r="J116" s="1"/>
  <c r="H116" i="15"/>
  <c r="J116" s="1"/>
  <c r="J116" i="9"/>
  <c r="J116" i="7"/>
  <c r="H116" i="25"/>
  <c r="J116" s="1"/>
  <c r="J116" i="33"/>
  <c r="H116" i="14"/>
  <c r="J116" s="1"/>
  <c r="H116" i="13"/>
  <c r="J116" s="1"/>
  <c r="H116" i="30"/>
  <c r="H116" i="28"/>
  <c r="J116" s="1"/>
  <c r="H116" i="29"/>
  <c r="J116" s="1"/>
  <c r="J120" i="8"/>
  <c r="H120" i="15"/>
  <c r="J120" s="1"/>
  <c r="H120" i="24"/>
  <c r="J120" s="1"/>
  <c r="H120" i="40"/>
  <c r="J120" s="1"/>
  <c r="J120" i="9"/>
  <c r="J120" i="33"/>
  <c r="H120" i="14"/>
  <c r="J120" s="1"/>
  <c r="J120" i="7"/>
  <c r="H120" i="16"/>
  <c r="J120" s="1"/>
  <c r="J120" i="11"/>
  <c r="H120" i="18"/>
  <c r="J120" s="1"/>
  <c r="H120" i="19"/>
  <c r="H120" i="23"/>
  <c r="J120" s="1"/>
  <c r="H120" i="25"/>
  <c r="J120" s="1"/>
  <c r="H120" i="27"/>
  <c r="J120" s="1"/>
  <c r="H120" i="28"/>
  <c r="J120" s="1"/>
  <c r="H120" i="29"/>
  <c r="J120" s="1"/>
  <c r="H120" i="13"/>
  <c r="J120" s="1"/>
  <c r="H120" i="17"/>
  <c r="J120" s="1"/>
  <c r="H120" i="30"/>
  <c r="H120" i="12"/>
  <c r="J120" s="1"/>
  <c r="H106" i="17"/>
  <c r="J106" s="1"/>
  <c r="H106" i="25"/>
  <c r="J106" s="1"/>
  <c r="H106" i="19"/>
  <c r="J106" i="9"/>
  <c r="H106" i="15"/>
  <c r="J106" s="1"/>
  <c r="J106" i="7"/>
  <c r="H106" i="18"/>
  <c r="J106" s="1"/>
  <c r="H106" i="23"/>
  <c r="J106" s="1"/>
  <c r="H106" i="40"/>
  <c r="J106" s="1"/>
  <c r="J106" i="11"/>
  <c r="H106" i="12"/>
  <c r="J106" s="1"/>
  <c r="H106" i="30"/>
  <c r="H106" i="14"/>
  <c r="J106" s="1"/>
  <c r="J106" i="33"/>
  <c r="H106" i="24"/>
  <c r="J106" s="1"/>
  <c r="H106" i="29"/>
  <c r="J106" s="1"/>
  <c r="J106" i="8"/>
  <c r="H106" i="27"/>
  <c r="J106" s="1"/>
  <c r="H106" i="28"/>
  <c r="J106" s="1"/>
  <c r="H106" i="16"/>
  <c r="J106" s="1"/>
  <c r="H106" i="13"/>
  <c r="J106" s="1"/>
  <c r="AM5" i="44"/>
  <c r="H112" i="24"/>
  <c r="J112" s="1"/>
  <c r="H112" i="14"/>
  <c r="J112" s="1"/>
  <c r="H112" i="23"/>
  <c r="J112" s="1"/>
  <c r="J112" i="8"/>
  <c r="H112" i="19"/>
  <c r="J112" i="7"/>
  <c r="J112" i="9"/>
  <c r="H112" i="25"/>
  <c r="J112" s="1"/>
  <c r="H112" i="16"/>
  <c r="J112" s="1"/>
  <c r="J112" i="33"/>
  <c r="H112" i="40"/>
  <c r="J112" s="1"/>
  <c r="H112" i="27"/>
  <c r="J112" s="1"/>
  <c r="H112" i="15"/>
  <c r="J112" s="1"/>
  <c r="H112" i="30"/>
  <c r="H112" i="12"/>
  <c r="J112" s="1"/>
  <c r="H112" i="17"/>
  <c r="J112" s="1"/>
  <c r="J112" i="11"/>
  <c r="H112" i="18"/>
  <c r="J112" s="1"/>
  <c r="H112" i="28"/>
  <c r="J112" s="1"/>
  <c r="H112" i="29"/>
  <c r="J112" s="1"/>
  <c r="H112" i="13"/>
  <c r="J112" s="1"/>
  <c r="F119"/>
  <c r="G119"/>
  <c r="F118" i="16"/>
  <c r="G118"/>
  <c r="H118" s="1"/>
  <c r="J118" s="1"/>
  <c r="F119"/>
  <c r="G119"/>
  <c r="H119" s="1"/>
  <c r="J119" s="1"/>
  <c r="F118" i="23"/>
  <c r="G118"/>
  <c r="F118" i="8"/>
  <c r="G118"/>
  <c r="G119" i="9"/>
  <c r="G119" i="11"/>
  <c r="G118" i="15"/>
  <c r="H118" s="1"/>
  <c r="J118" s="1"/>
  <c r="F119" i="17"/>
  <c r="G119"/>
  <c r="H119" s="1"/>
  <c r="J119" s="1"/>
  <c r="F118" i="20"/>
  <c r="G118"/>
  <c r="F119" i="8"/>
  <c r="G119"/>
  <c r="G118" i="11"/>
  <c r="F119" i="18"/>
  <c r="G119" i="33"/>
  <c r="F119" i="7"/>
  <c r="G119"/>
  <c r="F118" i="13"/>
  <c r="G118" i="24"/>
  <c r="H118" s="1"/>
  <c r="J118" s="1"/>
  <c r="G119"/>
  <c r="H119" s="1"/>
  <c r="J119" s="1"/>
  <c r="G119" i="28"/>
  <c r="H119" s="1"/>
  <c r="J119" s="1"/>
  <c r="F119" i="21"/>
  <c r="G119"/>
  <c r="G119" i="30"/>
  <c r="F118" i="7"/>
  <c r="G118"/>
  <c r="F119" i="15"/>
  <c r="G119"/>
  <c r="H119" s="1"/>
  <c r="J119" s="1"/>
  <c r="F118" i="19"/>
  <c r="G118"/>
  <c r="H118" s="1"/>
  <c r="J118" s="1"/>
  <c r="F118" i="21"/>
  <c r="G118"/>
  <c r="G118" i="27"/>
  <c r="H118" s="1"/>
  <c r="J118" s="1"/>
  <c r="G118" i="28"/>
  <c r="H118" s="1"/>
  <c r="J118" s="1"/>
  <c r="F118" i="9"/>
  <c r="G118"/>
  <c r="G119" i="14"/>
  <c r="H119" s="1"/>
  <c r="J119" s="1"/>
  <c r="F119"/>
  <c r="G119" i="22"/>
  <c r="F119"/>
  <c r="G119" i="29"/>
  <c r="H119" s="1"/>
  <c r="J119" s="1"/>
  <c r="G119" i="12"/>
  <c r="F118" i="14"/>
  <c r="G118"/>
  <c r="H118" s="1"/>
  <c r="J118" s="1"/>
  <c r="F119" i="19"/>
  <c r="G119"/>
  <c r="H119" s="1"/>
  <c r="J119" s="1"/>
  <c r="F118" i="22"/>
  <c r="G118"/>
  <c r="F119" i="23"/>
  <c r="F119" i="20"/>
  <c r="G119"/>
  <c r="G118" i="18"/>
  <c r="H118" s="1"/>
  <c r="J118" s="1"/>
  <c r="F118"/>
  <c r="F118" i="12"/>
  <c r="G118"/>
  <c r="G118" i="40"/>
  <c r="H118" s="1"/>
  <c r="J118" s="1"/>
  <c r="G119" i="27"/>
  <c r="H119" s="1"/>
  <c r="J119" s="1"/>
  <c r="G118" i="29"/>
  <c r="H118" s="1"/>
  <c r="J118" s="1"/>
  <c r="F118" i="17"/>
  <c r="G118"/>
  <c r="H118" s="1"/>
  <c r="J118" s="1"/>
  <c r="E11" i="35"/>
  <c r="G11" s="1"/>
  <c r="W19" i="1"/>
  <c r="W8"/>
  <c r="W9"/>
  <c r="W30"/>
  <c r="W18"/>
  <c r="W20"/>
  <c r="G198" i="11"/>
  <c r="W23" i="1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1" i="11"/>
  <c r="AL5" i="1"/>
  <c r="AH8"/>
  <c r="I136" i="33"/>
  <c r="AH7" i="1"/>
  <c r="AL7"/>
  <c r="AM6"/>
  <c r="AH9"/>
  <c r="I136" i="7"/>
  <c r="AA7" i="1"/>
  <c r="L21" i="27"/>
  <c r="AH5" i="1"/>
  <c r="AL8"/>
  <c r="I139" i="33"/>
  <c r="AM9" i="1"/>
  <c r="I139" i="7"/>
  <c r="AH6" i="1"/>
  <c r="AO34" i="44"/>
  <c r="BH31" i="49" s="1"/>
  <c r="AA9" i="1"/>
  <c r="AE9" s="1"/>
  <c r="I133" i="7"/>
  <c r="AI10" i="1"/>
  <c r="I136" i="8"/>
  <c r="I133"/>
  <c r="AM10" i="1"/>
  <c r="I139" i="8"/>
  <c r="I4" i="35"/>
  <c r="AL5" i="44"/>
  <c r="AT18" i="1"/>
  <c r="AQ7"/>
  <c r="AS7"/>
  <c r="AQ8"/>
  <c r="AX8"/>
  <c r="AN10" i="44"/>
  <c r="BG7" i="49" s="1"/>
  <c r="AT9" i="1"/>
  <c r="AY9"/>
  <c r="BI9"/>
  <c r="AS11"/>
  <c r="AZ12"/>
  <c r="AU12"/>
  <c r="AY12"/>
  <c r="BI12"/>
  <c r="I12" i="35"/>
  <c r="AL13" i="44"/>
  <c r="AK10" i="49" s="1"/>
  <c r="AN14" i="44"/>
  <c r="BG11" i="49" s="1"/>
  <c r="AN18" i="44"/>
  <c r="BG15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N9" i="44"/>
  <c r="BG6" i="49" s="1"/>
  <c r="AS9" i="1"/>
  <c r="AX9"/>
  <c r="AN12" i="44"/>
  <c r="BG9" i="49" s="1"/>
  <c r="AQ12" i="1"/>
  <c r="AT12"/>
  <c r="AN17" i="44"/>
  <c r="BG14" i="49" s="1"/>
  <c r="AZ17" i="1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N11" i="44"/>
  <c r="BG8" i="49" s="1"/>
  <c r="AV14" i="1"/>
  <c r="AR14"/>
  <c r="AX15"/>
  <c r="AT15"/>
  <c r="AY13"/>
  <c r="AU13"/>
  <c r="BI5"/>
  <c r="AS29"/>
  <c r="I5" i="35"/>
  <c r="AL6" i="44"/>
  <c r="AK3" i="49" s="1"/>
  <c r="AU7" i="1"/>
  <c r="AV8"/>
  <c r="BJ8" s="1"/>
  <c r="I9"/>
  <c r="E7" i="47" s="1"/>
  <c r="AR9" i="1"/>
  <c r="I11"/>
  <c r="E9" i="47" s="1"/>
  <c r="AZ11" i="1"/>
  <c r="AU11"/>
  <c r="AY11"/>
  <c r="BI11"/>
  <c r="I13"/>
  <c r="E11" i="47" s="1"/>
  <c r="AN15" i="44"/>
  <c r="BG12" i="49" s="1"/>
  <c r="AQ17" i="1"/>
  <c r="AT17"/>
  <c r="AX17"/>
  <c r="AS18"/>
  <c r="AX18"/>
  <c r="AY21"/>
  <c r="BI21"/>
  <c r="BE21"/>
  <c r="AV22"/>
  <c r="BI22"/>
  <c r="AT23"/>
  <c r="AX23"/>
  <c r="AS25"/>
  <c r="BI28"/>
  <c r="AS30"/>
  <c r="G152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BG32" i="49"/>
  <c r="AS8" i="1"/>
  <c r="BI8"/>
  <c r="AU9"/>
  <c r="AT11"/>
  <c r="AX11"/>
  <c r="I11" i="35"/>
  <c r="AL12" i="44"/>
  <c r="AK9" i="49" s="1"/>
  <c r="AQ13" i="1"/>
  <c r="AQ15"/>
  <c r="AS17"/>
  <c r="AN19" i="44"/>
  <c r="BG16" i="49" s="1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E18" i="47" s="1"/>
  <c r="G143" i="18"/>
  <c r="AQ5" i="44"/>
  <c r="AP8" i="1"/>
  <c r="AO9" i="44"/>
  <c r="BH6" i="49" s="1"/>
  <c r="AP9" i="1"/>
  <c r="AO10" i="44"/>
  <c r="BH7" i="49" s="1"/>
  <c r="AP12" i="1"/>
  <c r="AO13" i="44"/>
  <c r="BH10" i="49" s="1"/>
  <c r="H18" i="35"/>
  <c r="BK19" i="1"/>
  <c r="AM20" i="44"/>
  <c r="AL17" i="49" s="1"/>
  <c r="M21" i="1"/>
  <c r="G19" i="47" s="1"/>
  <c r="AN22" i="44"/>
  <c r="BG19" i="49" s="1"/>
  <c r="N21" i="44"/>
  <c r="M18" i="49" s="1"/>
  <c r="N22" i="44"/>
  <c r="M19" i="49" s="1"/>
  <c r="BK21" i="1"/>
  <c r="AM22" i="44"/>
  <c r="AL19" i="49" s="1"/>
  <c r="M23" i="1"/>
  <c r="G21" i="47" s="1"/>
  <c r="AN24" i="44"/>
  <c r="BG21" i="49" s="1"/>
  <c r="M25" i="1"/>
  <c r="G23" i="47" s="1"/>
  <c r="AN26" i="44"/>
  <c r="BG23" i="49" s="1"/>
  <c r="BK25" i="1"/>
  <c r="AM26" i="44"/>
  <c r="AL23" i="49" s="1"/>
  <c r="BK26" i="1"/>
  <c r="AM27" i="44"/>
  <c r="AL24" i="49" s="1"/>
  <c r="M29" i="1"/>
  <c r="G27" i="47" s="1"/>
  <c r="AN30" i="44"/>
  <c r="BG27" i="49" s="1"/>
  <c r="V5" i="44"/>
  <c r="O5"/>
  <c r="M16" i="35"/>
  <c r="O16" s="1"/>
  <c r="N17" i="44"/>
  <c r="M14" i="49" s="1"/>
  <c r="BK16" i="1"/>
  <c r="AM17" i="44"/>
  <c r="AL14" i="49" s="1"/>
  <c r="AP6" i="1"/>
  <c r="AO7" i="44"/>
  <c r="BH4" i="49" s="1"/>
  <c r="BK15" i="1"/>
  <c r="AM16" i="44"/>
  <c r="AL13" i="49" s="1"/>
  <c r="P18" i="44"/>
  <c r="O15" i="49" s="1"/>
  <c r="BK32" i="1"/>
  <c r="AM33" i="44"/>
  <c r="AL30" i="49" s="1"/>
  <c r="O32"/>
  <c r="P32"/>
  <c r="U5" i="44"/>
  <c r="AP5" i="1"/>
  <c r="AO6" i="44"/>
  <c r="BH3" i="49" s="1"/>
  <c r="AN20" i="44"/>
  <c r="BG17" i="49" s="1"/>
  <c r="M19" i="1"/>
  <c r="G17" i="47" s="1"/>
  <c r="M20" i="1"/>
  <c r="G18" i="47" s="1"/>
  <c r="AN21" i="44"/>
  <c r="BG18" i="49" s="1"/>
  <c r="G128" i="18"/>
  <c r="G57"/>
  <c r="BH20" i="1" s="1"/>
  <c r="AP20"/>
  <c r="AO21" i="44"/>
  <c r="BH18" i="49" s="1"/>
  <c r="G7" i="19"/>
  <c r="B22" i="44" s="1"/>
  <c r="G37" i="19"/>
  <c r="M22" i="1"/>
  <c r="G20" i="47" s="1"/>
  <c r="AN23" i="44"/>
  <c r="BG20" i="49" s="1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AN34" i="44"/>
  <c r="BG31" i="49" s="1"/>
  <c r="R5" i="44"/>
  <c r="AP7" i="1"/>
  <c r="AO8" i="44"/>
  <c r="BH5" i="49" s="1"/>
  <c r="H11" i="35"/>
  <c r="AP15" i="1"/>
  <c r="AO16" i="44"/>
  <c r="BH13" i="49" s="1"/>
  <c r="AP16" i="1"/>
  <c r="AO17" i="44"/>
  <c r="BH14" i="49" s="1"/>
  <c r="AP19" i="1"/>
  <c r="AO20" i="44"/>
  <c r="BH17" i="49" s="1"/>
  <c r="G56" i="18"/>
  <c r="AM20" i="1"/>
  <c r="AP21"/>
  <c r="AO22" i="44"/>
  <c r="BH19" i="49" s="1"/>
  <c r="BK22" i="1"/>
  <c r="AM23" i="44"/>
  <c r="AL20" i="49" s="1"/>
  <c r="AP22" i="1"/>
  <c r="AO23" i="44"/>
  <c r="BH20" i="49" s="1"/>
  <c r="M24" i="1"/>
  <c r="G22" i="47" s="1"/>
  <c r="AN25" i="44"/>
  <c r="BG22" i="49" s="1"/>
  <c r="AP25" i="1"/>
  <c r="AO26" i="44"/>
  <c r="BH23" i="49" s="1"/>
  <c r="M26" i="1"/>
  <c r="G24" i="47" s="1"/>
  <c r="AN27" i="44"/>
  <c r="BG24" i="49" s="1"/>
  <c r="AP26" i="1"/>
  <c r="AO27" i="44"/>
  <c r="BH24" i="49" s="1"/>
  <c r="BK28" i="1"/>
  <c r="AM29" i="44"/>
  <c r="AL26" i="49" s="1"/>
  <c r="M31" i="1"/>
  <c r="G29" i="47" s="1"/>
  <c r="AN32" i="44"/>
  <c r="BG29" i="49" s="1"/>
  <c r="AP32" i="1"/>
  <c r="AO33" i="44"/>
  <c r="BH30" i="49" s="1"/>
  <c r="X5" i="44"/>
  <c r="S5"/>
  <c r="BK5" i="1"/>
  <c r="AM6" i="44"/>
  <c r="AL3" i="49" s="1"/>
  <c r="BK9" i="1"/>
  <c r="AM10" i="44"/>
  <c r="AL7" i="49" s="1"/>
  <c r="M14" i="35"/>
  <c r="O14" s="1"/>
  <c r="N15" i="44"/>
  <c r="M12" i="49" s="1"/>
  <c r="BK14" i="1"/>
  <c r="AM15" i="44"/>
  <c r="AL12" i="49" s="1"/>
  <c r="AL32"/>
  <c r="BH32"/>
  <c r="P5" i="44"/>
  <c r="AR5"/>
  <c r="AP4" i="1"/>
  <c r="AO5" i="44"/>
  <c r="AN5"/>
  <c r="AN13"/>
  <c r="BG10" i="49" s="1"/>
  <c r="H12" i="35"/>
  <c r="AP13" i="1"/>
  <c r="AP14"/>
  <c r="AO15" i="44"/>
  <c r="BH12" i="49" s="1"/>
  <c r="G39" i="18"/>
  <c r="BK20" i="1"/>
  <c r="AM21" i="44"/>
  <c r="AL18" i="49" s="1"/>
  <c r="G39" i="19"/>
  <c r="AP23" i="1"/>
  <c r="AO24" i="44"/>
  <c r="BH21" i="49" s="1"/>
  <c r="M28" i="1"/>
  <c r="G26" i="47" s="1"/>
  <c r="AN29" i="44"/>
  <c r="BG26" i="49" s="1"/>
  <c r="AP29" i="1"/>
  <c r="AO30" i="44"/>
  <c r="BH27" i="49" s="1"/>
  <c r="M30" i="1"/>
  <c r="G28" i="47" s="1"/>
  <c r="AN31" i="44"/>
  <c r="BG28" i="49" s="1"/>
  <c r="BK30" i="1"/>
  <c r="AM31" i="44"/>
  <c r="AL28" i="49" s="1"/>
  <c r="M32" i="1"/>
  <c r="G30" i="47" s="1"/>
  <c r="AN33" i="44"/>
  <c r="BG30" i="49" s="1"/>
  <c r="AP11" i="1"/>
  <c r="AO12" i="44"/>
  <c r="BH9" i="49" s="1"/>
  <c r="Z5" i="44"/>
  <c r="T5"/>
  <c r="P8"/>
  <c r="O5" i="49" s="1"/>
  <c r="Q8" i="44"/>
  <c r="P5" i="49" s="1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BH8" i="49" s="1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G128" i="11"/>
  <c r="M4" i="1"/>
  <c r="G2" i="47" s="1"/>
  <c r="G128" i="15"/>
  <c r="G128" i="24"/>
  <c r="G128" i="27"/>
  <c r="G128" i="19"/>
  <c r="G128" i="21"/>
  <c r="G128" i="29"/>
  <c r="G128" i="17"/>
  <c r="H128" s="1"/>
  <c r="G128" i="40"/>
  <c r="G128" i="43"/>
  <c r="G128" i="14"/>
  <c r="G128" i="23"/>
  <c r="M18" i="1"/>
  <c r="G16" i="47" s="1"/>
  <c r="G128" i="16"/>
  <c r="G128" i="20"/>
  <c r="G128" i="7"/>
  <c r="M10" i="1"/>
  <c r="G8" i="47" s="1"/>
  <c r="G128" i="8"/>
  <c r="G128" i="9"/>
  <c r="G52" i="20"/>
  <c r="H23" i="44" s="1"/>
  <c r="G20" i="49" s="1"/>
  <c r="W13" i="1"/>
  <c r="G8" i="35"/>
  <c r="Q36" i="1"/>
  <c r="I27"/>
  <c r="E25" i="47" s="1"/>
  <c r="G148" i="21"/>
  <c r="G149" s="1"/>
  <c r="G20" i="19"/>
  <c r="G20" i="24"/>
  <c r="E27" i="44" s="1"/>
  <c r="V30" i="1"/>
  <c r="V21"/>
  <c r="V9"/>
  <c r="V8"/>
  <c r="G94" i="11"/>
  <c r="G148" i="16"/>
  <c r="G149" s="1"/>
  <c r="G94" i="28"/>
  <c r="G148" i="43"/>
  <c r="AT4" i="1"/>
  <c r="G146" i="29"/>
  <c r="G148" i="28"/>
  <c r="G149" s="1"/>
  <c r="G20" i="40"/>
  <c r="E29" i="44" s="1"/>
  <c r="AJ27" i="1"/>
  <c r="AJ28"/>
  <c r="G152" i="43"/>
  <c r="O27" i="1"/>
  <c r="G20" i="22"/>
  <c r="G20" i="21"/>
  <c r="E24" i="44" s="1"/>
  <c r="BB36" i="1"/>
  <c r="BF36"/>
  <c r="G94" i="27"/>
  <c r="G152" i="24"/>
  <c r="G153" s="1"/>
  <c r="G150" i="40"/>
  <c r="G151" s="1"/>
  <c r="G20" i="13"/>
  <c r="E16" i="44" s="1"/>
  <c r="G152" i="18"/>
  <c r="G153" s="1"/>
  <c r="V31" i="1"/>
  <c r="V28"/>
  <c r="I138" i="24"/>
  <c r="G146" i="40"/>
  <c r="G147" s="1"/>
  <c r="V7" i="1"/>
  <c r="I138" i="40"/>
  <c r="G146" i="22"/>
  <c r="G147" s="1"/>
  <c r="AE29" i="1"/>
  <c r="G13" i="28"/>
  <c r="I13" s="1"/>
  <c r="G148" i="30"/>
  <c r="BC32" i="1"/>
  <c r="V6"/>
  <c r="AS23"/>
  <c r="G152" i="22"/>
  <c r="G153" s="1"/>
  <c r="G144" i="40"/>
  <c r="G145" s="1"/>
  <c r="I138" i="27"/>
  <c r="G152" i="14"/>
  <c r="G153" s="1"/>
  <c r="G20" i="27"/>
  <c r="E30" i="44" s="1"/>
  <c r="G94" i="23"/>
  <c r="G94" i="40"/>
  <c r="G148" i="17"/>
  <c r="G149" s="1"/>
  <c r="G20" i="42"/>
  <c r="E30" s="1"/>
  <c r="G30" s="1"/>
  <c r="G20" i="20"/>
  <c r="E23" i="44" s="1"/>
  <c r="G20" i="43"/>
  <c r="G152" i="8"/>
  <c r="G153" s="1"/>
  <c r="I138" i="28"/>
  <c r="I29" i="1"/>
  <c r="E27" i="47" s="1"/>
  <c r="G20" i="23"/>
  <c r="E26" i="44" s="1"/>
  <c r="I133" i="23"/>
  <c r="W16" i="1"/>
  <c r="G20" i="33"/>
  <c r="E9" i="44" s="1"/>
  <c r="P12" i="1"/>
  <c r="I10" i="47" s="1"/>
  <c r="G150" i="19"/>
  <c r="I133" i="22"/>
  <c r="I136" i="40"/>
  <c r="I133" i="27"/>
  <c r="G101" i="28"/>
  <c r="E36" i="1"/>
  <c r="I138" i="17"/>
  <c r="BD36" i="1"/>
  <c r="G150" i="16"/>
  <c r="G151" s="1"/>
  <c r="E18" i="35"/>
  <c r="G18" s="1"/>
  <c r="G94" i="16"/>
  <c r="BC19" i="1"/>
  <c r="I138" i="16"/>
  <c r="AA36" i="1"/>
  <c r="U36"/>
  <c r="G59" i="15"/>
  <c r="G20" i="14"/>
  <c r="AT27" i="1"/>
  <c r="BG17"/>
  <c r="G144" i="15"/>
  <c r="G145" s="1"/>
  <c r="AZ26" i="1"/>
  <c r="G150" i="24"/>
  <c r="G151" s="1"/>
  <c r="G20" i="11"/>
  <c r="E14" i="44" s="1"/>
  <c r="G101" i="19"/>
  <c r="I133" i="21"/>
  <c r="G85" i="40"/>
  <c r="I24" i="1"/>
  <c r="E22" i="47" s="1"/>
  <c r="BH30" i="1"/>
  <c r="G142" i="28"/>
  <c r="G143" s="1"/>
  <c r="AC13" i="1"/>
  <c r="AE13" s="1"/>
  <c r="I136" i="11"/>
  <c r="M17" i="1"/>
  <c r="G15" i="47" s="1"/>
  <c r="BC27" i="1"/>
  <c r="G85" i="19"/>
  <c r="G13" i="22"/>
  <c r="I13" s="1"/>
  <c r="G59" i="28"/>
  <c r="I136" i="27"/>
  <c r="V26" i="1"/>
  <c r="G20" i="15"/>
  <c r="G20" i="18"/>
  <c r="E21" i="44" s="1"/>
  <c r="G94" i="15"/>
  <c r="G142" i="22"/>
  <c r="G143" s="1"/>
  <c r="G142" i="27"/>
  <c r="G143" s="1"/>
  <c r="G152" i="28"/>
  <c r="G153" s="1"/>
  <c r="X30" i="1"/>
  <c r="G150" i="21"/>
  <c r="G151" s="1"/>
  <c r="G144" i="22"/>
  <c r="G145" s="1"/>
  <c r="G146" i="13"/>
  <c r="G146" i="16"/>
  <c r="G147" s="1"/>
  <c r="G150" i="29"/>
  <c r="E9" i="35"/>
  <c r="G9" s="1"/>
  <c r="V25" i="1"/>
  <c r="G152" i="27"/>
  <c r="G153" s="1"/>
  <c r="G146" i="17"/>
  <c r="G147" s="1"/>
  <c r="G152" i="40"/>
  <c r="G153" s="1"/>
  <c r="V29" i="1"/>
  <c r="V18"/>
  <c r="V14"/>
  <c r="V32"/>
  <c r="G20" i="17"/>
  <c r="E20" i="44" s="1"/>
  <c r="G94" i="12"/>
  <c r="G152" i="13"/>
  <c r="BE36" i="1"/>
  <c r="G85" i="17"/>
  <c r="G94"/>
  <c r="G94" i="20"/>
  <c r="G94" i="21"/>
  <c r="G150" i="20"/>
  <c r="G151" s="1"/>
  <c r="G146" i="21"/>
  <c r="G147" s="1"/>
  <c r="G142" i="23"/>
  <c r="G13" i="14"/>
  <c r="I13" s="1"/>
  <c r="G13" i="17"/>
  <c r="I13" s="1"/>
  <c r="I136" i="22"/>
  <c r="D36" i="1"/>
  <c r="J36"/>
  <c r="G94" i="8"/>
  <c r="AZ28" i="1"/>
  <c r="I26"/>
  <c r="E24" i="47" s="1"/>
  <c r="G148" i="9"/>
  <c r="G149" s="1"/>
  <c r="G94" i="18"/>
  <c r="G85" i="23"/>
  <c r="G13" i="27"/>
  <c r="I13" s="1"/>
  <c r="G59"/>
  <c r="BH29" i="1"/>
  <c r="G20" i="8"/>
  <c r="AE16" i="1"/>
  <c r="G146" i="14"/>
  <c r="G147" s="1"/>
  <c r="I138" i="12"/>
  <c r="G94" i="13"/>
  <c r="G85"/>
  <c r="G148"/>
  <c r="BC15" i="1"/>
  <c r="M14"/>
  <c r="G12" i="47" s="1"/>
  <c r="V13" i="1"/>
  <c r="AO12"/>
  <c r="I133" i="11"/>
  <c r="G85"/>
  <c r="G142"/>
  <c r="G143" s="1"/>
  <c r="W11" i="1"/>
  <c r="BK12"/>
  <c r="AV12"/>
  <c r="G20" i="9"/>
  <c r="G94"/>
  <c r="M11" i="1"/>
  <c r="G9" i="47" s="1"/>
  <c r="BK11" i="1"/>
  <c r="M11" i="35"/>
  <c r="O11" s="1"/>
  <c r="G85" i="9"/>
  <c r="BC11" i="1"/>
  <c r="G59" i="9"/>
  <c r="G142" i="8"/>
  <c r="G143" s="1"/>
  <c r="G150" i="9"/>
  <c r="G151" s="1"/>
  <c r="G13" i="8"/>
  <c r="I13" s="1"/>
  <c r="W10" i="1"/>
  <c r="G85" i="8"/>
  <c r="I10" i="1"/>
  <c r="E8" i="47" s="1"/>
  <c r="BG10" i="1"/>
  <c r="G144" i="8"/>
  <c r="G145" s="1"/>
  <c r="BB14" i="1"/>
  <c r="G152" i="12"/>
  <c r="G47" i="28"/>
  <c r="G150"/>
  <c r="G151" s="1"/>
  <c r="AZ30" i="1"/>
  <c r="AR5"/>
  <c r="G13" i="24"/>
  <c r="AZ13" i="1"/>
  <c r="G150" i="11"/>
  <c r="G151" s="1"/>
  <c r="AA10" i="1"/>
  <c r="I138" i="23"/>
  <c r="AJ25" i="1"/>
  <c r="L17" i="35"/>
  <c r="G85" i="15"/>
  <c r="AQ4" i="1"/>
  <c r="AC17"/>
  <c r="AE17" s="1"/>
  <c r="I136" i="15"/>
  <c r="I138" i="22"/>
  <c r="AJ24" i="1"/>
  <c r="G150" i="12"/>
  <c r="AZ14" i="1"/>
  <c r="G148" i="14"/>
  <c r="G149" s="1"/>
  <c r="AS16" i="1"/>
  <c r="AC22"/>
  <c r="AE22" s="1"/>
  <c r="I136" i="20"/>
  <c r="AR18" i="1"/>
  <c r="G152" i="16"/>
  <c r="G153" s="1"/>
  <c r="G150" i="18"/>
  <c r="G151" s="1"/>
  <c r="AZ20" i="1"/>
  <c r="AH15"/>
  <c r="I136" i="13"/>
  <c r="AD10" i="1"/>
  <c r="BB13"/>
  <c r="G152" i="11"/>
  <c r="G153" s="1"/>
  <c r="AS13" i="1"/>
  <c r="G148" i="11"/>
  <c r="G149" s="1"/>
  <c r="AI27" i="1"/>
  <c r="AI28"/>
  <c r="I12"/>
  <c r="E10" i="47" s="1"/>
  <c r="AR23" i="1"/>
  <c r="G152" i="21"/>
  <c r="G153" s="1"/>
  <c r="AJ23" i="1"/>
  <c r="I138" i="21"/>
  <c r="AS26" i="1"/>
  <c r="G148" i="24"/>
  <c r="G149" s="1"/>
  <c r="AQ28" i="1"/>
  <c r="G143" i="40"/>
  <c r="X13" i="1"/>
  <c r="AV27"/>
  <c r="G144" i="14"/>
  <c r="G145" s="1"/>
  <c r="G146" i="20"/>
  <c r="G147" s="1"/>
  <c r="G13" i="13"/>
  <c r="AB36" i="1"/>
  <c r="AR31"/>
  <c r="G59" i="17"/>
  <c r="AM27" i="1"/>
  <c r="AO27" s="1"/>
  <c r="I22"/>
  <c r="E20" i="47" s="1"/>
  <c r="G59" i="23"/>
  <c r="BD4" i="1"/>
  <c r="I138" i="18"/>
  <c r="G101" i="20"/>
  <c r="G148" i="22"/>
  <c r="G149" s="1"/>
  <c r="G146" i="23"/>
  <c r="G142" i="13"/>
  <c r="V20" i="1"/>
  <c r="G152" i="23"/>
  <c r="G101" i="8"/>
  <c r="I138" i="9"/>
  <c r="I138" i="11"/>
  <c r="I25" i="1"/>
  <c r="E23" i="47" s="1"/>
  <c r="G142" i="24"/>
  <c r="G143" s="1"/>
  <c r="I133" i="40"/>
  <c r="G148" i="15"/>
  <c r="G149" s="1"/>
  <c r="BB30" i="1"/>
  <c r="V12"/>
  <c r="BA11"/>
  <c r="I133" i="13"/>
  <c r="G150" i="14"/>
  <c r="G151" s="1"/>
  <c r="I133"/>
  <c r="G13" i="19"/>
  <c r="I133" i="20"/>
  <c r="I133" i="28"/>
  <c r="G94" i="29"/>
  <c r="G85" i="12"/>
  <c r="M12" i="1"/>
  <c r="G10" i="47" s="1"/>
  <c r="AX12" i="1"/>
  <c r="AQ19"/>
  <c r="G142" i="17"/>
  <c r="G143" s="1"/>
  <c r="AC23" i="1"/>
  <c r="I136" i="21"/>
  <c r="BI29" i="1"/>
  <c r="G150" i="27"/>
  <c r="G151" s="1"/>
  <c r="AD12" i="1"/>
  <c r="AE12" s="1"/>
  <c r="AJ4"/>
  <c r="AC20"/>
  <c r="I30"/>
  <c r="E28" i="47" s="1"/>
  <c r="AT10" i="1"/>
  <c r="G146" i="8"/>
  <c r="G147" s="1"/>
  <c r="G144" i="27"/>
  <c r="G145" s="1"/>
  <c r="AV29" i="1"/>
  <c r="AV30"/>
  <c r="G144" i="28"/>
  <c r="G145" s="1"/>
  <c r="BG15" i="1"/>
  <c r="G144" i="13"/>
  <c r="W15" i="1"/>
  <c r="G101" i="13"/>
  <c r="AQ23" i="1"/>
  <c r="G142" i="21"/>
  <c r="G143" s="1"/>
  <c r="BF23" i="1"/>
  <c r="G144" i="21"/>
  <c r="G145" s="1"/>
  <c r="AT26" i="1"/>
  <c r="G146" i="24"/>
  <c r="G147" s="1"/>
  <c r="BD30" i="1"/>
  <c r="G146" i="28"/>
  <c r="G147" s="1"/>
  <c r="AI31" i="1"/>
  <c r="I138" i="29"/>
  <c r="M12" i="35"/>
  <c r="O12" s="1"/>
  <c r="G150" i="17"/>
  <c r="G151" s="1"/>
  <c r="I7" i="1"/>
  <c r="E5" i="47" s="1"/>
  <c r="G150" i="8"/>
  <c r="G151" s="1"/>
  <c r="AZ10" i="1"/>
  <c r="AT29"/>
  <c r="G146" i="27"/>
  <c r="G147" s="1"/>
  <c r="AS4" i="1"/>
  <c r="G59" i="40"/>
  <c r="G85" i="28"/>
  <c r="BC18" i="1"/>
  <c r="AZ22"/>
  <c r="V27"/>
  <c r="I133" i="12"/>
  <c r="G101" i="16"/>
  <c r="G94" i="19"/>
  <c r="G94" i="22"/>
  <c r="G94" i="24"/>
  <c r="AE26" i="1"/>
  <c r="G85" i="22"/>
  <c r="G59" i="8"/>
  <c r="G146" i="12"/>
  <c r="O8" i="35"/>
  <c r="V10" i="1"/>
  <c r="F36"/>
  <c r="V5"/>
  <c r="AE11"/>
  <c r="G20" i="12"/>
  <c r="G150" i="15"/>
  <c r="G151" s="1"/>
  <c r="I133"/>
  <c r="I138" i="20"/>
  <c r="V24" i="1"/>
  <c r="V15"/>
  <c r="V22"/>
  <c r="I133" i="24"/>
  <c r="G152" i="7"/>
  <c r="G153" s="1"/>
  <c r="G47" i="16"/>
  <c r="AE19" i="1"/>
  <c r="G101" i="22"/>
  <c r="G13" i="23"/>
  <c r="G109" i="42"/>
  <c r="G110" s="1"/>
  <c r="G142" i="14"/>
  <c r="G143" s="1"/>
  <c r="G94"/>
  <c r="G13" i="15"/>
  <c r="I13" s="1"/>
  <c r="G20" i="16"/>
  <c r="G85" i="20"/>
  <c r="G148" i="23"/>
  <c r="N36" i="1"/>
  <c r="G85" i="14"/>
  <c r="I138" i="13"/>
  <c r="G144" i="17"/>
  <c r="G145" s="1"/>
  <c r="G47" i="27"/>
  <c r="G13" i="11"/>
  <c r="AD36" i="1"/>
  <c r="I138" i="15"/>
  <c r="G20" i="28"/>
  <c r="E31" i="44" s="1"/>
  <c r="G146" i="7"/>
  <c r="G147" s="1"/>
  <c r="G142"/>
  <c r="G143" s="1"/>
  <c r="G94" i="33"/>
  <c r="M9" i="1"/>
  <c r="G7" i="47" s="1"/>
  <c r="G94" i="7"/>
  <c r="BB9" i="1"/>
  <c r="AI9"/>
  <c r="M9" i="35"/>
  <c r="O9" s="1"/>
  <c r="G85" i="7"/>
  <c r="G47"/>
  <c r="AQ9" i="1"/>
  <c r="G148" i="7"/>
  <c r="G149" s="1"/>
  <c r="G13"/>
  <c r="AC8" i="1"/>
  <c r="AE8" s="1"/>
  <c r="I133" i="33"/>
  <c r="G101"/>
  <c r="G85"/>
  <c r="G150"/>
  <c r="G151" s="1"/>
  <c r="AT8" i="1"/>
  <c r="G146" i="33"/>
  <c r="M8" i="1"/>
  <c r="G6" i="47" s="1"/>
  <c r="G13" i="33"/>
  <c r="AS12" i="1"/>
  <c r="T36"/>
  <c r="V17"/>
  <c r="G101" i="7"/>
  <c r="X9" i="1"/>
  <c r="G142" i="9"/>
  <c r="G143" s="1"/>
  <c r="AQ11" i="1"/>
  <c r="X11"/>
  <c r="G101" i="9"/>
  <c r="AR17" i="1"/>
  <c r="G152" i="15"/>
  <c r="G153" s="1"/>
  <c r="W12" i="1"/>
  <c r="E14" i="35"/>
  <c r="G14" s="1"/>
  <c r="W14" i="1"/>
  <c r="BI15"/>
  <c r="G59" i="13"/>
  <c r="AZ25" i="1"/>
  <c r="G150" i="23"/>
  <c r="W26" i="1"/>
  <c r="G101" i="24"/>
  <c r="BE28" i="1"/>
  <c r="BE27"/>
  <c r="W27"/>
  <c r="Z27" s="1"/>
  <c r="W28"/>
  <c r="G101" i="40"/>
  <c r="G148" i="27"/>
  <c r="G149" s="1"/>
  <c r="BC29" i="1"/>
  <c r="AD30"/>
  <c r="AE30" s="1"/>
  <c r="I136" i="28"/>
  <c r="Y19" i="1"/>
  <c r="G101" i="17"/>
  <c r="G148" i="12"/>
  <c r="BC14" i="1"/>
  <c r="AT24"/>
  <c r="G47" i="22"/>
  <c r="L47" s="1"/>
  <c r="AX27" i="1"/>
  <c r="Y16"/>
  <c r="G101" i="14"/>
  <c r="AJ16" i="1"/>
  <c r="I138" i="14"/>
  <c r="AQ18" i="1"/>
  <c r="G142" i="16"/>
  <c r="G143" s="1"/>
  <c r="L18" i="35"/>
  <c r="G85" i="16"/>
  <c r="G47" i="15"/>
  <c r="G59" i="24"/>
  <c r="G47" i="13"/>
  <c r="I133" i="17"/>
  <c r="V19" i="1"/>
  <c r="I133" i="9"/>
  <c r="G85" i="21"/>
  <c r="AE27" i="1"/>
  <c r="AE28"/>
  <c r="G85" i="27"/>
  <c r="G47" i="40"/>
  <c r="G146" i="15"/>
  <c r="G147" s="1"/>
  <c r="G144" i="16"/>
  <c r="G145" s="1"/>
  <c r="I136" i="24"/>
  <c r="G101" i="18"/>
  <c r="G144" i="33"/>
  <c r="AZ9" i="1"/>
  <c r="G146" i="9"/>
  <c r="G147" s="1"/>
  <c r="M13" i="1"/>
  <c r="G11" i="47" s="1"/>
  <c r="G101" i="12"/>
  <c r="G150" i="13"/>
  <c r="BB15" i="1"/>
  <c r="G59" i="14"/>
  <c r="G101" i="23"/>
  <c r="K8" i="35"/>
  <c r="V16" i="1"/>
  <c r="G144" i="7"/>
  <c r="G145" s="1"/>
  <c r="G47" i="23"/>
  <c r="I136"/>
  <c r="H4" i="35"/>
  <c r="AR11" i="1"/>
  <c r="G152" i="9"/>
  <c r="G153" s="1"/>
  <c r="I17" i="1"/>
  <c r="E15" i="47" s="1"/>
  <c r="AQ21" i="1"/>
  <c r="BC21"/>
  <c r="G148" i="19"/>
  <c r="AS28" i="1"/>
  <c r="G148" i="40"/>
  <c r="G149" s="1"/>
  <c r="AV11" i="1"/>
  <c r="BJ11" s="1"/>
  <c r="G144" i="9"/>
  <c r="G145" s="1"/>
  <c r="AQ14" i="1"/>
  <c r="G142" i="12"/>
  <c r="G47"/>
  <c r="M16" i="1"/>
  <c r="G14" i="47" s="1"/>
  <c r="G59" i="16"/>
  <c r="BA18" i="1"/>
  <c r="BA36" s="1"/>
  <c r="AW25"/>
  <c r="G144" i="23"/>
  <c r="AH28" i="1"/>
  <c r="AH27"/>
  <c r="AR8"/>
  <c r="G152" i="33"/>
  <c r="BD12" i="1"/>
  <c r="I16"/>
  <c r="E14" i="47" s="1"/>
  <c r="AC18" i="1"/>
  <c r="I136" i="16"/>
  <c r="AS20" i="1"/>
  <c r="G148" i="18"/>
  <c r="G149" s="1"/>
  <c r="AR22" i="1"/>
  <c r="G152" i="20"/>
  <c r="G153" s="1"/>
  <c r="I23" i="1"/>
  <c r="E21" i="47" s="1"/>
  <c r="AT13" i="1"/>
  <c r="G47" i="11"/>
  <c r="G146"/>
  <c r="G147" s="1"/>
  <c r="G47" i="24"/>
  <c r="I136" i="9"/>
  <c r="G150" i="7"/>
  <c r="G151" s="1"/>
  <c r="G59" i="21"/>
  <c r="L59" s="1"/>
  <c r="G85" i="24"/>
  <c r="G47" i="9"/>
  <c r="G144" i="19"/>
  <c r="G59" i="7"/>
  <c r="G59" i="33"/>
  <c r="AC24" i="1"/>
  <c r="AE24" s="1"/>
  <c r="V23"/>
  <c r="AL26"/>
  <c r="G85" i="18"/>
  <c r="G47" i="17"/>
  <c r="G144" i="11"/>
  <c r="G145" s="1"/>
  <c r="J70" i="12"/>
  <c r="H70" i="13"/>
  <c r="G142" i="33"/>
  <c r="G144" i="24"/>
  <c r="G145" s="1"/>
  <c r="I136" i="12"/>
  <c r="G47" i="21"/>
  <c r="L47" s="1"/>
  <c r="G47" i="14"/>
  <c r="G47" i="33"/>
  <c r="G148"/>
  <c r="G148" i="8"/>
  <c r="G149" s="1"/>
  <c r="G144" i="12"/>
  <c r="I136" i="14"/>
  <c r="G142" i="20"/>
  <c r="G143" s="1"/>
  <c r="G59" i="22"/>
  <c r="L59" s="1"/>
  <c r="I136" i="29"/>
  <c r="G152" i="17"/>
  <c r="G153" s="1"/>
  <c r="AV9" i="1"/>
  <c r="BJ9" s="1"/>
  <c r="AR12"/>
  <c r="AQ16"/>
  <c r="BI16"/>
  <c r="BI17"/>
  <c r="W17"/>
  <c r="I19"/>
  <c r="E17" i="47" s="1"/>
  <c r="G47" i="8"/>
  <c r="G142" i="15"/>
  <c r="G143" s="1"/>
  <c r="G101"/>
  <c r="G150" i="22"/>
  <c r="G151" s="1"/>
  <c r="G101" i="21"/>
  <c r="G59" i="11"/>
  <c r="I14" i="1"/>
  <c r="E12" i="47" s="1"/>
  <c r="G101" i="27"/>
  <c r="G148" i="29"/>
  <c r="I119" i="42"/>
  <c r="G142" i="30"/>
  <c r="G13" i="42"/>
  <c r="I13" s="1"/>
  <c r="G113"/>
  <c r="G114" s="1"/>
  <c r="G88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I6" i="1"/>
  <c r="E4" i="47" s="1"/>
  <c r="W5" i="1"/>
  <c r="E5" i="35"/>
  <c r="G5" s="1"/>
  <c r="AI5" i="1"/>
  <c r="AC5"/>
  <c r="AA5"/>
  <c r="M5" i="35"/>
  <c r="O5" s="1"/>
  <c r="BC5" i="1"/>
  <c r="BB4"/>
  <c r="AX5"/>
  <c r="AV5"/>
  <c r="AT5"/>
  <c r="AZ5"/>
  <c r="I5"/>
  <c r="E3" i="47" s="1"/>
  <c r="AI4" i="1"/>
  <c r="BA4"/>
  <c r="G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I4"/>
  <c r="E2" i="47" s="1"/>
  <c r="I136" i="43"/>
  <c r="G142"/>
  <c r="G150"/>
  <c r="I138"/>
  <c r="I124" i="42"/>
  <c r="I122"/>
  <c r="G95"/>
  <c r="G94" i="43"/>
  <c r="G84" i="42"/>
  <c r="G85" i="43"/>
  <c r="G144"/>
  <c r="G107" i="42"/>
  <c r="G108" s="1"/>
  <c r="G58"/>
  <c r="G103"/>
  <c r="G104" s="1"/>
  <c r="G59" i="43"/>
  <c r="G105" i="42"/>
  <c r="G106" s="1"/>
  <c r="G47" i="43"/>
  <c r="G146"/>
  <c r="G111" i="42"/>
  <c r="G112" s="1"/>
  <c r="G46"/>
  <c r="G13" i="43"/>
  <c r="E27" i="42"/>
  <c r="G27" s="1"/>
  <c r="Y32" i="1"/>
  <c r="BK31"/>
  <c r="AP31"/>
  <c r="G101" i="29"/>
  <c r="X32" i="1"/>
  <c r="G101" i="30"/>
  <c r="W32" i="1"/>
  <c r="G85" i="29"/>
  <c r="G85" i="30"/>
  <c r="G20"/>
  <c r="E33" i="44" s="1"/>
  <c r="G20" i="29"/>
  <c r="AM32" i="1"/>
  <c r="AJ32"/>
  <c r="I138" i="30"/>
  <c r="AI32" i="1"/>
  <c r="AH32"/>
  <c r="AD32"/>
  <c r="I133" i="29"/>
  <c r="AE31" i="1"/>
  <c r="AA32"/>
  <c r="I133" i="30"/>
  <c r="I136"/>
  <c r="BF32" i="1"/>
  <c r="BE32"/>
  <c r="BD32"/>
  <c r="BC31"/>
  <c r="G152" i="30"/>
  <c r="BI32" i="1"/>
  <c r="G59" i="30"/>
  <c r="G59" i="29"/>
  <c r="G142"/>
  <c r="BA32" i="1"/>
  <c r="AX32"/>
  <c r="G144" i="29"/>
  <c r="AV32" i="1"/>
  <c r="G144" i="30"/>
  <c r="AU32" i="1"/>
  <c r="G146" i="30"/>
  <c r="AT31" i="1"/>
  <c r="AZ32"/>
  <c r="G47" i="30"/>
  <c r="G150"/>
  <c r="G47" i="29"/>
  <c r="I32" i="1"/>
  <c r="E30" i="47" s="1"/>
  <c r="S2" i="49" l="1"/>
  <c r="T36" i="44"/>
  <c r="BJ2" i="49"/>
  <c r="AQ36" i="44"/>
  <c r="T2" i="49"/>
  <c r="U36" i="44"/>
  <c r="AE2" i="49"/>
  <c r="AF36" i="44"/>
  <c r="AF2" i="49"/>
  <c r="A7" i="46"/>
  <c r="B9" i="44"/>
  <c r="K2" i="49"/>
  <c r="L36" i="44"/>
  <c r="AX36"/>
  <c r="P11" i="1"/>
  <c r="I9" i="47" s="1"/>
  <c r="E12" i="44"/>
  <c r="Y2" i="49"/>
  <c r="Z36" i="44"/>
  <c r="AJ2" i="49"/>
  <c r="H2"/>
  <c r="V2"/>
  <c r="W36" i="44"/>
  <c r="U2" i="49"/>
  <c r="V36" i="44"/>
  <c r="P9" i="1"/>
  <c r="I7" i="47" s="1"/>
  <c r="E10" i="44"/>
  <c r="BL2" i="49"/>
  <c r="AS36" i="44"/>
  <c r="AU36"/>
  <c r="H36"/>
  <c r="O2" i="49"/>
  <c r="P36" i="44"/>
  <c r="P2" i="49"/>
  <c r="Q36" i="44"/>
  <c r="N2" i="49"/>
  <c r="O36" i="44"/>
  <c r="AK2" i="49"/>
  <c r="AL2"/>
  <c r="AM36" i="44"/>
  <c r="X2" i="49"/>
  <c r="Y36" i="44"/>
  <c r="AG2" i="49"/>
  <c r="AH36" i="44"/>
  <c r="AD24" i="45"/>
  <c r="BD28" i="49" s="1"/>
  <c r="AG24" i="45"/>
  <c r="BD31" i="49" s="1"/>
  <c r="S24" i="45"/>
  <c r="I24"/>
  <c r="BD7" i="49" s="1"/>
  <c r="W2"/>
  <c r="X36" i="44"/>
  <c r="Q2" i="49"/>
  <c r="R36" i="44"/>
  <c r="I2" i="49"/>
  <c r="I13" i="25"/>
  <c r="I60"/>
  <c r="R2" i="49"/>
  <c r="S36" i="44"/>
  <c r="BK2" i="49"/>
  <c r="AR36" i="44"/>
  <c r="M2" i="49"/>
  <c r="N36" i="44"/>
  <c r="G94" i="30"/>
  <c r="X24" i="45"/>
  <c r="BD22" i="49" s="1"/>
  <c r="G32" i="40"/>
  <c r="K36" i="44"/>
  <c r="AQ17" i="49"/>
  <c r="AH2"/>
  <c r="AI2"/>
  <c r="G31" i="47"/>
  <c r="F31" i="49"/>
  <c r="BG2"/>
  <c r="AN36" i="44"/>
  <c r="I13" i="31"/>
  <c r="I60"/>
  <c r="P10" i="1"/>
  <c r="I8" i="47" s="1"/>
  <c r="E11" i="44"/>
  <c r="BI2" i="49"/>
  <c r="AP36" i="44"/>
  <c r="BH2" i="49"/>
  <c r="AO36" i="44"/>
  <c r="AD2" i="49"/>
  <c r="AB24" i="45"/>
  <c r="BD26" i="49" s="1"/>
  <c r="AW36" i="44"/>
  <c r="M36"/>
  <c r="BQ33" i="1"/>
  <c r="AG33"/>
  <c r="E34" i="44"/>
  <c r="E36" s="1"/>
  <c r="P33" i="1"/>
  <c r="P31"/>
  <c r="I29" i="47" s="1"/>
  <c r="E32" i="44"/>
  <c r="Y24" i="45"/>
  <c r="BD23" i="49" s="1"/>
  <c r="P24" i="1"/>
  <c r="I22" i="47" s="1"/>
  <c r="E25" i="44"/>
  <c r="U24" i="45"/>
  <c r="BD19" i="49" s="1"/>
  <c r="P21" i="1"/>
  <c r="I19" i="47" s="1"/>
  <c r="E22" i="44"/>
  <c r="AL36" i="1"/>
  <c r="R24" i="45"/>
  <c r="BD16" i="49" s="1"/>
  <c r="P18" i="1"/>
  <c r="I16" i="47" s="1"/>
  <c r="M16" s="1"/>
  <c r="E19" i="44"/>
  <c r="Q24" i="45"/>
  <c r="BD15" i="49" s="1"/>
  <c r="P17" i="1"/>
  <c r="I15" i="47" s="1"/>
  <c r="M15" s="1"/>
  <c r="E18" i="44"/>
  <c r="P24" i="45"/>
  <c r="BD14" i="49" s="1"/>
  <c r="P16" i="1"/>
  <c r="I14" i="47" s="1"/>
  <c r="E17" i="44"/>
  <c r="O24" i="45"/>
  <c r="BD13" i="49" s="1"/>
  <c r="N24" i="45"/>
  <c r="BD12" i="49" s="1"/>
  <c r="M15" i="1"/>
  <c r="G13" i="47" s="1"/>
  <c r="D16" i="44"/>
  <c r="D36" s="1"/>
  <c r="E15"/>
  <c r="M24" i="45"/>
  <c r="BD11" i="49" s="1"/>
  <c r="J24" i="45"/>
  <c r="BD8" i="49" s="1"/>
  <c r="H24" i="45"/>
  <c r="BD6" i="49" s="1"/>
  <c r="D24" i="45"/>
  <c r="BD2" i="49" s="1"/>
  <c r="J112" i="30"/>
  <c r="H112" i="43"/>
  <c r="H112" i="31" s="1"/>
  <c r="N112" s="1"/>
  <c r="J107" i="30"/>
  <c r="H107" i="43"/>
  <c r="J107" s="1"/>
  <c r="J104" i="30"/>
  <c r="H104" i="43"/>
  <c r="H104" i="31" s="1"/>
  <c r="N104" s="1"/>
  <c r="J116" i="30"/>
  <c r="H116" i="43"/>
  <c r="J116" s="1"/>
  <c r="J105" i="30"/>
  <c r="H105" i="43"/>
  <c r="H105" i="31" s="1"/>
  <c r="N105" s="1"/>
  <c r="J117" i="30"/>
  <c r="H117" i="43"/>
  <c r="H117" i="31" s="1"/>
  <c r="N117" s="1"/>
  <c r="BC2" i="49"/>
  <c r="BC17"/>
  <c r="J111" i="30"/>
  <c r="H111" i="43"/>
  <c r="H111" i="31" s="1"/>
  <c r="N111" s="1"/>
  <c r="J109" i="30"/>
  <c r="H109" i="43"/>
  <c r="H109" i="31" s="1"/>
  <c r="N109" s="1"/>
  <c r="J106" i="30"/>
  <c r="H106" i="43"/>
  <c r="J106" s="1"/>
  <c r="J120" i="30"/>
  <c r="H120" i="43"/>
  <c r="H120" i="31" s="1"/>
  <c r="N120" s="1"/>
  <c r="J115" i="30"/>
  <c r="H115" i="43"/>
  <c r="H115" i="31" s="1"/>
  <c r="N115" s="1"/>
  <c r="J110" i="30"/>
  <c r="H110" i="43"/>
  <c r="J110" s="1"/>
  <c r="D25" i="45"/>
  <c r="AR28" i="49"/>
  <c r="AO31" i="1"/>
  <c r="AC24" i="45"/>
  <c r="BD27" i="49" s="1"/>
  <c r="AR17"/>
  <c r="D27" i="45"/>
  <c r="AP3" i="49"/>
  <c r="AP18"/>
  <c r="K25" i="45"/>
  <c r="BE9" i="49" s="1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O36" s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BA35" s="1"/>
  <c r="AO11"/>
  <c r="AE23"/>
  <c r="AO9"/>
  <c r="AO19"/>
  <c r="G37" i="44"/>
  <c r="AO22" i="1"/>
  <c r="AO16"/>
  <c r="I13" i="7"/>
  <c r="H9" i="35"/>
  <c r="I133" i="43"/>
  <c r="BJ5" i="1"/>
  <c r="I9" i="35"/>
  <c r="AM36" i="1"/>
  <c r="J37" i="44"/>
  <c r="E28" i="13"/>
  <c r="G28" s="1"/>
  <c r="G32" s="1"/>
  <c r="I37" i="44"/>
  <c r="I22"/>
  <c r="H19" i="49" s="1"/>
  <c r="G22" i="44"/>
  <c r="F19" i="49" s="1"/>
  <c r="I13" i="33"/>
  <c r="AN16" i="44"/>
  <c r="BG13" i="49" s="1"/>
  <c r="AO30" i="1"/>
  <c r="H37" i="44"/>
  <c r="I21"/>
  <c r="H18" i="49" s="1"/>
  <c r="AT32" i="44"/>
  <c r="BM29" i="49" s="1"/>
  <c r="F37" i="44"/>
  <c r="K37"/>
  <c r="G128" i="13"/>
  <c r="AO29" i="1"/>
  <c r="F22" i="44"/>
  <c r="E19" i="49" s="1"/>
  <c r="J23" i="44"/>
  <c r="I20" i="49" s="1"/>
  <c r="AL21" i="1"/>
  <c r="AU22" i="44"/>
  <c r="AL20" i="1"/>
  <c r="AO20" s="1"/>
  <c r="AU21" i="44"/>
  <c r="AO10" i="1"/>
  <c r="AO13"/>
  <c r="J7" i="44"/>
  <c r="I4" i="49" s="1"/>
  <c r="K21" i="44"/>
  <c r="J18" i="49" s="1"/>
  <c r="J21" i="44"/>
  <c r="I18" i="49" s="1"/>
  <c r="J111" i="19"/>
  <c r="H111" i="20"/>
  <c r="J115" i="19"/>
  <c r="H115" i="20"/>
  <c r="J117" i="19"/>
  <c r="H117" i="20"/>
  <c r="J104" i="19"/>
  <c r="H104" i="20"/>
  <c r="J116" i="19"/>
  <c r="H116" i="20"/>
  <c r="J110" i="19"/>
  <c r="H110" i="20"/>
  <c r="J107" i="19"/>
  <c r="H107" i="20"/>
  <c r="H119"/>
  <c r="J119" s="1"/>
  <c r="J106" i="19"/>
  <c r="H106" i="20"/>
  <c r="J120" i="19"/>
  <c r="H120" i="20"/>
  <c r="I136" i="17"/>
  <c r="H118" i="20"/>
  <c r="H118" i="21" s="1"/>
  <c r="J109" i="19"/>
  <c r="H109" i="20"/>
  <c r="J112" i="19"/>
  <c r="H112" i="20"/>
  <c r="E29" i="9"/>
  <c r="G29" s="1"/>
  <c r="G32" s="1"/>
  <c r="T11" i="1"/>
  <c r="V11" s="1"/>
  <c r="J105" i="19"/>
  <c r="H105" i="20"/>
  <c r="AJ21" i="1"/>
  <c r="AK21" s="1"/>
  <c r="G142" i="19"/>
  <c r="G143" s="1"/>
  <c r="T30" i="45"/>
  <c r="T31" s="1"/>
  <c r="BJ14" i="1"/>
  <c r="G143" i="33"/>
  <c r="G145"/>
  <c r="I8" i="1"/>
  <c r="E6" i="47" s="1"/>
  <c r="G149" i="33"/>
  <c r="G153"/>
  <c r="G147"/>
  <c r="I6" i="35"/>
  <c r="H6"/>
  <c r="I138" i="19"/>
  <c r="I133" i="18"/>
  <c r="AO7" i="1"/>
  <c r="AH19"/>
  <c r="AH35" s="1"/>
  <c r="H5" i="35"/>
  <c r="K5" s="1"/>
  <c r="AB35" i="1"/>
  <c r="L28"/>
  <c r="G172" i="12"/>
  <c r="AK23" i="1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A35"/>
  <c r="AY35"/>
  <c r="AZ35"/>
  <c r="BI35"/>
  <c r="O8"/>
  <c r="O22"/>
  <c r="O20"/>
  <c r="O13"/>
  <c r="O12"/>
  <c r="M10" i="47"/>
  <c r="O4" i="1"/>
  <c r="L9"/>
  <c r="O14"/>
  <c r="O24"/>
  <c r="U30" i="45"/>
  <c r="U31" s="1"/>
  <c r="O7" i="1"/>
  <c r="O32"/>
  <c r="O28"/>
  <c r="L11"/>
  <c r="O6"/>
  <c r="O10"/>
  <c r="M8" i="47"/>
  <c r="O31" i="1"/>
  <c r="O29"/>
  <c r="O23"/>
  <c r="N30" i="45"/>
  <c r="N31" s="1"/>
  <c r="O16" i="1"/>
  <c r="O11"/>
  <c r="O26"/>
  <c r="I25" i="45"/>
  <c r="BE7" i="49" s="1"/>
  <c r="O9" i="1"/>
  <c r="O18"/>
  <c r="O30"/>
  <c r="O19"/>
  <c r="O25"/>
  <c r="O21"/>
  <c r="L20"/>
  <c r="AS36"/>
  <c r="BJ16"/>
  <c r="H30" i="45"/>
  <c r="H31" s="1"/>
  <c r="BM28" i="1"/>
  <c r="BN28"/>
  <c r="I13" i="35"/>
  <c r="AO15" i="1"/>
  <c r="G32" i="17"/>
  <c r="I13" i="24"/>
  <c r="G32" i="22"/>
  <c r="AE14" i="1"/>
  <c r="I136" i="19"/>
  <c r="I133"/>
  <c r="G47" i="20"/>
  <c r="G144"/>
  <c r="G145" s="1"/>
  <c r="BJ22" i="1"/>
  <c r="G59" i="19"/>
  <c r="G144" i="18"/>
  <c r="G145" s="1"/>
  <c r="I136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E25" i="45"/>
  <c r="BE3" i="49" s="1"/>
  <c r="E30" i="45"/>
  <c r="E31" s="1"/>
  <c r="W25"/>
  <c r="BE21" i="49" s="1"/>
  <c r="W30" i="45"/>
  <c r="W31" s="1"/>
  <c r="G31" i="18"/>
  <c r="G32" s="1"/>
  <c r="K31"/>
  <c r="L164" i="21"/>
  <c r="L172" s="1"/>
  <c r="G172"/>
  <c r="AE20" i="1"/>
  <c r="Z30" i="45"/>
  <c r="Z31" s="1"/>
  <c r="O30"/>
  <c r="O31" s="1"/>
  <c r="P25"/>
  <c r="BE14" i="49" s="1"/>
  <c r="P30" i="45"/>
  <c r="P31" s="1"/>
  <c r="AE26" i="44"/>
  <c r="AD23" i="49" s="1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E30"/>
  <c r="AE31" s="1"/>
  <c r="AF30"/>
  <c r="AD30"/>
  <c r="AD31" s="1"/>
  <c r="AC30"/>
  <c r="AC31" s="1"/>
  <c r="AB30"/>
  <c r="AB31" s="1"/>
  <c r="G172" i="24"/>
  <c r="AO26" i="1"/>
  <c r="Y30" i="45"/>
  <c r="Y31" s="1"/>
  <c r="AE25" i="1"/>
  <c r="X30" i="45"/>
  <c r="X31" s="1"/>
  <c r="H119" i="23"/>
  <c r="J119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G149" i="23"/>
  <c r="G145"/>
  <c r="G147"/>
  <c r="G153"/>
  <c r="G151"/>
  <c r="G143"/>
  <c r="P25" i="1"/>
  <c r="H118" i="23"/>
  <c r="J118" s="1"/>
  <c r="I13"/>
  <c r="BJ24" i="1"/>
  <c r="AT5" i="44"/>
  <c r="Z21" i="1"/>
  <c r="Y36"/>
  <c r="G32" i="16"/>
  <c r="BA16" i="44"/>
  <c r="M25" i="45"/>
  <c r="BE11" i="49" s="1"/>
  <c r="I14" i="35"/>
  <c r="AL15" i="44"/>
  <c r="AK12" i="49" s="1"/>
  <c r="H13" i="35"/>
  <c r="G32" i="8"/>
  <c r="G32" i="20"/>
  <c r="AI36" i="1"/>
  <c r="AO4"/>
  <c r="Z7"/>
  <c r="N29" i="31"/>
  <c r="G172" i="43"/>
  <c r="BJ29" i="1"/>
  <c r="G172" i="28"/>
  <c r="G172" i="27"/>
  <c r="AY32" i="44"/>
  <c r="G172" i="40"/>
  <c r="G172" i="23"/>
  <c r="G172" i="22"/>
  <c r="U25" i="45"/>
  <c r="BE19" i="49" s="1"/>
  <c r="Z22" i="1"/>
  <c r="BJ21"/>
  <c r="G172" i="20"/>
  <c r="AY22" i="44"/>
  <c r="G172" i="19"/>
  <c r="Z20" i="1"/>
  <c r="G172" i="18"/>
  <c r="AK17" i="1"/>
  <c r="Z18"/>
  <c r="AL18" i="44"/>
  <c r="AK15" i="49" s="1"/>
  <c r="G172" i="15"/>
  <c r="O25" i="45"/>
  <c r="BE13" i="49" s="1"/>
  <c r="H16" i="35"/>
  <c r="K16" s="1"/>
  <c r="G172" i="13"/>
  <c r="G172" i="14"/>
  <c r="AE15" i="1"/>
  <c r="I15" i="35"/>
  <c r="H15"/>
  <c r="AJ16" i="44"/>
  <c r="AI13" i="49" s="1"/>
  <c r="H118" i="13"/>
  <c r="J118" s="1"/>
  <c r="G28" i="11"/>
  <c r="G30"/>
  <c r="G3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G149" i="30"/>
  <c r="H119"/>
  <c r="G32" i="7"/>
  <c r="G101" i="43"/>
  <c r="Z6" i="1"/>
  <c r="BJ18"/>
  <c r="Y25" i="45"/>
  <c r="BE23" i="49" s="1"/>
  <c r="G32" i="29"/>
  <c r="G143" i="30"/>
  <c r="H118"/>
  <c r="I13"/>
  <c r="G145"/>
  <c r="G60"/>
  <c r="G32" i="23"/>
  <c r="G32" i="24"/>
  <c r="G146" i="19"/>
  <c r="G147" s="1"/>
  <c r="G146" i="18"/>
  <c r="G147" s="1"/>
  <c r="X36" i="1"/>
  <c r="AK20"/>
  <c r="Q25" i="45"/>
  <c r="BE15" i="49" s="1"/>
  <c r="G153" i="13"/>
  <c r="H119"/>
  <c r="J119" s="1"/>
  <c r="Z5" i="1"/>
  <c r="K11" i="35"/>
  <c r="AN6" i="44"/>
  <c r="BG3" i="49" s="1"/>
  <c r="AY5" i="44"/>
  <c r="G32" i="21"/>
  <c r="AK18" i="1"/>
  <c r="Z17"/>
  <c r="AY18" i="44"/>
  <c r="AY17"/>
  <c r="G143" i="12"/>
  <c r="G149"/>
  <c r="AK11" i="1"/>
  <c r="G60" i="12"/>
  <c r="I60" s="1"/>
  <c r="G151"/>
  <c r="H118"/>
  <c r="J118" s="1"/>
  <c r="H119"/>
  <c r="J119" s="1"/>
  <c r="AI15" i="44"/>
  <c r="AH12" i="49" s="1"/>
  <c r="AK15" i="44"/>
  <c r="AJ12" i="49" s="1"/>
  <c r="AJ15" i="44"/>
  <c r="AI12" i="49" s="1"/>
  <c r="G145" i="12"/>
  <c r="G147"/>
  <c r="AH15" i="44"/>
  <c r="AG12" i="49" s="1"/>
  <c r="AG15" i="44"/>
  <c r="AF12" i="49" s="1"/>
  <c r="G153" i="12"/>
  <c r="G60" i="11"/>
  <c r="I60" s="1"/>
  <c r="Z25" i="45"/>
  <c r="BE24" i="49" s="1"/>
  <c r="G32" i="33"/>
  <c r="G32" i="14"/>
  <c r="AK15" i="1"/>
  <c r="AY16" i="44"/>
  <c r="N25" i="45"/>
  <c r="BE12" i="49" s="1"/>
  <c r="AK14" i="1"/>
  <c r="G32" i="12"/>
  <c r="AK13" i="1"/>
  <c r="BN13"/>
  <c r="L13"/>
  <c r="BM13"/>
  <c r="AK12"/>
  <c r="Z12"/>
  <c r="AT12" i="44"/>
  <c r="BM9" i="49" s="1"/>
  <c r="L25" i="45"/>
  <c r="BE10" i="49" s="1"/>
  <c r="AK9" i="1"/>
  <c r="J25" i="45"/>
  <c r="BE8" i="49" s="1"/>
  <c r="H25" i="45"/>
  <c r="BE6" i="49" s="1"/>
  <c r="AK22" i="1"/>
  <c r="G32" i="15"/>
  <c r="X25" i="45"/>
  <c r="BE22" i="49" s="1"/>
  <c r="AY11" i="44"/>
  <c r="G32" i="19"/>
  <c r="AT8" i="44"/>
  <c r="BM5" i="49" s="1"/>
  <c r="AY9" i="44"/>
  <c r="I15" i="1"/>
  <c r="E13" i="47" s="1"/>
  <c r="H14" i="35"/>
  <c r="G32" i="27"/>
  <c r="Z29" i="1"/>
  <c r="AK29"/>
  <c r="G32" i="28"/>
  <c r="AG25" i="45"/>
  <c r="BE31" i="49" s="1"/>
  <c r="AY25" i="44"/>
  <c r="AY23"/>
  <c r="AY19"/>
  <c r="Z9" i="1"/>
  <c r="Z15"/>
  <c r="Z10"/>
  <c r="L18"/>
  <c r="AE25" i="45"/>
  <c r="BE29" i="49" s="1"/>
  <c r="AY20" i="44"/>
  <c r="H128" i="18"/>
  <c r="J128" s="1"/>
  <c r="J128" i="17"/>
  <c r="AK16" i="1"/>
  <c r="AK24"/>
  <c r="AK25"/>
  <c r="AK10"/>
  <c r="Z8"/>
  <c r="AY13" i="44"/>
  <c r="AY27"/>
  <c r="G32" i="43"/>
  <c r="AY15" i="44"/>
  <c r="AY14"/>
  <c r="AK7" i="1"/>
  <c r="F25" i="45"/>
  <c r="BE4" i="49" s="1"/>
  <c r="G25" i="45"/>
  <c r="BE5" i="49" s="1"/>
  <c r="T4" i="1"/>
  <c r="Z4"/>
  <c r="G60" i="43"/>
  <c r="I60" s="1"/>
  <c r="AY34" i="44"/>
  <c r="G32" i="30"/>
  <c r="AK31" i="1"/>
  <c r="Z31"/>
  <c r="BP31"/>
  <c r="BQ31" s="1"/>
  <c r="BJ31"/>
  <c r="BJ41" s="1"/>
  <c r="AK30"/>
  <c r="AY31" i="44"/>
  <c r="AC25" i="45"/>
  <c r="BE27" i="49" s="1"/>
  <c r="BN30" i="1"/>
  <c r="AY30" i="44"/>
  <c r="AB25" i="45"/>
  <c r="BE26" i="49" s="1"/>
  <c r="Z28" i="1"/>
  <c r="Z26"/>
  <c r="AF25"/>
  <c r="Z25"/>
  <c r="AF24"/>
  <c r="AG24" s="1"/>
  <c r="Z24"/>
  <c r="Z23"/>
  <c r="G148" i="20"/>
  <c r="G149" s="1"/>
  <c r="G47" i="18"/>
  <c r="AF18" i="1"/>
  <c r="BN27"/>
  <c r="AT34" i="44"/>
  <c r="BM31" i="49" s="1"/>
  <c r="AF21" i="1"/>
  <c r="BG20"/>
  <c r="G145" i="13"/>
  <c r="G147"/>
  <c r="G151"/>
  <c r="G143"/>
  <c r="I13"/>
  <c r="G149"/>
  <c r="Z19" i="1"/>
  <c r="AK5"/>
  <c r="AT33" i="44"/>
  <c r="BM30" i="49" s="1"/>
  <c r="BP24" i="1"/>
  <c r="BQ24" s="1"/>
  <c r="AV36"/>
  <c r="BL28"/>
  <c r="AF28"/>
  <c r="AG28" s="1"/>
  <c r="BP28"/>
  <c r="BQ28" s="1"/>
  <c r="G47" i="19"/>
  <c r="AX36" i="1"/>
  <c r="AT17" i="44"/>
  <c r="BM14" i="49" s="1"/>
  <c r="K18" i="35"/>
  <c r="G145" i="19"/>
  <c r="BP21" i="1"/>
  <c r="G149" i="19"/>
  <c r="BP23" i="1"/>
  <c r="AK6"/>
  <c r="AF19"/>
  <c r="AG19" s="1"/>
  <c r="AF15"/>
  <c r="AT18" i="44"/>
  <c r="BM15" i="49" s="1"/>
  <c r="AT20" i="44"/>
  <c r="BM17" i="49" s="1"/>
  <c r="G151" i="19"/>
  <c r="Z30" i="1"/>
  <c r="AT9" i="44"/>
  <c r="BM6" i="49" s="1"/>
  <c r="AU36" i="1"/>
  <c r="K12" i="35"/>
  <c r="AT36" i="1"/>
  <c r="O17" i="35"/>
  <c r="AT14" i="44"/>
  <c r="BM11" i="49" s="1"/>
  <c r="BP13" i="1"/>
  <c r="BQ13" s="1"/>
  <c r="BP14"/>
  <c r="AT25" i="44"/>
  <c r="BM22" i="49" s="1"/>
  <c r="AT7" i="44"/>
  <c r="BM4" i="49" s="1"/>
  <c r="K7" i="35"/>
  <c r="AF16" i="1"/>
  <c r="AG16" s="1"/>
  <c r="AT11" i="44"/>
  <c r="BM8" i="49" s="1"/>
  <c r="BJ32" i="1"/>
  <c r="BM18"/>
  <c r="AT19" i="44"/>
  <c r="BM16" i="49" s="1"/>
  <c r="BP26" i="1"/>
  <c r="BQ26" s="1"/>
  <c r="AF14"/>
  <c r="AF31"/>
  <c r="AG31" s="1"/>
  <c r="BP16"/>
  <c r="BQ16" s="1"/>
  <c r="BP22"/>
  <c r="BQ22" s="1"/>
  <c r="AF26"/>
  <c r="AG26" s="1"/>
  <c r="AF22"/>
  <c r="AG22" s="1"/>
  <c r="BM32" i="49"/>
  <c r="BL13" i="1"/>
  <c r="I13" i="11"/>
  <c r="AT15" i="44"/>
  <c r="BM12" i="49" s="1"/>
  <c r="AF13" i="1"/>
  <c r="AG13" s="1"/>
  <c r="BM11"/>
  <c r="BN11"/>
  <c r="K10" i="35"/>
  <c r="AT10" i="44"/>
  <c r="BM7" i="49" s="1"/>
  <c r="BP10" i="1"/>
  <c r="BM9"/>
  <c r="BN9"/>
  <c r="AF8"/>
  <c r="AG8" s="1"/>
  <c r="BP8"/>
  <c r="BQ8" s="1"/>
  <c r="K4" i="35"/>
  <c r="BP18" i="1"/>
  <c r="BP17"/>
  <c r="BQ17" s="1"/>
  <c r="BP19"/>
  <c r="BQ19" s="1"/>
  <c r="I21"/>
  <c r="E19" i="47" s="1"/>
  <c r="BJ4" i="1"/>
  <c r="AT13" i="44"/>
  <c r="BM10" i="49" s="1"/>
  <c r="AF7" i="1"/>
  <c r="BJ7"/>
  <c r="AR21"/>
  <c r="AR35" s="1"/>
  <c r="BJ25"/>
  <c r="BJ10"/>
  <c r="AF27"/>
  <c r="AG27" s="1"/>
  <c r="BJ27"/>
  <c r="AF12"/>
  <c r="AG12" s="1"/>
  <c r="BJ12"/>
  <c r="AT21"/>
  <c r="BJ23"/>
  <c r="BJ17"/>
  <c r="AT20"/>
  <c r="BM20" s="1"/>
  <c r="BJ15"/>
  <c r="AT31" i="44"/>
  <c r="BM28" i="49" s="1"/>
  <c r="AF30" i="1"/>
  <c r="AG30" s="1"/>
  <c r="BJ30"/>
  <c r="AT29" i="44"/>
  <c r="BM26" i="49" s="1"/>
  <c r="AT27" i="44"/>
  <c r="BM24" i="49" s="1"/>
  <c r="AT23" i="44"/>
  <c r="BM20" i="49" s="1"/>
  <c r="G152" i="19"/>
  <c r="G153" s="1"/>
  <c r="I13"/>
  <c r="BN20" i="1"/>
  <c r="G59" i="18"/>
  <c r="P4" i="1"/>
  <c r="I2" i="47" s="1"/>
  <c r="AT21" i="44"/>
  <c r="BM18" i="49" s="1"/>
  <c r="AT30" i="44"/>
  <c r="BM27" i="49" s="1"/>
  <c r="AT24" i="44"/>
  <c r="BM21" i="49" s="1"/>
  <c r="AT26" i="44"/>
  <c r="BM23" i="49" s="1"/>
  <c r="AT22" i="44"/>
  <c r="BM19" i="49" s="1"/>
  <c r="O18" i="35"/>
  <c r="M36" i="1"/>
  <c r="G59" i="20"/>
  <c r="BN29" i="1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L8"/>
  <c r="BM8"/>
  <c r="BL8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BN8"/>
  <c r="I13" i="29"/>
  <c r="Z13" i="1"/>
  <c r="P28"/>
  <c r="I26" i="47" s="1"/>
  <c r="BP7" i="1"/>
  <c r="P20"/>
  <c r="I18" i="47" s="1"/>
  <c r="P15" i="1"/>
  <c r="I13" i="47" s="1"/>
  <c r="G145" i="29"/>
  <c r="P26" i="1"/>
  <c r="I24" i="47" s="1"/>
  <c r="I31" i="1"/>
  <c r="E29" i="47" s="1"/>
  <c r="G147" i="29"/>
  <c r="G149"/>
  <c r="G153"/>
  <c r="G151"/>
  <c r="P6" i="1"/>
  <c r="I4" i="47" s="1"/>
  <c r="AK4" i="1"/>
  <c r="BP27"/>
  <c r="BQ27" s="1"/>
  <c r="G60" i="27"/>
  <c r="I59" s="1"/>
  <c r="P23" i="1"/>
  <c r="I21" i="47" s="1"/>
  <c r="Z16" i="1"/>
  <c r="P22"/>
  <c r="I20" i="47" s="1"/>
  <c r="P8" i="1"/>
  <c r="I6" i="47" s="1"/>
  <c r="G31" i="42"/>
  <c r="P13" i="1"/>
  <c r="I11" i="47" s="1"/>
  <c r="BP30" i="1"/>
  <c r="BQ30" s="1"/>
  <c r="L29"/>
  <c r="P29"/>
  <c r="I27" i="47" s="1"/>
  <c r="Z11" i="1"/>
  <c r="AC36"/>
  <c r="L22"/>
  <c r="G60" i="28"/>
  <c r="I59" s="1"/>
  <c r="G60" i="17"/>
  <c r="I60" s="1"/>
  <c r="G60" i="15"/>
  <c r="I60" s="1"/>
  <c r="G60" i="16"/>
  <c r="I59" s="1"/>
  <c r="AR36" i="1"/>
  <c r="O17"/>
  <c r="BG36"/>
  <c r="L26"/>
  <c r="L24"/>
  <c r="P19"/>
  <c r="I17" i="47" s="1"/>
  <c r="G60" i="40"/>
  <c r="I59" s="1"/>
  <c r="AK28" i="1"/>
  <c r="V36"/>
  <c r="AF17"/>
  <c r="AG17" s="1"/>
  <c r="G60" i="14"/>
  <c r="I59" s="1"/>
  <c r="BP15" i="1"/>
  <c r="P14"/>
  <c r="I12" i="47" s="1"/>
  <c r="BP12" i="1"/>
  <c r="BQ12" s="1"/>
  <c r="S12"/>
  <c r="R12"/>
  <c r="G60" i="9"/>
  <c r="I59" s="1"/>
  <c r="AE10" i="1"/>
  <c r="AF10"/>
  <c r="L10"/>
  <c r="L12"/>
  <c r="S10"/>
  <c r="R10"/>
  <c r="P30"/>
  <c r="I28" i="47" s="1"/>
  <c r="W36" i="1"/>
  <c r="G60" i="23"/>
  <c r="L30" i="1"/>
  <c r="P27"/>
  <c r="AF29"/>
  <c r="AG29" s="1"/>
  <c r="BP29"/>
  <c r="BQ29" s="1"/>
  <c r="L25"/>
  <c r="H24" i="33"/>
  <c r="AF23" i="1"/>
  <c r="G60" i="22"/>
  <c r="L60" s="1"/>
  <c r="G60" i="8"/>
  <c r="I59" s="1"/>
  <c r="AK27" i="1"/>
  <c r="L7"/>
  <c r="G60" i="7"/>
  <c r="I60" s="1"/>
  <c r="AQ36" i="1"/>
  <c r="AF11"/>
  <c r="AG11" s="1"/>
  <c r="BP11"/>
  <c r="BQ11" s="1"/>
  <c r="L14"/>
  <c r="L23"/>
  <c r="L16"/>
  <c r="L17"/>
  <c r="I36"/>
  <c r="I13" i="16"/>
  <c r="P7" i="1"/>
  <c r="I5" i="47" s="1"/>
  <c r="G60" i="33"/>
  <c r="P5" i="1"/>
  <c r="I3" i="47" s="1"/>
  <c r="G60" i="21"/>
  <c r="L60" s="1"/>
  <c r="G60" i="24"/>
  <c r="I60" s="1"/>
  <c r="AE18" i="1"/>
  <c r="AE36" s="1"/>
  <c r="AF9"/>
  <c r="AG9" s="1"/>
  <c r="BP9"/>
  <c r="BQ9" s="1"/>
  <c r="L19"/>
  <c r="J70" i="13"/>
  <c r="H70" i="14"/>
  <c r="H70" i="29" s="1"/>
  <c r="S18" i="1"/>
  <c r="R9"/>
  <c r="S9"/>
  <c r="BP25"/>
  <c r="G60" i="13"/>
  <c r="AE7" i="1"/>
  <c r="AE6"/>
  <c r="BP6"/>
  <c r="AF6"/>
  <c r="L6"/>
  <c r="AE5"/>
  <c r="AF5"/>
  <c r="BP5"/>
  <c r="L5"/>
  <c r="AE4"/>
  <c r="AF4"/>
  <c r="L4"/>
  <c r="AO32"/>
  <c r="AE32"/>
  <c r="G59" i="42"/>
  <c r="I59" s="1"/>
  <c r="G151" i="30"/>
  <c r="Z32" i="1"/>
  <c r="P32"/>
  <c r="I30" i="47" s="1"/>
  <c r="AK32" i="1"/>
  <c r="G147" i="30"/>
  <c r="G153"/>
  <c r="G143" i="29"/>
  <c r="AF32" i="1"/>
  <c r="BP32"/>
  <c r="G60" i="29"/>
  <c r="R31" i="1"/>
  <c r="L32"/>
  <c r="S17" l="1"/>
  <c r="S36" s="1"/>
  <c r="R11"/>
  <c r="BO11" s="1"/>
  <c r="J117" i="43"/>
  <c r="F36" i="44"/>
  <c r="AG36"/>
  <c r="AY36"/>
  <c r="AE36"/>
  <c r="AI36"/>
  <c r="AL36"/>
  <c r="BQ23" i="1"/>
  <c r="AG31" i="45"/>
  <c r="R21" i="1"/>
  <c r="J36" i="44"/>
  <c r="G36"/>
  <c r="S21" i="1"/>
  <c r="AJ36" i="44"/>
  <c r="AK36"/>
  <c r="BM2" i="49"/>
  <c r="S11" i="1"/>
  <c r="I36" i="44"/>
  <c r="H110" i="31"/>
  <c r="N110" s="1"/>
  <c r="J115" i="43"/>
  <c r="H106" i="31"/>
  <c r="N106" s="1"/>
  <c r="H107"/>
  <c r="N107" s="1"/>
  <c r="R33" i="1"/>
  <c r="BO33" s="1"/>
  <c r="S33"/>
  <c r="J112" i="43"/>
  <c r="J120"/>
  <c r="J109"/>
  <c r="J105"/>
  <c r="J104"/>
  <c r="AF31" i="45"/>
  <c r="S31" i="1"/>
  <c r="S24"/>
  <c r="R24"/>
  <c r="BO24" s="1"/>
  <c r="R18"/>
  <c r="BO18" s="1"/>
  <c r="P36"/>
  <c r="R17"/>
  <c r="BO17" s="1"/>
  <c r="S16"/>
  <c r="R16"/>
  <c r="BO16" s="1"/>
  <c r="O15"/>
  <c r="AT16" i="44"/>
  <c r="BM13" i="49" s="1"/>
  <c r="D31" i="45"/>
  <c r="H116" i="31"/>
  <c r="J116" s="1"/>
  <c r="J111" i="43"/>
  <c r="BD17" i="49"/>
  <c r="J118" i="30"/>
  <c r="H118" i="43"/>
  <c r="J119" i="30"/>
  <c r="H119" i="43"/>
  <c r="BF17" i="49"/>
  <c r="BF2"/>
  <c r="BE17"/>
  <c r="BE2"/>
  <c r="M31" i="45"/>
  <c r="M35" i="1"/>
  <c r="G3" i="47"/>
  <c r="I25"/>
  <c r="M25" s="1"/>
  <c r="R25" i="1"/>
  <c r="BO25" s="1"/>
  <c r="I23" i="47"/>
  <c r="K9" i="35"/>
  <c r="I31" i="47"/>
  <c r="BL20" i="1"/>
  <c r="K13" i="35"/>
  <c r="BA34" i="44"/>
  <c r="BA33"/>
  <c r="J111" i="31"/>
  <c r="AG23" i="1"/>
  <c r="AL35"/>
  <c r="H119" i="21"/>
  <c r="H119" i="22" s="1"/>
  <c r="J119" s="1"/>
  <c r="J118" i="21"/>
  <c r="H118" i="22"/>
  <c r="J118" s="1"/>
  <c r="BA24" i="44"/>
  <c r="BA23"/>
  <c r="BA20"/>
  <c r="J118" i="20"/>
  <c r="BA21" i="44"/>
  <c r="BA26"/>
  <c r="AT6"/>
  <c r="BM3" i="49" s="1"/>
  <c r="BA18" i="44"/>
  <c r="BA22"/>
  <c r="BA29"/>
  <c r="BA30"/>
  <c r="BA31"/>
  <c r="BA27"/>
  <c r="BA19"/>
  <c r="BA25"/>
  <c r="BA17"/>
  <c r="BA32"/>
  <c r="AO21" i="1"/>
  <c r="AO35" s="1"/>
  <c r="AJ35"/>
  <c r="H112" i="21"/>
  <c r="J112" i="20"/>
  <c r="H107" i="21"/>
  <c r="J107" i="20"/>
  <c r="H117" i="21"/>
  <c r="J117" i="20"/>
  <c r="H111" i="21"/>
  <c r="J111" i="20"/>
  <c r="K6" i="35"/>
  <c r="H110" i="21"/>
  <c r="J110" i="20"/>
  <c r="H104" i="21"/>
  <c r="J104" i="20"/>
  <c r="H120" i="21"/>
  <c r="J120" i="20"/>
  <c r="H109" i="21"/>
  <c r="J109" i="20"/>
  <c r="H105" i="21"/>
  <c r="J105" i="20"/>
  <c r="H106" i="21"/>
  <c r="J106" i="20"/>
  <c r="H116" i="21"/>
  <c r="J116" i="20"/>
  <c r="H115" i="21"/>
  <c r="J115" i="20"/>
  <c r="M28" i="47"/>
  <c r="M6"/>
  <c r="J110" i="31"/>
  <c r="AK19" i="1"/>
  <c r="AK35" s="1"/>
  <c r="M17" i="47"/>
  <c r="M27"/>
  <c r="J109" i="31"/>
  <c r="J115"/>
  <c r="H118" i="33"/>
  <c r="M22" i="47"/>
  <c r="O36" i="1"/>
  <c r="AG14"/>
  <c r="BQ14"/>
  <c r="J105" i="31"/>
  <c r="M14" i="47"/>
  <c r="V4" i="1"/>
  <c r="V35" s="1"/>
  <c r="T35"/>
  <c r="P35"/>
  <c r="AM35"/>
  <c r="BC35"/>
  <c r="BR4"/>
  <c r="AE35"/>
  <c r="M30" i="47"/>
  <c r="BG35" i="1"/>
  <c r="AT35"/>
  <c r="Z35"/>
  <c r="S7"/>
  <c r="M5" i="47"/>
  <c r="S20" i="1"/>
  <c r="M18" i="47"/>
  <c r="L21" i="1"/>
  <c r="M19" i="47"/>
  <c r="R22" i="1"/>
  <c r="BO22" s="1"/>
  <c r="M20" i="47"/>
  <c r="S25" i="1"/>
  <c r="M23" i="47"/>
  <c r="S14" i="1"/>
  <c r="M12" i="47"/>
  <c r="S6" i="1"/>
  <c r="M4" i="47"/>
  <c r="S15" i="1"/>
  <c r="S5"/>
  <c r="R13"/>
  <c r="BO13" s="1"/>
  <c r="M11" i="47"/>
  <c r="S4" i="1"/>
  <c r="M2" i="47"/>
  <c r="M9"/>
  <c r="R23" i="1"/>
  <c r="BO23" s="1"/>
  <c r="M21" i="47"/>
  <c r="R26" i="1"/>
  <c r="BO26" s="1"/>
  <c r="M24" i="47"/>
  <c r="O5" i="1"/>
  <c r="O35" s="1"/>
  <c r="BN31"/>
  <c r="M29" i="47"/>
  <c r="S28" i="1"/>
  <c r="M26" i="47"/>
  <c r="BL15" i="1"/>
  <c r="M7" i="47"/>
  <c r="J120" i="31"/>
  <c r="AG21" i="1"/>
  <c r="J112" i="31"/>
  <c r="J104"/>
  <c r="J117"/>
  <c r="G60" i="20"/>
  <c r="I60" s="1"/>
  <c r="BQ21" i="1"/>
  <c r="G60" i="19"/>
  <c r="I59" s="1"/>
  <c r="Z36" i="1"/>
  <c r="AK36"/>
  <c r="K14" i="35"/>
  <c r="BQ5" i="1"/>
  <c r="BQ4"/>
  <c r="BQ32"/>
  <c r="BQ25"/>
  <c r="AG25"/>
  <c r="I59" i="23"/>
  <c r="BQ18" i="1"/>
  <c r="BQ15"/>
  <c r="AG15"/>
  <c r="BQ10"/>
  <c r="BQ6"/>
  <c r="BQ7"/>
  <c r="L15"/>
  <c r="K15" i="35"/>
  <c r="G32" i="11"/>
  <c r="I60" i="30"/>
  <c r="R4" i="1"/>
  <c r="AF20"/>
  <c r="AG20" s="1"/>
  <c r="I59" i="11"/>
  <c r="H128" i="19"/>
  <c r="H128" i="20" s="1"/>
  <c r="I59" i="12"/>
  <c r="BM15" i="1"/>
  <c r="L36"/>
  <c r="BN15"/>
  <c r="G60" i="18"/>
  <c r="I59" s="1"/>
  <c r="BM21" i="1"/>
  <c r="BP20"/>
  <c r="BQ20" s="1"/>
  <c r="BJ20"/>
  <c r="BJ35" s="1"/>
  <c r="BN21"/>
  <c r="BO21"/>
  <c r="BP36"/>
  <c r="BM36"/>
  <c r="BL21"/>
  <c r="BO9"/>
  <c r="AG7"/>
  <c r="BL31"/>
  <c r="BL36"/>
  <c r="L31"/>
  <c r="BM31"/>
  <c r="S26"/>
  <c r="R20"/>
  <c r="BO20" s="1"/>
  <c r="R15"/>
  <c r="R6"/>
  <c r="BO6" s="1"/>
  <c r="R28"/>
  <c r="BO28" s="1"/>
  <c r="BO31"/>
  <c r="S13"/>
  <c r="H138" i="33"/>
  <c r="H133"/>
  <c r="H133" i="7" s="1"/>
  <c r="H133" i="8" s="1"/>
  <c r="I60" i="28"/>
  <c r="I60" i="27"/>
  <c r="S23" i="1"/>
  <c r="S22"/>
  <c r="R29"/>
  <c r="BO29" s="1"/>
  <c r="S29"/>
  <c r="R8"/>
  <c r="BO8" s="1"/>
  <c r="S8"/>
  <c r="R14"/>
  <c r="BO14" s="1"/>
  <c r="I60" i="40"/>
  <c r="I59" i="17"/>
  <c r="I59" i="15"/>
  <c r="I60" i="16"/>
  <c r="I60" i="14"/>
  <c r="AF36" i="1"/>
  <c r="R19"/>
  <c r="BO19" s="1"/>
  <c r="S19"/>
  <c r="AG18"/>
  <c r="AG36" s="1"/>
  <c r="BO12"/>
  <c r="I60" i="9"/>
  <c r="BO10" i="1"/>
  <c r="AG10"/>
  <c r="I59" i="22"/>
  <c r="I60"/>
  <c r="H24" i="7"/>
  <c r="J24" i="33"/>
  <c r="R27" i="1"/>
  <c r="BO27" s="1"/>
  <c r="S27"/>
  <c r="R30"/>
  <c r="BO30" s="1"/>
  <c r="S30"/>
  <c r="I60" i="8"/>
  <c r="R5" i="1"/>
  <c r="I60" i="23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R36"/>
  <c r="I59" i="21"/>
  <c r="I60"/>
  <c r="I59" i="13"/>
  <c r="I60"/>
  <c r="I59" i="24"/>
  <c r="I59" i="33"/>
  <c r="I60"/>
  <c r="AG6" i="1"/>
  <c r="H94" i="33"/>
  <c r="AG5" i="1"/>
  <c r="AG4"/>
  <c r="H131" i="33"/>
  <c r="H68"/>
  <c r="H57"/>
  <c r="H45"/>
  <c r="H11"/>
  <c r="H11" i="7" s="1"/>
  <c r="H73" i="33"/>
  <c r="H43"/>
  <c r="H12"/>
  <c r="H12" i="7" s="1"/>
  <c r="AG32" i="1"/>
  <c r="I58" i="42"/>
  <c r="S32" i="1"/>
  <c r="R32"/>
  <c r="BO32" s="1"/>
  <c r="I59" i="29"/>
  <c r="I60"/>
  <c r="I59" i="30"/>
  <c r="AT36" i="44" l="1"/>
  <c r="J106" i="31"/>
  <c r="J107"/>
  <c r="J119" i="21"/>
  <c r="N116" i="31"/>
  <c r="H118"/>
  <c r="J118" i="43"/>
  <c r="H119" i="31"/>
  <c r="J119" i="43"/>
  <c r="H120" i="22"/>
  <c r="J120" s="1"/>
  <c r="J120" i="21"/>
  <c r="H112" i="22"/>
  <c r="J112" s="1"/>
  <c r="J112" i="21"/>
  <c r="H115" i="22"/>
  <c r="J115" s="1"/>
  <c r="J115" i="21"/>
  <c r="H109" i="22"/>
  <c r="J109" s="1"/>
  <c r="J109" i="21"/>
  <c r="H110" i="22"/>
  <c r="J110" s="1"/>
  <c r="J110" i="21"/>
  <c r="H116" i="22"/>
  <c r="J116" s="1"/>
  <c r="J116" i="21"/>
  <c r="H107" i="22"/>
  <c r="J107" s="1"/>
  <c r="J107" i="21"/>
  <c r="H111" i="22"/>
  <c r="J111" s="1"/>
  <c r="J111" i="21"/>
  <c r="H105" i="22"/>
  <c r="J105" s="1"/>
  <c r="J105" i="21"/>
  <c r="H104" i="22"/>
  <c r="J104" s="1"/>
  <c r="J104" i="21"/>
  <c r="H117" i="22"/>
  <c r="J117" s="1"/>
  <c r="J117" i="21"/>
  <c r="H106" i="22"/>
  <c r="J106" s="1"/>
  <c r="J106" i="21"/>
  <c r="H119" i="33"/>
  <c r="J119" s="1"/>
  <c r="H83"/>
  <c r="J118"/>
  <c r="H118" i="7"/>
  <c r="H31" i="33"/>
  <c r="BO5" i="1"/>
  <c r="H10" i="33"/>
  <c r="H10" i="7" s="1"/>
  <c r="AG35" i="1"/>
  <c r="AF35"/>
  <c r="S35"/>
  <c r="BO4"/>
  <c r="R35"/>
  <c r="M13" i="47"/>
  <c r="M3"/>
  <c r="I59" i="20"/>
  <c r="I60" i="19"/>
  <c r="H19" i="33"/>
  <c r="H19" i="7" s="1"/>
  <c r="BO15" i="1"/>
  <c r="H81" i="33"/>
  <c r="H81" i="7" s="1"/>
  <c r="H22" i="33"/>
  <c r="J22" s="1"/>
  <c r="J128" i="19"/>
  <c r="J128" i="20"/>
  <c r="H128" i="21"/>
  <c r="H28" i="33"/>
  <c r="I60" i="18"/>
  <c r="J133" i="33"/>
  <c r="J133" i="7"/>
  <c r="H140" i="33"/>
  <c r="H140" i="7" s="1"/>
  <c r="J24"/>
  <c r="H24" i="8"/>
  <c r="BO36" i="1"/>
  <c r="H23" i="33"/>
  <c r="J94"/>
  <c r="H94" i="7"/>
  <c r="J131" i="33"/>
  <c r="H131" i="7"/>
  <c r="H137" i="33"/>
  <c r="H136"/>
  <c r="H130"/>
  <c r="H92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8"/>
  <c r="H138" i="7"/>
  <c r="H135" i="33"/>
  <c r="H133" i="9"/>
  <c r="H133" i="10" s="1"/>
  <c r="J133" s="1"/>
  <c r="J133" i="8"/>
  <c r="H125" i="33"/>
  <c r="H127"/>
  <c r="H126"/>
  <c r="H124"/>
  <c r="H123"/>
  <c r="H100"/>
  <c r="H99"/>
  <c r="H98"/>
  <c r="H97"/>
  <c r="H96"/>
  <c r="H101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2"/>
  <c r="H144"/>
  <c r="H39"/>
  <c r="J12"/>
  <c r="J118" i="31" l="1"/>
  <c r="N118"/>
  <c r="J119"/>
  <c r="N119"/>
  <c r="H150" i="33"/>
  <c r="J150" s="1"/>
  <c r="H119" i="7"/>
  <c r="H119" i="8" s="1"/>
  <c r="H18" i="33"/>
  <c r="H18" i="7" s="1"/>
  <c r="H31"/>
  <c r="J31" i="33"/>
  <c r="J118" i="7"/>
  <c r="H118" i="8"/>
  <c r="BO35" i="1"/>
  <c r="H151" i="33"/>
  <c r="J151" s="1"/>
  <c r="H153"/>
  <c r="J153" s="1"/>
  <c r="J81"/>
  <c r="H128"/>
  <c r="J128" s="1"/>
  <c r="H22" i="7"/>
  <c r="H22" i="8" s="1"/>
  <c r="H22" i="9" s="1"/>
  <c r="H22" i="10" s="1"/>
  <c r="J22" s="1"/>
  <c r="J128" i="21"/>
  <c r="H128" i="22"/>
  <c r="J30" i="33"/>
  <c r="H28" i="7"/>
  <c r="J28" i="33"/>
  <c r="H27"/>
  <c r="H46"/>
  <c r="J46" s="1"/>
  <c r="H132"/>
  <c r="H132" i="7" s="1"/>
  <c r="J140" i="33"/>
  <c r="J24" i="8"/>
  <c r="H24" i="9"/>
  <c r="H24" i="10" s="1"/>
  <c r="J24" s="1"/>
  <c r="J23" i="33"/>
  <c r="H23" i="7"/>
  <c r="J19" i="33"/>
  <c r="H94" i="8"/>
  <c r="J94" i="7"/>
  <c r="H56" i="33"/>
  <c r="H131" i="8"/>
  <c r="J131" i="7"/>
  <c r="H136"/>
  <c r="J136" i="33"/>
  <c r="J130"/>
  <c r="H130" i="7"/>
  <c r="H137"/>
  <c r="J137" i="33"/>
  <c r="J92"/>
  <c r="H92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0" i="7"/>
  <c r="H140" i="8"/>
  <c r="H139" i="33"/>
  <c r="J138" i="7"/>
  <c r="H138" i="8"/>
  <c r="J135" i="33"/>
  <c r="H135" i="7"/>
  <c r="H134" i="33"/>
  <c r="J133" i="9"/>
  <c r="J125" i="33"/>
  <c r="H125" i="7"/>
  <c r="H127"/>
  <c r="J127" i="33"/>
  <c r="J126"/>
  <c r="H126" i="7"/>
  <c r="H124"/>
  <c r="J124" i="33"/>
  <c r="H123" i="7"/>
  <c r="J123" i="33"/>
  <c r="H100" i="7"/>
  <c r="J100" i="33"/>
  <c r="H99" i="7"/>
  <c r="J99" i="33"/>
  <c r="J98"/>
  <c r="H98" i="7"/>
  <c r="H97"/>
  <c r="J97" i="33"/>
  <c r="J96"/>
  <c r="H96" i="7"/>
  <c r="H101"/>
  <c r="J101" i="33"/>
  <c r="H95"/>
  <c r="H93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8" i="33"/>
  <c r="H52" i="7"/>
  <c r="J52" i="33"/>
  <c r="H51" i="7"/>
  <c r="J51" i="33"/>
  <c r="H59" i="7"/>
  <c r="J59" i="33"/>
  <c r="J49"/>
  <c r="H49" i="7"/>
  <c r="H43" i="8"/>
  <c r="J43" i="7"/>
  <c r="J142" i="33"/>
  <c r="H142" i="7"/>
  <c r="H42" i="33"/>
  <c r="J144"/>
  <c r="H144" i="7"/>
  <c r="H41" i="33"/>
  <c r="H39" i="7"/>
  <c r="J39" i="33"/>
  <c r="H146"/>
  <c r="H15"/>
  <c r="H12" i="8"/>
  <c r="J12" i="7"/>
  <c r="J10" i="33"/>
  <c r="H13"/>
  <c r="H13" i="7" s="1"/>
  <c r="H149" i="33"/>
  <c r="H7"/>
  <c r="H143"/>
  <c r="H145"/>
  <c r="H147"/>
  <c r="H150" i="7" l="1"/>
  <c r="H150" i="8" s="1"/>
  <c r="J119" i="7"/>
  <c r="J18" i="33"/>
  <c r="H31" i="8"/>
  <c r="J31" i="7"/>
  <c r="H118" i="9"/>
  <c r="J118" i="8"/>
  <c r="H119" i="9"/>
  <c r="J119" i="8"/>
  <c r="H152" i="33"/>
  <c r="H128" i="7"/>
  <c r="J128" s="1"/>
  <c r="J22" i="8"/>
  <c r="J22" i="7"/>
  <c r="J22" i="9"/>
  <c r="J128" i="22"/>
  <c r="H128" i="23"/>
  <c r="H30" i="7"/>
  <c r="J30" s="1"/>
  <c r="H28" i="8"/>
  <c r="J28" i="7"/>
  <c r="H27"/>
  <c r="J27" i="33"/>
  <c r="H46" i="7"/>
  <c r="H46" i="8" s="1"/>
  <c r="J132" i="33"/>
  <c r="J24" i="9"/>
  <c r="J23" i="7"/>
  <c r="H23" i="8"/>
  <c r="H22" i="11"/>
  <c r="J94" i="8"/>
  <c r="H94" i="9"/>
  <c r="H94" i="10" s="1"/>
  <c r="J94" s="1"/>
  <c r="H18" i="8"/>
  <c r="J18" i="7"/>
  <c r="J56" i="33"/>
  <c r="H56" i="7"/>
  <c r="H137" i="8"/>
  <c r="J137" i="7"/>
  <c r="J136"/>
  <c r="H136" i="8"/>
  <c r="J131"/>
  <c r="H131" i="9"/>
  <c r="H131" i="10" s="1"/>
  <c r="J131" s="1"/>
  <c r="H130" i="8"/>
  <c r="J130" i="7"/>
  <c r="J92"/>
  <c r="H92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0" i="9"/>
  <c r="H140" i="10" s="1"/>
  <c r="J140" s="1"/>
  <c r="J140" i="8"/>
  <c r="J139" i="33"/>
  <c r="H139" i="7"/>
  <c r="H138" i="9"/>
  <c r="H138" i="10" s="1"/>
  <c r="J138" s="1"/>
  <c r="J138" i="8"/>
  <c r="J135" i="7"/>
  <c r="H135" i="8"/>
  <c r="H134" i="7"/>
  <c r="J134" i="33"/>
  <c r="H133" i="11"/>
  <c r="H132" i="8"/>
  <c r="J132" i="7"/>
  <c r="H125" i="8"/>
  <c r="J125" i="7"/>
  <c r="H127" i="8"/>
  <c r="J127" i="7"/>
  <c r="H126" i="8"/>
  <c r="J126" i="7"/>
  <c r="H124" i="8"/>
  <c r="J124" i="7"/>
  <c r="H123" i="8"/>
  <c r="J123" i="7"/>
  <c r="J100"/>
  <c r="H100" i="8"/>
  <c r="H99"/>
  <c r="J99" i="7"/>
  <c r="J98"/>
  <c r="H98" i="8"/>
  <c r="H97"/>
  <c r="J97" i="7"/>
  <c r="J96"/>
  <c r="H96" i="8"/>
  <c r="H101"/>
  <c r="J101" i="7"/>
  <c r="J95" i="33"/>
  <c r="H95" i="7"/>
  <c r="J93" i="33"/>
  <c r="H93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8"/>
  <c r="J148" i="33"/>
  <c r="H52" i="8"/>
  <c r="J52" i="7"/>
  <c r="J51"/>
  <c r="H51" i="8"/>
  <c r="J49" i="7"/>
  <c r="H49" i="8"/>
  <c r="H59"/>
  <c r="J59" i="7"/>
  <c r="J142"/>
  <c r="H142" i="8"/>
  <c r="J43"/>
  <c r="H43" i="9"/>
  <c r="H43" i="10" s="1"/>
  <c r="J43" s="1"/>
  <c r="J42" i="33"/>
  <c r="H42" i="7"/>
  <c r="J144"/>
  <c r="H144" i="8"/>
  <c r="H41" i="7"/>
  <c r="J41" i="33"/>
  <c r="J146"/>
  <c r="H146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7"/>
  <c r="H147" i="7"/>
  <c r="H151"/>
  <c r="J151" s="1"/>
  <c r="H153"/>
  <c r="J153" s="1"/>
  <c r="H145"/>
  <c r="J145" i="33"/>
  <c r="J143"/>
  <c r="H143" i="7"/>
  <c r="J149" i="33"/>
  <c r="H149" i="7"/>
  <c r="J45" i="10" l="1"/>
  <c r="H45" i="11"/>
  <c r="H29" i="33"/>
  <c r="J29" s="1"/>
  <c r="J150" i="7"/>
  <c r="H119" i="10"/>
  <c r="J119" i="9"/>
  <c r="H31"/>
  <c r="J31" i="8"/>
  <c r="H118" i="10"/>
  <c r="J118" i="9"/>
  <c r="J152" i="33"/>
  <c r="H152" i="7"/>
  <c r="H128" i="8"/>
  <c r="J128" s="1"/>
  <c r="J128" i="23"/>
  <c r="H128" i="24"/>
  <c r="H30" i="8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4" i="9"/>
  <c r="J18" i="8"/>
  <c r="H18" i="9"/>
  <c r="H18" i="10" s="1"/>
  <c r="J18" s="1"/>
  <c r="J56" i="7"/>
  <c r="H56" i="8"/>
  <c r="H130" i="9"/>
  <c r="H130" i="10" s="1"/>
  <c r="J130" s="1"/>
  <c r="J130" i="8"/>
  <c r="J137"/>
  <c r="H137" i="9"/>
  <c r="H137" i="10" s="1"/>
  <c r="J137" s="1"/>
  <c r="J131" i="9"/>
  <c r="J136" i="8"/>
  <c r="H136" i="9"/>
  <c r="H136" i="10" s="1"/>
  <c r="J136" s="1"/>
  <c r="H92" i="9"/>
  <c r="H92" i="10" s="1"/>
  <c r="J92" s="1"/>
  <c r="J92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0"/>
  <c r="J139" i="7"/>
  <c r="H139" i="8"/>
  <c r="J138" i="9"/>
  <c r="J135" i="8"/>
  <c r="H135" i="9"/>
  <c r="H135" i="10" s="1"/>
  <c r="J135" s="1"/>
  <c r="J134" i="7"/>
  <c r="H134" i="8"/>
  <c r="H133" i="12"/>
  <c r="J133" i="11"/>
  <c r="J132" i="8"/>
  <c r="H132" i="9"/>
  <c r="H132" i="10" s="1"/>
  <c r="J132" s="1"/>
  <c r="H125" i="9"/>
  <c r="H125" i="10" s="1"/>
  <c r="J125" s="1"/>
  <c r="J125" i="8"/>
  <c r="J127"/>
  <c r="H127" i="9"/>
  <c r="H127" i="10" s="1"/>
  <c r="J127" s="1"/>
  <c r="J126" i="8"/>
  <c r="H126" i="9"/>
  <c r="H126" i="10" s="1"/>
  <c r="J126" s="1"/>
  <c r="H124" i="9"/>
  <c r="H124" i="10" s="1"/>
  <c r="J124" s="1"/>
  <c r="J124" i="8"/>
  <c r="H123" i="9"/>
  <c r="H123" i="10" s="1"/>
  <c r="J123" s="1"/>
  <c r="J123" i="8"/>
  <c r="J100"/>
  <c r="H100" i="9"/>
  <c r="H100" i="10" s="1"/>
  <c r="J100" s="1"/>
  <c r="H99" i="9"/>
  <c r="H99" i="10" s="1"/>
  <c r="J99" s="1"/>
  <c r="J99" i="8"/>
  <c r="J98"/>
  <c r="H98" i="9"/>
  <c r="H98" i="10" s="1"/>
  <c r="J98" s="1"/>
  <c r="H97" i="9"/>
  <c r="H97" i="10" s="1"/>
  <c r="J97" s="1"/>
  <c r="J97" i="8"/>
  <c r="J96"/>
  <c r="H96" i="9"/>
  <c r="H96" i="10" s="1"/>
  <c r="J96" s="1"/>
  <c r="H95" i="8"/>
  <c r="J95" i="7"/>
  <c r="H101" i="9"/>
  <c r="H101" i="10" s="1"/>
  <c r="J101" s="1"/>
  <c r="J101" i="8"/>
  <c r="H93"/>
  <c r="J93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8" i="7"/>
  <c r="H148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2" i="9"/>
  <c r="H142" i="10" s="1"/>
  <c r="J142" s="1"/>
  <c r="J142" i="8"/>
  <c r="J43" i="9"/>
  <c r="H42" i="8"/>
  <c r="J42" i="7"/>
  <c r="H144" i="9"/>
  <c r="H144" i="10" s="1"/>
  <c r="J144" s="1"/>
  <c r="J144" i="8"/>
  <c r="H41"/>
  <c r="J41" i="7"/>
  <c r="H60" i="33"/>
  <c r="H39" i="9"/>
  <c r="H39" i="10" s="1"/>
  <c r="J39" s="1"/>
  <c r="J39" i="8"/>
  <c r="J146" i="7"/>
  <c r="H146" i="8"/>
  <c r="J47" i="33"/>
  <c r="H47" i="7"/>
  <c r="J150" i="8"/>
  <c r="H150" i="9"/>
  <c r="H150" i="10" s="1"/>
  <c r="J150" s="1"/>
  <c r="J15" i="7"/>
  <c r="I16" s="1"/>
  <c r="H15" i="8"/>
  <c r="H12" i="11"/>
  <c r="J12" s="1"/>
  <c r="J12" i="9"/>
  <c r="H10"/>
  <c r="H10" i="10" s="1"/>
  <c r="J10" s="1"/>
  <c r="J10" i="8"/>
  <c r="H13"/>
  <c r="J13" i="7"/>
  <c r="H149" i="8"/>
  <c r="J149" i="7"/>
  <c r="H153" i="8"/>
  <c r="J153" s="1"/>
  <c r="H143"/>
  <c r="J143" i="7"/>
  <c r="H151" i="8"/>
  <c r="J151" s="1"/>
  <c r="H147"/>
  <c r="J147" i="7"/>
  <c r="H145" i="8"/>
  <c r="J145" i="7"/>
  <c r="J7"/>
  <c r="H7" i="8"/>
  <c r="J46" i="10" l="1"/>
  <c r="H46" i="11"/>
  <c r="H29" i="7"/>
  <c r="J29" s="1"/>
  <c r="H32" i="33"/>
  <c r="H32" i="7" s="1"/>
  <c r="J118" i="10"/>
  <c r="H118" i="11"/>
  <c r="J118" s="1"/>
  <c r="J119" i="10"/>
  <c r="H119" i="11"/>
  <c r="J119" s="1"/>
  <c r="J31" i="9"/>
  <c r="H31" i="10"/>
  <c r="J152" i="7"/>
  <c r="H152" i="8"/>
  <c r="J77" i="9"/>
  <c r="H77" i="10"/>
  <c r="J77" s="1"/>
  <c r="J128" i="24"/>
  <c r="H128" i="25"/>
  <c r="H30" i="9"/>
  <c r="J27" i="8"/>
  <c r="H27" i="9"/>
  <c r="H27" i="10" s="1"/>
  <c r="J27" s="1"/>
  <c r="H28" i="11"/>
  <c r="J28" i="9"/>
  <c r="J24" i="11"/>
  <c r="H24" i="12"/>
  <c r="J23" i="9"/>
  <c r="H22" i="13"/>
  <c r="J22" i="12"/>
  <c r="H94" i="11"/>
  <c r="J18" i="9"/>
  <c r="H56"/>
  <c r="H56" i="10" s="1"/>
  <c r="J56" s="1"/>
  <c r="J56" i="8"/>
  <c r="H131" i="11"/>
  <c r="J130" i="9"/>
  <c r="J136"/>
  <c r="J137"/>
  <c r="J92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0"/>
  <c r="H139" i="9"/>
  <c r="H139" i="10" s="1"/>
  <c r="J139" s="1"/>
  <c r="J139" i="8"/>
  <c r="H138" i="11"/>
  <c r="J135" i="9"/>
  <c r="H134"/>
  <c r="H134" i="10" s="1"/>
  <c r="J134" s="1"/>
  <c r="J134" i="8"/>
  <c r="H133" i="13"/>
  <c r="J133" i="12"/>
  <c r="J132" i="9"/>
  <c r="J125"/>
  <c r="J127"/>
  <c r="J126"/>
  <c r="J124"/>
  <c r="J123"/>
  <c r="J100"/>
  <c r="J99"/>
  <c r="J98"/>
  <c r="J97"/>
  <c r="J96"/>
  <c r="J101"/>
  <c r="J95" i="8"/>
  <c r="H95" i="9"/>
  <c r="H95" i="10" s="1"/>
  <c r="J95" s="1"/>
  <c r="J93" i="8"/>
  <c r="H93" i="9"/>
  <c r="H93" i="10" s="1"/>
  <c r="J93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8"/>
  <c r="H148" i="10" s="1"/>
  <c r="J148" s="1"/>
  <c r="J148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2" i="9"/>
  <c r="H42"/>
  <c r="H42" i="10" s="1"/>
  <c r="J42" s="1"/>
  <c r="J42" i="8"/>
  <c r="J144" i="9"/>
  <c r="J41" i="8"/>
  <c r="H41" i="9"/>
  <c r="H41" i="10" s="1"/>
  <c r="J39" i="9"/>
  <c r="H47" i="8"/>
  <c r="J47" i="7"/>
  <c r="J60" i="33"/>
  <c r="H60" i="7"/>
  <c r="H146" i="9"/>
  <c r="H146" i="10" s="1"/>
  <c r="J146" s="1"/>
  <c r="J146" i="8"/>
  <c r="J150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5" i="8"/>
  <c r="H145" i="9"/>
  <c r="H145" i="10" s="1"/>
  <c r="J145" s="1"/>
  <c r="H151" i="9"/>
  <c r="H153"/>
  <c r="H147"/>
  <c r="H147" i="10" s="1"/>
  <c r="J147" s="1"/>
  <c r="J147" i="8"/>
  <c r="H143" i="9"/>
  <c r="H143" i="10" s="1"/>
  <c r="J143" s="1"/>
  <c r="J143" i="8"/>
  <c r="H149" i="9"/>
  <c r="H149" i="10" s="1"/>
  <c r="J149" s="1"/>
  <c r="J149" i="8"/>
  <c r="H29" l="1"/>
  <c r="H29" i="9" s="1"/>
  <c r="H29" i="10" s="1"/>
  <c r="J29" s="1"/>
  <c r="J32" i="33"/>
  <c r="H31" i="11"/>
  <c r="J31" i="10"/>
  <c r="J152" i="8"/>
  <c r="H152" i="9"/>
  <c r="J13" i="10"/>
  <c r="H13" i="12"/>
  <c r="J30" i="9"/>
  <c r="H30" i="10"/>
  <c r="J30" s="1"/>
  <c r="J41"/>
  <c r="H41" i="11"/>
  <c r="J44" i="10"/>
  <c r="H44" i="11"/>
  <c r="J151" i="9"/>
  <c r="H151" i="10"/>
  <c r="J151" s="1"/>
  <c r="J153" i="9"/>
  <c r="H153" i="10"/>
  <c r="J153" s="1"/>
  <c r="J7" i="9"/>
  <c r="I9" s="1"/>
  <c r="H7" i="10"/>
  <c r="J7" s="1"/>
  <c r="I9" s="1"/>
  <c r="J128" i="25"/>
  <c r="H128" i="40"/>
  <c r="J27" i="9"/>
  <c r="H27" i="11"/>
  <c r="H28" i="12"/>
  <c r="J28" i="11"/>
  <c r="J32" i="7"/>
  <c r="H32" i="8"/>
  <c r="J24" i="12"/>
  <c r="H24" i="13"/>
  <c r="H23" i="11"/>
  <c r="J22" i="13"/>
  <c r="H94" i="12"/>
  <c r="J94" i="11"/>
  <c r="H18"/>
  <c r="H56" i="12"/>
  <c r="J56" s="1"/>
  <c r="J56" i="9"/>
  <c r="H137" i="11"/>
  <c r="G196" s="1"/>
  <c r="H196" s="1"/>
  <c r="H130"/>
  <c r="G194" s="1"/>
  <c r="H194" s="1"/>
  <c r="H136"/>
  <c r="H131" i="12"/>
  <c r="J131" i="11"/>
  <c r="H92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0"/>
  <c r="H140" i="12"/>
  <c r="J139" i="9"/>
  <c r="J138" i="11"/>
  <c r="H138" i="12"/>
  <c r="H135" i="11"/>
  <c r="J134" i="9"/>
  <c r="J133" i="13"/>
  <c r="H133" i="14"/>
  <c r="H132" i="11"/>
  <c r="H125"/>
  <c r="H127"/>
  <c r="H126"/>
  <c r="H124"/>
  <c r="H123"/>
  <c r="H100"/>
  <c r="H99"/>
  <c r="H98"/>
  <c r="H97"/>
  <c r="H96"/>
  <c r="H101"/>
  <c r="J95" i="9"/>
  <c r="J93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8" i="9"/>
  <c r="H51" i="11"/>
  <c r="H59"/>
  <c r="H49"/>
  <c r="H43" i="12"/>
  <c r="J43" i="11"/>
  <c r="H142"/>
  <c r="J42" i="9"/>
  <c r="J41"/>
  <c r="H144" i="11"/>
  <c r="H60" i="8"/>
  <c r="J60" i="7"/>
  <c r="J146" i="9"/>
  <c r="J47" i="8"/>
  <c r="H47" i="9"/>
  <c r="H47" i="10" s="1"/>
  <c r="J47" s="1"/>
  <c r="H39" i="11"/>
  <c r="H150"/>
  <c r="J15" i="9"/>
  <c r="I16" s="1"/>
  <c r="H12" i="12"/>
  <c r="H12" i="13" s="1"/>
  <c r="H12" i="14" s="1"/>
  <c r="H13" i="11"/>
  <c r="J13" i="9"/>
  <c r="J147"/>
  <c r="J145"/>
  <c r="J149"/>
  <c r="J143"/>
  <c r="J29" i="8" l="1"/>
  <c r="H31" i="12"/>
  <c r="J31" i="11"/>
  <c r="H152" i="10"/>
  <c r="J152" i="9"/>
  <c r="H30" i="11"/>
  <c r="J30" s="1"/>
  <c r="J128" i="40"/>
  <c r="H128" i="27"/>
  <c r="H29" i="11"/>
  <c r="J29" i="9"/>
  <c r="H28" i="13"/>
  <c r="J28" i="12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4" i="13"/>
  <c r="J94" i="12"/>
  <c r="H18"/>
  <c r="J18" i="11"/>
  <c r="H56"/>
  <c r="J131" i="12"/>
  <c r="H131" i="13"/>
  <c r="H130" i="12"/>
  <c r="J130" i="11"/>
  <c r="J136"/>
  <c r="H136" i="12"/>
  <c r="J137" i="11"/>
  <c r="H137" i="12"/>
  <c r="H92"/>
  <c r="J92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0"/>
  <c r="J140" i="12"/>
  <c r="H139" i="11"/>
  <c r="F198" s="1"/>
  <c r="H138" i="13"/>
  <c r="J138" i="12"/>
  <c r="H135"/>
  <c r="J135" i="11"/>
  <c r="H134"/>
  <c r="H133" i="15"/>
  <c r="H133" i="16" s="1"/>
  <c r="J133" s="1"/>
  <c r="J133" i="14"/>
  <c r="J132" i="11"/>
  <c r="H132" i="12"/>
  <c r="J125" i="11"/>
  <c r="H125" i="12"/>
  <c r="H127"/>
  <c r="J127" i="11"/>
  <c r="H126" i="12"/>
  <c r="J126" i="11"/>
  <c r="H124" i="12"/>
  <c r="J124" i="11"/>
  <c r="J123"/>
  <c r="H123" i="12"/>
  <c r="J100" i="11"/>
  <c r="H100" i="12"/>
  <c r="H99"/>
  <c r="J99" i="11"/>
  <c r="H98" i="12"/>
  <c r="J98" i="11"/>
  <c r="J97"/>
  <c r="H97" i="12"/>
  <c r="H96"/>
  <c r="J96" i="11"/>
  <c r="J101"/>
  <c r="H101" i="12"/>
  <c r="H95" i="11"/>
  <c r="H93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8"/>
  <c r="J51"/>
  <c r="J49"/>
  <c r="J59"/>
  <c r="J46"/>
  <c r="H46" i="12"/>
  <c r="J142" i="11"/>
  <c r="H142" i="12"/>
  <c r="J43"/>
  <c r="H43" i="13"/>
  <c r="H42" i="11"/>
  <c r="H144" i="12"/>
  <c r="J144" i="11"/>
  <c r="J47" i="9"/>
  <c r="J60" i="8"/>
  <c r="H60" i="9"/>
  <c r="H60" i="10" s="1"/>
  <c r="H39" i="12"/>
  <c r="J39" i="11"/>
  <c r="H146"/>
  <c r="H150" i="12"/>
  <c r="J150" i="11"/>
  <c r="H15"/>
  <c r="J12" i="12"/>
  <c r="H10"/>
  <c r="H10" i="13" s="1"/>
  <c r="H10" i="14" s="1"/>
  <c r="H151" i="11"/>
  <c r="H143"/>
  <c r="H153"/>
  <c r="H7"/>
  <c r="H145"/>
  <c r="H149"/>
  <c r="H147"/>
  <c r="H31" i="13" l="1"/>
  <c r="J31" i="12"/>
  <c r="J152" i="10"/>
  <c r="H152" i="11"/>
  <c r="H30" i="12"/>
  <c r="J30" s="1"/>
  <c r="J60" i="10"/>
  <c r="H60" i="11"/>
  <c r="H60" i="12" s="1"/>
  <c r="J128" i="27"/>
  <c r="H128" i="28"/>
  <c r="J128" s="1"/>
  <c r="H29" i="12"/>
  <c r="J29" i="11"/>
  <c r="H28" i="14"/>
  <c r="J28" i="13"/>
  <c r="J32" i="9"/>
  <c r="H32" i="11"/>
  <c r="J27" i="12"/>
  <c r="H27" i="13"/>
  <c r="H198" i="11"/>
  <c r="J24" i="14"/>
  <c r="H24" i="15"/>
  <c r="J23" i="12"/>
  <c r="H23" i="13"/>
  <c r="H22" i="16"/>
  <c r="J22" i="15"/>
  <c r="H94" i="14"/>
  <c r="J94" i="13"/>
  <c r="J18" i="12"/>
  <c r="H18" i="13"/>
  <c r="J56" i="11"/>
  <c r="J136" i="12"/>
  <c r="H136" i="13"/>
  <c r="J130" i="12"/>
  <c r="H130" i="13"/>
  <c r="J131"/>
  <c r="H131" i="14"/>
  <c r="J137" i="12"/>
  <c r="H137" i="13"/>
  <c r="H92"/>
  <c r="J92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0"/>
  <c r="H140" i="14"/>
  <c r="H139" i="12"/>
  <c r="J139" i="11"/>
  <c r="H138" i="14"/>
  <c r="J138" i="13"/>
  <c r="J135" i="12"/>
  <c r="H135" i="13"/>
  <c r="H134" i="12"/>
  <c r="J134" i="11"/>
  <c r="J133" i="15"/>
  <c r="H132" i="13"/>
  <c r="J132" i="12"/>
  <c r="J125"/>
  <c r="H125" i="13"/>
  <c r="J127" i="12"/>
  <c r="H127" i="13"/>
  <c r="J126" i="12"/>
  <c r="H126" i="13"/>
  <c r="J124" i="12"/>
  <c r="H124" i="13"/>
  <c r="J123" i="12"/>
  <c r="H123" i="13"/>
  <c r="H100"/>
  <c r="J100" i="12"/>
  <c r="H99" i="13"/>
  <c r="J99" i="12"/>
  <c r="H98" i="13"/>
  <c r="J98" i="12"/>
  <c r="J97"/>
  <c r="H97" i="13"/>
  <c r="J96" i="12"/>
  <c r="H96" i="13"/>
  <c r="J101" i="12"/>
  <c r="H101" i="13"/>
  <c r="H95" i="12"/>
  <c r="J95" i="11"/>
  <c r="H93" i="12"/>
  <c r="J93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8" i="11"/>
  <c r="H148" i="12"/>
  <c r="H51" i="13"/>
  <c r="H49"/>
  <c r="H59"/>
  <c r="J46" i="12"/>
  <c r="J142"/>
  <c r="H142" i="13"/>
  <c r="H43" i="14"/>
  <c r="J43" i="13"/>
  <c r="J42" i="11"/>
  <c r="H42" i="12"/>
  <c r="J144"/>
  <c r="H144" i="13"/>
  <c r="H41" i="12"/>
  <c r="J41" i="11"/>
  <c r="H146" i="12"/>
  <c r="J146" i="11"/>
  <c r="J60" i="9"/>
  <c r="J39" i="12"/>
  <c r="H39" i="13"/>
  <c r="H47" i="11"/>
  <c r="J150" i="12"/>
  <c r="H150" i="13"/>
  <c r="J15" i="11"/>
  <c r="I16" s="1"/>
  <c r="H15" i="12"/>
  <c r="J12" i="13"/>
  <c r="J10" i="12"/>
  <c r="H13" i="13"/>
  <c r="H13" i="14" s="1"/>
  <c r="J13" i="11"/>
  <c r="J145"/>
  <c r="H145" i="12"/>
  <c r="H151"/>
  <c r="J151" i="11"/>
  <c r="J143"/>
  <c r="H143" i="12"/>
  <c r="J149" i="11"/>
  <c r="H149" i="12"/>
  <c r="J7" i="11"/>
  <c r="I9" s="1"/>
  <c r="H7" i="12"/>
  <c r="H153"/>
  <c r="J153" i="11"/>
  <c r="H147" i="12"/>
  <c r="J147" i="11"/>
  <c r="H31" i="14" l="1"/>
  <c r="H31" i="15" s="1"/>
  <c r="J31" i="13"/>
  <c r="H152" i="12"/>
  <c r="H152" i="13" s="1"/>
  <c r="J152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4" i="14"/>
  <c r="H94" i="15"/>
  <c r="J18" i="13"/>
  <c r="H18" i="14"/>
  <c r="H56" i="13"/>
  <c r="H136" i="14"/>
  <c r="J136" i="13"/>
  <c r="H131" i="15"/>
  <c r="J131" i="14"/>
  <c r="J137" i="13"/>
  <c r="H137" i="14"/>
  <c r="J130" i="13"/>
  <c r="H130" i="14"/>
  <c r="H92"/>
  <c r="J92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0"/>
  <c r="J140" i="14"/>
  <c r="H139" i="13"/>
  <c r="J139" i="12"/>
  <c r="J138" i="14"/>
  <c r="H138" i="15"/>
  <c r="H135" i="14"/>
  <c r="J135" i="13"/>
  <c r="J134" i="12"/>
  <c r="H134" i="13"/>
  <c r="H133" i="17"/>
  <c r="H132" i="14"/>
  <c r="J132" i="13"/>
  <c r="J125"/>
  <c r="H125" i="14"/>
  <c r="J127" i="13"/>
  <c r="H127" i="14"/>
  <c r="J126" i="13"/>
  <c r="H126" i="14"/>
  <c r="J124" i="13"/>
  <c r="H124" i="14"/>
  <c r="J123" i="13"/>
  <c r="H123" i="14"/>
  <c r="J100" i="13"/>
  <c r="H100" i="14"/>
  <c r="J99" i="13"/>
  <c r="H99" i="14"/>
  <c r="J98" i="13"/>
  <c r="H98" i="14"/>
  <c r="J97" i="13"/>
  <c r="H97" i="14"/>
  <c r="H96"/>
  <c r="J96" i="13"/>
  <c r="J101"/>
  <c r="H101" i="14"/>
  <c r="J95" i="12"/>
  <c r="H95" i="13"/>
  <c r="H93"/>
  <c r="J93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8" i="12"/>
  <c r="H148" i="13"/>
  <c r="H51" i="14"/>
  <c r="J51" i="13"/>
  <c r="H49" i="14"/>
  <c r="J49" i="13"/>
  <c r="J59"/>
  <c r="H59" i="14"/>
  <c r="J46" i="13"/>
  <c r="H46" i="14"/>
  <c r="H142"/>
  <c r="J142" i="13"/>
  <c r="H43" i="15"/>
  <c r="J43" i="14"/>
  <c r="H42" i="13"/>
  <c r="J42" i="12"/>
  <c r="H144" i="14"/>
  <c r="J144" i="13"/>
  <c r="J41" i="12"/>
  <c r="H41" i="13"/>
  <c r="H39" i="14"/>
  <c r="J39" i="13"/>
  <c r="H47" i="12"/>
  <c r="J47" i="11"/>
  <c r="H146" i="13"/>
  <c r="J146" i="12"/>
  <c r="H150" i="14"/>
  <c r="J150" i="13"/>
  <c r="J15" i="12"/>
  <c r="I16" s="1"/>
  <c r="H15" i="13"/>
  <c r="H128" s="1"/>
  <c r="H12" i="15"/>
  <c r="J12" i="14"/>
  <c r="J10" i="13"/>
  <c r="J13" i="12"/>
  <c r="H149" i="13"/>
  <c r="J149" i="12"/>
  <c r="H145" i="13"/>
  <c r="J145" i="12"/>
  <c r="H153" i="13"/>
  <c r="J153" s="1"/>
  <c r="J153" i="12"/>
  <c r="H7" i="13"/>
  <c r="J7" i="12"/>
  <c r="I9" s="1"/>
  <c r="J143"/>
  <c r="H143" i="13"/>
  <c r="J147" i="12"/>
  <c r="H147" i="13"/>
  <c r="J151" i="12"/>
  <c r="H151" i="13"/>
  <c r="J151" s="1"/>
  <c r="H31" i="16" l="1"/>
  <c r="H31" i="17" s="1"/>
  <c r="H31" i="18" s="1"/>
  <c r="H31" i="19" s="1"/>
  <c r="H31" i="20" s="1"/>
  <c r="J31" i="15"/>
  <c r="J152" i="13"/>
  <c r="H152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4" i="16"/>
  <c r="J94" i="15"/>
  <c r="H18"/>
  <c r="J18" i="14"/>
  <c r="H56"/>
  <c r="J56" i="13"/>
  <c r="J137" i="14"/>
  <c r="H137" i="15"/>
  <c r="H131" i="16"/>
  <c r="J131" i="15"/>
  <c r="H136"/>
  <c r="J136" i="14"/>
  <c r="H130" i="15"/>
  <c r="J130" i="14"/>
  <c r="H92" i="15"/>
  <c r="J92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0"/>
  <c r="H140" i="16"/>
  <c r="H139" i="14"/>
  <c r="J139" i="13"/>
  <c r="J138" i="15"/>
  <c r="H138" i="16"/>
  <c r="H135" i="15"/>
  <c r="J135" i="14"/>
  <c r="H134"/>
  <c r="J134" i="13"/>
  <c r="H133" i="18"/>
  <c r="H133" i="19" s="1"/>
  <c r="J133" i="17"/>
  <c r="H132" i="15"/>
  <c r="J132" i="14"/>
  <c r="J125"/>
  <c r="H125" i="15"/>
  <c r="J127" i="14"/>
  <c r="H127" i="15"/>
  <c r="H126"/>
  <c r="J126" i="14"/>
  <c r="H124" i="15"/>
  <c r="J124" i="14"/>
  <c r="H123" i="15"/>
  <c r="J123" i="14"/>
  <c r="H100" i="15"/>
  <c r="J100" i="14"/>
  <c r="H99" i="15"/>
  <c r="J99" i="14"/>
  <c r="H98" i="15"/>
  <c r="J98" i="14"/>
  <c r="J97"/>
  <c r="H97" i="15"/>
  <c r="J96" i="14"/>
  <c r="H96" i="15"/>
  <c r="H101"/>
  <c r="J101" i="14"/>
  <c r="J95" i="13"/>
  <c r="H95" i="14"/>
  <c r="J93" i="13"/>
  <c r="H93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8" i="13"/>
  <c r="H148" i="14"/>
  <c r="J52"/>
  <c r="H52" i="15"/>
  <c r="H51"/>
  <c r="J51" i="14"/>
  <c r="H59" i="15"/>
  <c r="J59" i="14"/>
  <c r="J49"/>
  <c r="H49" i="15"/>
  <c r="J46" i="14"/>
  <c r="H46" i="15"/>
  <c r="H43" i="16"/>
  <c r="J43" i="15"/>
  <c r="J142" i="14"/>
  <c r="H142" i="15"/>
  <c r="H42" i="14"/>
  <c r="J42" i="13"/>
  <c r="H41" i="14"/>
  <c r="J41" i="13"/>
  <c r="H144" i="15"/>
  <c r="J144" i="14"/>
  <c r="J60" i="11"/>
  <c r="J47" i="12"/>
  <c r="H47" i="13"/>
  <c r="J39" i="14"/>
  <c r="H39" i="15"/>
  <c r="H146" i="14"/>
  <c r="J146" i="13"/>
  <c r="H150" i="15"/>
  <c r="J150" i="14"/>
  <c r="J15" i="13"/>
  <c r="I16" s="1"/>
  <c r="H15" i="14"/>
  <c r="J12" i="15"/>
  <c r="H12" i="16"/>
  <c r="H10" i="15"/>
  <c r="J10" i="14"/>
  <c r="J13" i="13"/>
  <c r="H151" i="14"/>
  <c r="H147"/>
  <c r="J147" i="13"/>
  <c r="H143" i="14"/>
  <c r="J143" i="13"/>
  <c r="J7"/>
  <c r="I9" s="1"/>
  <c r="H7" i="14"/>
  <c r="H145"/>
  <c r="J145" i="13"/>
  <c r="H153" i="14"/>
  <c r="H149"/>
  <c r="J149" i="13"/>
  <c r="J31" i="20" l="1"/>
  <c r="H31" i="21"/>
  <c r="J152" i="14"/>
  <c r="H152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4" i="17"/>
  <c r="J94" i="16"/>
  <c r="J18" i="15"/>
  <c r="H18" i="16"/>
  <c r="J56" i="14"/>
  <c r="H56" i="15"/>
  <c r="H137" i="16"/>
  <c r="J137" i="15"/>
  <c r="H130" i="16"/>
  <c r="J130" i="15"/>
  <c r="H131" i="17"/>
  <c r="J131" i="16"/>
  <c r="H136"/>
  <c r="J136" i="15"/>
  <c r="J92"/>
  <c r="H92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0"/>
  <c r="J140" i="16"/>
  <c r="H139" i="15"/>
  <c r="J139" i="14"/>
  <c r="H138" i="17"/>
  <c r="J138" i="16"/>
  <c r="H135"/>
  <c r="J135" i="15"/>
  <c r="H134"/>
  <c r="J134" i="14"/>
  <c r="J133" i="18"/>
  <c r="H132" i="16"/>
  <c r="J132" i="15"/>
  <c r="J125"/>
  <c r="H125" i="16"/>
  <c r="H127"/>
  <c r="J127" i="15"/>
  <c r="J126"/>
  <c r="H126" i="16"/>
  <c r="J124" i="15"/>
  <c r="H124" i="16"/>
  <c r="J123" i="15"/>
  <c r="H123" i="16"/>
  <c r="J100" i="15"/>
  <c r="H100" i="16"/>
  <c r="H99"/>
  <c r="J99" i="15"/>
  <c r="H98" i="16"/>
  <c r="J98" i="15"/>
  <c r="J97"/>
  <c r="H97" i="16"/>
  <c r="H96"/>
  <c r="J96" i="15"/>
  <c r="H101" i="16"/>
  <c r="J101" i="15"/>
  <c r="H95"/>
  <c r="J95" i="14"/>
  <c r="J93"/>
  <c r="H93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8" i="14"/>
  <c r="H148" i="15"/>
  <c r="J52"/>
  <c r="H52" i="16"/>
  <c r="H51"/>
  <c r="J51" i="15"/>
  <c r="H49" i="16"/>
  <c r="J49" i="15"/>
  <c r="H59" i="16"/>
  <c r="J59" i="15"/>
  <c r="J46"/>
  <c r="H46" i="16"/>
  <c r="H142"/>
  <c r="J142" i="15"/>
  <c r="J43" i="16"/>
  <c r="H43" i="17"/>
  <c r="J42" i="14"/>
  <c r="H42" i="15"/>
  <c r="H144" i="16"/>
  <c r="J144" i="15"/>
  <c r="J41" i="14"/>
  <c r="H41" i="15"/>
  <c r="H47" i="14"/>
  <c r="J47" i="13"/>
  <c r="H39" i="16"/>
  <c r="J39" i="15"/>
  <c r="H60" i="13"/>
  <c r="J60" i="12"/>
  <c r="H146" i="15"/>
  <c r="J146" i="14"/>
  <c r="J150" i="15"/>
  <c r="H150" i="16"/>
  <c r="H15" i="15"/>
  <c r="J15" i="14"/>
  <c r="I16" s="1"/>
  <c r="H12" i="17"/>
  <c r="J12" i="16"/>
  <c r="J10" i="15"/>
  <c r="H10" i="16"/>
  <c r="J13" i="14"/>
  <c r="H13" i="15"/>
  <c r="J147" i="14"/>
  <c r="H147" i="15"/>
  <c r="H153"/>
  <c r="J153" i="14"/>
  <c r="H7" i="15"/>
  <c r="J7" i="14"/>
  <c r="I9" s="1"/>
  <c r="J149"/>
  <c r="H149" i="15"/>
  <c r="J145" i="14"/>
  <c r="H145" i="15"/>
  <c r="J143" i="14"/>
  <c r="H143" i="15"/>
  <c r="J151" i="14"/>
  <c r="H151" i="15"/>
  <c r="J31" i="21" l="1"/>
  <c r="H31" i="22"/>
  <c r="J152" i="15"/>
  <c r="H152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4" i="18"/>
  <c r="J94" i="17"/>
  <c r="J18" i="16"/>
  <c r="H18" i="17"/>
  <c r="J56" i="15"/>
  <c r="H56" i="16"/>
  <c r="J136"/>
  <c r="H136" i="17"/>
  <c r="J130" i="16"/>
  <c r="H130" i="17"/>
  <c r="J131"/>
  <c r="H131" i="18"/>
  <c r="H131" i="19" s="1"/>
  <c r="H137" i="17"/>
  <c r="J137" i="16"/>
  <c r="H92" i="17"/>
  <c r="J92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0"/>
  <c r="H140" i="19" s="1"/>
  <c r="J140" i="17"/>
  <c r="H139" i="16"/>
  <c r="J139" i="15"/>
  <c r="J138" i="17"/>
  <c r="H138" i="18"/>
  <c r="H138" i="19" s="1"/>
  <c r="H135" i="17"/>
  <c r="J135" i="16"/>
  <c r="J134" i="15"/>
  <c r="H134" i="16"/>
  <c r="J134" s="1"/>
  <c r="J133" i="19"/>
  <c r="H133" i="20"/>
  <c r="H132" i="17"/>
  <c r="J132" i="16"/>
  <c r="J125"/>
  <c r="H125" i="17"/>
  <c r="H127"/>
  <c r="J127" i="16"/>
  <c r="J126"/>
  <c r="H126" i="17"/>
  <c r="J124" i="16"/>
  <c r="H124" i="17"/>
  <c r="H123"/>
  <c r="J123" i="16"/>
  <c r="J100"/>
  <c r="H100" i="17"/>
  <c r="H99"/>
  <c r="J99" i="16"/>
  <c r="H98" i="17"/>
  <c r="J98" i="16"/>
  <c r="H97" i="17"/>
  <c r="J97" i="16"/>
  <c r="J96"/>
  <c r="H96" i="17"/>
  <c r="J95" i="15"/>
  <c r="H95" i="16"/>
  <c r="H101" i="17"/>
  <c r="J101" i="16"/>
  <c r="H93"/>
  <c r="J93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8" i="15"/>
  <c r="H148" i="16"/>
  <c r="J52"/>
  <c r="H52" i="17"/>
  <c r="J51" i="16"/>
  <c r="H51" i="17"/>
  <c r="H49"/>
  <c r="J49" i="16"/>
  <c r="J59"/>
  <c r="H59" i="17"/>
  <c r="H46"/>
  <c r="J46" i="16"/>
  <c r="H43" i="18"/>
  <c r="J43" i="17"/>
  <c r="J142" i="16"/>
  <c r="H142" i="17"/>
  <c r="H142" i="18" s="1"/>
  <c r="J142" s="1"/>
  <c r="H42" i="16"/>
  <c r="J42" i="15"/>
  <c r="J144" i="16"/>
  <c r="H144" i="17"/>
  <c r="H41" i="16"/>
  <c r="J41" i="15"/>
  <c r="H60" i="14"/>
  <c r="J60" i="13"/>
  <c r="J47" i="14"/>
  <c r="H47" i="15"/>
  <c r="J146"/>
  <c r="H146" i="16"/>
  <c r="J39"/>
  <c r="H39" i="17"/>
  <c r="J150" i="16"/>
  <c r="H150" i="17"/>
  <c r="J15" i="15"/>
  <c r="I16" s="1"/>
  <c r="H15" i="16"/>
  <c r="J12" i="17"/>
  <c r="H12" i="18"/>
  <c r="J10" i="16"/>
  <c r="H10" i="17"/>
  <c r="J13" i="15"/>
  <c r="H13" i="16"/>
  <c r="H151"/>
  <c r="J151" i="15"/>
  <c r="J149"/>
  <c r="H149" i="16"/>
  <c r="J7" i="15"/>
  <c r="I9" s="1"/>
  <c r="H7" i="16"/>
  <c r="J143" i="15"/>
  <c r="H143" i="16"/>
  <c r="H145"/>
  <c r="J145" i="15"/>
  <c r="H147" i="16"/>
  <c r="J147" i="15"/>
  <c r="H153" i="16"/>
  <c r="J153" i="15"/>
  <c r="J31" i="22" l="1"/>
  <c r="H31" i="23"/>
  <c r="J152" i="16"/>
  <c r="H152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4" i="19"/>
  <c r="J94" i="18"/>
  <c r="H18"/>
  <c r="J18" i="17"/>
  <c r="J56" i="16"/>
  <c r="H56" i="17"/>
  <c r="J131" i="18"/>
  <c r="J137" i="17"/>
  <c r="H137" i="18"/>
  <c r="H137" i="19" s="1"/>
  <c r="J136" i="17"/>
  <c r="H136" i="18"/>
  <c r="H136" i="19" s="1"/>
  <c r="J130" i="17"/>
  <c r="H130" i="18"/>
  <c r="J92" i="17"/>
  <c r="H92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0" i="18"/>
  <c r="J139" i="16"/>
  <c r="H139" i="17"/>
  <c r="J138" i="18"/>
  <c r="H135"/>
  <c r="H135" i="19" s="1"/>
  <c r="J135" i="17"/>
  <c r="H134"/>
  <c r="J133" i="20"/>
  <c r="H133" i="21"/>
  <c r="H132" i="18"/>
  <c r="H132" i="19" s="1"/>
  <c r="J132" i="17"/>
  <c r="J125"/>
  <c r="H125" i="18"/>
  <c r="J127" i="17"/>
  <c r="H127" i="18"/>
  <c r="H126"/>
  <c r="J126" i="17"/>
  <c r="H124" i="18"/>
  <c r="J124" i="17"/>
  <c r="J123"/>
  <c r="H123" i="18"/>
  <c r="J100" i="17"/>
  <c r="H100" i="18"/>
  <c r="H99"/>
  <c r="J99" i="17"/>
  <c r="J98"/>
  <c r="H98" i="18"/>
  <c r="H97"/>
  <c r="J97" i="17"/>
  <c r="H96" i="18"/>
  <c r="J96" i="17"/>
  <c r="J95" i="16"/>
  <c r="H95" i="17"/>
  <c r="H101" i="18"/>
  <c r="J101" i="17"/>
  <c r="J93" i="16"/>
  <c r="H93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8" i="17"/>
  <c r="J148" i="16"/>
  <c r="J52" i="17"/>
  <c r="H52" i="18"/>
  <c r="H51"/>
  <c r="J51" i="17"/>
  <c r="H59" i="18"/>
  <c r="J59" i="17"/>
  <c r="J49"/>
  <c r="H49" i="18"/>
  <c r="H46"/>
  <c r="J46" i="17"/>
  <c r="J142"/>
  <c r="H43" i="19"/>
  <c r="J43" i="18"/>
  <c r="J42" i="16"/>
  <c r="H42" i="17"/>
  <c r="J144"/>
  <c r="H144" i="18"/>
  <c r="H41" i="17"/>
  <c r="J41" i="16"/>
  <c r="J60" i="14"/>
  <c r="H60" i="15"/>
  <c r="H146" i="17"/>
  <c r="J146" i="16"/>
  <c r="J39" i="17"/>
  <c r="H39" i="18"/>
  <c r="H47" i="16"/>
  <c r="J47" i="15"/>
  <c r="J150" i="17"/>
  <c r="H150" i="18"/>
  <c r="J15" i="16"/>
  <c r="I16" s="1"/>
  <c r="H15" i="17"/>
  <c r="J15" s="1"/>
  <c r="H12" i="19"/>
  <c r="J12" i="18"/>
  <c r="H10"/>
  <c r="J10" i="17"/>
  <c r="J13" i="16"/>
  <c r="H13" i="17"/>
  <c r="J147" i="16"/>
  <c r="H147" i="17"/>
  <c r="H143"/>
  <c r="H143" i="18" s="1"/>
  <c r="J143" s="1"/>
  <c r="J143" i="16"/>
  <c r="J149"/>
  <c r="H149" i="17"/>
  <c r="H153"/>
  <c r="J153" i="16"/>
  <c r="H145" i="17"/>
  <c r="J145" i="16"/>
  <c r="J151"/>
  <c r="H151" i="17"/>
  <c r="H7"/>
  <c r="J7" i="16"/>
  <c r="I9" s="1"/>
  <c r="J31" i="23" l="1"/>
  <c r="H31" i="24"/>
  <c r="H31" i="25" s="1"/>
  <c r="H31" i="40" s="1"/>
  <c r="H31" i="27" s="1"/>
  <c r="H31" i="28" s="1"/>
  <c r="H31" i="29" s="1"/>
  <c r="H31" i="30" s="1"/>
  <c r="H31" i="43" s="1"/>
  <c r="J152" i="17"/>
  <c r="H152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4" i="19"/>
  <c r="H94" i="20"/>
  <c r="H18" i="19"/>
  <c r="J18" i="18"/>
  <c r="J56" i="17"/>
  <c r="H56" i="18"/>
  <c r="J136"/>
  <c r="H131" i="20"/>
  <c r="J131" i="19"/>
  <c r="H130"/>
  <c r="J130" i="18"/>
  <c r="J137"/>
  <c r="J92"/>
  <c r="H92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0"/>
  <c r="H140" i="20"/>
  <c r="H139" i="18"/>
  <c r="H139" i="19" s="1"/>
  <c r="J139" i="17"/>
  <c r="H138" i="20"/>
  <c r="J138" i="19"/>
  <c r="J135" i="18"/>
  <c r="H134"/>
  <c r="H134" i="19" s="1"/>
  <c r="J134" i="17"/>
  <c r="H133" i="22"/>
  <c r="J133" i="21"/>
  <c r="J132" i="18"/>
  <c r="J125"/>
  <c r="H125" i="19"/>
  <c r="J127" i="18"/>
  <c r="H127" i="19"/>
  <c r="H126"/>
  <c r="J126" i="18"/>
  <c r="J124"/>
  <c r="H124" i="19"/>
  <c r="J123" i="18"/>
  <c r="H123" i="19"/>
  <c r="J100" i="18"/>
  <c r="H100" i="19"/>
  <c r="J99" i="18"/>
  <c r="H99" i="19"/>
  <c r="H98"/>
  <c r="J98" i="18"/>
  <c r="J97"/>
  <c r="H97" i="19"/>
  <c r="J96" i="18"/>
  <c r="H96" i="19"/>
  <c r="J95" i="17"/>
  <c r="H95" i="18"/>
  <c r="J101"/>
  <c r="H101" i="19"/>
  <c r="J93" i="17"/>
  <c r="H93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8" i="17"/>
  <c r="H148" i="18"/>
  <c r="J52"/>
  <c r="H52" i="19"/>
  <c r="H51"/>
  <c r="J51" i="18"/>
  <c r="J49"/>
  <c r="H49" i="19"/>
  <c r="H59"/>
  <c r="J59" i="18"/>
  <c r="J46"/>
  <c r="H46" i="19"/>
  <c r="J43"/>
  <c r="H43" i="20"/>
  <c r="H142" i="19"/>
  <c r="H42" i="18"/>
  <c r="J42" i="17"/>
  <c r="H144" i="19"/>
  <c r="J144" i="18"/>
  <c r="J41" i="17"/>
  <c r="H41" i="18"/>
  <c r="H39" i="19"/>
  <c r="J39" i="18"/>
  <c r="H60" i="16"/>
  <c r="J60" i="15"/>
  <c r="H47" i="17"/>
  <c r="J47" i="16"/>
  <c r="J146" i="17"/>
  <c r="H146" i="18"/>
  <c r="H150" i="19"/>
  <c r="J150" i="18"/>
  <c r="I16" i="17"/>
  <c r="H15" i="18"/>
  <c r="J12" i="19"/>
  <c r="H12" i="20"/>
  <c r="H10" i="19"/>
  <c r="J10" i="18"/>
  <c r="H13"/>
  <c r="J13" i="17"/>
  <c r="J7"/>
  <c r="I9" s="1"/>
  <c r="H7" i="18"/>
  <c r="J145" i="17"/>
  <c r="H145" i="18"/>
  <c r="J143" i="17"/>
  <c r="J153"/>
  <c r="H153" i="18"/>
  <c r="H151"/>
  <c r="J151" i="17"/>
  <c r="H149" i="18"/>
  <c r="J149" i="17"/>
  <c r="H147" i="18"/>
  <c r="J147" i="17"/>
  <c r="J31" i="43" l="1"/>
  <c r="H31" i="31"/>
  <c r="J31" s="1"/>
  <c r="H152" i="19"/>
  <c r="J152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4" i="20"/>
  <c r="H94" i="21"/>
  <c r="J18" i="19"/>
  <c r="H18" i="20"/>
  <c r="J56" i="18"/>
  <c r="H56" i="19"/>
  <c r="H136" i="20"/>
  <c r="J136" i="19"/>
  <c r="J137"/>
  <c r="H137" i="20"/>
  <c r="H131" i="21"/>
  <c r="J131" i="20"/>
  <c r="J130" i="19"/>
  <c r="H130" i="20"/>
  <c r="H92"/>
  <c r="J92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0" i="20"/>
  <c r="H140" i="21"/>
  <c r="J139" i="18"/>
  <c r="H138" i="21"/>
  <c r="J138" i="20"/>
  <c r="H135"/>
  <c r="J135" i="19"/>
  <c r="J134" i="18"/>
  <c r="J133" i="22"/>
  <c r="H133" i="23"/>
  <c r="H132" i="20"/>
  <c r="J132" i="19"/>
  <c r="J125"/>
  <c r="H125" i="20"/>
  <c r="J127" i="19"/>
  <c r="H127" i="20"/>
  <c r="H126"/>
  <c r="J126" i="19"/>
  <c r="H124" i="20"/>
  <c r="J124" i="19"/>
  <c r="H123" i="20"/>
  <c r="J123" i="19"/>
  <c r="J100"/>
  <c r="H100" i="20"/>
  <c r="H99"/>
  <c r="J99" i="19"/>
  <c r="H98" i="20"/>
  <c r="J98" i="19"/>
  <c r="H97" i="20"/>
  <c r="J97" i="19"/>
  <c r="H96" i="20"/>
  <c r="J96" i="19"/>
  <c r="J101"/>
  <c r="H101" i="20"/>
  <c r="J95" i="18"/>
  <c r="H95" i="19"/>
  <c r="J93" i="18"/>
  <c r="H93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8" i="18"/>
  <c r="H148" i="19"/>
  <c r="J51"/>
  <c r="H51" i="20"/>
  <c r="J49" i="19"/>
  <c r="H49" i="20"/>
  <c r="J59" i="19"/>
  <c r="H59" i="20"/>
  <c r="H46"/>
  <c r="J46" i="19"/>
  <c r="J43" i="20"/>
  <c r="H43" i="21"/>
  <c r="H142" i="20"/>
  <c r="J142" i="19"/>
  <c r="H42"/>
  <c r="J42" i="18"/>
  <c r="J144" i="19"/>
  <c r="H144" i="20"/>
  <c r="J41" i="18"/>
  <c r="H41" i="19"/>
  <c r="J146" i="18"/>
  <c r="H146" i="19"/>
  <c r="H47" i="18"/>
  <c r="J47" i="17"/>
  <c r="J39" i="19"/>
  <c r="H39" i="20"/>
  <c r="H60" i="17"/>
  <c r="J60" i="16"/>
  <c r="J150" i="19"/>
  <c r="H150" i="20"/>
  <c r="H15" i="19"/>
  <c r="J15" i="18"/>
  <c r="I16" s="1"/>
  <c r="J12" i="20"/>
  <c r="H12" i="21"/>
  <c r="J10" i="19"/>
  <c r="H10" i="20"/>
  <c r="H13" i="19"/>
  <c r="J13" i="18"/>
  <c r="J147"/>
  <c r="H147" i="19"/>
  <c r="H151"/>
  <c r="J151" i="18"/>
  <c r="H143" i="19"/>
  <c r="J7" i="18"/>
  <c r="I9" s="1"/>
  <c r="H7" i="19"/>
  <c r="H149"/>
  <c r="J149" i="18"/>
  <c r="H153" i="19"/>
  <c r="J153" s="1"/>
  <c r="J153" i="18"/>
  <c r="H145" i="19"/>
  <c r="J145" i="18"/>
  <c r="H152" i="20" l="1"/>
  <c r="J152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4" i="21"/>
  <c r="H94" i="22"/>
  <c r="H18" i="21"/>
  <c r="J18" i="20"/>
  <c r="J56" i="19"/>
  <c r="H56" i="20"/>
  <c r="H131" i="22"/>
  <c r="J131" i="21"/>
  <c r="J136" i="20"/>
  <c r="H136" i="21"/>
  <c r="J130" i="20"/>
  <c r="H130" i="21"/>
  <c r="J137" i="20"/>
  <c r="H137" i="21"/>
  <c r="H92"/>
  <c r="J92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0" i="22"/>
  <c r="J140" i="21"/>
  <c r="H139" i="20"/>
  <c r="J139" i="19"/>
  <c r="H138" i="22"/>
  <c r="J138" i="21"/>
  <c r="J135" i="20"/>
  <c r="H135" i="21"/>
  <c r="J134" i="19"/>
  <c r="H134" i="20"/>
  <c r="H133" i="24"/>
  <c r="H133" i="25" s="1"/>
  <c r="J133" s="1"/>
  <c r="J133" i="23"/>
  <c r="H132" i="21"/>
  <c r="J132" i="20"/>
  <c r="J125"/>
  <c r="H125" i="21"/>
  <c r="J127" i="20"/>
  <c r="H127" i="21"/>
  <c r="H126"/>
  <c r="J126" i="20"/>
  <c r="J124"/>
  <c r="H124" i="21"/>
  <c r="H123"/>
  <c r="J123" i="20"/>
  <c r="J100"/>
  <c r="H100" i="21"/>
  <c r="H99"/>
  <c r="J99" i="20"/>
  <c r="J98"/>
  <c r="H98" i="21"/>
  <c r="J97" i="20"/>
  <c r="H97" i="21"/>
  <c r="J96" i="20"/>
  <c r="H96" i="21"/>
  <c r="J101" i="20"/>
  <c r="H101" i="21"/>
  <c r="J95" i="19"/>
  <c r="H95" i="20"/>
  <c r="J93" i="19"/>
  <c r="H93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8"/>
  <c r="J148" i="19"/>
  <c r="J51" i="20"/>
  <c r="H51" i="21"/>
  <c r="J49" i="20"/>
  <c r="H49" i="21"/>
  <c r="H59"/>
  <c r="J59" i="20"/>
  <c r="J46"/>
  <c r="H46" i="21"/>
  <c r="H43" i="22"/>
  <c r="J43" i="21"/>
  <c r="H142"/>
  <c r="J142" i="20"/>
  <c r="J42" i="19"/>
  <c r="H42" i="20"/>
  <c r="H144" i="21"/>
  <c r="J144" i="20"/>
  <c r="H41"/>
  <c r="J41" i="19"/>
  <c r="H39" i="21"/>
  <c r="J39" i="20"/>
  <c r="H146"/>
  <c r="J146" i="19"/>
  <c r="J60" i="17"/>
  <c r="H60" i="18"/>
  <c r="J47"/>
  <c r="H47" i="19"/>
  <c r="J150" i="20"/>
  <c r="H150" i="21"/>
  <c r="H15" i="20"/>
  <c r="J15" i="19"/>
  <c r="I16" s="1"/>
  <c r="H12" i="22"/>
  <c r="J12" i="21"/>
  <c r="J10" i="20"/>
  <c r="H10" i="21"/>
  <c r="H13" i="20"/>
  <c r="J13" i="19"/>
  <c r="H145" i="20"/>
  <c r="J145" i="19"/>
  <c r="J7"/>
  <c r="I9" s="1"/>
  <c r="H7" i="20"/>
  <c r="H147"/>
  <c r="J147" i="19"/>
  <c r="H153" i="20"/>
  <c r="H149"/>
  <c r="J149" i="19"/>
  <c r="H151" i="20"/>
  <c r="J151" s="1"/>
  <c r="J151" i="19"/>
  <c r="H143" i="20"/>
  <c r="J143" i="19"/>
  <c r="J152" i="20" l="1"/>
  <c r="H152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4" i="22"/>
  <c r="H94" i="23"/>
  <c r="H18" i="22"/>
  <c r="J18" i="21"/>
  <c r="J56" i="20"/>
  <c r="H56" i="21"/>
  <c r="J130"/>
  <c r="H130" i="22"/>
  <c r="H131" i="23"/>
  <c r="J131" i="22"/>
  <c r="H137"/>
  <c r="J137" i="21"/>
  <c r="J136"/>
  <c r="H136" i="22"/>
  <c r="H92"/>
  <c r="J92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0" i="22"/>
  <c r="H140" i="23"/>
  <c r="H140" i="24" s="1"/>
  <c r="H140" i="25" s="1"/>
  <c r="J140" s="1"/>
  <c r="H139" i="21"/>
  <c r="J139" i="20"/>
  <c r="H138" i="23"/>
  <c r="J138" i="22"/>
  <c r="J135" i="21"/>
  <c r="H135" i="22"/>
  <c r="H134" i="21"/>
  <c r="J134" i="20"/>
  <c r="J133" i="24"/>
  <c r="J132" i="21"/>
  <c r="H132" i="22"/>
  <c r="J125" i="21"/>
  <c r="H125" i="22"/>
  <c r="H127"/>
  <c r="J127" i="21"/>
  <c r="J126"/>
  <c r="H126" i="22"/>
  <c r="J124" i="21"/>
  <c r="H124" i="22"/>
  <c r="H123"/>
  <c r="J123" i="21"/>
  <c r="J100"/>
  <c r="H100" i="22"/>
  <c r="H99"/>
  <c r="J99" i="21"/>
  <c r="H98" i="22"/>
  <c r="J98" i="21"/>
  <c r="J97"/>
  <c r="H97" i="22"/>
  <c r="H96"/>
  <c r="J96" i="21"/>
  <c r="H101" i="22"/>
  <c r="J101" i="21"/>
  <c r="H95"/>
  <c r="J95" i="20"/>
  <c r="H93" i="21"/>
  <c r="J93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8"/>
  <c r="J148" i="20"/>
  <c r="H52" i="22"/>
  <c r="J52" i="21"/>
  <c r="H51" i="22"/>
  <c r="J51" i="21"/>
  <c r="J49"/>
  <c r="H49" i="22"/>
  <c r="H59"/>
  <c r="J59" i="21"/>
  <c r="H46" i="22"/>
  <c r="J46" i="21"/>
  <c r="H43" i="23"/>
  <c r="J43" i="22"/>
  <c r="H142"/>
  <c r="J142" i="21"/>
  <c r="H42"/>
  <c r="J42" i="20"/>
  <c r="J144" i="21"/>
  <c r="H144" i="22"/>
  <c r="J41" i="20"/>
  <c r="H41" i="21"/>
  <c r="J60" i="18"/>
  <c r="H60" i="19"/>
  <c r="J146" i="20"/>
  <c r="H146" i="21"/>
  <c r="J47" i="19"/>
  <c r="H47" i="20"/>
  <c r="H39" i="22"/>
  <c r="J39" i="21"/>
  <c r="H150" i="22"/>
  <c r="J150" i="21"/>
  <c r="J15" i="20"/>
  <c r="I16" s="1"/>
  <c r="H15" i="21"/>
  <c r="H12" i="23"/>
  <c r="J12" i="22"/>
  <c r="H10"/>
  <c r="J10" i="21"/>
  <c r="J13" i="20"/>
  <c r="H13" i="21"/>
  <c r="H7"/>
  <c r="J7" i="20"/>
  <c r="H151" i="21"/>
  <c r="J151" s="1"/>
  <c r="H153"/>
  <c r="J153" s="1"/>
  <c r="J153" i="20"/>
  <c r="J143"/>
  <c r="H143" i="21"/>
  <c r="J149" i="20"/>
  <c r="H149" i="21"/>
  <c r="H147"/>
  <c r="J147" i="20"/>
  <c r="J145"/>
  <c r="H145" i="21"/>
  <c r="J152" l="1"/>
  <c r="H152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4" i="23"/>
  <c r="H94" i="24"/>
  <c r="H94" i="25" s="1"/>
  <c r="J94" s="1"/>
  <c r="H18" i="23"/>
  <c r="J18" i="22"/>
  <c r="J56" i="21"/>
  <c r="H56" i="22"/>
  <c r="H130" i="23"/>
  <c r="J130" i="22"/>
  <c r="H131" i="24"/>
  <c r="H131" i="25" s="1"/>
  <c r="J131" s="1"/>
  <c r="J131" i="23"/>
  <c r="H137"/>
  <c r="J137" i="22"/>
  <c r="H136" i="23"/>
  <c r="J136" i="22"/>
  <c r="J92"/>
  <c r="H92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0" i="23"/>
  <c r="H139" i="22"/>
  <c r="J139" i="21"/>
  <c r="J138" i="23"/>
  <c r="H135"/>
  <c r="J135" i="22"/>
  <c r="H134"/>
  <c r="J134" i="21"/>
  <c r="H133" i="40"/>
  <c r="J132" i="22"/>
  <c r="H132" i="23"/>
  <c r="J125" i="22"/>
  <c r="H125" i="23"/>
  <c r="H127"/>
  <c r="J127" i="22"/>
  <c r="H126" i="23"/>
  <c r="J126" i="22"/>
  <c r="J124"/>
  <c r="H124" i="23"/>
  <c r="J123" i="22"/>
  <c r="H123" i="23"/>
  <c r="J100" i="22"/>
  <c r="H100" i="23"/>
  <c r="J99" i="22"/>
  <c r="H99" i="23"/>
  <c r="J98" i="22"/>
  <c r="H98" i="23"/>
  <c r="J97" i="22"/>
  <c r="H97" i="23"/>
  <c r="J96" i="22"/>
  <c r="H96" i="23"/>
  <c r="H95" i="22"/>
  <c r="J95" i="21"/>
  <c r="J101" i="22"/>
  <c r="H101" i="23"/>
  <c r="J93" i="21"/>
  <c r="H93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8" i="21"/>
  <c r="H148" i="22"/>
  <c r="H51" i="23"/>
  <c r="J51" i="22"/>
  <c r="J49"/>
  <c r="H49" i="23"/>
  <c r="J59" i="22"/>
  <c r="H59" i="23"/>
  <c r="J46" i="22"/>
  <c r="H46" i="23"/>
  <c r="H142"/>
  <c r="J142" i="22"/>
  <c r="H43" i="24"/>
  <c r="H43" i="25" s="1"/>
  <c r="J43" s="1"/>
  <c r="J43" i="23"/>
  <c r="H42" i="22"/>
  <c r="J42" i="21"/>
  <c r="H144" i="23"/>
  <c r="J144" i="22"/>
  <c r="H41"/>
  <c r="J41" i="21"/>
  <c r="J47" i="20"/>
  <c r="H47" i="21"/>
  <c r="J60" i="19"/>
  <c r="H60" i="20"/>
  <c r="H146" i="22"/>
  <c r="J146" i="21"/>
  <c r="J39" i="22"/>
  <c r="H39" i="23"/>
  <c r="H150"/>
  <c r="J150" i="22"/>
  <c r="H15"/>
  <c r="J15" i="21"/>
  <c r="I16" s="1"/>
  <c r="H12" i="24"/>
  <c r="H12" i="25" s="1"/>
  <c r="J12" s="1"/>
  <c r="J12" i="23"/>
  <c r="H10"/>
  <c r="J10" i="22"/>
  <c r="J13" i="21"/>
  <c r="H13" i="22"/>
  <c r="H145"/>
  <c r="J145" i="21"/>
  <c r="H149" i="22"/>
  <c r="J149" i="21"/>
  <c r="J143"/>
  <c r="H143" i="22"/>
  <c r="H151"/>
  <c r="J7" i="21"/>
  <c r="H7" i="22"/>
  <c r="J7" s="1"/>
  <c r="H147"/>
  <c r="J147" i="21"/>
  <c r="H153" i="22"/>
  <c r="H152" i="23" l="1"/>
  <c r="J152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4" i="24"/>
  <c r="H18"/>
  <c r="H18" i="25" s="1"/>
  <c r="J18" s="1"/>
  <c r="J18" i="23"/>
  <c r="H56"/>
  <c r="J56" i="22"/>
  <c r="J136" i="23"/>
  <c r="H136" i="24"/>
  <c r="H136" i="25" s="1"/>
  <c r="J136" s="1"/>
  <c r="J131" i="24"/>
  <c r="J137" i="23"/>
  <c r="H130" i="24"/>
  <c r="H130" i="25" s="1"/>
  <c r="J130" s="1"/>
  <c r="J130" i="23"/>
  <c r="J92"/>
  <c r="H92" i="24"/>
  <c r="H92" i="25" s="1"/>
  <c r="J92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0"/>
  <c r="H139" i="23"/>
  <c r="J139" i="22"/>
  <c r="J138" i="24"/>
  <c r="J135" i="23"/>
  <c r="H134"/>
  <c r="J134" i="22"/>
  <c r="J133" i="40"/>
  <c r="H133" i="27"/>
  <c r="J132" i="23"/>
  <c r="H132" i="24"/>
  <c r="H132" i="25" s="1"/>
  <c r="J132" s="1"/>
  <c r="J125" i="23"/>
  <c r="H125" i="24"/>
  <c r="H125" i="25" s="1"/>
  <c r="J125" s="1"/>
  <c r="H127" i="24"/>
  <c r="J127" i="23"/>
  <c r="J126"/>
  <c r="H126" i="24"/>
  <c r="H126" i="25" s="1"/>
  <c r="J126" s="1"/>
  <c r="J124" i="23"/>
  <c r="H124" i="24"/>
  <c r="H124" i="25" s="1"/>
  <c r="J124" s="1"/>
  <c r="H123" i="24"/>
  <c r="H123" i="25" s="1"/>
  <c r="J123" s="1"/>
  <c r="J123" i="23"/>
  <c r="J100"/>
  <c r="H100" i="24"/>
  <c r="H100" i="25" s="1"/>
  <c r="J100" s="1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96" i="24"/>
  <c r="H96" i="25" s="1"/>
  <c r="J96" s="1"/>
  <c r="J96" i="23"/>
  <c r="H101" i="24"/>
  <c r="H101" i="25" s="1"/>
  <c r="J101" s="1"/>
  <c r="J101" i="23"/>
  <c r="H95"/>
  <c r="J95" i="22"/>
  <c r="J93"/>
  <c r="H93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8" i="22"/>
  <c r="H148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2" i="24"/>
  <c r="H142" i="25" s="1"/>
  <c r="J142" s="1"/>
  <c r="J142" i="23"/>
  <c r="J43" i="24"/>
  <c r="J42" i="22"/>
  <c r="H42" i="23"/>
  <c r="J41" i="22"/>
  <c r="H41" i="23"/>
  <c r="H144" i="24"/>
  <c r="H144" i="25" s="1"/>
  <c r="J144" s="1"/>
  <c r="J144" i="23"/>
  <c r="H47" i="22"/>
  <c r="J47" i="21"/>
  <c r="H39" i="24"/>
  <c r="H39" i="25" s="1"/>
  <c r="J39" s="1"/>
  <c r="J39" i="23"/>
  <c r="H60" i="21"/>
  <c r="J60" i="20"/>
  <c r="J146" i="22"/>
  <c r="H146" i="23"/>
  <c r="H150" i="24"/>
  <c r="H150" i="25" s="1"/>
  <c r="J150" s="1"/>
  <c r="J150" i="23"/>
  <c r="J15" i="22"/>
  <c r="I16" s="1"/>
  <c r="H15" i="23"/>
  <c r="J12" i="24"/>
  <c r="J10" i="23"/>
  <c r="H10" i="24"/>
  <c r="H10" i="25" s="1"/>
  <c r="J10" s="1"/>
  <c r="H13" i="23"/>
  <c r="J13" i="22"/>
  <c r="H153" i="23"/>
  <c r="J153" i="22"/>
  <c r="H145" i="23"/>
  <c r="J145" i="22"/>
  <c r="H143" i="23"/>
  <c r="J143" i="22"/>
  <c r="H147" i="23"/>
  <c r="J147" i="22"/>
  <c r="H151" i="23"/>
  <c r="J151" i="22"/>
  <c r="H149" i="23"/>
  <c r="J149" i="22"/>
  <c r="H7" i="23"/>
  <c r="H152" i="24" l="1"/>
  <c r="J152" i="23"/>
  <c r="J30" i="24"/>
  <c r="J29" i="23"/>
  <c r="H29" i="24"/>
  <c r="H127" i="25"/>
  <c r="J127" s="1"/>
  <c r="J127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4" i="40"/>
  <c r="J18" i="24"/>
  <c r="J56" i="23"/>
  <c r="H56" i="24"/>
  <c r="H56" i="25" s="1"/>
  <c r="J56" s="1"/>
  <c r="J130" i="24"/>
  <c r="H131" i="40"/>
  <c r="J137" i="24"/>
  <c r="J136"/>
  <c r="J92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0"/>
  <c r="J139" i="23"/>
  <c r="H139" i="24"/>
  <c r="H138" i="40"/>
  <c r="J135" i="24"/>
  <c r="J134" i="23"/>
  <c r="J133" i="27"/>
  <c r="H133" i="28"/>
  <c r="J132" i="24"/>
  <c r="J125"/>
  <c r="J126"/>
  <c r="J124"/>
  <c r="J123"/>
  <c r="J100"/>
  <c r="J99"/>
  <c r="J98"/>
  <c r="J97"/>
  <c r="J96"/>
  <c r="J101"/>
  <c r="H95"/>
  <c r="H95" i="25" s="1"/>
  <c r="J95" s="1"/>
  <c r="J95" i="23"/>
  <c r="H93" i="24"/>
  <c r="H93" i="25" s="1"/>
  <c r="J93" s="1"/>
  <c r="J93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8" i="23"/>
  <c r="H148" i="24"/>
  <c r="H148" i="25" s="1"/>
  <c r="J148" s="1"/>
  <c r="J52" i="24"/>
  <c r="J51"/>
  <c r="J49"/>
  <c r="J59"/>
  <c r="J46"/>
  <c r="H43" i="40"/>
  <c r="J142" i="24"/>
  <c r="H42"/>
  <c r="H42" i="25" s="1"/>
  <c r="J42" s="1"/>
  <c r="J42" i="23"/>
  <c r="J41"/>
  <c r="H41" i="24"/>
  <c r="H41" i="25" s="1"/>
  <c r="J41" s="1"/>
  <c r="J144" i="24"/>
  <c r="J39"/>
  <c r="H146"/>
  <c r="H146" i="25" s="1"/>
  <c r="J146" s="1"/>
  <c r="J146" i="23"/>
  <c r="H60" i="22"/>
  <c r="J60" i="21"/>
  <c r="J47" i="22"/>
  <c r="H47" i="23"/>
  <c r="J150" i="24"/>
  <c r="J15" i="23"/>
  <c r="I16" s="1"/>
  <c r="H15" i="24"/>
  <c r="H15" i="25" s="1"/>
  <c r="J15" s="1"/>
  <c r="I16" s="1"/>
  <c r="H12" i="40"/>
  <c r="J10" i="24"/>
  <c r="H13"/>
  <c r="H13" i="25" s="1"/>
  <c r="J13" i="23"/>
  <c r="H151" i="24"/>
  <c r="H151" i="25" s="1"/>
  <c r="J151" s="1"/>
  <c r="J151" i="23"/>
  <c r="J143"/>
  <c r="H143" i="24"/>
  <c r="H143" i="25" s="1"/>
  <c r="J143" s="1"/>
  <c r="H153" i="24"/>
  <c r="H153" i="25" s="1"/>
  <c r="J153" s="1"/>
  <c r="J153" i="23"/>
  <c r="H7" i="24"/>
  <c r="H7" i="25" s="1"/>
  <c r="J7" s="1"/>
  <c r="J7" i="23"/>
  <c r="J149"/>
  <c r="H149" i="24"/>
  <c r="H149" i="25" s="1"/>
  <c r="J149" s="1"/>
  <c r="H147" i="24"/>
  <c r="H147" i="25" s="1"/>
  <c r="J147" s="1"/>
  <c r="J147" i="23"/>
  <c r="H145" i="24"/>
  <c r="H145" i="25" s="1"/>
  <c r="J145" s="1"/>
  <c r="J145" i="23"/>
  <c r="J13" i="25" l="1"/>
  <c r="H13" i="40"/>
  <c r="J60" i="23"/>
  <c r="H47" i="24"/>
  <c r="H47" i="25" s="1"/>
  <c r="J47" s="1"/>
  <c r="H152"/>
  <c r="J152" i="24"/>
  <c r="H29" i="25"/>
  <c r="J29" i="24"/>
  <c r="J28" i="40"/>
  <c r="H28" i="27"/>
  <c r="J27" i="25"/>
  <c r="H27" i="40"/>
  <c r="H32" i="24"/>
  <c r="J32" i="23"/>
  <c r="J30" i="40"/>
  <c r="H30" i="27"/>
  <c r="H139" i="25"/>
  <c r="H24" i="28"/>
  <c r="J24" i="27"/>
  <c r="H23" i="40"/>
  <c r="H22" i="29"/>
  <c r="J22" i="28"/>
  <c r="J94" i="40"/>
  <c r="H94" i="27"/>
  <c r="H18" i="40"/>
  <c r="J56" i="24"/>
  <c r="H137" i="40"/>
  <c r="H136"/>
  <c r="H130"/>
  <c r="J131"/>
  <c r="H131" i="27"/>
  <c r="H92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0" i="27"/>
  <c r="J140" i="40"/>
  <c r="J139" i="24"/>
  <c r="J138" i="40"/>
  <c r="H138" i="27"/>
  <c r="H135" i="40"/>
  <c r="J134" i="24"/>
  <c r="J133" i="28"/>
  <c r="H133" i="29"/>
  <c r="H132" i="40"/>
  <c r="H125"/>
  <c r="H127"/>
  <c r="H126"/>
  <c r="H124"/>
  <c r="H123"/>
  <c r="H100"/>
  <c r="H99"/>
  <c r="H98"/>
  <c r="H97"/>
  <c r="H96"/>
  <c r="H101"/>
  <c r="J95" i="24"/>
  <c r="J93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8" i="24"/>
  <c r="H51" i="40"/>
  <c r="H59"/>
  <c r="H49"/>
  <c r="H46"/>
  <c r="H142"/>
  <c r="H43" i="27"/>
  <c r="J43" i="40"/>
  <c r="J42" i="24"/>
  <c r="J41"/>
  <c r="H144" i="40"/>
  <c r="H39"/>
  <c r="J146" i="24"/>
  <c r="J47" i="23"/>
  <c r="H60"/>
  <c r="J60" i="22"/>
  <c r="H150" i="40"/>
  <c r="J15" i="24"/>
  <c r="I16" s="1"/>
  <c r="J12" i="40"/>
  <c r="H12" i="27"/>
  <c r="H10" i="40"/>
  <c r="J13" i="24"/>
  <c r="J143"/>
  <c r="J145"/>
  <c r="J153"/>
  <c r="J151"/>
  <c r="J149"/>
  <c r="J147"/>
  <c r="J7"/>
  <c r="J152" i="25" l="1"/>
  <c r="H152" i="40"/>
  <c r="H29"/>
  <c r="J29" i="25"/>
  <c r="H32"/>
  <c r="J32" i="24"/>
  <c r="J28" i="27"/>
  <c r="H28" i="28"/>
  <c r="J27" i="40"/>
  <c r="H27" i="27"/>
  <c r="J30"/>
  <c r="H30" i="28"/>
  <c r="J139" i="25"/>
  <c r="H24" i="29"/>
  <c r="J24" i="28"/>
  <c r="H23" i="27"/>
  <c r="J23" i="40"/>
  <c r="H22" i="30"/>
  <c r="J22" i="29"/>
  <c r="H94" i="28"/>
  <c r="J94" i="27"/>
  <c r="J18" i="40"/>
  <c r="H18" i="27"/>
  <c r="H56" i="40"/>
  <c r="H136" i="27"/>
  <c r="J136" i="40"/>
  <c r="J130"/>
  <c r="H130" i="27"/>
  <c r="H137"/>
  <c r="J137" i="40"/>
  <c r="J131" i="27"/>
  <c r="H131" i="28"/>
  <c r="J92" i="40"/>
  <c r="H92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0" i="27"/>
  <c r="H140" i="28"/>
  <c r="H139" i="40"/>
  <c r="H138" i="28"/>
  <c r="J138" i="27"/>
  <c r="J135" i="40"/>
  <c r="H135" i="27"/>
  <c r="H134" i="40"/>
  <c r="H133" i="30"/>
  <c r="J133" i="29"/>
  <c r="J132" i="40"/>
  <c r="H132" i="27"/>
  <c r="H125"/>
  <c r="J125" i="40"/>
  <c r="J127"/>
  <c r="H127" i="27"/>
  <c r="H126"/>
  <c r="J126" i="40"/>
  <c r="H124" i="27"/>
  <c r="J124" i="40"/>
  <c r="J123"/>
  <c r="H123" i="27"/>
  <c r="J100" i="40"/>
  <c r="H100" i="27"/>
  <c r="H99"/>
  <c r="J99" i="40"/>
  <c r="J98"/>
  <c r="H98" i="27"/>
  <c r="J97" i="40"/>
  <c r="H97" i="27"/>
  <c r="J96" i="40"/>
  <c r="H96" i="27"/>
  <c r="J101" i="40"/>
  <c r="H101" i="27"/>
  <c r="H95" i="40"/>
  <c r="H93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8" i="40"/>
  <c r="J51"/>
  <c r="H51" i="27"/>
  <c r="J59" i="40"/>
  <c r="H59" i="27"/>
  <c r="J49" i="40"/>
  <c r="H49" i="27"/>
  <c r="J46" i="40"/>
  <c r="H46" i="27"/>
  <c r="H142"/>
  <c r="J142" i="40"/>
  <c r="J43" i="27"/>
  <c r="H43" i="28"/>
  <c r="H42" i="40"/>
  <c r="H41"/>
  <c r="J144"/>
  <c r="H144" i="27"/>
  <c r="H39"/>
  <c r="J39" i="40"/>
  <c r="H60" i="24"/>
  <c r="H60" i="25" s="1"/>
  <c r="J60" s="1"/>
  <c r="H146" i="40"/>
  <c r="J47" i="24"/>
  <c r="J150" i="40"/>
  <c r="H150" i="27"/>
  <c r="H15" i="40"/>
  <c r="H12" i="28"/>
  <c r="J12" i="27"/>
  <c r="J10" i="40"/>
  <c r="H10" i="27"/>
  <c r="H7" i="40"/>
  <c r="L13" s="1"/>
  <c r="H149"/>
  <c r="H153"/>
  <c r="H145"/>
  <c r="H147"/>
  <c r="H151"/>
  <c r="H143"/>
  <c r="J152" l="1"/>
  <c r="H152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4" i="28"/>
  <c r="H94" i="29"/>
  <c r="H18" i="28"/>
  <c r="J18" i="27"/>
  <c r="H56"/>
  <c r="J56" i="40"/>
  <c r="J137" i="27"/>
  <c r="H137" i="28"/>
  <c r="J136" i="27"/>
  <c r="H136" i="28"/>
  <c r="H131" i="29"/>
  <c r="J131" i="28"/>
  <c r="H130"/>
  <c r="J130" i="27"/>
  <c r="J92"/>
  <c r="H92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0"/>
  <c r="J140" i="28"/>
  <c r="H139" i="27"/>
  <c r="J139" i="40"/>
  <c r="J138" i="28"/>
  <c r="H138" i="29"/>
  <c r="H135" i="28"/>
  <c r="J135" i="27"/>
  <c r="H134"/>
  <c r="J134" i="40"/>
  <c r="J133" i="30"/>
  <c r="H119" i="42"/>
  <c r="J119" s="1"/>
  <c r="H133" i="43"/>
  <c r="J132" i="27"/>
  <c r="H132" i="28"/>
  <c r="J125" i="27"/>
  <c r="H125" i="28"/>
  <c r="H127"/>
  <c r="J127" i="27"/>
  <c r="J126"/>
  <c r="H126" i="28"/>
  <c r="H124"/>
  <c r="J124" i="27"/>
  <c r="H123" i="28"/>
  <c r="J123" i="27"/>
  <c r="J100"/>
  <c r="H100" i="28"/>
  <c r="H99"/>
  <c r="J99" i="27"/>
  <c r="J98"/>
  <c r="H98" i="28"/>
  <c r="H97"/>
  <c r="J97" i="27"/>
  <c r="H96" i="28"/>
  <c r="J96" i="27"/>
  <c r="J95" i="40"/>
  <c r="H95" i="27"/>
  <c r="J101"/>
  <c r="H101" i="28"/>
  <c r="J93" i="40"/>
  <c r="H93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8" i="27"/>
  <c r="J148" i="40"/>
  <c r="J51" i="27"/>
  <c r="H51" i="28"/>
  <c r="H59"/>
  <c r="J59" i="27"/>
  <c r="J49"/>
  <c r="H49" i="28"/>
  <c r="H46"/>
  <c r="J46" i="27"/>
  <c r="H43" i="29"/>
  <c r="J43" i="28"/>
  <c r="J142" i="27"/>
  <c r="H142" i="28"/>
  <c r="J42" i="40"/>
  <c r="H42" i="27"/>
  <c r="H144" i="28"/>
  <c r="J144" i="27"/>
  <c r="H41"/>
  <c r="J41" i="40"/>
  <c r="H47"/>
  <c r="J60" i="24"/>
  <c r="J146" i="40"/>
  <c r="H146" i="27"/>
  <c r="H39" i="28"/>
  <c r="J39" i="27"/>
  <c r="J150"/>
  <c r="H150" i="28"/>
  <c r="H15" i="27"/>
  <c r="J15" i="40"/>
  <c r="I16" s="1"/>
  <c r="H12" i="29"/>
  <c r="J12" i="28"/>
  <c r="J10" i="27"/>
  <c r="H10" i="28"/>
  <c r="J13" i="40"/>
  <c r="H13" i="27"/>
  <c r="H7"/>
  <c r="J7" i="40"/>
  <c r="J151"/>
  <c r="H151" i="27"/>
  <c r="J151" s="1"/>
  <c r="H149"/>
  <c r="J149" i="40"/>
  <c r="J145"/>
  <c r="H145" i="27"/>
  <c r="H143"/>
  <c r="J143" i="40"/>
  <c r="J147"/>
  <c r="H147" i="27"/>
  <c r="H153"/>
  <c r="J153" s="1"/>
  <c r="J153" i="40"/>
  <c r="H133" i="31" l="1"/>
  <c r="J133" s="1"/>
  <c r="H152" i="28"/>
  <c r="J152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4" i="29"/>
  <c r="H94" i="30"/>
  <c r="J18" i="28"/>
  <c r="H18" i="29"/>
  <c r="H18" i="30" s="1"/>
  <c r="H18" i="43" s="1"/>
  <c r="H56" i="28"/>
  <c r="J56" i="27"/>
  <c r="H137" i="29"/>
  <c r="J137" i="28"/>
  <c r="H130" i="29"/>
  <c r="J130" i="28"/>
  <c r="H131" i="30"/>
  <c r="J131" i="29"/>
  <c r="J136" i="28"/>
  <c r="H136" i="29"/>
  <c r="H92"/>
  <c r="J92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0" i="29"/>
  <c r="H140" i="30"/>
  <c r="H139" i="28"/>
  <c r="J139" i="27"/>
  <c r="J138" i="29"/>
  <c r="H138" i="30"/>
  <c r="H135" i="29"/>
  <c r="J135" i="28"/>
  <c r="H134"/>
  <c r="J134" i="27"/>
  <c r="J133" i="43"/>
  <c r="H132" i="29"/>
  <c r="J132" i="28"/>
  <c r="H125" i="29"/>
  <c r="J125" i="28"/>
  <c r="H127" i="29"/>
  <c r="J127" i="28"/>
  <c r="J126"/>
  <c r="H126" i="29"/>
  <c r="J124" i="28"/>
  <c r="H124" i="29"/>
  <c r="J123" i="28"/>
  <c r="H123" i="29"/>
  <c r="J100" i="28"/>
  <c r="H100" i="29"/>
  <c r="J99" i="28"/>
  <c r="H99" i="29"/>
  <c r="H98"/>
  <c r="J98" i="28"/>
  <c r="J97"/>
  <c r="H97" i="29"/>
  <c r="J96" i="28"/>
  <c r="H96" i="29"/>
  <c r="H95" i="28"/>
  <c r="J95" i="27"/>
  <c r="J101" i="28"/>
  <c r="H101" i="29"/>
  <c r="H93" i="28"/>
  <c r="J93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8" i="27"/>
  <c r="H148" i="28"/>
  <c r="J51"/>
  <c r="H51" i="29"/>
  <c r="J49" i="28"/>
  <c r="H49" i="29"/>
  <c r="J59" i="28"/>
  <c r="H59" i="29"/>
  <c r="J46" i="28"/>
  <c r="H46" i="29"/>
  <c r="J142" i="28"/>
  <c r="H142" i="29"/>
  <c r="J43"/>
  <c r="H43" i="30"/>
  <c r="H42" i="28"/>
  <c r="J42" i="27"/>
  <c r="H41" i="28"/>
  <c r="J41" i="27"/>
  <c r="J144" i="28"/>
  <c r="H144" i="29"/>
  <c r="J146" i="27"/>
  <c r="H146" i="28"/>
  <c r="J39"/>
  <c r="H39" i="29"/>
  <c r="H60" i="40"/>
  <c r="J47"/>
  <c r="H47" i="27"/>
  <c r="J150" i="28"/>
  <c r="H150" i="29"/>
  <c r="H15" i="28"/>
  <c r="J15" i="27"/>
  <c r="I16" s="1"/>
  <c r="H12" i="30"/>
  <c r="J12" i="29"/>
  <c r="J10" i="28"/>
  <c r="H10" i="29"/>
  <c r="H13" i="28"/>
  <c r="J13" i="27"/>
  <c r="J145"/>
  <c r="H145" i="28"/>
  <c r="H151"/>
  <c r="J149" i="27"/>
  <c r="H149" i="28"/>
  <c r="H147"/>
  <c r="J147" i="27"/>
  <c r="H153" i="28"/>
  <c r="J143" i="27"/>
  <c r="H143" i="28"/>
  <c r="J7" i="27"/>
  <c r="H7" i="28"/>
  <c r="J152" l="1"/>
  <c r="H152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4"/>
  <c r="H88" i="42"/>
  <c r="J88" s="1"/>
  <c r="H94" i="43"/>
  <c r="H94" i="31" s="1"/>
  <c r="J18" i="29"/>
  <c r="J56" i="28"/>
  <c r="H56" i="29"/>
  <c r="J130"/>
  <c r="H130" i="30"/>
  <c r="H117" i="42"/>
  <c r="J117" s="1"/>
  <c r="H131" i="43"/>
  <c r="J131" i="30"/>
  <c r="H137"/>
  <c r="J137" i="29"/>
  <c r="H136" i="30"/>
  <c r="J136" i="29"/>
  <c r="J92"/>
  <c r="H92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0"/>
  <c r="H126" i="42"/>
  <c r="J126" s="1"/>
  <c r="H140" i="43"/>
  <c r="J139" i="28"/>
  <c r="H139" i="29"/>
  <c r="H124" i="42"/>
  <c r="J124" s="1"/>
  <c r="H138" i="43"/>
  <c r="J138" i="30"/>
  <c r="J135" i="29"/>
  <c r="H135" i="30"/>
  <c r="J134" i="28"/>
  <c r="H134" i="29"/>
  <c r="J132"/>
  <c r="H132" i="30"/>
  <c r="J125" i="29"/>
  <c r="H125" i="30"/>
  <c r="J127" i="29"/>
  <c r="H127" i="30"/>
  <c r="J126" i="29"/>
  <c r="H126" i="30"/>
  <c r="J124" i="29"/>
  <c r="H124" i="30"/>
  <c r="J123" i="29"/>
  <c r="H123" i="30"/>
  <c r="J100" i="29"/>
  <c r="H100" i="30"/>
  <c r="J99" i="29"/>
  <c r="H99" i="30"/>
  <c r="H98"/>
  <c r="J98" i="29"/>
  <c r="J97"/>
  <c r="H97" i="30"/>
  <c r="J96" i="29"/>
  <c r="H96" i="30"/>
  <c r="J101" i="29"/>
  <c r="H101" i="30"/>
  <c r="H95" i="29"/>
  <c r="J95" i="28"/>
  <c r="H93" i="29"/>
  <c r="J93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8" i="28"/>
  <c r="H148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2"/>
  <c r="J142" i="29"/>
  <c r="J42" i="28"/>
  <c r="H42" i="29"/>
  <c r="J144"/>
  <c r="H144" i="30"/>
  <c r="J41" i="28"/>
  <c r="H41" i="29"/>
  <c r="H47" i="28"/>
  <c r="H47" i="29" s="1"/>
  <c r="J47" i="27"/>
  <c r="J39" i="29"/>
  <c r="H39" i="30"/>
  <c r="J60" i="40"/>
  <c r="H60" i="27"/>
  <c r="J146" i="28"/>
  <c r="H146" i="29"/>
  <c r="J150"/>
  <c r="H150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49" i="28"/>
  <c r="H149" i="29"/>
  <c r="J145" i="28"/>
  <c r="H145" i="29"/>
  <c r="J151" i="28"/>
  <c r="H151" i="29"/>
  <c r="J151" s="1"/>
  <c r="J143" i="28"/>
  <c r="H143" i="29"/>
  <c r="J153" i="28"/>
  <c r="H153" i="29"/>
  <c r="J153" s="1"/>
  <c r="J147" i="28"/>
  <c r="H147" i="29"/>
  <c r="H12" i="31" l="1"/>
  <c r="J12" s="1"/>
  <c r="H131"/>
  <c r="J131" s="1"/>
  <c r="H11"/>
  <c r="J11" s="1"/>
  <c r="H138"/>
  <c r="J138" s="1"/>
  <c r="H140"/>
  <c r="J140" s="1"/>
  <c r="H19"/>
  <c r="J19" s="1"/>
  <c r="H30"/>
  <c r="J30" s="1"/>
  <c r="H28"/>
  <c r="J28" s="1"/>
  <c r="J68"/>
  <c r="N68"/>
  <c r="J43"/>
  <c r="N43"/>
  <c r="J45"/>
  <c r="N45"/>
  <c r="J94"/>
  <c r="N94"/>
  <c r="J152" i="29"/>
  <c r="H152" i="30"/>
  <c r="J81" i="31"/>
  <c r="N81"/>
  <c r="J77"/>
  <c r="N77"/>
  <c r="BH35" i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4" i="43"/>
  <c r="J18" i="30"/>
  <c r="H18" i="42"/>
  <c r="J18" s="1"/>
  <c r="J56" i="29"/>
  <c r="H56" i="30"/>
  <c r="H137" i="43"/>
  <c r="H123" i="42"/>
  <c r="J123" s="1"/>
  <c r="J137" i="30"/>
  <c r="H130" i="43"/>
  <c r="H116" i="42"/>
  <c r="J116" s="1"/>
  <c r="J130" i="30"/>
  <c r="H136" i="43"/>
  <c r="J136" i="30"/>
  <c r="H122" i="42"/>
  <c r="J122" s="1"/>
  <c r="J131" i="43"/>
  <c r="H86" i="42"/>
  <c r="J86" s="1"/>
  <c r="H92" i="43"/>
  <c r="H92" i="31" s="1"/>
  <c r="J92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0"/>
  <c r="J139" i="29"/>
  <c r="H139" i="30"/>
  <c r="J138" i="43"/>
  <c r="H121" i="42"/>
  <c r="J121" s="1"/>
  <c r="J135" i="30"/>
  <c r="H135" i="43"/>
  <c r="H134" i="30"/>
  <c r="J134" i="29"/>
  <c r="H132" i="43"/>
  <c r="H118" i="42"/>
  <c r="J118" s="1"/>
  <c r="J132" i="30"/>
  <c r="J125"/>
  <c r="H125" i="43"/>
  <c r="H125" i="31" s="1"/>
  <c r="H99" i="42"/>
  <c r="J99" s="1"/>
  <c r="H127" i="43"/>
  <c r="H127" i="31" s="1"/>
  <c r="J127" i="30"/>
  <c r="H101" i="42"/>
  <c r="J101" s="1"/>
  <c r="H100"/>
  <c r="J100" s="1"/>
  <c r="H126" i="43"/>
  <c r="H126" i="31" s="1"/>
  <c r="J126" i="30"/>
  <c r="J124"/>
  <c r="H124" i="43"/>
  <c r="H124" i="31" s="1"/>
  <c r="H98" i="42"/>
  <c r="J98" s="1"/>
  <c r="J123" i="30"/>
  <c r="H97" i="42"/>
  <c r="J97" s="1"/>
  <c r="H123" i="43"/>
  <c r="H123" i="31" s="1"/>
  <c r="H94" i="42"/>
  <c r="J94" s="1"/>
  <c r="H100" i="43"/>
  <c r="H100" i="31" s="1"/>
  <c r="J100" i="30"/>
  <c r="J99"/>
  <c r="H93" i="42"/>
  <c r="J93" s="1"/>
  <c r="H99" i="43"/>
  <c r="H99" i="31" s="1"/>
  <c r="H98" i="43"/>
  <c r="H98" i="31" s="1"/>
  <c r="H92" i="42"/>
  <c r="J92" s="1"/>
  <c r="J98" i="30"/>
  <c r="H97" i="43"/>
  <c r="H97" i="31" s="1"/>
  <c r="J97" i="30"/>
  <c r="H91" i="42"/>
  <c r="J91" s="1"/>
  <c r="H90"/>
  <c r="J90" s="1"/>
  <c r="H96" i="43"/>
  <c r="H96" i="31" s="1"/>
  <c r="J96" i="30"/>
  <c r="H95" i="42"/>
  <c r="J95" s="1"/>
  <c r="J101" i="30"/>
  <c r="H101" i="43"/>
  <c r="H101" i="31" s="1"/>
  <c r="J95" i="29"/>
  <c r="H95" i="30"/>
  <c r="J93" i="29"/>
  <c r="H93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8"/>
  <c r="J148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2" i="43"/>
  <c r="J142" i="30"/>
  <c r="H103" i="42"/>
  <c r="J103" s="1"/>
  <c r="J43" i="43"/>
  <c r="H42" i="30"/>
  <c r="J42" i="29"/>
  <c r="J144" i="30"/>
  <c r="H144" i="43"/>
  <c r="H105" i="42"/>
  <c r="J105" s="1"/>
  <c r="J41" i="29"/>
  <c r="H41" i="30"/>
  <c r="H60" i="28"/>
  <c r="J60" i="27"/>
  <c r="J146" i="29"/>
  <c r="H146" i="30"/>
  <c r="J39"/>
  <c r="H38" i="42"/>
  <c r="J38" s="1"/>
  <c r="H39" i="43"/>
  <c r="J47" i="28"/>
  <c r="H111" i="42"/>
  <c r="J111" s="1"/>
  <c r="H150" i="43"/>
  <c r="J150" i="30"/>
  <c r="J15" i="29"/>
  <c r="I16" s="1"/>
  <c r="H15" i="30"/>
  <c r="J12" i="43"/>
  <c r="H10"/>
  <c r="H10" i="42"/>
  <c r="J10" s="1"/>
  <c r="J10" i="30"/>
  <c r="J13" i="29"/>
  <c r="H13" i="30"/>
  <c r="J147" i="29"/>
  <c r="H147" i="30"/>
  <c r="H151"/>
  <c r="J151" s="1"/>
  <c r="J145" i="29"/>
  <c r="H145" i="30"/>
  <c r="J7" i="29"/>
  <c r="H7" i="30"/>
  <c r="H153"/>
  <c r="J153" s="1"/>
  <c r="J143" i="29"/>
  <c r="H143" i="30"/>
  <c r="J149" i="29"/>
  <c r="H149" i="30"/>
  <c r="H9" i="31" l="1"/>
  <c r="J9" s="1"/>
  <c r="H35"/>
  <c r="J35" s="1"/>
  <c r="H130"/>
  <c r="J130" s="1"/>
  <c r="H150"/>
  <c r="J150" s="1"/>
  <c r="H10"/>
  <c r="J10" s="1"/>
  <c r="H132"/>
  <c r="J132" s="1"/>
  <c r="H38"/>
  <c r="J38" s="1"/>
  <c r="H137"/>
  <c r="J137" s="1"/>
  <c r="H18"/>
  <c r="J18" s="1"/>
  <c r="H39"/>
  <c r="J39" s="1"/>
  <c r="H144"/>
  <c r="J144" s="1"/>
  <c r="H58"/>
  <c r="N58" s="1"/>
  <c r="H135"/>
  <c r="J135" s="1"/>
  <c r="H40"/>
  <c r="J40" s="1"/>
  <c r="H142"/>
  <c r="J142" s="1"/>
  <c r="H136"/>
  <c r="J136" s="1"/>
  <c r="J59"/>
  <c r="N59"/>
  <c r="J51"/>
  <c r="N51"/>
  <c r="J79"/>
  <c r="N79"/>
  <c r="J127"/>
  <c r="N127"/>
  <c r="J52"/>
  <c r="N52"/>
  <c r="J53"/>
  <c r="N53"/>
  <c r="J65"/>
  <c r="N65"/>
  <c r="J66"/>
  <c r="N66"/>
  <c r="J67"/>
  <c r="N67"/>
  <c r="J101"/>
  <c r="N101"/>
  <c r="J96"/>
  <c r="N96"/>
  <c r="J97"/>
  <c r="N97"/>
  <c r="J99"/>
  <c r="N99"/>
  <c r="J100"/>
  <c r="N100"/>
  <c r="J64"/>
  <c r="N64"/>
  <c r="J92"/>
  <c r="N92"/>
  <c r="J152" i="30"/>
  <c r="H152" i="43"/>
  <c r="H152" i="31" s="1"/>
  <c r="H113" i="42"/>
  <c r="J113" s="1"/>
  <c r="J75" i="31"/>
  <c r="N75"/>
  <c r="J78"/>
  <c r="N78"/>
  <c r="J80"/>
  <c r="N80"/>
  <c r="J98"/>
  <c r="N98"/>
  <c r="J125"/>
  <c r="N125"/>
  <c r="J57"/>
  <c r="N57"/>
  <c r="J126"/>
  <c r="N126"/>
  <c r="J46"/>
  <c r="N46"/>
  <c r="J49"/>
  <c r="N49"/>
  <c r="J63"/>
  <c r="N63"/>
  <c r="J74"/>
  <c r="N74"/>
  <c r="J76"/>
  <c r="N76"/>
  <c r="J82"/>
  <c r="N82"/>
  <c r="J83"/>
  <c r="N83"/>
  <c r="J123"/>
  <c r="N123"/>
  <c r="J124"/>
  <c r="N124"/>
  <c r="J62"/>
  <c r="N62"/>
  <c r="J27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6" i="43"/>
  <c r="J137"/>
  <c r="J130"/>
  <c r="J92"/>
  <c r="J64"/>
  <c r="J62"/>
  <c r="H50"/>
  <c r="H50" i="31" s="1"/>
  <c r="H49" i="42"/>
  <c r="J49" s="1"/>
  <c r="J50" i="30"/>
  <c r="H35" i="42"/>
  <c r="J35" s="1"/>
  <c r="H36" i="43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39" i="43"/>
  <c r="J139" i="30"/>
  <c r="J135" i="43"/>
  <c r="J134" i="30"/>
  <c r="H120" i="42"/>
  <c r="J120" s="1"/>
  <c r="H134" i="43"/>
  <c r="H134" i="31" s="1"/>
  <c r="J132" i="43"/>
  <c r="J125"/>
  <c r="J127"/>
  <c r="J126"/>
  <c r="J124"/>
  <c r="J123"/>
  <c r="J100"/>
  <c r="J99"/>
  <c r="J98"/>
  <c r="J97"/>
  <c r="J96"/>
  <c r="H89" i="42"/>
  <c r="J89" s="1"/>
  <c r="J95" i="30"/>
  <c r="H95" i="43"/>
  <c r="H95" i="31" s="1"/>
  <c r="J101" i="43"/>
  <c r="H93"/>
  <c r="H93" i="31" s="1"/>
  <c r="J93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8" i="43"/>
  <c r="J148" i="30"/>
  <c r="J52" i="43"/>
  <c r="J51"/>
  <c r="J49"/>
  <c r="J59"/>
  <c r="J46"/>
  <c r="J142"/>
  <c r="J42" i="30"/>
  <c r="H42" i="43"/>
  <c r="H42" i="31" s="1"/>
  <c r="H41" i="42"/>
  <c r="J41" s="1"/>
  <c r="J144" i="43"/>
  <c r="J41" i="30"/>
  <c r="H40" i="42"/>
  <c r="J40" s="1"/>
  <c r="H41" i="43"/>
  <c r="H41" i="31" s="1"/>
  <c r="J39" i="43"/>
  <c r="J47" i="29"/>
  <c r="H47" i="30"/>
  <c r="H146" i="43"/>
  <c r="H107" i="42"/>
  <c r="J107" s="1"/>
  <c r="J146" i="30"/>
  <c r="H60" i="29"/>
  <c r="J60" i="28"/>
  <c r="J150" i="43"/>
  <c r="H28" i="42"/>
  <c r="J28" s="1"/>
  <c r="J15" i="30"/>
  <c r="I16" s="1"/>
  <c r="H15" i="42"/>
  <c r="J15" s="1"/>
  <c r="I16" s="1"/>
  <c r="H15" i="43"/>
  <c r="J10"/>
  <c r="J13" i="30"/>
  <c r="H13" i="42"/>
  <c r="J13" s="1"/>
  <c r="H13" i="43"/>
  <c r="J143" i="30"/>
  <c r="H104" i="42"/>
  <c r="J104" s="1"/>
  <c r="H106"/>
  <c r="J106" s="1"/>
  <c r="J145" i="30"/>
  <c r="H108" i="42"/>
  <c r="J108" s="1"/>
  <c r="J147" i="30"/>
  <c r="H110" i="42"/>
  <c r="J110" s="1"/>
  <c r="J149" i="30"/>
  <c r="H114" i="42"/>
  <c r="J114" s="1"/>
  <c r="H7"/>
  <c r="J7" s="1"/>
  <c r="I9" s="1"/>
  <c r="J7" i="30"/>
  <c r="I9" s="1"/>
  <c r="H112" i="42"/>
  <c r="J112" s="1"/>
  <c r="H15" i="31" l="1"/>
  <c r="J15" s="1"/>
  <c r="I16" s="1"/>
  <c r="J58"/>
  <c r="H146"/>
  <c r="J146" s="1"/>
  <c r="H13"/>
  <c r="J13" s="1"/>
  <c r="H148"/>
  <c r="J148" s="1"/>
  <c r="H139"/>
  <c r="J139" s="1"/>
  <c r="H36"/>
  <c r="J36" s="1"/>
  <c r="H37"/>
  <c r="J37" s="1"/>
  <c r="J95"/>
  <c r="N95"/>
  <c r="J69"/>
  <c r="N69"/>
  <c r="J73"/>
  <c r="N73"/>
  <c r="J84"/>
  <c r="N84"/>
  <c r="J152"/>
  <c r="J152" i="43"/>
  <c r="J72" i="31"/>
  <c r="N72"/>
  <c r="J42"/>
  <c r="N42"/>
  <c r="J54"/>
  <c r="N54"/>
  <c r="J55"/>
  <c r="N55"/>
  <c r="J85"/>
  <c r="N85"/>
  <c r="J93"/>
  <c r="N93"/>
  <c r="J44"/>
  <c r="N44"/>
  <c r="J50"/>
  <c r="N50"/>
  <c r="J41"/>
  <c r="J56"/>
  <c r="N56"/>
  <c r="J134" i="43"/>
  <c r="J134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39" i="43"/>
  <c r="J95"/>
  <c r="J93"/>
  <c r="J84"/>
  <c r="J85"/>
  <c r="J72"/>
  <c r="J73"/>
  <c r="J69"/>
  <c r="J55"/>
  <c r="J54"/>
  <c r="J148"/>
  <c r="J42"/>
  <c r="J41"/>
  <c r="H60" i="30"/>
  <c r="J60" i="29"/>
  <c r="J146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7" l="1"/>
  <c r="B34" i="44"/>
  <c r="B36" s="1"/>
  <c r="G149" i="43"/>
  <c r="H149" s="1"/>
  <c r="H149" i="31" s="1"/>
  <c r="J149" s="1"/>
  <c r="G147" i="43"/>
  <c r="H147" s="1"/>
  <c r="H147" i="31" s="1"/>
  <c r="J147" s="1"/>
  <c r="G151" i="43"/>
  <c r="H151" s="1"/>
  <c r="H151" i="31" s="1"/>
  <c r="E31" i="47"/>
  <c r="I59" i="43"/>
  <c r="G145"/>
  <c r="H145" s="1"/>
  <c r="H145" i="31" s="1"/>
  <c r="H7"/>
  <c r="G143" i="43"/>
  <c r="H143" s="1"/>
  <c r="H143" i="31" s="1"/>
  <c r="I13" i="43"/>
  <c r="G153"/>
  <c r="H153" s="1"/>
  <c r="H153" i="31" s="1"/>
  <c r="M31" i="47" l="1"/>
  <c r="I35" i="1"/>
  <c r="I37" s="1"/>
  <c r="J149" i="43"/>
  <c r="J147"/>
  <c r="J153"/>
  <c r="J153" i="31"/>
  <c r="J7" i="43"/>
  <c r="I9" s="1"/>
  <c r="J7" i="31"/>
  <c r="I9" s="1"/>
  <c r="J151"/>
  <c r="J151" i="43"/>
  <c r="J143" i="31"/>
  <c r="J143" i="43"/>
  <c r="L35" i="1"/>
  <c r="BN35"/>
  <c r="BM35"/>
  <c r="BL35"/>
  <c r="J145" i="31"/>
  <c r="J145" i="43"/>
</calcChain>
</file>

<file path=xl/comments1.xml><?xml version="1.0" encoding="utf-8"?>
<comments xmlns="http://schemas.openxmlformats.org/spreadsheetml/2006/main">
  <authors>
    <author>akash.hebale</author>
  </authors>
  <commentList>
    <comment ref="F55" authorId="0">
      <text>
        <r>
          <rPr>
            <b/>
            <sz val="9"/>
            <color indexed="81"/>
            <rFont val="Tahoma"/>
            <family val="2"/>
          </rPr>
          <t>akash.hebale:</t>
        </r>
        <r>
          <rPr>
            <sz val="9"/>
            <color indexed="81"/>
            <rFont val="Tahoma"/>
            <family val="2"/>
          </rPr>
          <t xml:space="preserve">
meter display faulty</t>
        </r>
      </text>
    </comment>
  </commentList>
</comments>
</file>

<file path=xl/sharedStrings.xml><?xml version="1.0" encoding="utf-8"?>
<sst xmlns="http://schemas.openxmlformats.org/spreadsheetml/2006/main" count="10281" uniqueCount="368">
  <si>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</si>
  <si>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</si>
  <si>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</si>
  <si>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</si>
  <si>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</si>
  <si>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</si>
  <si>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</si>
  <si>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</si>
  <si>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</si>
  <si>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</si>
  <si>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</si>
  <si>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</si>
  <si>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</si>
  <si>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</si>
  <si>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</si>
  <si>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</si>
  <si>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</si>
  <si>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</si>
  <si>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</si>
  <si>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</si>
  <si>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</si>
  <si>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</si>
  <si>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</si>
  <si>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</si>
  <si>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</si>
  <si>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</si>
  <si>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</si>
  <si>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</si>
  <si>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</si>
  <si>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</si>
  <si>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</si>
  <si>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</si>
  <si>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</si>
  <si>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</si>
  <si>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</si>
  <si>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</si>
  <si>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</si>
  <si>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</si>
  <si>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</si>
  <si>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</si>
  <si>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</si>
  <si>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</si>
  <si>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</si>
  <si>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</si>
  <si>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</si>
  <si>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</si>
  <si>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</si>
  <si>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</si>
  <si>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</si>
  <si>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</si>
  <si>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</si>
  <si>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</si>
  <si>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</si>
  <si>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</si>
  <si>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</si>
  <si>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</si>
  <si>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</si>
  <si>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</si>
  <si>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</si>
  <si>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</si>
  <si>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</si>
  <si>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</si>
  <si>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</si>
  <si>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</si>
  <si>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</si>
  <si>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</si>
  <si>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</si>
  <si>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</si>
  <si>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</si>
  <si>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</si>
  <si>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</si>
  <si>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</si>
  <si>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</si>
  <si>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</si>
  <si>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</si>
  <si>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</si>
  <si>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</si>
  <si>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</si>
  <si>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</si>
  <si>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</si>
  <si>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</si>
  <si>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</si>
  <si>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</si>
  <si>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</si>
  <si>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</si>
  <si>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</si>
  <si>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</si>
  <si>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</si>
  <si>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</si>
  <si>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</si>
  <si>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</si>
  <si>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</si>
  <si>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</si>
  <si>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</si>
  <si>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</si>
  <si>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</si>
  <si>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</si>
  <si>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</si>
  <si>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</si>
  <si>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</si>
  <si>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</si>
  <si>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</si>
  <si>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</si>
  <si>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</si>
  <si>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</si>
  <si>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</si>
  <si>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</si>
  <si>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</si>
  <si>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</si>
  <si>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</si>
  <si>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</si>
  <si>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</si>
  <si>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</si>
  <si>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</si>
  <si>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</si>
  <si>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</si>
  <si>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</si>
  <si>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</si>
  <si>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</si>
  <si>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</si>
  <si>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</si>
  <si>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</si>
  <si>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</si>
  <si>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</si>
  <si>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</si>
  <si>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</si>
  <si>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</si>
  <si>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</si>
  <si>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</si>
  <si>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</si>
  <si>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</si>
  <si>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</si>
  <si>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</si>
  <si>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</si>
  <si>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</si>
  <si>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</si>
  <si>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</si>
  <si>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</si>
  <si>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</si>
  <si>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</si>
  <si>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</si>
  <si>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</si>
  <si>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</si>
  <si>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</si>
  <si>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</si>
  <si>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</si>
  <si>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</si>
  <si>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</si>
  <si>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</si>
  <si>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</si>
  <si>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</si>
  <si>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</si>
  <si>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</si>
  <si>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</si>
  <si>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</si>
  <si>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</si>
  <si>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</si>
  <si>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</si>
  <si>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</si>
  <si>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</si>
  <si>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</si>
  <si>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</si>
  <si>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</si>
  <si>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</si>
  <si>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</si>
  <si>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</si>
  <si>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</si>
  <si>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</si>
  <si>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</si>
  <si>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</si>
  <si>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</si>
  <si>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</si>
  <si>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</si>
  <si>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</si>
  <si>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</si>
  <si>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</si>
  <si>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</si>
  <si>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</si>
  <si>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</si>
  <si>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</si>
  <si>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</si>
  <si>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</si>
  <si>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</si>
  <si>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</si>
  <si>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</si>
  <si>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</si>
  <si>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</si>
  <si>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</si>
  <si>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</si>
  <si>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</si>
  <si>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</si>
  <si>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</si>
  <si>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</si>
  <si>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</si>
  <si>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</si>
  <si>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</si>
  <si>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</si>
  <si>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</si>
  <si>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</si>
  <si>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</si>
  <si>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</si>
  <si>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</si>
  <si>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</si>
  <si>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</si>
  <si>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</si>
  <si>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</si>
  <si>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</si>
  <si>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</si>
  <si>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</si>
  <si>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</si>
  <si>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</si>
  <si>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</si>
  <si>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</si>
  <si>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</si>
  <si>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</si>
  <si>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</si>
  <si>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</si>
  <si>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</si>
  <si>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</si>
  <si>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</si>
  <si>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</si>
  <si>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</si>
  <si>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</si>
  <si>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</si>
  <si>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</si>
  <si>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</si>
  <si>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</si>
  <si>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</si>
  <si>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</si>
  <si>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</si>
  <si>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</si>
  <si>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</si>
  <si>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</si>
  <si>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</si>
  <si>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</si>
  <si>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</si>
  <si>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</si>
  <si>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</si>
  <si>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</si>
  <si>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</si>
  <si>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</si>
  <si>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</si>
  <si>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</si>
  <si>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</si>
  <si>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</si>
  <si>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</si>
  <si>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</si>
  <si>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</si>
  <si>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</si>
  <si>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</si>
  <si>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</si>
  <si>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</si>
  <si>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</si>
  <si>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</si>
  <si>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</si>
  <si>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</si>
  <si>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</si>
  <si>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</si>
  <si>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</si>
  <si>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</si>
  <si>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</si>
  <si>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</si>
  <si>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</si>
  <si>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</si>
  <si>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</si>
  <si>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</si>
  <si>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</si>
  <si>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</si>
  <si>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</si>
  <si>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</si>
  <si>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</si>
  <si>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</si>
  <si>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</si>
  <si>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</si>
  <si>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</si>
  <si>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</si>
  <si>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</si>
  <si>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</si>
  <si>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</si>
  <si>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</si>
  <si>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</si>
  <si>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</si>
  <si>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</si>
  <si>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</si>
  <si>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</si>
  <si>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</si>
  <si>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</si>
  <si>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</si>
  <si>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</si>
  <si>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</si>
  <si>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</si>
  <si>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</si>
  <si>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</si>
  <si>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</si>
  <si>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</si>
  <si>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</si>
  <si>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</si>
  <si>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</si>
  <si>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</si>
  <si>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</si>
  <si>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</si>
  <si>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</si>
  <si>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</si>
  <si>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</si>
  <si>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</si>
  <si>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</si>
  <si>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>Hotel Occupancy Occ%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</si>
  <si>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</si>
  <si>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</si>
  <si>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</si>
  <si>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</si>
  <si>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</si>
  <si>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</si>
  <si>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</si>
  <si>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</si>
  <si>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</si>
  <si>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</si>
  <si>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</si>
  <si>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Prepaired by-- Ramesh</t>
  </si>
  <si>
    <t>Prepaired by----Ramesh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</si>
  <si>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</si>
  <si>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</si>
  <si>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</si>
  <si>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</si>
  <si>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</si>
  <si>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</si>
  <si>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</si>
  <si>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</si>
  <si>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</si>
  <si>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</si>
  <si>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</si>
  <si>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</si>
  <si>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</si>
  <si>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</si>
  <si>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</si>
  <si>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</si>
  <si>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</si>
  <si>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..</t>
  </si>
  <si>
    <t>STP Production</t>
  </si>
  <si>
    <t>Total Domestic Water (Tanker (R.O) +BMC)</t>
  </si>
  <si>
    <t>Total Tanke(RO) + BMC</t>
  </si>
  <si>
    <t>Flush Tanker-Zone-1</t>
  </si>
  <si>
    <t>Prepaired by--  Ramesh</t>
  </si>
  <si>
    <t xml:space="preserve">Prepaired by--- Devendra </t>
  </si>
  <si>
    <t>Prepaired by--- Nilesh</t>
  </si>
  <si>
    <t xml:space="preserve">Prepaired by-- Devendra  </t>
  </si>
  <si>
    <t xml:space="preserve">Prepaired by --- Devendra </t>
  </si>
  <si>
    <t>HT Kwh</t>
  </si>
  <si>
    <t>HT Kvah</t>
  </si>
  <si>
    <t>Prepaired by---Ramesh</t>
  </si>
  <si>
    <t xml:space="preserve">Water </t>
  </si>
  <si>
    <t>MGL Gas</t>
  </si>
  <si>
    <t>Transformer -Load</t>
  </si>
  <si>
    <t>Prepaired by - Ramesh</t>
  </si>
  <si>
    <t>Prepaired by ---Ramesh</t>
  </si>
  <si>
    <t>Prepaired by--Nilesh</t>
  </si>
  <si>
    <t>Prepaired by- Nilesh</t>
  </si>
  <si>
    <t>Prepaired by Nilesh</t>
  </si>
  <si>
    <t xml:space="preserve">               </t>
  </si>
  <si>
    <t xml:space="preserve">Prepaired by------- Devendra </t>
  </si>
  <si>
    <t xml:space="preserve">20th Floor project office meter reading </t>
  </si>
  <si>
    <t xml:space="preserve">Prepaired by -- Devendra </t>
  </si>
  <si>
    <t>Prepaired by- Devendra</t>
  </si>
  <si>
    <t xml:space="preserve">Prepaired by---- Devendra </t>
  </si>
  <si>
    <t>Prepaired by----Prakash</t>
  </si>
  <si>
    <t>Prepaired by- Prakash</t>
  </si>
  <si>
    <t>``</t>
  </si>
  <si>
    <t xml:space="preserve">Average 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</si>
</sst>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4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4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0" fontId="17" fillId="0" borderId="0"/>
    <xf numFmtId="0" fontId="17" fillId="0" borderId="0"/>
    <xf numFmtId="0" fontId="4" fillId="0" borderId="0"/>
    <xf numFmtId="0" fontId="86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744">
    <xf numFmtId="0" fontId="0" fillId="0" borderId="0" xfId="0"/>
    <xf numFmtId="0" fontId="6" fillId="0" borderId="1" xfId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1" fillId="0" borderId="1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top" wrapText="1"/>
    </xf>
    <xf numFmtId="1" fontId="13" fillId="7" borderId="1" xfId="1" applyNumberFormat="1" applyFont="1" applyFill="1" applyBorder="1" applyAlignment="1">
      <alignment vertical="top" wrapText="1"/>
    </xf>
    <xf numFmtId="2" fontId="13" fillId="0" borderId="1" xfId="1" applyNumberFormat="1" applyFont="1" applyFill="1" applyBorder="1" applyAlignment="1">
      <alignment vertical="top" wrapText="1"/>
    </xf>
    <xf numFmtId="2" fontId="13" fillId="0" borderId="1" xfId="1" applyNumberFormat="1" applyFont="1" applyBorder="1" applyAlignment="1"/>
    <xf numFmtId="10" fontId="13" fillId="0" borderId="1" xfId="1" applyNumberFormat="1" applyFont="1" applyBorder="1" applyAlignment="1"/>
    <xf numFmtId="2" fontId="13" fillId="7" borderId="1" xfId="1" applyNumberFormat="1" applyFont="1" applyFill="1" applyBorder="1" applyAlignment="1"/>
    <xf numFmtId="1" fontId="14" fillId="0" borderId="1" xfId="1" applyNumberFormat="1" applyFont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/>
    <xf numFmtId="1" fontId="4" fillId="0" borderId="0" xfId="1" applyNumberFormat="1" applyFont="1"/>
    <xf numFmtId="0" fontId="16" fillId="0" borderId="0" xfId="2" applyFont="1" applyAlignment="1" applyProtection="1"/>
    <xf numFmtId="0" fontId="0" fillId="0" borderId="0" xfId="0" applyFill="1"/>
    <xf numFmtId="0" fontId="18" fillId="0" borderId="0" xfId="0" applyFont="1"/>
    <xf numFmtId="0" fontId="19" fillId="9" borderId="1" xfId="3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 vertical="center"/>
    </xf>
    <xf numFmtId="1" fontId="19" fillId="9" borderId="1" xfId="3" applyNumberFormat="1" applyFont="1" applyFill="1" applyBorder="1" applyAlignment="1">
      <alignment horizontal="center"/>
    </xf>
    <xf numFmtId="164" fontId="19" fillId="9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 vertical="center"/>
    </xf>
    <xf numFmtId="0" fontId="18" fillId="0" borderId="0" xfId="0" applyFont="1" applyBorder="1"/>
    <xf numFmtId="0" fontId="19" fillId="9" borderId="1" xfId="3" applyFont="1" applyFill="1" applyBorder="1"/>
    <xf numFmtId="9" fontId="18" fillId="9" borderId="1" xfId="3" applyNumberFormat="1" applyFont="1" applyFill="1" applyBorder="1" applyAlignment="1">
      <alignment horizontal="left"/>
    </xf>
    <xf numFmtId="2" fontId="19" fillId="9" borderId="1" xfId="3" applyNumberFormat="1" applyFont="1" applyFill="1" applyBorder="1" applyAlignment="1">
      <alignment horizontal="center"/>
    </xf>
    <xf numFmtId="9" fontId="18" fillId="9" borderId="1" xfId="3" applyNumberFormat="1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/>
    </xf>
    <xf numFmtId="0" fontId="18" fillId="9" borderId="2" xfId="3" applyNumberFormat="1" applyFont="1" applyFill="1" applyBorder="1" applyAlignment="1">
      <alignment horizontal="center" vertical="center"/>
    </xf>
    <xf numFmtId="164" fontId="19" fillId="2" borderId="6" xfId="3" applyNumberFormat="1" applyFont="1" applyFill="1" applyBorder="1" applyAlignment="1">
      <alignment horizontal="center"/>
    </xf>
    <xf numFmtId="0" fontId="18" fillId="9" borderId="1" xfId="3" applyNumberFormat="1" applyFont="1" applyFill="1" applyBorder="1" applyAlignment="1">
      <alignment horizontal="center"/>
    </xf>
    <xf numFmtId="164" fontId="19" fillId="2" borderId="6" xfId="3" applyNumberFormat="1" applyFont="1" applyFill="1" applyBorder="1" applyAlignment="1">
      <alignment horizontal="center" vertical="center" wrapText="1" shrinkToFit="1"/>
    </xf>
    <xf numFmtId="0" fontId="19" fillId="8" borderId="1" xfId="3" applyFont="1" applyFill="1" applyBorder="1" applyAlignment="1">
      <alignment horizontal="center" vertical="center"/>
    </xf>
    <xf numFmtId="0" fontId="19" fillId="8" borderId="1" xfId="3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/>
    </xf>
    <xf numFmtId="1" fontId="19" fillId="8" borderId="1" xfId="3" applyNumberFormat="1" applyFont="1" applyFill="1" applyBorder="1" applyAlignment="1">
      <alignment horizontal="center"/>
    </xf>
    <xf numFmtId="1" fontId="19" fillId="8" borderId="2" xfId="5" applyNumberFormat="1" applyFont="1" applyFill="1" applyBorder="1" applyAlignment="1" applyProtection="1">
      <alignment horizontal="center"/>
    </xf>
    <xf numFmtId="1" fontId="19" fillId="2" borderId="6" xfId="5" applyNumberFormat="1" applyFont="1" applyFill="1" applyBorder="1" applyAlignment="1" applyProtection="1">
      <alignment horizontal="center"/>
    </xf>
    <xf numFmtId="0" fontId="19" fillId="11" borderId="1" xfId="3" applyFont="1" applyFill="1" applyBorder="1" applyAlignment="1">
      <alignment horizontal="center" vertical="center"/>
    </xf>
    <xf numFmtId="1" fontId="19" fillId="11" borderId="1" xfId="3" applyNumberFormat="1" applyFont="1" applyFill="1" applyBorder="1" applyAlignment="1">
      <alignment horizontal="center" vertical="center"/>
    </xf>
    <xf numFmtId="1" fontId="18" fillId="12" borderId="1" xfId="3" applyNumberFormat="1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 vertical="center"/>
    </xf>
    <xf numFmtId="167" fontId="19" fillId="8" borderId="2" xfId="3" applyNumberFormat="1" applyFont="1" applyFill="1" applyBorder="1" applyAlignment="1">
      <alignment vertical="center"/>
    </xf>
    <xf numFmtId="167" fontId="19" fillId="8" borderId="3" xfId="3" applyNumberFormat="1" applyFont="1" applyFill="1" applyBorder="1" applyAlignment="1">
      <alignment vertical="center"/>
    </xf>
    <xf numFmtId="167" fontId="19" fillId="8" borderId="4" xfId="3" applyNumberFormat="1" applyFont="1" applyFill="1" applyBorder="1" applyAlignment="1">
      <alignment vertical="center"/>
    </xf>
    <xf numFmtId="0" fontId="18" fillId="0" borderId="1" xfId="4" applyFont="1" applyBorder="1" applyAlignment="1">
      <alignment horizontal="center"/>
    </xf>
    <xf numFmtId="1" fontId="19" fillId="8" borderId="1" xfId="5" applyNumberFormat="1" applyFont="1" applyFill="1" applyBorder="1" applyAlignment="1">
      <alignment horizontal="center" vertical="center"/>
    </xf>
    <xf numFmtId="2" fontId="18" fillId="8" borderId="1" xfId="3" applyNumberFormat="1" applyFont="1" applyFill="1" applyBorder="1" applyAlignment="1">
      <alignment horizontal="right"/>
    </xf>
    <xf numFmtId="2" fontId="19" fillId="8" borderId="1" xfId="3" applyNumberFormat="1" applyFont="1" applyFill="1" applyBorder="1" applyAlignment="1">
      <alignment horizontal="center"/>
    </xf>
    <xf numFmtId="0" fontId="19" fillId="11" borderId="1" xfId="3" applyFont="1" applyFill="1" applyBorder="1" applyAlignment="1">
      <alignment horizontal="center"/>
    </xf>
    <xf numFmtId="1" fontId="19" fillId="11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/>
    </xf>
    <xf numFmtId="2" fontId="19" fillId="8" borderId="2" xfId="3" applyNumberFormat="1" applyFont="1" applyFill="1" applyBorder="1" applyAlignment="1">
      <alignment horizontal="left" vertical="center"/>
    </xf>
    <xf numFmtId="2" fontId="19" fillId="8" borderId="3" xfId="3" applyNumberFormat="1" applyFont="1" applyFill="1" applyBorder="1" applyAlignment="1">
      <alignment horizontal="left" vertical="center"/>
    </xf>
    <xf numFmtId="2" fontId="19" fillId="8" borderId="4" xfId="3" applyNumberFormat="1" applyFont="1" applyFill="1" applyBorder="1" applyAlignment="1">
      <alignment horizontal="left" vertical="center"/>
    </xf>
    <xf numFmtId="1" fontId="19" fillId="8" borderId="1" xfId="3" applyNumberFormat="1" applyFont="1" applyFill="1" applyBorder="1" applyAlignment="1">
      <alignment horizontal="center" vertical="center"/>
    </xf>
    <xf numFmtId="0" fontId="18" fillId="0" borderId="1" xfId="4" applyFont="1" applyBorder="1"/>
    <xf numFmtId="0" fontId="18" fillId="2" borderId="1" xfId="3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2" fontId="19" fillId="2" borderId="6" xfId="5" applyNumberFormat="1" applyFont="1" applyFill="1" applyBorder="1" applyAlignment="1" applyProtection="1">
      <alignment horizontal="center"/>
    </xf>
    <xf numFmtId="165" fontId="18" fillId="0" borderId="1" xfId="6" applyNumberFormat="1" applyFont="1" applyFill="1" applyBorder="1" applyAlignment="1"/>
    <xf numFmtId="165" fontId="19" fillId="2" borderId="6" xfId="6" applyNumberFormat="1" applyFont="1" applyFill="1" applyBorder="1" applyAlignment="1">
      <alignment horizontal="center"/>
    </xf>
    <xf numFmtId="1" fontId="18" fillId="8" borderId="1" xfId="5" applyNumberFormat="1" applyFont="1" applyFill="1" applyBorder="1" applyAlignment="1">
      <alignment horizontal="right"/>
    </xf>
    <xf numFmtId="43" fontId="18" fillId="8" borderId="1" xfId="7" applyFont="1" applyFill="1" applyBorder="1" applyAlignment="1">
      <alignment horizontal="right" wrapText="1"/>
    </xf>
    <xf numFmtId="164" fontId="19" fillId="2" borderId="6" xfId="5" applyNumberFormat="1" applyFont="1" applyFill="1" applyBorder="1" applyAlignment="1" applyProtection="1">
      <alignment horizontal="center"/>
    </xf>
    <xf numFmtId="0" fontId="19" fillId="0" borderId="1" xfId="4" applyFont="1" applyBorder="1"/>
    <xf numFmtId="164" fontId="18" fillId="12" borderId="1" xfId="5" applyNumberFormat="1" applyFont="1" applyFill="1" applyBorder="1" applyAlignment="1" applyProtection="1">
      <alignment horizontal="right"/>
    </xf>
    <xf numFmtId="0" fontId="22" fillId="0" borderId="1" xfId="4" applyFont="1" applyBorder="1" applyAlignment="1">
      <alignment horizontal="center"/>
    </xf>
    <xf numFmtId="2" fontId="23" fillId="8" borderId="1" xfId="3" applyNumberFormat="1" applyFont="1" applyFill="1" applyBorder="1" applyAlignment="1">
      <alignment horizontal="center"/>
    </xf>
    <xf numFmtId="1" fontId="19" fillId="8" borderId="2" xfId="3" applyNumberFormat="1" applyFont="1" applyFill="1" applyBorder="1" applyAlignment="1">
      <alignment horizontal="center"/>
    </xf>
    <xf numFmtId="1" fontId="23" fillId="8" borderId="1" xfId="5" applyNumberFormat="1" applyFont="1" applyFill="1" applyBorder="1" applyAlignment="1">
      <alignment horizontal="center" vertical="center"/>
    </xf>
    <xf numFmtId="2" fontId="18" fillId="8" borderId="1" xfId="9" applyNumberFormat="1" applyFont="1" applyFill="1" applyBorder="1" applyAlignment="1">
      <alignment horizontal="right"/>
    </xf>
    <xf numFmtId="1" fontId="23" fillId="0" borderId="1" xfId="4" applyNumberFormat="1" applyFont="1" applyBorder="1" applyAlignment="1">
      <alignment horizontal="center"/>
    </xf>
    <xf numFmtId="1" fontId="23" fillId="8" borderId="1" xfId="3" applyNumberFormat="1" applyFont="1" applyFill="1" applyBorder="1" applyAlignment="1">
      <alignment horizontal="center" vertical="center"/>
    </xf>
    <xf numFmtId="0" fontId="20" fillId="10" borderId="1" xfId="3" applyFont="1" applyFill="1" applyBorder="1" applyAlignment="1"/>
    <xf numFmtId="0" fontId="20" fillId="10" borderId="2" xfId="3" applyFont="1" applyFill="1" applyBorder="1" applyAlignment="1"/>
    <xf numFmtId="0" fontId="20" fillId="10" borderId="3" xfId="3" applyFont="1" applyFill="1" applyBorder="1" applyAlignment="1"/>
    <xf numFmtId="0" fontId="19" fillId="10" borderId="3" xfId="3" applyFont="1" applyFill="1" applyBorder="1" applyAlignment="1"/>
    <xf numFmtId="1" fontId="19" fillId="10" borderId="1" xfId="3" applyNumberFormat="1" applyFont="1" applyFill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 vertical="top"/>
    </xf>
    <xf numFmtId="1" fontId="19" fillId="10" borderId="2" xfId="5" applyNumberFormat="1" applyFont="1" applyFill="1" applyBorder="1" applyAlignment="1" applyProtection="1">
      <alignment horizontal="center"/>
    </xf>
    <xf numFmtId="164" fontId="18" fillId="8" borderId="1" xfId="5" applyNumberFormat="1" applyFont="1" applyFill="1" applyBorder="1" applyAlignment="1" applyProtection="1">
      <alignment horizontal="center" vertical="top"/>
    </xf>
    <xf numFmtId="0" fontId="20" fillId="10" borderId="1" xfId="4" applyFont="1" applyFill="1" applyBorder="1"/>
    <xf numFmtId="0" fontId="19" fillId="10" borderId="1" xfId="4" applyFont="1" applyFill="1" applyBorder="1"/>
    <xf numFmtId="0" fontId="5" fillId="10" borderId="1" xfId="4" applyFont="1" applyFill="1" applyBorder="1" applyAlignment="1">
      <alignment horizontal="center"/>
    </xf>
    <xf numFmtId="1" fontId="19" fillId="10" borderId="1" xfId="5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wrapText="1"/>
    </xf>
    <xf numFmtId="164" fontId="19" fillId="2" borderId="0" xfId="5" applyNumberFormat="1" applyFont="1" applyFill="1" applyBorder="1" applyAlignment="1" applyProtection="1">
      <alignment horizontal="center"/>
    </xf>
    <xf numFmtId="2" fontId="24" fillId="8" borderId="1" xfId="3" applyNumberFormat="1" applyFont="1" applyFill="1" applyBorder="1" applyAlignment="1">
      <alignment horizontal="right"/>
    </xf>
    <xf numFmtId="0" fontId="25" fillId="13" borderId="1" xfId="4" applyFont="1" applyFill="1" applyBorder="1"/>
    <xf numFmtId="0" fontId="26" fillId="0" borderId="0" xfId="0" applyFont="1"/>
    <xf numFmtId="10" fontId="18" fillId="9" borderId="1" xfId="3" applyNumberFormat="1" applyFont="1" applyFill="1" applyBorder="1" applyAlignment="1">
      <alignment horizontal="center"/>
    </xf>
    <xf numFmtId="0" fontId="27" fillId="2" borderId="6" xfId="3" applyFont="1" applyFill="1" applyBorder="1" applyAlignment="1">
      <alignment horizontal="center" vertical="center"/>
    </xf>
    <xf numFmtId="0" fontId="26" fillId="0" borderId="0" xfId="0" applyFont="1" applyBorder="1"/>
    <xf numFmtId="164" fontId="27" fillId="2" borderId="6" xfId="3" applyNumberFormat="1" applyFont="1" applyFill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 vertical="center"/>
    </xf>
    <xf numFmtId="1" fontId="29" fillId="11" borderId="1" xfId="3" applyNumberFormat="1" applyFont="1" applyFill="1" applyBorder="1" applyAlignment="1">
      <alignment horizontal="center"/>
    </xf>
    <xf numFmtId="1" fontId="25" fillId="11" borderId="2" xfId="3" applyNumberFormat="1" applyFont="1" applyFill="1" applyBorder="1" applyAlignment="1">
      <alignment horizontal="center"/>
    </xf>
    <xf numFmtId="1" fontId="29" fillId="8" borderId="1" xfId="5" applyNumberFormat="1" applyFont="1" applyFill="1" applyBorder="1" applyAlignment="1">
      <alignment horizontal="center" vertical="center"/>
    </xf>
    <xf numFmtId="164" fontId="22" fillId="8" borderId="1" xfId="5" applyNumberFormat="1" applyFont="1" applyFill="1" applyBorder="1" applyAlignment="1">
      <alignment horizontal="center" vertical="center"/>
    </xf>
    <xf numFmtId="0" fontId="29" fillId="11" borderId="1" xfId="3" applyFont="1" applyFill="1" applyBorder="1" applyAlignment="1">
      <alignment horizontal="center" vertical="center"/>
    </xf>
    <xf numFmtId="1" fontId="18" fillId="12" borderId="1" xfId="5" applyNumberFormat="1" applyFont="1" applyFill="1" applyBorder="1" applyAlignment="1" applyProtection="1">
      <alignment horizontal="center"/>
    </xf>
    <xf numFmtId="0" fontId="29" fillId="11" borderId="1" xfId="3" applyFont="1" applyFill="1" applyBorder="1" applyAlignment="1">
      <alignment horizontal="center"/>
    </xf>
    <xf numFmtId="1" fontId="29" fillId="8" borderId="1" xfId="3" applyNumberFormat="1" applyFont="1" applyFill="1" applyBorder="1" applyAlignment="1">
      <alignment horizontal="center"/>
    </xf>
    <xf numFmtId="165" fontId="29" fillId="8" borderId="1" xfId="6" applyNumberFormat="1" applyFont="1" applyFill="1" applyBorder="1" applyAlignment="1">
      <alignment horizontal="center"/>
    </xf>
    <xf numFmtId="164" fontId="29" fillId="8" borderId="1" xfId="3" applyNumberFormat="1" applyFont="1" applyFill="1" applyBorder="1" applyAlignment="1">
      <alignment horizontal="center"/>
    </xf>
    <xf numFmtId="2" fontId="29" fillId="8" borderId="1" xfId="3" applyNumberFormat="1" applyFont="1" applyFill="1" applyBorder="1" applyAlignment="1">
      <alignment horizontal="center"/>
    </xf>
    <xf numFmtId="0" fontId="19" fillId="8" borderId="7" xfId="3" applyFont="1" applyFill="1" applyBorder="1" applyAlignment="1">
      <alignment horizontal="center"/>
    </xf>
    <xf numFmtId="0" fontId="5" fillId="0" borderId="7" xfId="4" applyFont="1" applyBorder="1" applyAlignment="1">
      <alignment horizontal="center"/>
    </xf>
    <xf numFmtId="1" fontId="29" fillId="8" borderId="7" xfId="5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 applyProtection="1">
      <alignment horizontal="center"/>
    </xf>
    <xf numFmtId="0" fontId="19" fillId="8" borderId="8" xfId="3" applyFont="1" applyFill="1" applyBorder="1" applyAlignment="1">
      <alignment horizontal="center"/>
    </xf>
    <xf numFmtId="0" fontId="18" fillId="0" borderId="8" xfId="4" applyFont="1" applyBorder="1" applyAlignment="1">
      <alignment horizontal="center"/>
    </xf>
    <xf numFmtId="1" fontId="19" fillId="8" borderId="8" xfId="5" applyNumberFormat="1" applyFont="1" applyFill="1" applyBorder="1" applyAlignment="1">
      <alignment horizontal="center" vertical="center"/>
    </xf>
    <xf numFmtId="43" fontId="18" fillId="8" borderId="8" xfId="7" applyFont="1" applyFill="1" applyBorder="1" applyAlignment="1">
      <alignment horizontal="right" wrapText="1"/>
    </xf>
    <xf numFmtId="1" fontId="19" fillId="8" borderId="12" xfId="5" applyNumberFormat="1" applyFont="1" applyFill="1" applyBorder="1" applyAlignment="1" applyProtection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0" fontId="24" fillId="11" borderId="1" xfId="3" applyFont="1" applyFill="1" applyBorder="1" applyAlignment="1">
      <alignment horizontal="center" vertical="center"/>
    </xf>
    <xf numFmtId="44" fontId="23" fillId="8" borderId="1" xfId="8" applyFont="1" applyFill="1" applyBorder="1" applyAlignment="1">
      <alignment horizontal="center"/>
    </xf>
    <xf numFmtId="1" fontId="24" fillId="8" borderId="1" xfId="3" applyNumberFormat="1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/>
    </xf>
    <xf numFmtId="168" fontId="29" fillId="8" borderId="1" xfId="5" applyNumberFormat="1" applyFont="1" applyFill="1" applyBorder="1" applyAlignment="1" applyProtection="1">
      <alignment vertical="center"/>
    </xf>
    <xf numFmtId="164" fontId="24" fillId="8" borderId="1" xfId="5" applyNumberFormat="1" applyFont="1" applyFill="1" applyBorder="1" applyAlignment="1" applyProtection="1">
      <alignment horizontal="center"/>
    </xf>
    <xf numFmtId="0" fontId="22" fillId="2" borderId="1" xfId="3" applyFont="1" applyFill="1" applyBorder="1" applyAlignment="1">
      <alignment horizontal="center"/>
    </xf>
    <xf numFmtId="169" fontId="22" fillId="8" borderId="1" xfId="5" applyNumberFormat="1" applyFont="1" applyFill="1" applyBorder="1" applyAlignment="1" applyProtection="1">
      <alignment vertical="center"/>
    </xf>
    <xf numFmtId="1" fontId="30" fillId="2" borderId="1" xfId="3" applyNumberFormat="1" applyFont="1" applyFill="1" applyBorder="1" applyAlignment="1">
      <alignment horizontal="center" vertical="top"/>
    </xf>
    <xf numFmtId="0" fontId="18" fillId="10" borderId="1" xfId="3" applyFont="1" applyFill="1" applyBorder="1" applyAlignment="1"/>
    <xf numFmtId="0" fontId="32" fillId="0" borderId="0" xfId="4" applyFont="1"/>
    <xf numFmtId="0" fontId="24" fillId="13" borderId="1" xfId="0" applyFont="1" applyFill="1" applyBorder="1"/>
    <xf numFmtId="1" fontId="26" fillId="0" borderId="0" xfId="0" applyNumberFormat="1" applyFont="1" applyAlignment="1">
      <alignment horizontal="center"/>
    </xf>
    <xf numFmtId="1" fontId="26" fillId="0" borderId="0" xfId="0" applyNumberFormat="1" applyFont="1"/>
    <xf numFmtId="1" fontId="19" fillId="8" borderId="1" xfId="5" applyNumberFormat="1" applyFont="1" applyFill="1" applyBorder="1" applyAlignment="1" applyProtection="1">
      <alignment horizontal="center"/>
    </xf>
    <xf numFmtId="0" fontId="18" fillId="2" borderId="1" xfId="3" applyNumberFormat="1" applyFont="1" applyFill="1" applyBorder="1" applyAlignment="1">
      <alignment horizontal="center"/>
    </xf>
    <xf numFmtId="2" fontId="18" fillId="8" borderId="7" xfId="3" applyNumberFormat="1" applyFont="1" applyFill="1" applyBorder="1" applyAlignment="1">
      <alignment horizontal="center"/>
    </xf>
    <xf numFmtId="1" fontId="19" fillId="8" borderId="7" xfId="3" applyNumberFormat="1" applyFont="1" applyFill="1" applyBorder="1" applyAlignment="1">
      <alignment horizontal="center"/>
    </xf>
    <xf numFmtId="2" fontId="18" fillId="8" borderId="8" xfId="3" applyNumberFormat="1" applyFont="1" applyFill="1" applyBorder="1" applyAlignment="1">
      <alignment horizontal="center"/>
    </xf>
    <xf numFmtId="1" fontId="19" fillId="8" borderId="8" xfId="3" applyNumberFormat="1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 vertical="center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13" borderId="2" xfId="3" applyFont="1" applyFill="1" applyBorder="1" applyAlignment="1">
      <alignment horizontal="center"/>
    </xf>
    <xf numFmtId="0" fontId="23" fillId="13" borderId="3" xfId="3" applyFont="1" applyFill="1" applyBorder="1" applyAlignment="1">
      <alignment horizontal="center"/>
    </xf>
    <xf numFmtId="0" fontId="23" fillId="13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 vertical="center"/>
    </xf>
    <xf numFmtId="0" fontId="19" fillId="13" borderId="3" xfId="3" applyFont="1" applyFill="1" applyBorder="1" applyAlignment="1">
      <alignment horizontal="center" vertical="center"/>
    </xf>
    <xf numFmtId="0" fontId="19" fillId="13" borderId="4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/>
    </xf>
    <xf numFmtId="0" fontId="19" fillId="8" borderId="3" xfId="3" applyFont="1" applyFill="1" applyBorder="1" applyAlignment="1">
      <alignment horizontal="left" vertical="justify"/>
    </xf>
    <xf numFmtId="0" fontId="19" fillId="8" borderId="4" xfId="3" applyFont="1" applyFill="1" applyBorder="1" applyAlignment="1">
      <alignment horizontal="left" vertical="justify"/>
    </xf>
    <xf numFmtId="0" fontId="19" fillId="10" borderId="2" xfId="3" applyFont="1" applyFill="1" applyBorder="1" applyAlignment="1">
      <alignment horizontal="center"/>
    </xf>
    <xf numFmtId="0" fontId="19" fillId="10" borderId="3" xfId="3" applyFont="1" applyFill="1" applyBorder="1" applyAlignment="1">
      <alignment horizontal="center"/>
    </xf>
    <xf numFmtId="0" fontId="19" fillId="10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/>
    </xf>
    <xf numFmtId="0" fontId="19" fillId="13" borderId="3" xfId="3" applyFont="1" applyFill="1" applyBorder="1" applyAlignment="1">
      <alignment horizontal="center"/>
    </xf>
    <xf numFmtId="0" fontId="19" fillId="13" borderId="4" xfId="3" applyFont="1" applyFill="1" applyBorder="1" applyAlignment="1">
      <alignment horizontal="center"/>
    </xf>
    <xf numFmtId="0" fontId="19" fillId="8" borderId="9" xfId="3" applyFont="1" applyFill="1" applyBorder="1" applyAlignment="1">
      <alignment horizontal="left"/>
    </xf>
    <xf numFmtId="0" fontId="19" fillId="8" borderId="10" xfId="3" applyFont="1" applyFill="1" applyBorder="1" applyAlignment="1">
      <alignment horizontal="left"/>
    </xf>
    <xf numFmtId="0" fontId="19" fillId="8" borderId="11" xfId="3" applyFont="1" applyFill="1" applyBorder="1" applyAlignment="1">
      <alignment horizontal="left"/>
    </xf>
    <xf numFmtId="0" fontId="19" fillId="8" borderId="12" xfId="3" applyFont="1" applyFill="1" applyBorder="1" applyAlignment="1">
      <alignment horizontal="left"/>
    </xf>
    <xf numFmtId="0" fontId="19" fillId="8" borderId="5" xfId="3" applyFont="1" applyFill="1" applyBorder="1" applyAlignment="1">
      <alignment horizontal="left"/>
    </xf>
    <xf numFmtId="0" fontId="19" fillId="8" borderId="13" xfId="3" applyFont="1" applyFill="1" applyBorder="1" applyAlignment="1">
      <alignment horizontal="left"/>
    </xf>
    <xf numFmtId="0" fontId="18" fillId="9" borderId="3" xfId="3" applyFont="1" applyFill="1" applyBorder="1" applyAlignment="1">
      <alignment horizontal="center"/>
    </xf>
    <xf numFmtId="0" fontId="19" fillId="8" borderId="1" xfId="3" applyFont="1" applyFill="1" applyBorder="1" applyAlignment="1">
      <alignment horizontal="left" vertical="center"/>
    </xf>
    <xf numFmtId="0" fontId="18" fillId="9" borderId="1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 vertical="center"/>
    </xf>
    <xf numFmtId="0" fontId="19" fillId="8" borderId="3" xfId="3" applyFont="1" applyFill="1" applyBorder="1" applyAlignment="1">
      <alignment horizontal="left" vertical="center"/>
    </xf>
    <xf numFmtId="0" fontId="19" fillId="8" borderId="4" xfId="3" applyFont="1" applyFill="1" applyBorder="1" applyAlignment="1">
      <alignment horizontal="left" vertical="center"/>
    </xf>
    <xf numFmtId="170" fontId="19" fillId="9" borderId="1" xfId="3" applyNumberFormat="1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19" fillId="8" borderId="1" xfId="3" applyFont="1" applyFill="1" applyBorder="1" applyAlignment="1">
      <alignment horizontal="left"/>
    </xf>
    <xf numFmtId="1" fontId="19" fillId="8" borderId="1" xfId="5" applyNumberFormat="1" applyFont="1" applyFill="1" applyBorder="1" applyAlignment="1" applyProtection="1">
      <alignment horizontal="center" vertical="center"/>
    </xf>
    <xf numFmtId="1" fontId="25" fillId="10" borderId="1" xfId="5" applyNumberFormat="1" applyFont="1" applyFill="1" applyBorder="1" applyAlignment="1" applyProtection="1">
      <alignment horizontal="center"/>
    </xf>
    <xf numFmtId="164" fontId="18" fillId="2" borderId="1" xfId="5" applyNumberFormat="1" applyFont="1" applyFill="1" applyBorder="1" applyAlignment="1" applyProtection="1">
      <alignment horizontal="center" vertical="top"/>
    </xf>
    <xf numFmtId="164" fontId="18" fillId="2" borderId="1" xfId="5" applyNumberFormat="1" applyFont="1" applyFill="1" applyBorder="1" applyAlignment="1" applyProtection="1">
      <alignment horizontal="center" vertical="center"/>
    </xf>
    <xf numFmtId="1" fontId="19" fillId="2" borderId="1" xfId="3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>
      <alignment horizontal="center" vertical="center"/>
    </xf>
    <xf numFmtId="1" fontId="19" fillId="8" borderId="15" xfId="5" applyNumberFormat="1" applyFont="1" applyFill="1" applyBorder="1" applyAlignment="1" applyProtection="1">
      <alignment horizontal="center" vertical="center"/>
    </xf>
    <xf numFmtId="1" fontId="19" fillId="2" borderId="1" xfId="5" applyNumberFormat="1" applyFont="1" applyFill="1" applyBorder="1" applyAlignment="1">
      <alignment horizontal="center" vertical="center"/>
    </xf>
    <xf numFmtId="1" fontId="19" fillId="2" borderId="1" xfId="3" applyNumberFormat="1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19" fillId="2" borderId="1" xfId="3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/>
    </xf>
    <xf numFmtId="0" fontId="18" fillId="0" borderId="1" xfId="4" applyFont="1" applyBorder="1" applyAlignment="1">
      <alignment horizontal="center" vertical="center"/>
    </xf>
    <xf numFmtId="0" fontId="18" fillId="2" borderId="1" xfId="4" applyFont="1" applyFill="1" applyBorder="1" applyAlignment="1">
      <alignment horizontal="center"/>
    </xf>
    <xf numFmtId="1" fontId="0" fillId="0" borderId="0" xfId="0" applyNumberFormat="1"/>
    <xf numFmtId="0" fontId="19" fillId="9" borderId="1" xfId="3" applyFont="1" applyFill="1" applyBorder="1" applyAlignment="1">
      <alignment horizontal="right" vertical="center"/>
    </xf>
    <xf numFmtId="9" fontId="19" fillId="9" borderId="1" xfId="4" applyNumberFormat="1" applyFont="1" applyFill="1" applyBorder="1"/>
    <xf numFmtId="0" fontId="20" fillId="8" borderId="9" xfId="3" applyFont="1" applyFill="1" applyBorder="1" applyAlignment="1">
      <alignment horizontal="center" vertical="center"/>
    </xf>
    <xf numFmtId="0" fontId="20" fillId="8" borderId="10" xfId="3" applyFont="1" applyFill="1" applyBorder="1" applyAlignment="1">
      <alignment horizontal="center" vertical="center"/>
    </xf>
    <xf numFmtId="0" fontId="20" fillId="8" borderId="11" xfId="3" applyFont="1" applyFill="1" applyBorder="1" applyAlignment="1">
      <alignment horizontal="center" vertical="center"/>
    </xf>
    <xf numFmtId="0" fontId="19" fillId="8" borderId="7" xfId="3" applyFont="1" applyFill="1" applyBorder="1" applyAlignment="1">
      <alignment horizontal="center" vertical="center"/>
    </xf>
    <xf numFmtId="2" fontId="20" fillId="2" borderId="7" xfId="3" applyNumberFormat="1" applyFont="1" applyFill="1" applyBorder="1" applyAlignment="1">
      <alignment horizontal="center" vertical="center"/>
    </xf>
    <xf numFmtId="164" fontId="20" fillId="8" borderId="7" xfId="3" applyNumberFormat="1" applyFont="1" applyFill="1" applyBorder="1" applyAlignment="1">
      <alignment horizontal="center" wrapText="1" shrinkToFit="1"/>
    </xf>
    <xf numFmtId="2" fontId="28" fillId="8" borderId="7" xfId="3" applyNumberFormat="1" applyFont="1" applyFill="1" applyBorder="1" applyAlignment="1">
      <alignment horizontal="right" vertical="center"/>
    </xf>
    <xf numFmtId="1" fontId="28" fillId="8" borderId="7" xfId="3" applyNumberFormat="1" applyFont="1" applyFill="1" applyBorder="1" applyAlignment="1">
      <alignment horizontal="center" vertical="center"/>
    </xf>
    <xf numFmtId="0" fontId="19" fillId="2" borderId="2" xfId="3" applyFont="1" applyFill="1" applyBorder="1" applyAlignment="1">
      <alignment horizontal="left" vertical="center"/>
    </xf>
    <xf numFmtId="0" fontId="19" fillId="2" borderId="3" xfId="3" applyFont="1" applyFill="1" applyBorder="1" applyAlignment="1">
      <alignment horizontal="left" vertical="center"/>
    </xf>
    <xf numFmtId="0" fontId="19" fillId="2" borderId="4" xfId="3" applyFont="1" applyFill="1" applyBorder="1" applyAlignment="1">
      <alignment horizontal="left" vertical="center"/>
    </xf>
    <xf numFmtId="0" fontId="19" fillId="2" borderId="1" xfId="3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center"/>
    </xf>
    <xf numFmtId="1" fontId="19" fillId="2" borderId="2" xfId="5" applyNumberFormat="1" applyFont="1" applyFill="1" applyBorder="1" applyAlignment="1" applyProtection="1">
      <alignment horizontal="center"/>
    </xf>
    <xf numFmtId="0" fontId="19" fillId="10" borderId="3" xfId="3" applyFont="1" applyFill="1" applyBorder="1" applyAlignment="1">
      <alignment vertical="center"/>
    </xf>
    <xf numFmtId="0" fontId="19" fillId="10" borderId="4" xfId="3" applyFont="1" applyFill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8" fillId="14" borderId="1" xfId="1" applyFont="1" applyFill="1" applyBorder="1" applyAlignment="1">
      <alignment horizontal="center" vertical="center" wrapText="1"/>
    </xf>
    <xf numFmtId="0" fontId="13" fillId="14" borderId="1" xfId="1" applyFont="1" applyFill="1" applyBorder="1" applyAlignment="1">
      <alignment vertical="top" wrapText="1"/>
    </xf>
    <xf numFmtId="1" fontId="4" fillId="14" borderId="0" xfId="1" applyNumberFormat="1" applyFont="1" applyFill="1"/>
    <xf numFmtId="0" fontId="0" fillId="14" borderId="0" xfId="0" applyFill="1"/>
    <xf numFmtId="0" fontId="7" fillId="14" borderId="1" xfId="1" applyFont="1" applyFill="1" applyBorder="1" applyAlignment="1">
      <alignment horizontal="center" vertical="center" wrapText="1"/>
    </xf>
    <xf numFmtId="1" fontId="13" fillId="14" borderId="1" xfId="1" applyNumberFormat="1" applyFont="1" applyFill="1" applyBorder="1" applyAlignment="1">
      <alignment vertical="top" wrapText="1"/>
    </xf>
    <xf numFmtId="0" fontId="13" fillId="14" borderId="1" xfId="1" applyFont="1" applyFill="1" applyBorder="1" applyAlignment="1">
      <alignment horizontal="center"/>
    </xf>
    <xf numFmtId="164" fontId="13" fillId="14" borderId="1" xfId="1" applyNumberFormat="1" applyFont="1" applyFill="1" applyBorder="1" applyAlignment="1">
      <alignment horizontal="center"/>
    </xf>
    <xf numFmtId="2" fontId="13" fillId="14" borderId="1" xfId="1" applyNumberFormat="1" applyFont="1" applyFill="1" applyBorder="1" applyAlignment="1">
      <alignment vertical="top" wrapText="1"/>
    </xf>
    <xf numFmtId="1" fontId="13" fillId="14" borderId="1" xfId="1" applyNumberFormat="1" applyFont="1" applyFill="1" applyBorder="1" applyAlignment="1">
      <alignment horizontal="center" vertical="top" wrapText="1"/>
    </xf>
    <xf numFmtId="0" fontId="19" fillId="0" borderId="2" xfId="4" applyFont="1" applyBorder="1" applyAlignment="1">
      <alignment vertical="center"/>
    </xf>
    <xf numFmtId="0" fontId="19" fillId="0" borderId="3" xfId="4" applyFont="1" applyBorder="1" applyAlignment="1">
      <alignment vertical="center"/>
    </xf>
    <xf numFmtId="0" fontId="19" fillId="0" borderId="4" xfId="4" applyFont="1" applyBorder="1" applyAlignment="1">
      <alignment vertical="center"/>
    </xf>
    <xf numFmtId="0" fontId="19" fillId="8" borderId="12" xfId="3" applyFont="1" applyFill="1" applyBorder="1" applyAlignment="1">
      <alignment horizontal="left" vertical="center"/>
    </xf>
    <xf numFmtId="0" fontId="19" fillId="8" borderId="5" xfId="3" applyFont="1" applyFill="1" applyBorder="1" applyAlignment="1">
      <alignment horizontal="left" vertical="center"/>
    </xf>
    <xf numFmtId="0" fontId="19" fillId="8" borderId="13" xfId="3" applyFont="1" applyFill="1" applyBorder="1" applyAlignment="1">
      <alignment horizontal="left" vertical="center"/>
    </xf>
    <xf numFmtId="0" fontId="18" fillId="2" borderId="8" xfId="3" applyNumberFormat="1" applyFont="1" applyFill="1" applyBorder="1" applyAlignment="1">
      <alignment horizontal="center"/>
    </xf>
    <xf numFmtId="0" fontId="19" fillId="8" borderId="9" xfId="3" applyFont="1" applyFill="1" applyBorder="1" applyAlignment="1">
      <alignment horizontal="left" vertical="center"/>
    </xf>
    <xf numFmtId="0" fontId="19" fillId="8" borderId="10" xfId="3" applyFont="1" applyFill="1" applyBorder="1" applyAlignment="1">
      <alignment horizontal="left" vertical="center"/>
    </xf>
    <xf numFmtId="0" fontId="19" fillId="8" borderId="11" xfId="3" applyFont="1" applyFill="1" applyBorder="1" applyAlignment="1">
      <alignment horizontal="left" vertical="center"/>
    </xf>
    <xf numFmtId="0" fontId="18" fillId="2" borderId="7" xfId="3" applyNumberFormat="1" applyFont="1" applyFill="1" applyBorder="1" applyAlignment="1">
      <alignment horizontal="center"/>
    </xf>
    <xf numFmtId="1" fontId="19" fillId="2" borderId="8" xfId="3" applyNumberFormat="1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right"/>
    </xf>
    <xf numFmtId="9" fontId="13" fillId="2" borderId="1" xfId="1" applyNumberFormat="1" applyFont="1" applyFill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2" fontId="13" fillId="0" borderId="2" xfId="1" applyNumberFormat="1" applyFont="1" applyBorder="1" applyAlignment="1"/>
    <xf numFmtId="0" fontId="10" fillId="0" borderId="21" xfId="1" applyFont="1" applyFill="1" applyBorder="1" applyAlignment="1">
      <alignment vertical="top" wrapText="1"/>
    </xf>
    <xf numFmtId="0" fontId="10" fillId="0" borderId="15" xfId="1" applyFont="1" applyFill="1" applyBorder="1" applyAlignment="1">
      <alignment vertical="top" wrapText="1"/>
    </xf>
    <xf numFmtId="1" fontId="13" fillId="2" borderId="21" xfId="1" applyNumberFormat="1" applyFont="1" applyFill="1" applyBorder="1" applyAlignment="1">
      <alignment vertical="center" wrapText="1"/>
    </xf>
    <xf numFmtId="1" fontId="13" fillId="2" borderId="15" xfId="1" applyNumberFormat="1" applyFont="1" applyFill="1" applyBorder="1" applyAlignment="1">
      <alignment vertical="center" wrapText="1"/>
    </xf>
    <xf numFmtId="2" fontId="35" fillId="8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2" fontId="36" fillId="8" borderId="1" xfId="3" applyNumberFormat="1" applyFont="1" applyFill="1" applyBorder="1" applyAlignment="1">
      <alignment horizontal="center"/>
    </xf>
    <xf numFmtId="0" fontId="37" fillId="0" borderId="7" xfId="4" applyFont="1" applyBorder="1" applyAlignment="1">
      <alignment horizontal="center"/>
    </xf>
    <xf numFmtId="0" fontId="37" fillId="0" borderId="1" xfId="4" applyFont="1" applyBorder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center" vertical="center"/>
    </xf>
    <xf numFmtId="1" fontId="36" fillId="2" borderId="1" xfId="3" applyNumberFormat="1" applyFont="1" applyFill="1" applyBorder="1" applyAlignment="1">
      <alignment horizontal="center" vertical="center"/>
    </xf>
    <xf numFmtId="0" fontId="37" fillId="0" borderId="1" xfId="4" applyFont="1" applyBorder="1" applyAlignment="1">
      <alignment horizontal="center" wrapText="1"/>
    </xf>
    <xf numFmtId="0" fontId="37" fillId="2" borderId="1" xfId="4" applyFont="1" applyFill="1" applyBorder="1" applyAlignment="1">
      <alignment horizontal="center"/>
    </xf>
    <xf numFmtId="0" fontId="36" fillId="2" borderId="1" xfId="3" applyFont="1" applyFill="1" applyBorder="1" applyAlignment="1">
      <alignment horizontal="center" vertical="center"/>
    </xf>
    <xf numFmtId="0" fontId="36" fillId="2" borderId="1" xfId="3" applyFont="1" applyFill="1" applyBorder="1" applyAlignment="1">
      <alignment horizontal="center"/>
    </xf>
    <xf numFmtId="0" fontId="35" fillId="0" borderId="8" xfId="4" applyFont="1" applyBorder="1" applyAlignment="1">
      <alignment horizontal="center"/>
    </xf>
    <xf numFmtId="0" fontId="35" fillId="2" borderId="1" xfId="3" applyNumberFormat="1" applyFont="1" applyFill="1" applyBorder="1" applyAlignment="1">
      <alignment horizontal="center"/>
    </xf>
    <xf numFmtId="1" fontId="36" fillId="8" borderId="1" xfId="3" applyNumberFormat="1" applyFont="1" applyFill="1" applyBorder="1" applyAlignment="1">
      <alignment horizontal="center"/>
    </xf>
    <xf numFmtId="1" fontId="35" fillId="12" borderId="1" xfId="3" applyNumberFormat="1" applyFont="1" applyFill="1" applyBorder="1" applyAlignment="1">
      <alignment horizontal="center"/>
    </xf>
    <xf numFmtId="1" fontId="36" fillId="8" borderId="1" xfId="5" applyNumberFormat="1" applyFont="1" applyFill="1" applyBorder="1" applyAlignment="1">
      <alignment horizontal="center" vertical="center"/>
    </xf>
    <xf numFmtId="9" fontId="36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6" fillId="9" borderId="1" xfId="3" applyNumberFormat="1" applyFont="1" applyFill="1" applyBorder="1" applyAlignment="1">
      <alignment horizontal="center"/>
    </xf>
    <xf numFmtId="9" fontId="36" fillId="9" borderId="1" xfId="4" applyNumberFormat="1" applyFont="1" applyFill="1" applyBorder="1"/>
    <xf numFmtId="0" fontId="35" fillId="9" borderId="1" xfId="3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 vertical="center"/>
    </xf>
    <xf numFmtId="1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left"/>
    </xf>
    <xf numFmtId="0" fontId="35" fillId="9" borderId="1" xfId="3" applyFont="1" applyFill="1" applyBorder="1" applyAlignment="1">
      <alignment horizontal="left"/>
    </xf>
    <xf numFmtId="10" fontId="35" fillId="9" borderId="1" xfId="3" applyNumberFormat="1" applyFont="1" applyFill="1" applyBorder="1" applyAlignment="1">
      <alignment horizontal="center"/>
    </xf>
    <xf numFmtId="1" fontId="35" fillId="9" borderId="1" xfId="3" applyNumberFormat="1" applyFont="1" applyFill="1" applyBorder="1" applyAlignment="1">
      <alignment horizontal="center"/>
    </xf>
    <xf numFmtId="0" fontId="38" fillId="0" borderId="0" xfId="0" applyFont="1" applyBorder="1"/>
    <xf numFmtId="0" fontId="36" fillId="9" borderId="1" xfId="3" applyFont="1" applyFill="1" applyBorder="1"/>
    <xf numFmtId="2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6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0" fontId="36" fillId="8" borderId="9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0" fontId="36" fillId="8" borderId="11" xfId="3" applyFont="1" applyFill="1" applyBorder="1" applyAlignment="1">
      <alignment horizontal="left" vertical="center"/>
    </xf>
    <xf numFmtId="0" fontId="36" fillId="8" borderId="7" xfId="3" applyFont="1" applyFill="1" applyBorder="1" applyAlignment="1">
      <alignment horizontal="center"/>
    </xf>
    <xf numFmtId="2" fontId="35" fillId="8" borderId="7" xfId="3" applyNumberFormat="1" applyFont="1" applyFill="1" applyBorder="1" applyAlignment="1">
      <alignment horizontal="center"/>
    </xf>
    <xf numFmtId="1" fontId="36" fillId="2" borderId="7" xfId="5" applyNumberFormat="1" applyFont="1" applyFill="1" applyBorder="1" applyAlignment="1">
      <alignment horizontal="center" vertical="center"/>
    </xf>
    <xf numFmtId="1" fontId="36" fillId="8" borderId="2" xfId="5" applyNumberFormat="1" applyFont="1" applyFill="1" applyBorder="1" applyAlignment="1" applyProtection="1">
      <alignment horizontal="center"/>
    </xf>
    <xf numFmtId="0" fontId="36" fillId="8" borderId="12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3" xfId="3" applyFont="1" applyFill="1" applyBorder="1" applyAlignment="1">
      <alignment horizontal="left" vertical="center"/>
    </xf>
    <xf numFmtId="0" fontId="36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1" fontId="36" fillId="8" borderId="8" xfId="5" applyNumberFormat="1" applyFont="1" applyFill="1" applyBorder="1" applyAlignment="1">
      <alignment horizontal="center" vertical="center"/>
    </xf>
    <xf numFmtId="167" fontId="36" fillId="8" borderId="2" xfId="3" applyNumberFormat="1" applyFont="1" applyFill="1" applyBorder="1" applyAlignment="1">
      <alignment vertical="center"/>
    </xf>
    <xf numFmtId="167" fontId="36" fillId="8" borderId="3" xfId="3" applyNumberFormat="1" applyFont="1" applyFill="1" applyBorder="1" applyAlignment="1">
      <alignment vertical="center"/>
    </xf>
    <xf numFmtId="167" fontId="36" fillId="8" borderId="4" xfId="3" applyNumberFormat="1" applyFont="1" applyFill="1" applyBorder="1" applyAlignment="1">
      <alignment vertical="center"/>
    </xf>
    <xf numFmtId="1" fontId="36" fillId="2" borderId="1" xfId="5" applyNumberFormat="1" applyFont="1" applyFill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right"/>
    </xf>
    <xf numFmtId="0" fontId="36" fillId="8" borderId="2" xfId="3" applyFont="1" applyFill="1" applyBorder="1" applyAlignment="1">
      <alignment horizontal="left" vertical="center"/>
    </xf>
    <xf numFmtId="0" fontId="36" fillId="8" borderId="3" xfId="3" applyFont="1" applyFill="1" applyBorder="1" applyAlignment="1">
      <alignment horizontal="left" vertical="center"/>
    </xf>
    <xf numFmtId="0" fontId="36" fillId="8" borderId="4" xfId="3" applyFont="1" applyFill="1" applyBorder="1" applyAlignment="1">
      <alignment horizontal="left" vertical="center"/>
    </xf>
    <xf numFmtId="0" fontId="36" fillId="8" borderId="9" xfId="3" applyFont="1" applyFill="1" applyBorder="1" applyAlignment="1">
      <alignment horizontal="left"/>
    </xf>
    <xf numFmtId="0" fontId="36" fillId="8" borderId="10" xfId="3" applyFont="1" applyFill="1" applyBorder="1" applyAlignment="1">
      <alignment horizontal="left"/>
    </xf>
    <xf numFmtId="0" fontId="36" fillId="8" borderId="11" xfId="3" applyFont="1" applyFill="1" applyBorder="1" applyAlignment="1">
      <alignment horizontal="left"/>
    </xf>
    <xf numFmtId="0" fontId="36" fillId="2" borderId="2" xfId="3" applyFont="1" applyFill="1" applyBorder="1" applyAlignment="1">
      <alignment horizontal="left" vertical="center"/>
    </xf>
    <xf numFmtId="0" fontId="36" fillId="2" borderId="3" xfId="3" applyFont="1" applyFill="1" applyBorder="1" applyAlignment="1">
      <alignment horizontal="left" vertical="center"/>
    </xf>
    <xf numFmtId="0" fontId="36" fillId="2" borderId="4" xfId="3" applyFont="1" applyFill="1" applyBorder="1" applyAlignment="1">
      <alignment horizontal="left" vertical="center"/>
    </xf>
    <xf numFmtId="0" fontId="35" fillId="2" borderId="1" xfId="4" applyFont="1" applyFill="1" applyBorder="1" applyAlignment="1">
      <alignment horizontal="center"/>
    </xf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0" fontId="44" fillId="0" borderId="1" xfId="4" applyFont="1" applyBorder="1" applyAlignment="1">
      <alignment horizontal="center"/>
    </xf>
    <xf numFmtId="0" fontId="46" fillId="2" borderId="2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44" fontId="46" fillId="8" borderId="1" xfId="8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0" fontId="46" fillId="8" borderId="1" xfId="3" applyFont="1" applyFill="1" applyBorder="1" applyAlignment="1">
      <alignment horizontal="center"/>
    </xf>
    <xf numFmtId="1" fontId="46" fillId="8" borderId="1" xfId="5" applyNumberFormat="1" applyFont="1" applyFill="1" applyBorder="1" applyAlignment="1">
      <alignment horizontal="center" vertical="center"/>
    </xf>
    <xf numFmtId="1" fontId="46" fillId="0" borderId="1" xfId="4" applyNumberFormat="1" applyFont="1" applyBorder="1" applyAlignment="1">
      <alignment horizontal="center"/>
    </xf>
    <xf numFmtId="1" fontId="46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0" fontId="35" fillId="0" borderId="1" xfId="4" applyFont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center" vertical="center"/>
    </xf>
    <xf numFmtId="2" fontId="36" fillId="8" borderId="2" xfId="3" applyNumberFormat="1" applyFont="1" applyFill="1" applyBorder="1" applyAlignment="1">
      <alignment horizontal="left" vertical="center"/>
    </xf>
    <xf numFmtId="2" fontId="36" fillId="8" borderId="3" xfId="3" applyNumberFormat="1" applyFont="1" applyFill="1" applyBorder="1" applyAlignment="1">
      <alignment horizontal="left" vertical="center"/>
    </xf>
    <xf numFmtId="2" fontId="36" fillId="8" borderId="4" xfId="3" applyNumberFormat="1" applyFont="1" applyFill="1" applyBorder="1" applyAlignment="1">
      <alignment horizontal="left" vertical="center"/>
    </xf>
    <xf numFmtId="1" fontId="36" fillId="8" borderId="1" xfId="3" applyNumberFormat="1" applyFont="1" applyFill="1" applyBorder="1" applyAlignment="1">
      <alignment horizontal="center" vertical="center"/>
    </xf>
    <xf numFmtId="0" fontId="36" fillId="8" borderId="3" xfId="3" applyFont="1" applyFill="1" applyBorder="1" applyAlignment="1">
      <alignment horizontal="left" vertical="justify"/>
    </xf>
    <xf numFmtId="0" fontId="36" fillId="8" borderId="4" xfId="3" applyFont="1" applyFill="1" applyBorder="1" applyAlignment="1">
      <alignment horizontal="left" vertical="justify"/>
    </xf>
    <xf numFmtId="0" fontId="36" fillId="8" borderId="1" xfId="3" applyFont="1" applyFill="1" applyBorder="1" applyAlignment="1">
      <alignment horizontal="left" vertical="center"/>
    </xf>
    <xf numFmtId="0" fontId="36" fillId="0" borderId="2" xfId="4" applyFont="1" applyBorder="1" applyAlignment="1">
      <alignment vertical="center"/>
    </xf>
    <xf numFmtId="0" fontId="36" fillId="0" borderId="3" xfId="4" applyFont="1" applyBorder="1" applyAlignment="1">
      <alignment vertical="center"/>
    </xf>
    <xf numFmtId="0" fontId="36" fillId="0" borderId="4" xfId="4" applyFont="1" applyBorder="1" applyAlignment="1">
      <alignment vertical="center"/>
    </xf>
    <xf numFmtId="0" fontId="35" fillId="2" borderId="1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6" fillId="0" borderId="1" xfId="4" applyFont="1" applyBorder="1"/>
    <xf numFmtId="0" fontId="36" fillId="8" borderId="12" xfId="3" applyFont="1" applyFill="1" applyBorder="1" applyAlignment="1">
      <alignment horizontal="left"/>
    </xf>
    <xf numFmtId="0" fontId="36" fillId="8" borderId="5" xfId="3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43" fontId="35" fillId="8" borderId="1" xfId="7" applyFont="1" applyFill="1" applyBorder="1" applyAlignment="1">
      <alignment horizontal="right" wrapText="1"/>
    </xf>
    <xf numFmtId="164" fontId="36" fillId="2" borderId="0" xfId="5" applyNumberFormat="1" applyFont="1" applyFill="1" applyBorder="1" applyAlignment="1" applyProtection="1">
      <alignment horizontal="center"/>
    </xf>
    <xf numFmtId="1" fontId="38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1" fontId="35" fillId="8" borderId="1" xfId="3" applyNumberFormat="1" applyFont="1" applyFill="1" applyBorder="1" applyAlignment="1">
      <alignment horizontal="center"/>
    </xf>
    <xf numFmtId="2" fontId="18" fillId="2" borderId="1" xfId="3" applyNumberFormat="1" applyFont="1" applyFill="1" applyBorder="1" applyAlignment="1">
      <alignment horizontal="right"/>
    </xf>
    <xf numFmtId="1" fontId="13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6" fillId="2" borderId="0" xfId="5" applyNumberFormat="1" applyFont="1" applyFill="1" applyBorder="1" applyAlignment="1" applyProtection="1">
      <alignment horizontal="center"/>
    </xf>
    <xf numFmtId="0" fontId="36" fillId="2" borderId="0" xfId="3" applyFont="1" applyFill="1" applyBorder="1" applyAlignment="1">
      <alignment horizontal="center"/>
    </xf>
    <xf numFmtId="2" fontId="18" fillId="12" borderId="8" xfId="3" applyNumberFormat="1" applyFont="1" applyFill="1" applyBorder="1" applyAlignment="1">
      <alignment horizontal="center"/>
    </xf>
    <xf numFmtId="0" fontId="48" fillId="0" borderId="0" xfId="0" applyFont="1"/>
    <xf numFmtId="0" fontId="48" fillId="0" borderId="0" xfId="0" applyFont="1" applyBorder="1"/>
    <xf numFmtId="0" fontId="50" fillId="0" borderId="0" xfId="0" applyFont="1" applyBorder="1"/>
    <xf numFmtId="0" fontId="50" fillId="0" borderId="0" xfId="0" applyFont="1"/>
    <xf numFmtId="164" fontId="49" fillId="2" borderId="0" xfId="5" applyNumberFormat="1" applyFont="1" applyFill="1" applyBorder="1" applyAlignment="1" applyProtection="1">
      <alignment horizontal="center"/>
    </xf>
    <xf numFmtId="0" fontId="52" fillId="0" borderId="0" xfId="4" applyFont="1"/>
    <xf numFmtId="1" fontId="48" fillId="0" borderId="0" xfId="0" applyNumberFormat="1" applyFont="1"/>
    <xf numFmtId="9" fontId="0" fillId="0" borderId="0" xfId="0" applyNumberFormat="1"/>
    <xf numFmtId="9" fontId="13" fillId="0" borderId="1" xfId="1" applyNumberFormat="1" applyFont="1" applyBorder="1" applyAlignment="1">
      <alignment vertical="center" wrapText="1"/>
    </xf>
    <xf numFmtId="0" fontId="36" fillId="0" borderId="2" xfId="4" applyFont="1" applyBorder="1"/>
    <xf numFmtId="0" fontId="35" fillId="9" borderId="1" xfId="3" applyFont="1" applyFill="1" applyBorder="1" applyAlignment="1"/>
    <xf numFmtId="0" fontId="36" fillId="9" borderId="1" xfId="3" applyFont="1" applyFill="1" applyBorder="1" applyAlignment="1">
      <alignment horizontal="center"/>
    </xf>
    <xf numFmtId="0" fontId="36" fillId="15" borderId="1" xfId="3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6" fillId="15" borderId="3" xfId="3" applyFont="1" applyFill="1" applyBorder="1" applyAlignment="1"/>
    <xf numFmtId="0" fontId="36" fillId="15" borderId="4" xfId="3" applyFont="1" applyFill="1" applyBorder="1" applyAlignment="1">
      <alignment vertical="center"/>
    </xf>
    <xf numFmtId="0" fontId="35" fillId="15" borderId="1" xfId="3" applyFont="1" applyFill="1" applyBorder="1" applyAlignment="1"/>
    <xf numFmtId="0" fontId="36" fillId="15" borderId="3" xfId="3" applyFont="1" applyFill="1" applyBorder="1" applyAlignment="1">
      <alignment horizontal="center"/>
    </xf>
    <xf numFmtId="1" fontId="36" fillId="15" borderId="1" xfId="5" applyNumberFormat="1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/>
    </xf>
    <xf numFmtId="0" fontId="36" fillId="16" borderId="3" xfId="3" applyFont="1" applyFill="1" applyBorder="1" applyAlignment="1">
      <alignment horizontal="center"/>
    </xf>
    <xf numFmtId="0" fontId="36" fillId="16" borderId="4" xfId="3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 vertical="center"/>
    </xf>
    <xf numFmtId="0" fontId="36" fillId="16" borderId="3" xfId="3" applyFont="1" applyFill="1" applyBorder="1" applyAlignment="1">
      <alignment horizontal="center" vertical="center"/>
    </xf>
    <xf numFmtId="0" fontId="36" fillId="16" borderId="4" xfId="3" applyFont="1" applyFill="1" applyBorder="1" applyAlignment="1">
      <alignment horizontal="center" vertical="center"/>
    </xf>
    <xf numFmtId="0" fontId="46" fillId="16" borderId="2" xfId="3" applyFont="1" applyFill="1" applyBorder="1" applyAlignment="1">
      <alignment horizontal="center"/>
    </xf>
    <xf numFmtId="0" fontId="46" fillId="16" borderId="3" xfId="3" applyFont="1" applyFill="1" applyBorder="1" applyAlignment="1">
      <alignment horizontal="center"/>
    </xf>
    <xf numFmtId="0" fontId="46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5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5" fillId="8" borderId="1" xfId="9" applyNumberFormat="1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 vertical="center"/>
    </xf>
    <xf numFmtId="0" fontId="36" fillId="8" borderId="8" xfId="3" applyFont="1" applyFill="1" applyBorder="1" applyAlignment="1">
      <alignment horizontal="center" vertical="center"/>
    </xf>
    <xf numFmtId="2" fontId="18" fillId="8" borderId="24" xfId="3" applyNumberFormat="1" applyFont="1" applyFill="1" applyBorder="1" applyAlignment="1">
      <alignment horizontal="center"/>
    </xf>
    <xf numFmtId="0" fontId="36" fillId="2" borderId="8" xfId="3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/>
    </xf>
    <xf numFmtId="2" fontId="18" fillId="8" borderId="25" xfId="3" applyNumberFormat="1" applyFont="1" applyFill="1" applyBorder="1" applyAlignment="1">
      <alignment horizontal="center"/>
    </xf>
    <xf numFmtId="0" fontId="10" fillId="0" borderId="2" xfId="1" applyFont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6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/>
    <xf numFmtId="0" fontId="39" fillId="2" borderId="8" xfId="4" applyFont="1" applyFill="1" applyBorder="1" applyAlignment="1">
      <alignment horizontal="left"/>
    </xf>
    <xf numFmtId="2" fontId="50" fillId="8" borderId="1" xfId="3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 vertical="center" wrapText="1" shrinkToFit="1"/>
    </xf>
    <xf numFmtId="0" fontId="49" fillId="2" borderId="0" xfId="3" applyFont="1" applyFill="1" applyBorder="1" applyAlignment="1">
      <alignment horizontal="center" vertical="center"/>
    </xf>
    <xf numFmtId="1" fontId="49" fillId="2" borderId="0" xfId="5" applyNumberFormat="1" applyFont="1" applyFill="1" applyBorder="1" applyAlignment="1" applyProtection="1">
      <alignment horizontal="center"/>
    </xf>
    <xf numFmtId="0" fontId="49" fillId="2" borderId="0" xfId="3" applyFont="1" applyFill="1" applyBorder="1" applyAlignment="1">
      <alignment horizontal="center"/>
    </xf>
    <xf numFmtId="2" fontId="49" fillId="2" borderId="0" xfId="5" applyNumberFormat="1" applyFont="1" applyFill="1" applyBorder="1" applyAlignment="1" applyProtection="1">
      <alignment horizontal="center"/>
    </xf>
    <xf numFmtId="165" fontId="49" fillId="2" borderId="0" xfId="6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/>
    </xf>
    <xf numFmtId="0" fontId="54" fillId="0" borderId="29" xfId="4" applyFont="1" applyBorder="1" applyAlignment="1">
      <alignment vertical="center" wrapText="1"/>
    </xf>
    <xf numFmtId="0" fontId="54" fillId="0" borderId="24" xfId="4" applyFont="1" applyBorder="1" applyAlignment="1">
      <alignment vertical="center" wrapText="1"/>
    </xf>
    <xf numFmtId="0" fontId="36" fillId="15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left"/>
    </xf>
    <xf numFmtId="1" fontId="7" fillId="0" borderId="1" xfId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1" fontId="55" fillId="2" borderId="1" xfId="1" applyNumberFormat="1" applyFont="1" applyFill="1" applyBorder="1" applyAlignment="1">
      <alignment vertical="center" wrapText="1"/>
    </xf>
    <xf numFmtId="2" fontId="48" fillId="0" borderId="0" xfId="0" applyNumberFormat="1" applyFont="1"/>
    <xf numFmtId="0" fontId="48" fillId="0" borderId="0" xfId="0" applyFont="1" applyFill="1"/>
    <xf numFmtId="0" fontId="58" fillId="0" borderId="0" xfId="0" applyFont="1"/>
    <xf numFmtId="0" fontId="58" fillId="0" borderId="0" xfId="0" applyFont="1" applyBorder="1"/>
    <xf numFmtId="1" fontId="58" fillId="0" borderId="0" xfId="0" applyNumberFormat="1" applyFont="1"/>
    <xf numFmtId="0" fontId="58" fillId="0" borderId="0" xfId="0" applyFont="1" applyFill="1"/>
    <xf numFmtId="0" fontId="57" fillId="0" borderId="0" xfId="0" applyFont="1" applyFill="1"/>
    <xf numFmtId="1" fontId="58" fillId="0" borderId="0" xfId="0" applyNumberFormat="1" applyFont="1" applyFill="1"/>
    <xf numFmtId="0" fontId="56" fillId="0" borderId="1" xfId="0" applyFont="1" applyBorder="1"/>
    <xf numFmtId="9" fontId="56" fillId="0" borderId="1" xfId="0" applyNumberFormat="1" applyFont="1" applyBorder="1"/>
    <xf numFmtId="1" fontId="56" fillId="0" borderId="1" xfId="0" applyNumberFormat="1" applyFont="1" applyBorder="1"/>
    <xf numFmtId="0" fontId="0" fillId="0" borderId="0" xfId="0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9" fillId="15" borderId="1" xfId="3" applyFont="1" applyFill="1" applyBorder="1" applyAlignment="1"/>
    <xf numFmtId="0" fontId="65" fillId="0" borderId="0" xfId="0" applyFont="1"/>
    <xf numFmtId="2" fontId="66" fillId="8" borderId="1" xfId="3" applyNumberFormat="1" applyFont="1" applyFill="1" applyBorder="1" applyAlignment="1">
      <alignment horizontal="center"/>
    </xf>
    <xf numFmtId="0" fontId="69" fillId="0" borderId="0" xfId="0" applyFont="1"/>
    <xf numFmtId="0" fontId="67" fillId="0" borderId="0" xfId="0" applyFont="1"/>
    <xf numFmtId="0" fontId="59" fillId="15" borderId="1" xfId="3" applyFont="1" applyFill="1" applyBorder="1" applyAlignment="1">
      <alignment horizontal="center" vertical="center"/>
    </xf>
    <xf numFmtId="0" fontId="59" fillId="8" borderId="1" xfId="3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/>
    </xf>
    <xf numFmtId="0" fontId="60" fillId="9" borderId="1" xfId="3" applyFont="1" applyFill="1" applyBorder="1" applyAlignment="1">
      <alignment horizontal="center" vertical="center"/>
    </xf>
    <xf numFmtId="10" fontId="60" fillId="9" borderId="1" xfId="3" applyNumberFormat="1" applyFont="1" applyFill="1" applyBorder="1" applyAlignment="1">
      <alignment horizontal="center"/>
    </xf>
    <xf numFmtId="1" fontId="60" fillId="9" borderId="1" xfId="3" applyNumberFormat="1" applyFont="1" applyFill="1" applyBorder="1" applyAlignment="1">
      <alignment horizontal="center"/>
    </xf>
    <xf numFmtId="2" fontId="60" fillId="9" borderId="1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center"/>
    </xf>
    <xf numFmtId="0" fontId="68" fillId="0" borderId="0" xfId="0" applyFont="1"/>
    <xf numFmtId="2" fontId="66" fillId="2" borderId="1" xfId="3" applyNumberFormat="1" applyFont="1" applyFill="1" applyBorder="1" applyAlignment="1">
      <alignment horizontal="center" vertical="center"/>
    </xf>
    <xf numFmtId="164" fontId="66" fillId="8" borderId="1" xfId="3" applyNumberFormat="1" applyFont="1" applyFill="1" applyBorder="1" applyAlignment="1">
      <alignment horizontal="center" wrapText="1" shrinkToFit="1"/>
    </xf>
    <xf numFmtId="2" fontId="66" fillId="8" borderId="1" xfId="3" applyNumberFormat="1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/>
    </xf>
    <xf numFmtId="1" fontId="66" fillId="2" borderId="1" xfId="5" applyNumberFormat="1" applyFont="1" applyFill="1" applyBorder="1" applyAlignment="1">
      <alignment horizontal="center" vertical="center"/>
    </xf>
    <xf numFmtId="0" fontId="66" fillId="2" borderId="1" xfId="3" applyNumberFormat="1" applyFont="1" applyFill="1" applyBorder="1" applyAlignment="1">
      <alignment horizontal="center"/>
    </xf>
    <xf numFmtId="2" fontId="66" fillId="8" borderId="8" xfId="3" applyNumberFormat="1" applyFont="1" applyFill="1" applyBorder="1" applyAlignment="1">
      <alignment horizontal="center"/>
    </xf>
    <xf numFmtId="1" fontId="66" fillId="2" borderId="7" xfId="5" applyNumberFormat="1" applyFont="1" applyFill="1" applyBorder="1" applyAlignment="1">
      <alignment horizontal="center" vertical="center"/>
    </xf>
    <xf numFmtId="1" fontId="66" fillId="2" borderId="8" xfId="3" applyNumberFormat="1" applyFont="1" applyFill="1" applyBorder="1" applyAlignment="1">
      <alignment horizontal="center"/>
    </xf>
    <xf numFmtId="0" fontId="66" fillId="0" borderId="1" xfId="4" applyFont="1" applyBorder="1" applyAlignment="1">
      <alignment horizontal="center"/>
    </xf>
    <xf numFmtId="1" fontId="66" fillId="12" borderId="1" xfId="3" applyNumberFormat="1" applyFont="1" applyFill="1" applyBorder="1" applyAlignment="1">
      <alignment horizontal="center"/>
    </xf>
    <xf numFmtId="2" fontId="66" fillId="8" borderId="1" xfId="3" applyNumberFormat="1" applyFont="1" applyFill="1" applyBorder="1" applyAlignment="1">
      <alignment horizontal="right"/>
    </xf>
    <xf numFmtId="1" fontId="66" fillId="8" borderId="1" xfId="5" applyNumberFormat="1" applyFont="1" applyFill="1" applyBorder="1" applyAlignment="1">
      <alignment horizontal="center" vertical="center"/>
    </xf>
    <xf numFmtId="2" fontId="66" fillId="2" borderId="1" xfId="3" applyNumberFormat="1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/>
    </xf>
    <xf numFmtId="0" fontId="72" fillId="0" borderId="1" xfId="4" applyFont="1" applyBorder="1" applyAlignment="1">
      <alignment horizontal="center"/>
    </xf>
    <xf numFmtId="0" fontId="66" fillId="2" borderId="1" xfId="4" applyFont="1" applyFill="1" applyBorder="1" applyAlignment="1">
      <alignment horizontal="center"/>
    </xf>
    <xf numFmtId="1" fontId="66" fillId="2" borderId="1" xfId="3" applyNumberFormat="1" applyFont="1" applyFill="1" applyBorder="1" applyAlignment="1">
      <alignment horizontal="center"/>
    </xf>
    <xf numFmtId="2" fontId="66" fillId="12" borderId="1" xfId="3" applyNumberFormat="1" applyFont="1" applyFill="1" applyBorder="1" applyAlignment="1">
      <alignment horizontal="center"/>
    </xf>
    <xf numFmtId="1" fontId="71" fillId="15" borderId="1" xfId="3" applyNumberFormat="1" applyFont="1" applyFill="1" applyBorder="1" applyAlignment="1">
      <alignment horizontal="center"/>
    </xf>
    <xf numFmtId="0" fontId="66" fillId="0" borderId="1" xfId="4" applyFont="1" applyBorder="1"/>
    <xf numFmtId="0" fontId="73" fillId="8" borderId="1" xfId="3" applyFont="1" applyFill="1" applyBorder="1" applyAlignment="1">
      <alignment horizontal="center"/>
    </xf>
    <xf numFmtId="164" fontId="73" fillId="8" borderId="1" xfId="5" applyNumberFormat="1" applyFont="1" applyFill="1" applyBorder="1" applyAlignment="1">
      <alignment horizontal="center" vertical="center"/>
    </xf>
    <xf numFmtId="1" fontId="66" fillId="12" borderId="1" xfId="5" applyNumberFormat="1" applyFont="1" applyFill="1" applyBorder="1" applyAlignment="1" applyProtection="1">
      <alignment horizontal="center"/>
    </xf>
    <xf numFmtId="0" fontId="73" fillId="2" borderId="1" xfId="4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164" fontId="71" fillId="8" borderId="1" xfId="3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66" fillId="8" borderId="1" xfId="9" applyNumberFormat="1" applyFont="1" applyFill="1" applyBorder="1" applyAlignment="1">
      <alignment horizontal="center"/>
    </xf>
    <xf numFmtId="168" fontId="71" fillId="8" borderId="1" xfId="5" applyNumberFormat="1" applyFont="1" applyFill="1" applyBorder="1" applyAlignment="1" applyProtection="1">
      <alignment horizontal="center" vertical="center"/>
    </xf>
    <xf numFmtId="164" fontId="74" fillId="8" borderId="1" xfId="5" applyNumberFormat="1" applyFont="1" applyFill="1" applyBorder="1" applyAlignment="1" applyProtection="1">
      <alignment horizontal="center"/>
    </xf>
    <xf numFmtId="1" fontId="75" fillId="0" borderId="1" xfId="4" applyNumberFormat="1" applyFont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1" fontId="75" fillId="8" borderId="1" xfId="3" applyNumberFormat="1" applyFont="1" applyFill="1" applyBorder="1" applyAlignment="1">
      <alignment horizontal="center" vertical="center"/>
    </xf>
    <xf numFmtId="0" fontId="73" fillId="2" borderId="1" xfId="3" applyFont="1" applyFill="1" applyBorder="1" applyAlignment="1">
      <alignment horizontal="center"/>
    </xf>
    <xf numFmtId="169" fontId="73" fillId="8" borderId="1" xfId="5" applyNumberFormat="1" applyFont="1" applyFill="1" applyBorder="1" applyAlignment="1" applyProtection="1">
      <alignment horizontal="center" vertical="center"/>
    </xf>
    <xf numFmtId="1" fontId="73" fillId="2" borderId="1" xfId="3" applyNumberFormat="1" applyFont="1" applyFill="1" applyBorder="1" applyAlignment="1">
      <alignment horizontal="center" vertical="top"/>
    </xf>
    <xf numFmtId="0" fontId="66" fillId="0" borderId="1" xfId="4" applyFont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vertical="center"/>
    </xf>
    <xf numFmtId="0" fontId="66" fillId="15" borderId="1" xfId="3" applyFont="1" applyFill="1" applyBorder="1" applyAlignment="1"/>
    <xf numFmtId="1" fontId="66" fillId="2" borderId="1" xfId="3" applyNumberFormat="1" applyFont="1" applyFill="1" applyBorder="1" applyAlignment="1">
      <alignment horizontal="center" vertical="center"/>
    </xf>
    <xf numFmtId="164" fontId="66" fillId="2" borderId="1" xfId="5" applyNumberFormat="1" applyFont="1" applyFill="1" applyBorder="1" applyAlignment="1" applyProtection="1">
      <alignment horizontal="center" vertical="center"/>
    </xf>
    <xf numFmtId="164" fontId="66" fillId="8" borderId="1" xfId="5" applyNumberFormat="1" applyFont="1" applyFill="1" applyBorder="1" applyAlignment="1" applyProtection="1">
      <alignment horizontal="center" vertical="top"/>
    </xf>
    <xf numFmtId="0" fontId="66" fillId="2" borderId="1" xfId="4" applyFont="1" applyFill="1" applyBorder="1" applyAlignment="1">
      <alignment horizontal="left"/>
    </xf>
    <xf numFmtId="0" fontId="66" fillId="2" borderId="1" xfId="4" applyFont="1" applyFill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2" fillId="2" borderId="1" xfId="4" applyFont="1" applyFill="1" applyBorder="1" applyAlignment="1">
      <alignment horizontal="center"/>
    </xf>
    <xf numFmtId="0" fontId="66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/>
    </xf>
    <xf numFmtId="1" fontId="71" fillId="2" borderId="1" xfId="3" applyNumberFormat="1" applyFont="1" applyFill="1" applyBorder="1" applyAlignment="1">
      <alignment horizontal="center"/>
    </xf>
    <xf numFmtId="43" fontId="66" fillId="8" borderId="1" xfId="7" applyFont="1" applyFill="1" applyBorder="1" applyAlignment="1">
      <alignment horizontal="right" wrapText="1"/>
    </xf>
    <xf numFmtId="2" fontId="66" fillId="10" borderId="24" xfId="3" applyNumberFormat="1" applyFont="1" applyFill="1" applyBorder="1" applyAlignment="1">
      <alignment horizontal="center" vertical="center"/>
    </xf>
    <xf numFmtId="0" fontId="72" fillId="10" borderId="24" xfId="4" applyFont="1" applyFill="1" applyBorder="1" applyAlignment="1">
      <alignment horizontal="center" vertical="center"/>
    </xf>
    <xf numFmtId="1" fontId="66" fillId="10" borderId="24" xfId="5" applyNumberFormat="1" applyFont="1" applyFill="1" applyBorder="1" applyAlignment="1">
      <alignment horizontal="center" vertical="center"/>
    </xf>
    <xf numFmtId="1" fontId="66" fillId="10" borderId="24" xfId="3" applyNumberFormat="1" applyFont="1" applyFill="1" applyBorder="1" applyAlignment="1">
      <alignment horizontal="center" vertical="center"/>
    </xf>
    <xf numFmtId="0" fontId="71" fillId="10" borderId="0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/>
    </xf>
    <xf numFmtId="1" fontId="71" fillId="0" borderId="1" xfId="0" applyNumberFormat="1" applyFont="1" applyBorder="1" applyAlignment="1">
      <alignment horizontal="center"/>
    </xf>
    <xf numFmtId="0" fontId="71" fillId="0" borderId="1" xfId="0" applyFont="1" applyFill="1" applyBorder="1" applyAlignment="1">
      <alignment horizontal="center"/>
    </xf>
    <xf numFmtId="0" fontId="71" fillId="0" borderId="1" xfId="0" applyFont="1" applyFill="1" applyBorder="1"/>
    <xf numFmtId="1" fontId="71" fillId="0" borderId="1" xfId="0" applyNumberFormat="1" applyFont="1" applyFill="1" applyBorder="1" applyAlignment="1">
      <alignment horizontal="center"/>
    </xf>
    <xf numFmtId="0" fontId="71" fillId="0" borderId="0" xfId="0" applyFont="1"/>
    <xf numFmtId="1" fontId="71" fillId="0" borderId="0" xfId="0" applyNumberFormat="1" applyFont="1" applyAlignment="1">
      <alignment horizontal="center"/>
    </xf>
    <xf numFmtId="1" fontId="71" fillId="0" borderId="0" xfId="0" applyNumberFormat="1" applyFont="1"/>
    <xf numFmtId="1" fontId="66" fillId="15" borderId="1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71" fillId="0" borderId="1" xfId="0" applyFont="1" applyBorder="1"/>
    <xf numFmtId="9" fontId="66" fillId="8" borderId="1" xfId="6" applyNumberFormat="1" applyFont="1" applyFill="1" applyBorder="1" applyAlignment="1">
      <alignment horizontal="center"/>
    </xf>
    <xf numFmtId="165" fontId="66" fillId="0" borderId="1" xfId="6" applyNumberFormat="1" applyFont="1" applyFill="1" applyBorder="1" applyAlignment="1"/>
    <xf numFmtId="1" fontId="66" fillId="8" borderId="1" xfId="5" applyNumberFormat="1" applyFont="1" applyFill="1" applyBorder="1" applyAlignment="1">
      <alignment horizontal="right"/>
    </xf>
    <xf numFmtId="0" fontId="76" fillId="0" borderId="0" xfId="0" applyFont="1"/>
    <xf numFmtId="1" fontId="76" fillId="0" borderId="0" xfId="0" applyNumberFormat="1" applyFont="1" applyAlignment="1">
      <alignment horizontal="center"/>
    </xf>
    <xf numFmtId="1" fontId="76" fillId="0" borderId="0" xfId="0" applyNumberFormat="1" applyFont="1"/>
    <xf numFmtId="2" fontId="35" fillId="8" borderId="11" xfId="3" applyNumberFormat="1" applyFont="1" applyFill="1" applyBorder="1" applyAlignment="1">
      <alignment horizontal="center"/>
    </xf>
    <xf numFmtId="164" fontId="66" fillId="8" borderId="15" xfId="3" applyNumberFormat="1" applyFont="1" applyFill="1" applyBorder="1" applyAlignment="1">
      <alignment horizontal="center" wrapText="1" shrinkToFit="1"/>
    </xf>
    <xf numFmtId="0" fontId="66" fillId="15" borderId="15" xfId="3" applyFont="1" applyFill="1" applyBorder="1" applyAlignment="1">
      <alignment horizontal="center"/>
    </xf>
    <xf numFmtId="1" fontId="66" fillId="8" borderId="15" xfId="5" applyNumberFormat="1" applyFont="1" applyFill="1" applyBorder="1" applyAlignment="1" applyProtection="1">
      <alignment horizontal="center"/>
    </xf>
    <xf numFmtId="1" fontId="66" fillId="2" borderId="15" xfId="5" applyNumberFormat="1" applyFont="1" applyFill="1" applyBorder="1" applyAlignment="1" applyProtection="1">
      <alignment horizontal="center"/>
    </xf>
    <xf numFmtId="1" fontId="66" fillId="15" borderId="15" xfId="3" applyNumberFormat="1" applyFont="1" applyFill="1" applyBorder="1" applyAlignment="1">
      <alignment horizontal="center" vertical="center"/>
    </xf>
    <xf numFmtId="0" fontId="66" fillId="15" borderId="15" xfId="3" applyFont="1" applyFill="1" applyBorder="1" applyAlignment="1"/>
    <xf numFmtId="0" fontId="66" fillId="2" borderId="15" xfId="4" applyFont="1" applyFill="1" applyBorder="1" applyAlignment="1"/>
    <xf numFmtId="1" fontId="66" fillId="10" borderId="30" xfId="5" applyNumberFormat="1" applyFont="1" applyFill="1" applyBorder="1" applyAlignment="1" applyProtection="1">
      <alignment horizontal="center" vertical="center"/>
    </xf>
    <xf numFmtId="1" fontId="71" fillId="0" borderId="15" xfId="0" applyNumberFormat="1" applyFont="1" applyBorder="1" applyAlignment="1">
      <alignment horizontal="center"/>
    </xf>
    <xf numFmtId="1" fontId="71" fillId="0" borderId="15" xfId="0" applyNumberFormat="1" applyFont="1" applyFill="1" applyBorder="1" applyAlignment="1">
      <alignment horizontal="center"/>
    </xf>
    <xf numFmtId="0" fontId="71" fillId="0" borderId="0" xfId="0" applyFont="1" applyBorder="1"/>
    <xf numFmtId="1" fontId="71" fillId="0" borderId="0" xfId="0" applyNumberFormat="1" applyFont="1" applyBorder="1" applyAlignment="1">
      <alignment horizontal="center"/>
    </xf>
    <xf numFmtId="1" fontId="71" fillId="0" borderId="34" xfId="0" applyNumberFormat="1" applyFont="1" applyBorder="1"/>
    <xf numFmtId="0" fontId="71" fillId="15" borderId="15" xfId="3" applyFont="1" applyFill="1" applyBorder="1" applyAlignment="1">
      <alignment horizontal="center"/>
    </xf>
    <xf numFmtId="1" fontId="66" fillId="15" borderId="15" xfId="5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center"/>
    </xf>
    <xf numFmtId="9" fontId="66" fillId="8" borderId="7" xfId="6" applyNumberFormat="1" applyFont="1" applyFill="1" applyBorder="1" applyAlignment="1">
      <alignment horizontal="center"/>
    </xf>
    <xf numFmtId="1" fontId="66" fillId="8" borderId="7" xfId="3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right"/>
    </xf>
    <xf numFmtId="1" fontId="66" fillId="8" borderId="23" xfId="5" applyNumberFormat="1" applyFont="1" applyFill="1" applyBorder="1" applyAlignment="1" applyProtection="1">
      <alignment horizontal="center"/>
    </xf>
    <xf numFmtId="9" fontId="60" fillId="9" borderId="21" xfId="3" applyNumberFormat="1" applyFont="1" applyFill="1" applyBorder="1" applyAlignment="1">
      <alignment horizontal="left"/>
    </xf>
    <xf numFmtId="0" fontId="61" fillId="0" borderId="1" xfId="4" applyFont="1" applyBorder="1" applyAlignment="1">
      <alignment horizontal="left"/>
    </xf>
    <xf numFmtId="0" fontId="63" fillId="16" borderId="1" xfId="0" applyFont="1" applyFill="1" applyBorder="1"/>
    <xf numFmtId="0" fontId="65" fillId="0" borderId="0" xfId="0" applyFont="1" applyBorder="1"/>
    <xf numFmtId="0" fontId="68" fillId="0" borderId="1" xfId="0" applyFont="1" applyFill="1" applyBorder="1" applyAlignment="1">
      <alignment horizontal="left"/>
    </xf>
    <xf numFmtId="166" fontId="60" fillId="9" borderId="21" xfId="3" applyNumberFormat="1" applyFont="1" applyFill="1" applyBorder="1" applyAlignment="1">
      <alignment horizontal="left"/>
    </xf>
    <xf numFmtId="0" fontId="60" fillId="9" borderId="21" xfId="3" applyFont="1" applyFill="1" applyBorder="1"/>
    <xf numFmtId="0" fontId="60" fillId="8" borderId="21" xfId="3" applyFont="1" applyFill="1" applyBorder="1" applyAlignment="1">
      <alignment horizontal="center" vertical="center"/>
    </xf>
    <xf numFmtId="0" fontId="60" fillId="8" borderId="2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center"/>
    </xf>
    <xf numFmtId="0" fontId="60" fillId="8" borderId="27" xfId="3" applyFont="1" applyFill="1" applyBorder="1" applyAlignment="1">
      <alignment horizontal="left" vertical="center"/>
    </xf>
    <xf numFmtId="0" fontId="60" fillId="8" borderId="5" xfId="3" applyFont="1" applyFill="1" applyBorder="1" applyAlignment="1">
      <alignment horizontal="left" vertical="center"/>
    </xf>
    <xf numFmtId="0" fontId="60" fillId="8" borderId="13" xfId="3" applyFont="1" applyFill="1" applyBorder="1" applyAlignment="1">
      <alignment horizontal="left" vertical="center"/>
    </xf>
    <xf numFmtId="167" fontId="60" fillId="8" borderId="21" xfId="3" applyNumberFormat="1" applyFont="1" applyFill="1" applyBorder="1" applyAlignment="1">
      <alignment vertical="center"/>
    </xf>
    <xf numFmtId="167" fontId="59" fillId="8" borderId="1" xfId="3" applyNumberFormat="1" applyFont="1" applyFill="1" applyBorder="1" applyAlignment="1">
      <alignment vertical="center"/>
    </xf>
    <xf numFmtId="0" fontId="60" fillId="16" borderId="21" xfId="3" applyFont="1" applyFill="1" applyBorder="1" applyAlignment="1">
      <alignment horizontal="center"/>
    </xf>
    <xf numFmtId="0" fontId="59" fillId="16" borderId="1" xfId="3" applyFont="1" applyFill="1" applyBorder="1" applyAlignment="1">
      <alignment horizontal="center"/>
    </xf>
    <xf numFmtId="0" fontId="60" fillId="2" borderId="21" xfId="3" applyFont="1" applyFill="1" applyBorder="1" applyAlignment="1">
      <alignment horizontal="left" vertical="center"/>
    </xf>
    <xf numFmtId="0" fontId="59" fillId="2" borderId="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/>
    </xf>
    <xf numFmtId="0" fontId="60" fillId="16" borderId="21" xfId="3" applyFont="1" applyFill="1" applyBorder="1" applyAlignment="1">
      <alignment horizontal="center" vertical="center"/>
    </xf>
    <xf numFmtId="0" fontId="59" fillId="16" borderId="1" xfId="3" applyFont="1" applyFill="1" applyBorder="1" applyAlignment="1">
      <alignment horizontal="center" vertical="center"/>
    </xf>
    <xf numFmtId="0" fontId="70" fillId="2" borderId="16" xfId="3" applyFont="1" applyFill="1" applyBorder="1" applyAlignment="1">
      <alignment horizontal="center"/>
    </xf>
    <xf numFmtId="0" fontId="70" fillId="2" borderId="3" xfId="3" applyFont="1" applyFill="1" applyBorder="1" applyAlignment="1">
      <alignment horizontal="center"/>
    </xf>
    <xf numFmtId="0" fontId="70" fillId="2" borderId="4" xfId="3" applyFont="1" applyFill="1" applyBorder="1" applyAlignment="1">
      <alignment horizontal="center"/>
    </xf>
    <xf numFmtId="0" fontId="70" fillId="16" borderId="16" xfId="3" applyFont="1" applyFill="1" applyBorder="1" applyAlignment="1">
      <alignment horizontal="center"/>
    </xf>
    <xf numFmtId="0" fontId="70" fillId="16" borderId="3" xfId="3" applyFont="1" applyFill="1" applyBorder="1" applyAlignment="1">
      <alignment horizontal="center"/>
    </xf>
    <xf numFmtId="0" fontId="70" fillId="16" borderId="4" xfId="3" applyFont="1" applyFill="1" applyBorder="1" applyAlignment="1">
      <alignment horizontal="center"/>
    </xf>
    <xf numFmtId="0" fontId="60" fillId="15" borderId="21" xfId="3" applyFont="1" applyFill="1" applyBorder="1" applyAlignment="1">
      <alignment horizontal="left"/>
    </xf>
    <xf numFmtId="2" fontId="60" fillId="8" borderId="21" xfId="3" applyNumberFormat="1" applyFont="1" applyFill="1" applyBorder="1" applyAlignment="1">
      <alignment horizontal="left" vertical="center"/>
    </xf>
    <xf numFmtId="2" fontId="59" fillId="8" borderId="1" xfId="3" applyNumberFormat="1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justify"/>
    </xf>
    <xf numFmtId="0" fontId="60" fillId="15" borderId="21" xfId="3" applyFont="1" applyFill="1" applyBorder="1" applyAlignment="1"/>
    <xf numFmtId="0" fontId="60" fillId="0" borderId="21" xfId="4" applyFont="1" applyBorder="1" applyAlignment="1">
      <alignment vertical="center"/>
    </xf>
    <xf numFmtId="0" fontId="59" fillId="0" borderId="1" xfId="4" applyFont="1" applyBorder="1" applyAlignment="1">
      <alignment vertical="center"/>
    </xf>
    <xf numFmtId="0" fontId="62" fillId="16" borderId="21" xfId="4" applyFont="1" applyFill="1" applyBorder="1"/>
    <xf numFmtId="0" fontId="60" fillId="15" borderId="21" xfId="3" applyFont="1" applyFill="1" applyBorder="1" applyAlignment="1">
      <alignment horizontal="center"/>
    </xf>
    <xf numFmtId="0" fontId="60" fillId="10" borderId="32" xfId="3" applyFont="1" applyFill="1" applyBorder="1" applyAlignment="1">
      <alignment horizontal="center" vertical="center"/>
    </xf>
    <xf numFmtId="0" fontId="60" fillId="10" borderId="0" xfId="3" applyFont="1" applyFill="1" applyBorder="1" applyAlignment="1">
      <alignment horizontal="center" vertical="center"/>
    </xf>
    <xf numFmtId="0" fontId="60" fillId="0" borderId="21" xfId="4" applyFont="1" applyBorder="1"/>
    <xf numFmtId="0" fontId="60" fillId="15" borderId="21" xfId="3" applyFont="1" applyFill="1" applyBorder="1" applyAlignment="1">
      <alignment horizontal="center" vertical="center"/>
    </xf>
    <xf numFmtId="9" fontId="66" fillId="9" borderId="1" xfId="4" applyNumberFormat="1" applyFont="1" applyFill="1" applyBorder="1"/>
    <xf numFmtId="0" fontId="66" fillId="9" borderId="1" xfId="3" applyFont="1" applyFill="1" applyBorder="1" applyAlignment="1"/>
    <xf numFmtId="1" fontId="60" fillId="9" borderId="15" xfId="3" applyNumberFormat="1" applyFont="1" applyFill="1" applyBorder="1" applyAlignment="1">
      <alignment horizontal="center" vertical="center"/>
    </xf>
    <xf numFmtId="0" fontId="60" fillId="9" borderId="1" xfId="3" applyFont="1" applyFill="1" applyBorder="1" applyAlignment="1">
      <alignment horizontal="left"/>
    </xf>
    <xf numFmtId="1" fontId="60" fillId="9" borderId="15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left"/>
    </xf>
    <xf numFmtId="0" fontId="66" fillId="8" borderId="8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 vertical="center"/>
    </xf>
    <xf numFmtId="0" fontId="66" fillId="10" borderId="31" xfId="3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/>
    </xf>
    <xf numFmtId="0" fontId="76" fillId="0" borderId="4" xfId="0" applyFont="1" applyFill="1" applyBorder="1"/>
    <xf numFmtId="0" fontId="71" fillId="0" borderId="4" xfId="0" applyFont="1" applyFill="1" applyBorder="1" applyAlignment="1">
      <alignment horizontal="center"/>
    </xf>
    <xf numFmtId="0" fontId="66" fillId="8" borderId="7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/>
    </xf>
    <xf numFmtId="0" fontId="66" fillId="0" borderId="1" xfId="3" applyFont="1" applyFill="1" applyBorder="1" applyAlignment="1">
      <alignment horizontal="center"/>
    </xf>
    <xf numFmtId="1" fontId="80" fillId="12" borderId="0" xfId="0" applyNumberFormat="1" applyFont="1" applyFill="1"/>
    <xf numFmtId="1" fontId="80" fillId="0" borderId="0" xfId="0" applyNumberFormat="1" applyFont="1"/>
    <xf numFmtId="0" fontId="65" fillId="9" borderId="1" xfId="3" applyFont="1" applyFill="1" applyBorder="1" applyAlignment="1">
      <alignment horizontal="center" vertical="center"/>
    </xf>
    <xf numFmtId="2" fontId="65" fillId="9" borderId="1" xfId="3" applyNumberFormat="1" applyFont="1" applyFill="1" applyBorder="1" applyAlignment="1">
      <alignment horizontal="center"/>
    </xf>
    <xf numFmtId="2" fontId="71" fillId="2" borderId="1" xfId="3" applyNumberFormat="1" applyFont="1" applyFill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/>
    </xf>
    <xf numFmtId="2" fontId="71" fillId="8" borderId="8" xfId="3" applyNumberFormat="1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1" fillId="2" borderId="1" xfId="4" applyFont="1" applyFill="1" applyBorder="1" applyAlignment="1">
      <alignment horizontal="center"/>
    </xf>
    <xf numFmtId="0" fontId="71" fillId="8" borderId="1" xfId="3" applyFont="1" applyFill="1" applyBorder="1" applyAlignment="1">
      <alignment horizontal="center"/>
    </xf>
    <xf numFmtId="0" fontId="71" fillId="2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 vertical="center"/>
    </xf>
    <xf numFmtId="0" fontId="71" fillId="8" borderId="1" xfId="3" applyFont="1" applyFill="1" applyBorder="1" applyAlignment="1">
      <alignment horizontal="center" vertical="center"/>
    </xf>
    <xf numFmtId="0" fontId="71" fillId="0" borderId="1" xfId="4" applyFont="1" applyFill="1" applyBorder="1" applyAlignment="1">
      <alignment horizontal="center" vertical="center"/>
    </xf>
    <xf numFmtId="0" fontId="71" fillId="15" borderId="1" xfId="3" applyFont="1" applyFill="1" applyBorder="1" applyAlignment="1">
      <alignment vertical="center"/>
    </xf>
    <xf numFmtId="1" fontId="71" fillId="2" borderId="1" xfId="3" applyNumberFormat="1" applyFont="1" applyFill="1" applyBorder="1" applyAlignment="1">
      <alignment horizontal="center" vertical="center"/>
    </xf>
    <xf numFmtId="0" fontId="71" fillId="2" borderId="1" xfId="4" applyFont="1" applyFill="1" applyBorder="1" applyAlignment="1"/>
    <xf numFmtId="0" fontId="71" fillId="2" borderId="1" xfId="4" applyFont="1" applyFill="1" applyBorder="1" applyAlignment="1">
      <alignment horizontal="center" wrapText="1"/>
    </xf>
    <xf numFmtId="0" fontId="71" fillId="0" borderId="1" xfId="4" applyFont="1" applyFill="1" applyBorder="1" applyAlignment="1">
      <alignment horizontal="center" wrapText="1"/>
    </xf>
    <xf numFmtId="0" fontId="71" fillId="0" borderId="1" xfId="4" applyFont="1" applyBorder="1" applyAlignment="1">
      <alignment horizontal="center" wrapText="1"/>
    </xf>
    <xf numFmtId="0" fontId="71" fillId="0" borderId="1" xfId="3" applyFont="1" applyFill="1" applyBorder="1" applyAlignment="1">
      <alignment horizontal="center"/>
    </xf>
    <xf numFmtId="0" fontId="71" fillId="10" borderId="24" xfId="4" applyFont="1" applyFill="1" applyBorder="1" applyAlignment="1">
      <alignment horizontal="center" vertical="center"/>
    </xf>
    <xf numFmtId="0" fontId="71" fillId="12" borderId="1" xfId="4" applyFont="1" applyFill="1" applyBorder="1" applyAlignment="1">
      <alignment horizontal="center"/>
    </xf>
    <xf numFmtId="2" fontId="71" fillId="8" borderId="7" xfId="3" applyNumberFormat="1" applyFont="1" applyFill="1" applyBorder="1" applyAlignment="1">
      <alignment horizontal="center"/>
    </xf>
    <xf numFmtId="0" fontId="66" fillId="0" borderId="1" xfId="4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 vertical="center"/>
    </xf>
    <xf numFmtId="0" fontId="66" fillId="0" borderId="1" xfId="4" applyFont="1" applyFill="1" applyBorder="1" applyAlignment="1">
      <alignment horizontal="center" vertical="center"/>
    </xf>
    <xf numFmtId="0" fontId="66" fillId="2" borderId="1" xfId="4" applyFont="1" applyFill="1" applyBorder="1" applyAlignment="1">
      <alignment horizontal="center" wrapText="1"/>
    </xf>
    <xf numFmtId="0" fontId="66" fillId="0" borderId="1" xfId="4" applyFont="1" applyFill="1" applyBorder="1" applyAlignment="1">
      <alignment horizontal="center" wrapText="1"/>
    </xf>
    <xf numFmtId="0" fontId="66" fillId="0" borderId="1" xfId="4" applyFont="1" applyBorder="1" applyAlignment="1">
      <alignment horizontal="center" wrapText="1"/>
    </xf>
    <xf numFmtId="0" fontId="66" fillId="10" borderId="24" xfId="4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Fill="1" applyBorder="1" applyAlignment="1">
      <alignment horizontal="center"/>
    </xf>
    <xf numFmtId="1" fontId="66" fillId="0" borderId="1" xfId="0" applyNumberFormat="1" applyFont="1" applyFill="1" applyBorder="1" applyAlignment="1">
      <alignment horizontal="center"/>
    </xf>
    <xf numFmtId="0" fontId="66" fillId="0" borderId="0" xfId="0" applyFont="1" applyBorder="1"/>
    <xf numFmtId="0" fontId="81" fillId="0" borderId="0" xfId="0" applyFont="1"/>
    <xf numFmtId="0" fontId="66" fillId="0" borderId="0" xfId="0" applyFont="1"/>
    <xf numFmtId="1" fontId="82" fillId="20" borderId="1" xfId="5" applyNumberFormat="1" applyFont="1" applyFill="1" applyBorder="1" applyAlignment="1">
      <alignment horizontal="center" vertical="center"/>
    </xf>
    <xf numFmtId="0" fontId="78" fillId="21" borderId="21" xfId="3" applyFont="1" applyFill="1" applyBorder="1" applyAlignment="1">
      <alignment horizontal="left"/>
    </xf>
    <xf numFmtId="0" fontId="77" fillId="21" borderId="1" xfId="3" applyFont="1" applyFill="1" applyBorder="1" applyAlignment="1">
      <alignment horizontal="left"/>
    </xf>
    <xf numFmtId="0" fontId="82" fillId="21" borderId="1" xfId="3" applyFont="1" applyFill="1" applyBorder="1" applyAlignment="1">
      <alignment horizontal="center"/>
    </xf>
    <xf numFmtId="0" fontId="82" fillId="21" borderId="1" xfId="4" applyFont="1" applyFill="1" applyBorder="1" applyAlignment="1">
      <alignment horizontal="center"/>
    </xf>
    <xf numFmtId="1" fontId="82" fillId="21" borderId="1" xfId="5" applyNumberFormat="1" applyFont="1" applyFill="1" applyBorder="1" applyAlignment="1">
      <alignment horizontal="center" vertical="center"/>
    </xf>
    <xf numFmtId="1" fontId="82" fillId="21" borderId="1" xfId="3" applyNumberFormat="1" applyFont="1" applyFill="1" applyBorder="1" applyAlignment="1">
      <alignment horizontal="center"/>
    </xf>
    <xf numFmtId="0" fontId="82" fillId="21" borderId="1" xfId="3" applyNumberFormat="1" applyFont="1" applyFill="1" applyBorder="1" applyAlignment="1">
      <alignment horizontal="center"/>
    </xf>
    <xf numFmtId="1" fontId="82" fillId="21" borderId="15" xfId="5" applyNumberFormat="1" applyFont="1" applyFill="1" applyBorder="1" applyAlignment="1" applyProtection="1">
      <alignment horizontal="center"/>
    </xf>
    <xf numFmtId="0" fontId="78" fillId="21" borderId="21" xfId="3" applyFont="1" applyFill="1" applyBorder="1" applyAlignment="1">
      <alignment horizontal="left" vertical="center"/>
    </xf>
    <xf numFmtId="0" fontId="77" fillId="21" borderId="1" xfId="3" applyFont="1" applyFill="1" applyBorder="1" applyAlignment="1">
      <alignment horizontal="left" vertical="center"/>
    </xf>
    <xf numFmtId="2" fontId="82" fillId="21" borderId="1" xfId="3" applyNumberFormat="1" applyFont="1" applyFill="1" applyBorder="1" applyAlignment="1">
      <alignment horizontal="center"/>
    </xf>
    <xf numFmtId="0" fontId="65" fillId="8" borderId="21" xfId="3" applyFont="1" applyFill="1" applyBorder="1" applyAlignment="1">
      <alignment horizontal="left" vertical="center"/>
    </xf>
    <xf numFmtId="0" fontId="67" fillId="8" borderId="1" xfId="3" applyFont="1" applyFill="1" applyBorder="1" applyAlignment="1">
      <alignment horizontal="left" vertical="center"/>
    </xf>
    <xf numFmtId="1" fontId="71" fillId="20" borderId="1" xfId="5" applyNumberFormat="1" applyFont="1" applyFill="1" applyBorder="1" applyAlignment="1">
      <alignment horizontal="center" vertical="center"/>
    </xf>
    <xf numFmtId="1" fontId="71" fillId="8" borderId="1" xfId="3" applyNumberFormat="1" applyFont="1" applyFill="1" applyBorder="1" applyAlignment="1">
      <alignment horizontal="center"/>
    </xf>
    <xf numFmtId="0" fontId="71" fillId="2" borderId="1" xfId="3" applyNumberFormat="1" applyFont="1" applyFill="1" applyBorder="1" applyAlignment="1">
      <alignment horizontal="center"/>
    </xf>
    <xf numFmtId="1" fontId="71" fillId="8" borderId="15" xfId="5" applyNumberFormat="1" applyFont="1" applyFill="1" applyBorder="1" applyAlignment="1" applyProtection="1">
      <alignment horizontal="center"/>
    </xf>
    <xf numFmtId="0" fontId="65" fillId="8" borderId="27" xfId="3" applyFont="1" applyFill="1" applyBorder="1" applyAlignment="1">
      <alignment horizontal="left" vertical="center"/>
    </xf>
    <xf numFmtId="0" fontId="65" fillId="8" borderId="5" xfId="3" applyFont="1" applyFill="1" applyBorder="1" applyAlignment="1">
      <alignment horizontal="left" vertical="center"/>
    </xf>
    <xf numFmtId="0" fontId="65" fillId="8" borderId="13" xfId="3" applyFont="1" applyFill="1" applyBorder="1" applyAlignment="1">
      <alignment horizontal="left" vertical="center"/>
    </xf>
    <xf numFmtId="0" fontId="71" fillId="8" borderId="8" xfId="3" applyFont="1" applyFill="1" applyBorder="1" applyAlignment="1">
      <alignment horizontal="center"/>
    </xf>
    <xf numFmtId="1" fontId="71" fillId="2" borderId="8" xfId="3" applyNumberFormat="1" applyFont="1" applyFill="1" applyBorder="1" applyAlignment="1">
      <alignment horizontal="center"/>
    </xf>
    <xf numFmtId="167" fontId="65" fillId="8" borderId="21" xfId="3" applyNumberFormat="1" applyFont="1" applyFill="1" applyBorder="1" applyAlignment="1">
      <alignment vertical="center"/>
    </xf>
    <xf numFmtId="167" fontId="67" fillId="8" borderId="1" xfId="3" applyNumberFormat="1" applyFont="1" applyFill="1" applyBorder="1" applyAlignment="1">
      <alignment vertical="center"/>
    </xf>
    <xf numFmtId="1" fontId="71" fillId="2" borderId="1" xfId="5" applyNumberFormat="1" applyFont="1" applyFill="1" applyBorder="1" applyAlignment="1">
      <alignment horizontal="center" vertical="center"/>
    </xf>
    <xf numFmtId="1" fontId="71" fillId="12" borderId="1" xfId="3" applyNumberFormat="1" applyFont="1" applyFill="1" applyBorder="1" applyAlignment="1">
      <alignment horizontal="center"/>
    </xf>
    <xf numFmtId="2" fontId="71" fillId="8" borderId="1" xfId="3" applyNumberFormat="1" applyFont="1" applyFill="1" applyBorder="1" applyAlignment="1">
      <alignment horizontal="right"/>
    </xf>
    <xf numFmtId="0" fontId="65" fillId="16" borderId="21" xfId="3" applyFont="1" applyFill="1" applyBorder="1" applyAlignment="1">
      <alignment horizontal="center"/>
    </xf>
    <xf numFmtId="0" fontId="67" fillId="16" borderId="1" xfId="3" applyFont="1" applyFill="1" applyBorder="1" applyAlignment="1">
      <alignment horizontal="center"/>
    </xf>
    <xf numFmtId="1" fontId="71" fillId="8" borderId="1" xfId="5" applyNumberFormat="1" applyFont="1" applyFill="1" applyBorder="1" applyAlignment="1">
      <alignment horizontal="center" vertical="center"/>
    </xf>
    <xf numFmtId="2" fontId="71" fillId="2" borderId="1" xfId="3" applyNumberFormat="1" applyFont="1" applyFill="1" applyBorder="1" applyAlignment="1">
      <alignment horizontal="center"/>
    </xf>
    <xf numFmtId="0" fontId="71" fillId="0" borderId="1" xfId="4" applyFont="1" applyBorder="1"/>
    <xf numFmtId="164" fontId="71" fillId="20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 applyProtection="1">
      <alignment horizontal="center"/>
    </xf>
    <xf numFmtId="1" fontId="66" fillId="8" borderId="1" xfId="9" applyNumberFormat="1" applyFont="1" applyFill="1" applyBorder="1" applyAlignment="1">
      <alignment horizontal="center"/>
    </xf>
    <xf numFmtId="0" fontId="66" fillId="21" borderId="1" xfId="4" applyFont="1" applyFill="1" applyBorder="1" applyAlignment="1">
      <alignment horizontal="center"/>
    </xf>
    <xf numFmtId="0" fontId="72" fillId="12" borderId="1" xfId="4" applyFont="1" applyFill="1" applyBorder="1" applyAlignment="1">
      <alignment horizontal="center"/>
    </xf>
    <xf numFmtId="1" fontId="71" fillId="2" borderId="8" xfId="5" applyNumberFormat="1" applyFont="1" applyFill="1" applyBorder="1" applyAlignment="1">
      <alignment horizontal="center" vertical="center"/>
    </xf>
    <xf numFmtId="171" fontId="48" fillId="0" borderId="0" xfId="0" applyNumberFormat="1" applyFont="1"/>
    <xf numFmtId="1" fontId="80" fillId="0" borderId="5" xfId="0" applyNumberFormat="1" applyFont="1" applyBorder="1"/>
    <xf numFmtId="1" fontId="66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 applyProtection="1">
      <alignment horizontal="center"/>
    </xf>
    <xf numFmtId="172" fontId="48" fillId="0" borderId="0" xfId="0" applyNumberFormat="1" applyFont="1"/>
    <xf numFmtId="0" fontId="66" fillId="12" borderId="1" xfId="3" applyFont="1" applyFill="1" applyBorder="1" applyAlignment="1">
      <alignment horizontal="center"/>
    </xf>
    <xf numFmtId="0" fontId="38" fillId="0" borderId="0" xfId="0" applyFont="1" applyFill="1"/>
    <xf numFmtId="172" fontId="48" fillId="0" borderId="0" xfId="0" applyNumberFormat="1" applyFont="1" applyFill="1"/>
    <xf numFmtId="171" fontId="48" fillId="0" borderId="0" xfId="0" applyNumberFormat="1" applyFont="1" applyFill="1"/>
    <xf numFmtId="1" fontId="48" fillId="0" borderId="0" xfId="0" applyNumberFormat="1" applyFont="1" applyFill="1"/>
    <xf numFmtId="1" fontId="80" fillId="0" borderId="0" xfId="0" applyNumberFormat="1" applyFont="1" applyFill="1"/>
    <xf numFmtId="1" fontId="80" fillId="0" borderId="5" xfId="0" applyNumberFormat="1" applyFont="1" applyFill="1" applyBorder="1"/>
    <xf numFmtId="0" fontId="83" fillId="0" borderId="0" xfId="0" applyFont="1" applyFill="1" applyAlignment="1">
      <alignment horizontal="center"/>
    </xf>
    <xf numFmtId="0" fontId="84" fillId="0" borderId="0" xfId="0" applyFont="1" applyFill="1" applyAlignment="1">
      <alignment horizontal="center"/>
    </xf>
    <xf numFmtId="1" fontId="83" fillId="0" borderId="0" xfId="0" applyNumberFormat="1" applyFont="1" applyFill="1" applyAlignment="1">
      <alignment horizontal="center"/>
    </xf>
    <xf numFmtId="1" fontId="85" fillId="0" borderId="0" xfId="0" applyNumberFormat="1" applyFont="1" applyFill="1" applyAlignment="1">
      <alignment horizontal="center"/>
    </xf>
    <xf numFmtId="1" fontId="85" fillId="0" borderId="5" xfId="0" applyNumberFormat="1" applyFont="1" applyFill="1" applyBorder="1" applyAlignment="1">
      <alignment horizontal="center"/>
    </xf>
    <xf numFmtId="1" fontId="48" fillId="12" borderId="0" xfId="0" applyNumberFormat="1" applyFont="1" applyFill="1"/>
    <xf numFmtId="1" fontId="83" fillId="12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48" fillId="0" borderId="0" xfId="0" applyNumberFormat="1" applyFont="1" applyAlignment="1">
      <alignment horizontal="center"/>
    </xf>
    <xf numFmtId="173" fontId="48" fillId="12" borderId="0" xfId="0" applyNumberFormat="1" applyFont="1" applyFill="1" applyAlignment="1">
      <alignment horizontal="center"/>
    </xf>
    <xf numFmtId="173" fontId="48" fillId="0" borderId="0" xfId="0" applyNumberFormat="1" applyFont="1" applyFill="1" applyAlignment="1">
      <alignment horizontal="center"/>
    </xf>
    <xf numFmtId="172" fontId="48" fillId="12" borderId="0" xfId="0" applyNumberFormat="1" applyFont="1" applyFill="1"/>
    <xf numFmtId="172" fontId="83" fillId="12" borderId="0" xfId="0" applyNumberFormat="1" applyFont="1" applyFill="1" applyAlignment="1">
      <alignment horizontal="center"/>
    </xf>
    <xf numFmtId="0" fontId="62" fillId="0" borderId="21" xfId="4" applyFont="1" applyFill="1" applyBorder="1"/>
    <xf numFmtId="0" fontId="63" fillId="0" borderId="1" xfId="0" applyFont="1" applyFill="1" applyBorder="1"/>
    <xf numFmtId="0" fontId="66" fillId="0" borderId="1" xfId="4" applyFont="1" applyFill="1" applyBorder="1"/>
    <xf numFmtId="164" fontId="49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50" fillId="0" borderId="0" xfId="0" applyFont="1" applyFill="1"/>
    <xf numFmtId="1" fontId="60" fillId="9" borderId="1" xfId="3" applyNumberFormat="1" applyFont="1" applyFill="1" applyBorder="1" applyAlignment="1">
      <alignment horizontal="center" vertical="center"/>
    </xf>
    <xf numFmtId="1" fontId="66" fillId="8" borderId="8" xfId="3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/>
    </xf>
    <xf numFmtId="1" fontId="66" fillId="15" borderId="1" xfId="3" applyNumberFormat="1" applyFont="1" applyFill="1" applyBorder="1" applyAlignment="1">
      <alignment horizontal="center"/>
    </xf>
    <xf numFmtId="1" fontId="66" fillId="21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 vertical="center"/>
    </xf>
    <xf numFmtId="1" fontId="66" fillId="0" borderId="1" xfId="4" applyNumberFormat="1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vertical="center"/>
    </xf>
    <xf numFmtId="1" fontId="66" fillId="0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/>
    <xf numFmtId="1" fontId="66" fillId="2" borderId="1" xfId="4" applyNumberFormat="1" applyFont="1" applyFill="1" applyBorder="1" applyAlignment="1">
      <alignment horizontal="center" wrapText="1"/>
    </xf>
    <xf numFmtId="1" fontId="66" fillId="0" borderId="1" xfId="4" applyNumberFormat="1" applyFont="1" applyFill="1" applyBorder="1" applyAlignment="1">
      <alignment horizontal="center" wrapText="1"/>
    </xf>
    <xf numFmtId="1" fontId="66" fillId="0" borderId="1" xfId="4" applyNumberFormat="1" applyFont="1" applyBorder="1" applyAlignment="1">
      <alignment horizontal="center" wrapText="1"/>
    </xf>
    <xf numFmtId="1" fontId="71" fillId="0" borderId="1" xfId="3" applyNumberFormat="1" applyFont="1" applyFill="1" applyBorder="1" applyAlignment="1">
      <alignment horizontal="center"/>
    </xf>
    <xf numFmtId="1" fontId="66" fillId="10" borderId="24" xfId="4" applyNumberFormat="1" applyFont="1" applyFill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/>
    </xf>
    <xf numFmtId="1" fontId="66" fillId="0" borderId="0" xfId="0" applyNumberFormat="1" applyFont="1" applyBorder="1"/>
    <xf numFmtId="1" fontId="66" fillId="12" borderId="1" xfId="4" applyNumberFormat="1" applyFont="1" applyFill="1" applyBorder="1" applyAlignment="1">
      <alignment horizontal="center"/>
    </xf>
    <xf numFmtId="1" fontId="81" fillId="0" borderId="0" xfId="0" applyNumberFormat="1" applyFont="1"/>
    <xf numFmtId="1" fontId="66" fillId="0" borderId="0" xfId="0" applyNumberFormat="1" applyFont="1"/>
    <xf numFmtId="1" fontId="82" fillId="21" borderId="1" xfId="4" applyNumberFormat="1" applyFont="1" applyFill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1" fontId="72" fillId="2" borderId="1" xfId="4" applyNumberFormat="1" applyFont="1" applyFill="1" applyBorder="1" applyAlignment="1">
      <alignment horizontal="center" wrapText="1"/>
    </xf>
    <xf numFmtId="1" fontId="72" fillId="2" borderId="1" xfId="4" applyNumberFormat="1" applyFont="1" applyFill="1" applyBorder="1" applyAlignment="1">
      <alignment horizontal="center"/>
    </xf>
    <xf numFmtId="1" fontId="72" fillId="10" borderId="24" xfId="4" applyNumberFormat="1" applyFont="1" applyFill="1" applyBorder="1" applyAlignment="1">
      <alignment horizontal="center" vertical="center"/>
    </xf>
    <xf numFmtId="1" fontId="71" fillId="0" borderId="0" xfId="0" applyNumberFormat="1" applyFont="1" applyBorder="1"/>
    <xf numFmtId="1" fontId="72" fillId="0" borderId="1" xfId="4" applyNumberFormat="1" applyFont="1" applyFill="1" applyBorder="1" applyAlignment="1">
      <alignment horizontal="center"/>
    </xf>
    <xf numFmtId="1" fontId="72" fillId="12" borderId="1" xfId="4" applyNumberFormat="1" applyFont="1" applyFill="1" applyBorder="1" applyAlignment="1">
      <alignment horizontal="center"/>
    </xf>
    <xf numFmtId="0" fontId="87" fillId="0" borderId="0" xfId="0" applyFont="1" applyFill="1"/>
    <xf numFmtId="0" fontId="15" fillId="0" borderId="0" xfId="2" applyAlignment="1" applyProtection="1"/>
    <xf numFmtId="0" fontId="15" fillId="0" borderId="0" xfId="2" applyFill="1" applyAlignment="1" applyProtection="1"/>
    <xf numFmtId="0" fontId="86" fillId="0" borderId="0" xfId="16" applyAlignment="1" applyProtection="1"/>
    <xf numFmtId="1" fontId="15" fillId="0" borderId="0" xfId="2" applyNumberFormat="1" applyAlignment="1" applyProtection="1"/>
    <xf numFmtId="1" fontId="66" fillId="12" borderId="1" xfId="5" applyNumberFormat="1" applyFont="1" applyFill="1" applyBorder="1" applyAlignment="1">
      <alignment horizontal="center" vertical="center"/>
    </xf>
    <xf numFmtId="1" fontId="66" fillId="12" borderId="15" xfId="5" applyNumberFormat="1" applyFont="1" applyFill="1" applyBorder="1" applyAlignment="1" applyProtection="1">
      <alignment horizontal="center"/>
    </xf>
    <xf numFmtId="0" fontId="48" fillId="12" borderId="0" xfId="0" applyFont="1" applyFill="1"/>
    <xf numFmtId="1" fontId="50" fillId="0" borderId="0" xfId="0" applyNumberFormat="1" applyFont="1"/>
    <xf numFmtId="1" fontId="50" fillId="0" borderId="0" xfId="0" applyNumberFormat="1" applyFont="1" applyFill="1"/>
    <xf numFmtId="1" fontId="57" fillId="0" borderId="0" xfId="0" applyNumberFormat="1" applyFont="1" applyFill="1"/>
    <xf numFmtId="1" fontId="74" fillId="12" borderId="1" xfId="5" applyNumberFormat="1" applyFont="1" applyFill="1" applyBorder="1" applyAlignment="1">
      <alignment horizontal="center" vertical="center"/>
    </xf>
    <xf numFmtId="0" fontId="71" fillId="0" borderId="4" xfId="0" applyFont="1" applyFill="1" applyBorder="1"/>
    <xf numFmtId="1" fontId="89" fillId="0" borderId="1" xfId="0" applyNumberFormat="1" applyFont="1" applyFill="1" applyBorder="1" applyAlignment="1">
      <alignment horizontal="center" wrapText="1"/>
    </xf>
    <xf numFmtId="0" fontId="72" fillId="12" borderId="1" xfId="4" applyFont="1" applyFill="1" applyBorder="1" applyAlignment="1">
      <alignment horizontal="center" wrapText="1"/>
    </xf>
    <xf numFmtId="0" fontId="66" fillId="12" borderId="1" xfId="0" applyFont="1" applyFill="1" applyBorder="1" applyAlignment="1">
      <alignment horizontal="center"/>
    </xf>
    <xf numFmtId="0" fontId="65" fillId="0" borderId="1" xfId="0" applyFont="1" applyBorder="1"/>
    <xf numFmtId="0" fontId="67" fillId="0" borderId="1" xfId="0" applyFont="1" applyBorder="1"/>
    <xf numFmtId="0" fontId="60" fillId="0" borderId="1" xfId="4" applyFont="1" applyBorder="1" applyAlignment="1">
      <alignment vertical="center"/>
    </xf>
    <xf numFmtId="0" fontId="77" fillId="2" borderId="1" xfId="3" applyFont="1" applyFill="1" applyBorder="1" applyAlignment="1">
      <alignment horizontal="left"/>
    </xf>
    <xf numFmtId="0" fontId="82" fillId="2" borderId="1" xfId="3" applyFont="1" applyFill="1" applyBorder="1" applyAlignment="1">
      <alignment horizontal="center"/>
    </xf>
    <xf numFmtId="0" fontId="82" fillId="2" borderId="1" xfId="4" applyFont="1" applyFill="1" applyBorder="1" applyAlignment="1">
      <alignment horizontal="center"/>
    </xf>
    <xf numFmtId="0" fontId="78" fillId="2" borderId="2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left" vertical="center"/>
    </xf>
    <xf numFmtId="0" fontId="60" fillId="2" borderId="21" xfId="3" applyFont="1" applyFill="1" applyBorder="1" applyAlignment="1">
      <alignment horizontal="left"/>
    </xf>
    <xf numFmtId="0" fontId="59" fillId="2" borderId="1" xfId="3" applyFont="1" applyFill="1" applyBorder="1" applyAlignment="1">
      <alignment horizontal="left"/>
    </xf>
    <xf numFmtId="0" fontId="65" fillId="2" borderId="1" xfId="0" applyFont="1" applyFill="1" applyBorder="1"/>
    <xf numFmtId="0" fontId="67" fillId="2" borderId="1" xfId="0" applyFont="1" applyFill="1" applyBorder="1"/>
    <xf numFmtId="0" fontId="60" fillId="2" borderId="1" xfId="4" applyFont="1" applyFill="1" applyBorder="1" applyAlignment="1">
      <alignment vertical="center"/>
    </xf>
    <xf numFmtId="0" fontId="59" fillId="2" borderId="1" xfId="4" applyFont="1" applyFill="1" applyBorder="1" applyAlignment="1">
      <alignment vertical="center"/>
    </xf>
    <xf numFmtId="0" fontId="65" fillId="2" borderId="0" xfId="0" applyFont="1" applyFill="1"/>
    <xf numFmtId="0" fontId="67" fillId="2" borderId="0" xfId="0" applyFont="1" applyFill="1"/>
    <xf numFmtId="0" fontId="71" fillId="2" borderId="0" xfId="0" applyFont="1" applyFill="1"/>
    <xf numFmtId="0" fontId="66" fillId="2" borderId="0" xfId="0" applyFont="1" applyFill="1"/>
    <xf numFmtId="1" fontId="71" fillId="2" borderId="0" xfId="0" applyNumberFormat="1" applyFont="1" applyFill="1"/>
    <xf numFmtId="0" fontId="66" fillId="2" borderId="1" xfId="0" applyFont="1" applyFill="1" applyBorder="1" applyAlignment="1">
      <alignment horizontal="center"/>
    </xf>
    <xf numFmtId="1" fontId="48" fillId="0" borderId="0" xfId="0" applyNumberFormat="1" applyFont="1" applyBorder="1"/>
    <xf numFmtId="0" fontId="91" fillId="0" borderId="0" xfId="0" applyFont="1"/>
    <xf numFmtId="166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center"/>
    </xf>
    <xf numFmtId="9" fontId="92" fillId="9" borderId="1" xfId="4" applyNumberFormat="1" applyFont="1" applyFill="1" applyBorder="1"/>
    <xf numFmtId="0" fontId="92" fillId="9" borderId="1" xfId="3" applyFont="1" applyFill="1" applyBorder="1" applyAlignment="1">
      <alignment horizontal="center" vertical="center"/>
    </xf>
    <xf numFmtId="1" fontId="92" fillId="9" borderId="15" xfId="3" applyNumberFormat="1" applyFont="1" applyFill="1" applyBorder="1" applyAlignment="1">
      <alignment horizontal="center" vertical="center"/>
    </xf>
    <xf numFmtId="9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left"/>
    </xf>
    <xf numFmtId="0" fontId="92" fillId="9" borderId="1" xfId="3" applyFont="1" applyFill="1" applyBorder="1" applyAlignment="1"/>
    <xf numFmtId="10" fontId="92" fillId="9" borderId="1" xfId="3" applyNumberFormat="1" applyFont="1" applyFill="1" applyBorder="1" applyAlignment="1">
      <alignment horizontal="center"/>
    </xf>
    <xf numFmtId="1" fontId="92" fillId="9" borderId="1" xfId="3" applyNumberFormat="1" applyFont="1" applyFill="1" applyBorder="1" applyAlignment="1">
      <alignment horizontal="center"/>
    </xf>
    <xf numFmtId="1" fontId="92" fillId="9" borderId="15" xfId="3" applyNumberFormat="1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0" borderId="0" xfId="0" applyFont="1" applyBorder="1"/>
    <xf numFmtId="0" fontId="92" fillId="9" borderId="21" xfId="3" applyFont="1" applyFill="1" applyBorder="1"/>
    <xf numFmtId="9" fontId="92" fillId="9" borderId="1" xfId="3" applyNumberFormat="1" applyFont="1" applyFill="1" applyBorder="1" applyAlignment="1">
      <alignment horizontal="left"/>
    </xf>
    <xf numFmtId="2" fontId="92" fillId="9" borderId="1" xfId="3" applyNumberFormat="1" applyFont="1" applyFill="1" applyBorder="1" applyAlignment="1">
      <alignment horizontal="center"/>
    </xf>
    <xf numFmtId="9" fontId="92" fillId="9" borderId="1" xfId="3" applyNumberFormat="1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0" fontId="92" fillId="8" borderId="21" xfId="3" applyFont="1" applyFill="1" applyBorder="1" applyAlignment="1">
      <alignment horizontal="center" vertical="center"/>
    </xf>
    <xf numFmtId="0" fontId="92" fillId="8" borderId="1" xfId="3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 vertical="center"/>
    </xf>
    <xf numFmtId="164" fontId="92" fillId="8" borderId="1" xfId="3" applyNumberFormat="1" applyFont="1" applyFill="1" applyBorder="1" applyAlignment="1">
      <alignment horizontal="center" wrapText="1" shrinkToFit="1"/>
    </xf>
    <xf numFmtId="2" fontId="92" fillId="8" borderId="1" xfId="3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 vertical="center"/>
    </xf>
    <xf numFmtId="164" fontId="92" fillId="8" borderId="15" xfId="3" applyNumberFormat="1" applyFont="1" applyFill="1" applyBorder="1" applyAlignment="1">
      <alignment horizontal="center" wrapText="1" shrinkToFit="1"/>
    </xf>
    <xf numFmtId="164" fontId="94" fillId="2" borderId="0" xfId="3" applyNumberFormat="1" applyFont="1" applyFill="1" applyBorder="1" applyAlignment="1">
      <alignment horizontal="center" vertical="center" wrapText="1" shrinkToFit="1"/>
    </xf>
    <xf numFmtId="0" fontId="92" fillId="15" borderId="1" xfId="3" applyFont="1" applyFill="1" applyBorder="1" applyAlignment="1">
      <alignment horizontal="center" vertical="center"/>
    </xf>
    <xf numFmtId="0" fontId="92" fillId="15" borderId="1" xfId="3" applyFont="1" applyFill="1" applyBorder="1" applyAlignment="1">
      <alignment horizontal="center"/>
    </xf>
    <xf numFmtId="0" fontId="92" fillId="15" borderId="15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 vertical="center"/>
    </xf>
    <xf numFmtId="0" fontId="92" fillId="8" borderId="2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center"/>
    </xf>
    <xf numFmtId="2" fontId="92" fillId="8" borderId="1" xfId="3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/>
    </xf>
    <xf numFmtId="0" fontId="92" fillId="2" borderId="1" xfId="3" applyNumberFormat="1" applyFont="1" applyFill="1" applyBorder="1" applyAlignment="1">
      <alignment horizontal="center"/>
    </xf>
    <xf numFmtId="1" fontId="92" fillId="8" borderId="15" xfId="5" applyNumberFormat="1" applyFont="1" applyFill="1" applyBorder="1" applyAlignment="1" applyProtection="1">
      <alignment horizontal="center"/>
    </xf>
    <xf numFmtId="2" fontId="96" fillId="8" borderId="11" xfId="3" applyNumberFormat="1" applyFont="1" applyFill="1" applyBorder="1" applyAlignment="1">
      <alignment horizontal="center"/>
    </xf>
    <xf numFmtId="1" fontId="91" fillId="0" borderId="0" xfId="0" applyNumberFormat="1" applyFont="1"/>
    <xf numFmtId="0" fontId="92" fillId="8" borderId="27" xfId="3" applyFont="1" applyFill="1" applyBorder="1" applyAlignment="1">
      <alignment horizontal="left" vertical="center"/>
    </xf>
    <xf numFmtId="0" fontId="92" fillId="8" borderId="5" xfId="3" applyFont="1" applyFill="1" applyBorder="1" applyAlignment="1">
      <alignment horizontal="left" vertical="center"/>
    </xf>
    <xf numFmtId="0" fontId="92" fillId="8" borderId="13" xfId="3" applyFont="1" applyFill="1" applyBorder="1" applyAlignment="1">
      <alignment horizontal="left" vertical="center"/>
    </xf>
    <xf numFmtId="0" fontId="92" fillId="8" borderId="8" xfId="3" applyFont="1" applyFill="1" applyBorder="1" applyAlignment="1">
      <alignment horizontal="center"/>
    </xf>
    <xf numFmtId="2" fontId="92" fillId="8" borderId="8" xfId="3" applyNumberFormat="1" applyFont="1" applyFill="1" applyBorder="1" applyAlignment="1">
      <alignment horizontal="center"/>
    </xf>
    <xf numFmtId="1" fontId="92" fillId="2" borderId="7" xfId="5" applyNumberFormat="1" applyFont="1" applyFill="1" applyBorder="1" applyAlignment="1">
      <alignment horizontal="center" vertical="center"/>
    </xf>
    <xf numFmtId="1" fontId="92" fillId="2" borderId="8" xfId="3" applyNumberFormat="1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2" fontId="91" fillId="0" borderId="0" xfId="0" applyNumberFormat="1" applyFont="1"/>
    <xf numFmtId="167" fontId="92" fillId="8" borderId="21" xfId="3" applyNumberFormat="1" applyFont="1" applyFill="1" applyBorder="1" applyAlignment="1">
      <alignment vertical="center"/>
    </xf>
    <xf numFmtId="167" fontId="92" fillId="8" borderId="1" xfId="3" applyNumberFormat="1" applyFont="1" applyFill="1" applyBorder="1" applyAlignment="1">
      <alignment vertical="center"/>
    </xf>
    <xf numFmtId="0" fontId="92" fillId="0" borderId="1" xfId="4" applyFont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2" borderId="0" xfId="5" applyNumberFormat="1" applyFont="1" applyFill="1" applyBorder="1" applyAlignment="1" applyProtection="1">
      <alignment horizontal="center"/>
    </xf>
    <xf numFmtId="2" fontId="92" fillId="8" borderId="1" xfId="3" applyNumberFormat="1" applyFont="1" applyFill="1" applyBorder="1" applyAlignment="1">
      <alignment horizontal="right"/>
    </xf>
    <xf numFmtId="0" fontId="92" fillId="16" borderId="21" xfId="3" applyFont="1" applyFill="1" applyBorder="1" applyAlignment="1">
      <alignment horizontal="center"/>
    </xf>
    <xf numFmtId="0" fontId="92" fillId="16" borderId="1" xfId="3" applyFont="1" applyFill="1" applyBorder="1" applyAlignment="1">
      <alignment horizontal="center"/>
    </xf>
    <xf numFmtId="1" fontId="92" fillId="8" borderId="1" xfId="5" applyNumberFormat="1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/>
    </xf>
    <xf numFmtId="0" fontId="92" fillId="8" borderId="21" xfId="3" applyFont="1" applyFill="1" applyBorder="1" applyAlignment="1">
      <alignment horizontal="left"/>
    </xf>
    <xf numFmtId="0" fontId="92" fillId="8" borderId="1" xfId="3" applyFont="1" applyFill="1" applyBorder="1" applyAlignment="1">
      <alignment horizontal="left"/>
    </xf>
    <xf numFmtId="0" fontId="98" fillId="0" borderId="1" xfId="4" applyFont="1" applyBorder="1" applyAlignment="1">
      <alignment horizontal="center"/>
    </xf>
    <xf numFmtId="0" fontId="92" fillId="2" borderId="2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center"/>
    </xf>
    <xf numFmtId="0" fontId="92" fillId="2" borderId="1" xfId="4" applyFont="1" applyFill="1" applyBorder="1" applyAlignment="1">
      <alignment horizontal="center"/>
    </xf>
    <xf numFmtId="1" fontId="92" fillId="2" borderId="1" xfId="3" applyNumberFormat="1" applyFont="1" applyFill="1" applyBorder="1" applyAlignment="1">
      <alignment horizontal="center"/>
    </xf>
    <xf numFmtId="2" fontId="92" fillId="12" borderId="1" xfId="3" applyNumberFormat="1" applyFont="1" applyFill="1" applyBorder="1" applyAlignment="1">
      <alignment horizontal="center"/>
    </xf>
    <xf numFmtId="1" fontId="92" fillId="2" borderId="15" xfId="5" applyNumberFormat="1" applyFont="1" applyFill="1" applyBorder="1" applyAlignment="1" applyProtection="1">
      <alignment horizontal="center"/>
    </xf>
    <xf numFmtId="1" fontId="97" fillId="15" borderId="1" xfId="3" applyNumberFormat="1" applyFont="1" applyFill="1" applyBorder="1" applyAlignment="1">
      <alignment horizontal="center"/>
    </xf>
    <xf numFmtId="0" fontId="92" fillId="0" borderId="1" xfId="4" applyFont="1" applyBorder="1"/>
    <xf numFmtId="0" fontId="99" fillId="8" borderId="1" xfId="3" applyFont="1" applyFill="1" applyBorder="1" applyAlignment="1">
      <alignment horizontal="center"/>
    </xf>
    <xf numFmtId="164" fontId="99" fillId="8" borderId="1" xfId="5" applyNumberFormat="1" applyFont="1" applyFill="1" applyBorder="1" applyAlignment="1">
      <alignment horizontal="center" vertical="center"/>
    </xf>
    <xf numFmtId="1" fontId="92" fillId="12" borderId="1" xfId="5" applyNumberFormat="1" applyFont="1" applyFill="1" applyBorder="1" applyAlignment="1" applyProtection="1">
      <alignment horizontal="center"/>
    </xf>
    <xf numFmtId="0" fontId="92" fillId="16" borderId="21" xfId="3" applyFont="1" applyFill="1" applyBorder="1" applyAlignment="1">
      <alignment horizontal="center" vertical="center"/>
    </xf>
    <xf numFmtId="0" fontId="92" fillId="16" borderId="1" xfId="3" applyFont="1" applyFill="1" applyBorder="1" applyAlignment="1">
      <alignment horizontal="center" vertical="center"/>
    </xf>
    <xf numFmtId="0" fontId="99" fillId="2" borderId="1" xfId="4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 vertical="center"/>
    </xf>
    <xf numFmtId="1" fontId="92" fillId="15" borderId="1" xfId="3" applyNumberFormat="1" applyFont="1" applyFill="1" applyBorder="1" applyAlignment="1">
      <alignment horizontal="center" vertical="center"/>
    </xf>
    <xf numFmtId="0" fontId="100" fillId="15" borderId="1" xfId="3" applyFont="1" applyFill="1" applyBorder="1" applyAlignment="1">
      <alignment horizontal="center" vertical="center"/>
    </xf>
    <xf numFmtId="1" fontId="92" fillId="15" borderId="15" xfId="3" applyNumberFormat="1" applyFont="1" applyFill="1" applyBorder="1" applyAlignment="1">
      <alignment horizontal="center" vertical="center"/>
    </xf>
    <xf numFmtId="0" fontId="101" fillId="0" borderId="0" xfId="0" applyFont="1" applyBorder="1"/>
    <xf numFmtId="0" fontId="101" fillId="0" borderId="0" xfId="0" applyFont="1"/>
    <xf numFmtId="0" fontId="102" fillId="2" borderId="16" xfId="3" applyFont="1" applyFill="1" applyBorder="1" applyAlignment="1">
      <alignment horizontal="center"/>
    </xf>
    <xf numFmtId="0" fontId="102" fillId="2" borderId="3" xfId="3" applyFont="1" applyFill="1" applyBorder="1" applyAlignment="1">
      <alignment horizontal="center"/>
    </xf>
    <xf numFmtId="0" fontId="102" fillId="2" borderId="4" xfId="3" applyFont="1" applyFill="1" applyBorder="1" applyAlignment="1">
      <alignment horizontal="center"/>
    </xf>
    <xf numFmtId="44" fontId="102" fillId="8" borderId="1" xfId="8" applyFont="1" applyFill="1" applyBorder="1" applyAlignment="1">
      <alignment horizontal="center"/>
    </xf>
    <xf numFmtId="2" fontId="102" fillId="8" borderId="1" xfId="3" applyNumberFormat="1" applyFont="1" applyFill="1" applyBorder="1" applyAlignment="1">
      <alignment horizontal="center"/>
    </xf>
    <xf numFmtId="164" fontId="97" fillId="8" borderId="1" xfId="3" applyNumberFormat="1" applyFont="1" applyFill="1" applyBorder="1" applyAlignment="1">
      <alignment horizontal="center"/>
    </xf>
    <xf numFmtId="1" fontId="100" fillId="8" borderId="1" xfId="3" applyNumberFormat="1" applyFont="1" applyFill="1" applyBorder="1" applyAlignment="1">
      <alignment horizontal="center"/>
    </xf>
    <xf numFmtId="0" fontId="102" fillId="8" borderId="1" xfId="3" applyFont="1" applyFill="1" applyBorder="1" applyAlignment="1">
      <alignment horizontal="center"/>
    </xf>
    <xf numFmtId="1" fontId="102" fillId="8" borderId="1" xfId="5" applyNumberFormat="1" applyFont="1" applyFill="1" applyBorder="1" applyAlignment="1">
      <alignment horizontal="center" vertical="center"/>
    </xf>
    <xf numFmtId="2" fontId="92" fillId="8" borderId="1" xfId="9" applyNumberFormat="1" applyFont="1" applyFill="1" applyBorder="1" applyAlignment="1">
      <alignment horizontal="center"/>
    </xf>
    <xf numFmtId="168" fontId="97" fillId="8" borderId="1" xfId="5" applyNumberFormat="1" applyFont="1" applyFill="1" applyBorder="1" applyAlignment="1" applyProtection="1">
      <alignment horizontal="center" vertical="center"/>
    </xf>
    <xf numFmtId="164" fontId="100" fillId="8" borderId="1" xfId="5" applyNumberFormat="1" applyFont="1" applyFill="1" applyBorder="1" applyAlignment="1" applyProtection="1">
      <alignment horizontal="center"/>
    </xf>
    <xf numFmtId="2" fontId="100" fillId="8" borderId="1" xfId="3" applyNumberFormat="1" applyFont="1" applyFill="1" applyBorder="1" applyAlignment="1">
      <alignment horizontal="right"/>
    </xf>
    <xf numFmtId="0" fontId="102" fillId="16" borderId="16" xfId="3" applyFont="1" applyFill="1" applyBorder="1" applyAlignment="1">
      <alignment horizontal="center"/>
    </xf>
    <xf numFmtId="0" fontId="102" fillId="16" borderId="3" xfId="3" applyFont="1" applyFill="1" applyBorder="1" applyAlignment="1">
      <alignment horizontal="center"/>
    </xf>
    <xf numFmtId="0" fontId="102" fillId="16" borderId="4" xfId="3" applyFont="1" applyFill="1" applyBorder="1" applyAlignment="1">
      <alignment horizontal="center"/>
    </xf>
    <xf numFmtId="0" fontId="99" fillId="2" borderId="1" xfId="3" applyFont="1" applyFill="1" applyBorder="1" applyAlignment="1">
      <alignment horizontal="center"/>
    </xf>
    <xf numFmtId="169" fontId="99" fillId="8" borderId="1" xfId="5" applyNumberFormat="1" applyFont="1" applyFill="1" applyBorder="1" applyAlignment="1" applyProtection="1">
      <alignment horizontal="center" vertical="center"/>
    </xf>
    <xf numFmtId="1" fontId="99" fillId="2" borderId="1" xfId="3" applyNumberFormat="1" applyFont="1" applyFill="1" applyBorder="1" applyAlignment="1">
      <alignment horizontal="center" vertical="top"/>
    </xf>
    <xf numFmtId="0" fontId="92" fillId="15" borderId="21" xfId="3" applyFont="1" applyFill="1" applyBorder="1" applyAlignment="1">
      <alignment horizontal="left"/>
    </xf>
    <xf numFmtId="0" fontId="92" fillId="15" borderId="1" xfId="3" applyFont="1" applyFill="1" applyBorder="1" applyAlignment="1">
      <alignment horizontal="left"/>
    </xf>
    <xf numFmtId="0" fontId="92" fillId="0" borderId="1" xfId="4" applyFont="1" applyBorder="1" applyAlignment="1">
      <alignment horizontal="center" vertical="center"/>
    </xf>
    <xf numFmtId="2" fontId="92" fillId="8" borderId="21" xfId="3" applyNumberFormat="1" applyFont="1" applyFill="1" applyBorder="1" applyAlignment="1">
      <alignment horizontal="left" vertical="center"/>
    </xf>
    <xf numFmtId="2" fontId="92" fillId="8" borderId="1" xfId="3" applyNumberFormat="1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justify"/>
    </xf>
    <xf numFmtId="0" fontId="92" fillId="15" borderId="21" xfId="3" applyFont="1" applyFill="1" applyBorder="1" applyAlignment="1"/>
    <xf numFmtId="0" fontId="92" fillId="15" borderId="1" xfId="3" applyFont="1" applyFill="1" applyBorder="1" applyAlignment="1"/>
    <xf numFmtId="0" fontId="92" fillId="15" borderId="1" xfId="3" applyFont="1" applyFill="1" applyBorder="1" applyAlignment="1">
      <alignment vertical="center"/>
    </xf>
    <xf numFmtId="0" fontId="92" fillId="15" borderId="15" xfId="3" applyFont="1" applyFill="1" applyBorder="1" applyAlignment="1"/>
    <xf numFmtId="0" fontId="92" fillId="0" borderId="21" xfId="4" applyFont="1" applyBorder="1" applyAlignment="1">
      <alignment vertical="center"/>
    </xf>
    <xf numFmtId="0" fontId="92" fillId="0" borderId="1" xfId="4" applyFont="1" applyBorder="1" applyAlignment="1">
      <alignment vertical="center"/>
    </xf>
    <xf numFmtId="1" fontId="92" fillId="2" borderId="1" xfId="3" applyNumberFormat="1" applyFont="1" applyFill="1" applyBorder="1" applyAlignment="1">
      <alignment horizontal="center" vertical="center"/>
    </xf>
    <xf numFmtId="164" fontId="92" fillId="2" borderId="1" xfId="5" applyNumberFormat="1" applyFont="1" applyFill="1" applyBorder="1" applyAlignment="1" applyProtection="1">
      <alignment horizontal="center" vertical="center"/>
    </xf>
    <xf numFmtId="164" fontId="92" fillId="8" borderId="1" xfId="5" applyNumberFormat="1" applyFont="1" applyFill="1" applyBorder="1" applyAlignment="1" applyProtection="1">
      <alignment horizontal="center" vertical="top"/>
    </xf>
    <xf numFmtId="2" fontId="94" fillId="2" borderId="0" xfId="5" applyNumberFormat="1" applyFont="1" applyFill="1" applyBorder="1" applyAlignment="1" applyProtection="1">
      <alignment horizontal="center"/>
    </xf>
    <xf numFmtId="165" fontId="94" fillId="2" borderId="0" xfId="6" applyNumberFormat="1" applyFont="1" applyFill="1" applyBorder="1" applyAlignment="1">
      <alignment horizontal="center"/>
    </xf>
    <xf numFmtId="0" fontId="92" fillId="2" borderId="1" xfId="4" applyFont="1" applyFill="1" applyBorder="1" applyAlignment="1">
      <alignment horizontal="left"/>
    </xf>
    <xf numFmtId="0" fontId="92" fillId="2" borderId="1" xfId="4" applyFont="1" applyFill="1" applyBorder="1" applyAlignment="1"/>
    <xf numFmtId="0" fontId="92" fillId="2" borderId="15" xfId="4" applyFont="1" applyFill="1" applyBorder="1" applyAlignment="1"/>
    <xf numFmtId="0" fontId="98" fillId="2" borderId="1" xfId="4" applyFont="1" applyFill="1" applyBorder="1" applyAlignment="1">
      <alignment horizontal="center" wrapText="1"/>
    </xf>
    <xf numFmtId="0" fontId="98" fillId="0" borderId="1" xfId="4" applyFont="1" applyFill="1" applyBorder="1" applyAlignment="1">
      <alignment horizontal="center" wrapText="1"/>
    </xf>
    <xf numFmtId="0" fontId="98" fillId="0" borderId="1" xfId="4" applyFont="1" applyBorder="1" applyAlignment="1">
      <alignment horizontal="center" wrapText="1"/>
    </xf>
    <xf numFmtId="0" fontId="92" fillId="0" borderId="21" xfId="4" applyFont="1" applyBorder="1" applyAlignment="1">
      <alignment horizontal="left"/>
    </xf>
    <xf numFmtId="0" fontId="98" fillId="2" borderId="1" xfId="4" applyFont="1" applyFill="1" applyBorder="1" applyAlignment="1">
      <alignment horizontal="center"/>
    </xf>
    <xf numFmtId="0" fontId="92" fillId="2" borderId="1" xfId="3" applyFont="1" applyFill="1" applyBorder="1" applyAlignment="1">
      <alignment horizontal="center" vertical="center"/>
    </xf>
    <xf numFmtId="0" fontId="98" fillId="0" borderId="21" xfId="4" applyFont="1" applyBorder="1" applyAlignment="1">
      <alignment horizontal="left"/>
    </xf>
    <xf numFmtId="0" fontId="98" fillId="0" borderId="1" xfId="4" applyFont="1" applyBorder="1" applyAlignment="1">
      <alignment horizontal="left"/>
    </xf>
    <xf numFmtId="0" fontId="92" fillId="0" borderId="1" xfId="3" applyFont="1" applyFill="1" applyBorder="1" applyAlignment="1">
      <alignment horizontal="center"/>
    </xf>
    <xf numFmtId="164" fontId="94" fillId="2" borderId="0" xfId="5" applyNumberFormat="1" applyFont="1" applyFill="1" applyBorder="1" applyAlignment="1" applyProtection="1">
      <alignment horizontal="center"/>
    </xf>
    <xf numFmtId="0" fontId="100" fillId="16" borderId="21" xfId="4" applyFont="1" applyFill="1" applyBorder="1"/>
    <xf numFmtId="0" fontId="100" fillId="16" borderId="1" xfId="0" applyFont="1" applyFill="1" applyBorder="1"/>
    <xf numFmtId="0" fontId="96" fillId="0" borderId="0" xfId="0" applyFont="1" applyBorder="1"/>
    <xf numFmtId="0" fontId="96" fillId="0" borderId="0" xfId="0" applyFont="1"/>
    <xf numFmtId="0" fontId="100" fillId="0" borderId="21" xfId="4" applyFont="1" applyFill="1" applyBorder="1"/>
    <xf numFmtId="0" fontId="100" fillId="0" borderId="1" xfId="0" applyFont="1" applyFill="1" applyBorder="1"/>
    <xf numFmtId="0" fontId="92" fillId="0" borderId="1" xfId="4" applyFont="1" applyFill="1" applyBorder="1"/>
    <xf numFmtId="0" fontId="97" fillId="0" borderId="1" xfId="3" applyFont="1" applyFill="1" applyBorder="1" applyAlignment="1">
      <alignment horizontal="center"/>
    </xf>
    <xf numFmtId="1" fontId="92" fillId="0" borderId="1" xfId="3" applyNumberFormat="1" applyFont="1" applyFill="1" applyBorder="1" applyAlignment="1">
      <alignment horizontal="center"/>
    </xf>
    <xf numFmtId="1" fontId="92" fillId="0" borderId="1" xfId="5" applyNumberFormat="1" applyFont="1" applyFill="1" applyBorder="1" applyAlignment="1">
      <alignment horizontal="center" vertical="center"/>
    </xf>
    <xf numFmtId="1" fontId="92" fillId="0" borderId="15" xfId="5" applyNumberFormat="1" applyFont="1" applyFill="1" applyBorder="1" applyAlignment="1" applyProtection="1">
      <alignment horizontal="center"/>
    </xf>
    <xf numFmtId="164" fontId="94" fillId="0" borderId="0" xfId="5" applyNumberFormat="1" applyFont="1" applyFill="1" applyBorder="1" applyAlignment="1" applyProtection="1">
      <alignment horizontal="center"/>
    </xf>
    <xf numFmtId="0" fontId="96" fillId="0" borderId="0" xfId="0" applyFont="1" applyFill="1" applyBorder="1"/>
    <xf numFmtId="0" fontId="96" fillId="0" borderId="0" xfId="0" applyFont="1" applyFill="1"/>
    <xf numFmtId="0" fontId="92" fillId="15" borderId="21" xfId="3" applyFont="1" applyFill="1" applyBorder="1" applyAlignment="1">
      <alignment horizontal="center"/>
    </xf>
    <xf numFmtId="164" fontId="94" fillId="2" borderId="0" xfId="3" applyNumberFormat="1" applyFont="1" applyFill="1" applyBorder="1" applyAlignment="1">
      <alignment horizontal="center"/>
    </xf>
    <xf numFmtId="1" fontId="97" fillId="2" borderId="1" xfId="3" applyNumberFormat="1" applyFont="1" applyFill="1" applyBorder="1" applyAlignment="1">
      <alignment horizontal="center"/>
    </xf>
    <xf numFmtId="43" fontId="92" fillId="8" borderId="1" xfId="7" applyFont="1" applyFill="1" applyBorder="1" applyAlignment="1">
      <alignment horizontal="right" wrapText="1"/>
    </xf>
    <xf numFmtId="0" fontId="92" fillId="10" borderId="32" xfId="3" applyFont="1" applyFill="1" applyBorder="1" applyAlignment="1">
      <alignment horizontal="center" vertical="center"/>
    </xf>
    <xf numFmtId="0" fontId="92" fillId="10" borderId="0" xfId="3" applyFont="1" applyFill="1" applyBorder="1" applyAlignment="1">
      <alignment horizontal="center" vertical="center"/>
    </xf>
    <xf numFmtId="0" fontId="92" fillId="10" borderId="31" xfId="3" applyFont="1" applyFill="1" applyBorder="1" applyAlignment="1">
      <alignment horizontal="center" vertical="center"/>
    </xf>
    <xf numFmtId="2" fontId="92" fillId="10" borderId="24" xfId="3" applyNumberFormat="1" applyFont="1" applyFill="1" applyBorder="1" applyAlignment="1">
      <alignment horizontal="center" vertical="center"/>
    </xf>
    <xf numFmtId="0" fontId="98" fillId="10" borderId="24" xfId="4" applyFont="1" applyFill="1" applyBorder="1" applyAlignment="1">
      <alignment horizontal="center" vertical="center"/>
    </xf>
    <xf numFmtId="1" fontId="92" fillId="10" borderId="24" xfId="5" applyNumberFormat="1" applyFont="1" applyFill="1" applyBorder="1" applyAlignment="1">
      <alignment horizontal="center" vertical="center"/>
    </xf>
    <xf numFmtId="1" fontId="92" fillId="10" borderId="24" xfId="3" applyNumberFormat="1" applyFont="1" applyFill="1" applyBorder="1" applyAlignment="1">
      <alignment horizontal="center" vertical="center"/>
    </xf>
    <xf numFmtId="0" fontId="97" fillId="10" borderId="0" xfId="0" applyFont="1" applyFill="1" applyBorder="1" applyAlignment="1">
      <alignment horizontal="center" vertical="center"/>
    </xf>
    <xf numFmtId="1" fontId="92" fillId="10" borderId="30" xfId="5" applyNumberFormat="1" applyFont="1" applyFill="1" applyBorder="1" applyAlignment="1" applyProtection="1">
      <alignment horizontal="center" vertical="center"/>
    </xf>
    <xf numFmtId="0" fontId="97" fillId="0" borderId="0" xfId="0" applyFont="1" applyBorder="1"/>
    <xf numFmtId="0" fontId="97" fillId="0" borderId="4" xfId="0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1" fontId="97" fillId="0" borderId="1" xfId="0" applyNumberFormat="1" applyFont="1" applyBorder="1" applyAlignment="1">
      <alignment horizontal="center"/>
    </xf>
    <xf numFmtId="1" fontId="97" fillId="0" borderId="15" xfId="0" applyNumberFormat="1" applyFont="1" applyBorder="1" applyAlignment="1">
      <alignment horizontal="center"/>
    </xf>
    <xf numFmtId="0" fontId="97" fillId="0" borderId="1" xfId="0" applyFont="1" applyBorder="1" applyAlignment="1">
      <alignment horizontal="left"/>
    </xf>
    <xf numFmtId="0" fontId="97" fillId="0" borderId="1" xfId="0" applyFont="1" applyFill="1" applyBorder="1" applyAlignment="1">
      <alignment horizontal="center"/>
    </xf>
    <xf numFmtId="0" fontId="88" fillId="0" borderId="1" xfId="0" applyFont="1" applyFill="1" applyBorder="1" applyAlignment="1">
      <alignment horizontal="left"/>
    </xf>
    <xf numFmtId="0" fontId="88" fillId="0" borderId="4" xfId="0" applyFont="1" applyFill="1" applyBorder="1"/>
    <xf numFmtId="0" fontId="101" fillId="0" borderId="0" xfId="0" applyFont="1" applyFill="1"/>
    <xf numFmtId="0" fontId="97" fillId="0" borderId="1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center"/>
    </xf>
    <xf numFmtId="0" fontId="97" fillId="0" borderId="1" xfId="0" applyFont="1" applyFill="1" applyBorder="1"/>
    <xf numFmtId="1" fontId="97" fillId="0" borderId="1" xfId="0" applyNumberFormat="1" applyFont="1" applyFill="1" applyBorder="1" applyAlignment="1">
      <alignment horizontal="center"/>
    </xf>
    <xf numFmtId="1" fontId="97" fillId="0" borderId="15" xfId="0" applyNumberFormat="1" applyFont="1" applyFill="1" applyBorder="1" applyAlignment="1">
      <alignment horizontal="center"/>
    </xf>
    <xf numFmtId="1" fontId="97" fillId="0" borderId="0" xfId="0" applyNumberFormat="1" applyFont="1" applyBorder="1" applyAlignment="1">
      <alignment horizontal="center"/>
    </xf>
    <xf numFmtId="1" fontId="97" fillId="0" borderId="34" xfId="0" applyNumberFormat="1" applyFont="1" applyBorder="1"/>
    <xf numFmtId="0" fontId="97" fillId="15" borderId="15" xfId="3" applyFont="1" applyFill="1" applyBorder="1" applyAlignment="1">
      <alignment horizontal="center"/>
    </xf>
    <xf numFmtId="0" fontId="92" fillId="12" borderId="1" xfId="4" applyFont="1" applyFill="1" applyBorder="1" applyAlignment="1">
      <alignment horizontal="center"/>
    </xf>
    <xf numFmtId="0" fontId="92" fillId="0" borderId="21" xfId="4" applyFont="1" applyBorder="1"/>
    <xf numFmtId="0" fontId="92" fillId="15" borderId="21" xfId="3" applyFont="1" applyFill="1" applyBorder="1" applyAlignment="1">
      <alignment horizontal="center" vertical="center"/>
    </xf>
    <xf numFmtId="1" fontId="92" fillId="15" borderId="1" xfId="5" applyNumberFormat="1" applyFont="1" applyFill="1" applyBorder="1" applyAlignment="1">
      <alignment horizontal="center"/>
    </xf>
    <xf numFmtId="1" fontId="92" fillId="15" borderId="15" xfId="5" applyNumberFormat="1" applyFont="1" applyFill="1" applyBorder="1" applyAlignment="1">
      <alignment horizontal="center"/>
    </xf>
    <xf numFmtId="0" fontId="98" fillId="0" borderId="1" xfId="4" applyFont="1" applyFill="1" applyBorder="1" applyAlignment="1">
      <alignment horizontal="center"/>
    </xf>
    <xf numFmtId="0" fontId="97" fillId="0" borderId="1" xfId="0" applyFont="1" applyBorder="1"/>
    <xf numFmtId="9" fontId="92" fillId="8" borderId="1" xfId="6" applyNumberFormat="1" applyFont="1" applyFill="1" applyBorder="1" applyAlignment="1">
      <alignment horizontal="center"/>
    </xf>
    <xf numFmtId="165" fontId="92" fillId="0" borderId="1" xfId="6" applyNumberFormat="1" applyFont="1" applyFill="1" applyBorder="1" applyAlignment="1"/>
    <xf numFmtId="1" fontId="92" fillId="8" borderId="1" xfId="5" applyNumberFormat="1" applyFont="1" applyFill="1" applyBorder="1" applyAlignment="1">
      <alignment horizontal="right"/>
    </xf>
    <xf numFmtId="0" fontId="104" fillId="0" borderId="0" xfId="4" applyFont="1"/>
    <xf numFmtId="0" fontId="92" fillId="8" borderId="7" xfId="3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center"/>
    </xf>
    <xf numFmtId="9" fontId="92" fillId="8" borderId="7" xfId="6" applyNumberFormat="1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right"/>
    </xf>
    <xf numFmtId="1" fontId="92" fillId="8" borderId="23" xfId="5" applyNumberFormat="1" applyFont="1" applyFill="1" applyBorder="1" applyAlignment="1" applyProtection="1">
      <alignment horizontal="center"/>
    </xf>
    <xf numFmtId="0" fontId="88" fillId="0" borderId="0" xfId="0" applyFont="1"/>
    <xf numFmtId="1" fontId="88" fillId="0" borderId="0" xfId="0" applyNumberFormat="1" applyFont="1" applyAlignment="1">
      <alignment horizontal="center"/>
    </xf>
    <xf numFmtId="1" fontId="88" fillId="0" borderId="0" xfId="0" applyNumberFormat="1" applyFont="1"/>
    <xf numFmtId="0" fontId="97" fillId="0" borderId="0" xfId="0" applyFont="1"/>
    <xf numFmtId="1" fontId="97" fillId="0" borderId="0" xfId="0" applyNumberFormat="1" applyFont="1" applyAlignment="1">
      <alignment horizontal="center"/>
    </xf>
    <xf numFmtId="1" fontId="97" fillId="0" borderId="0" xfId="0" applyNumberFormat="1" applyFont="1"/>
    <xf numFmtId="0" fontId="91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1" fontId="91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1" fontId="96" fillId="0" borderId="0" xfId="0" applyNumberFormat="1" applyFont="1" applyFill="1" applyAlignment="1">
      <alignment horizontal="center" vertical="center"/>
    </xf>
    <xf numFmtId="0" fontId="101" fillId="0" borderId="0" xfId="0" applyFont="1" applyFill="1" applyAlignment="1">
      <alignment horizontal="center" vertical="center"/>
    </xf>
    <xf numFmtId="0" fontId="87" fillId="0" borderId="0" xfId="0" applyFont="1" applyFill="1" applyAlignment="1">
      <alignment horizontal="center" vertical="center"/>
    </xf>
    <xf numFmtId="1" fontId="92" fillId="0" borderId="1" xfId="0" applyNumberFormat="1" applyFont="1" applyBorder="1" applyAlignment="1">
      <alignment horizontal="center"/>
    </xf>
    <xf numFmtId="1" fontId="92" fillId="12" borderId="1" xfId="5" applyNumberFormat="1" applyFont="1" applyFill="1" applyBorder="1" applyAlignment="1">
      <alignment horizontal="center" vertical="center"/>
    </xf>
    <xf numFmtId="174" fontId="96" fillId="0" borderId="0" xfId="0" applyNumberFormat="1" applyFont="1" applyFill="1" applyAlignment="1">
      <alignment horizontal="center" vertical="center"/>
    </xf>
    <xf numFmtId="171" fontId="91" fillId="0" borderId="0" xfId="0" applyNumberFormat="1" applyFont="1" applyAlignment="1">
      <alignment horizontal="center" vertical="center"/>
    </xf>
    <xf numFmtId="164" fontId="91" fillId="0" borderId="0" xfId="0" applyNumberFormat="1" applyFont="1" applyAlignment="1">
      <alignment horizontal="center" vertical="center"/>
    </xf>
    <xf numFmtId="9" fontId="92" fillId="9" borderId="1" xfId="4" applyNumberFormat="1" applyFont="1" applyFill="1" applyBorder="1" applyAlignment="1">
      <alignment horizontal="center"/>
    </xf>
    <xf numFmtId="164" fontId="73" fillId="12" borderId="1" xfId="5" applyNumberFormat="1" applyFont="1" applyFill="1" applyBorder="1" applyAlignment="1">
      <alignment horizontal="center" vertical="center"/>
    </xf>
    <xf numFmtId="2" fontId="71" fillId="8" borderId="0" xfId="3" applyNumberFormat="1" applyFont="1" applyFill="1" applyBorder="1" applyAlignment="1">
      <alignment horizontal="center"/>
    </xf>
    <xf numFmtId="2" fontId="48" fillId="0" borderId="0" xfId="0" applyNumberFormat="1" applyFont="1" applyBorder="1"/>
    <xf numFmtId="168" fontId="71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6" fillId="12" borderId="1" xfId="0" applyFont="1" applyFill="1" applyBorder="1"/>
    <xf numFmtId="1" fontId="80" fillId="0" borderId="0" xfId="0" applyNumberFormat="1" applyFont="1" applyBorder="1"/>
    <xf numFmtId="1" fontId="66" fillId="2" borderId="0" xfId="0" applyNumberFormat="1" applyFont="1" applyFill="1"/>
    <xf numFmtId="1" fontId="17" fillId="0" borderId="1" xfId="0" applyNumberFormat="1" applyFont="1" applyFill="1" applyBorder="1" applyAlignment="1">
      <alignment horizontal="center" wrapText="1"/>
    </xf>
    <xf numFmtId="170" fontId="35" fillId="9" borderId="1" xfId="3" applyNumberFormat="1" applyFont="1" applyFill="1" applyBorder="1" applyAlignment="1">
      <alignment horizontal="center"/>
    </xf>
    <xf numFmtId="0" fontId="66" fillId="2" borderId="1" xfId="4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>
      <alignment horizontal="center" vertical="center"/>
    </xf>
    <xf numFmtId="1" fontId="82" fillId="2" borderId="1" xfId="5" applyNumberFormat="1" applyFont="1" applyFill="1" applyBorder="1" applyAlignment="1">
      <alignment horizontal="center" vertical="center"/>
    </xf>
    <xf numFmtId="0" fontId="106" fillId="0" borderId="0" xfId="0" applyFont="1"/>
    <xf numFmtId="0" fontId="17" fillId="0" borderId="1" xfId="0" applyFont="1" applyBorder="1" applyAlignment="1">
      <alignment horizontal="center" wrapText="1"/>
    </xf>
    <xf numFmtId="0" fontId="17" fillId="0" borderId="29" xfId="0" applyFont="1" applyBorder="1" applyAlignment="1">
      <alignment horizontal="center" wrapText="1"/>
    </xf>
    <xf numFmtId="16" fontId="17" fillId="0" borderId="1" xfId="0" applyNumberFormat="1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106" fillId="0" borderId="0" xfId="0" applyFont="1" applyFill="1"/>
    <xf numFmtId="1" fontId="17" fillId="2" borderId="1" xfId="0" applyNumberFormat="1" applyFont="1" applyFill="1" applyBorder="1" applyAlignment="1">
      <alignment horizontal="center" wrapText="1"/>
    </xf>
    <xf numFmtId="1" fontId="107" fillId="0" borderId="1" xfId="0" applyNumberFormat="1" applyFont="1" applyFill="1" applyBorder="1" applyAlignment="1">
      <alignment horizontal="center" wrapText="1"/>
    </xf>
    <xf numFmtId="1" fontId="106" fillId="0" borderId="0" xfId="0" applyNumberFormat="1" applyFont="1"/>
    <xf numFmtId="1" fontId="106" fillId="0" borderId="0" xfId="0" applyNumberFormat="1" applyFont="1" applyFill="1"/>
    <xf numFmtId="0" fontId="71" fillId="2" borderId="1" xfId="0" applyFont="1" applyFill="1" applyBorder="1" applyAlignment="1">
      <alignment horizontal="center"/>
    </xf>
    <xf numFmtId="164" fontId="71" fillId="12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>
      <alignment horizontal="center" vertical="center"/>
    </xf>
    <xf numFmtId="1" fontId="89" fillId="0" borderId="1" xfId="0" applyNumberFormat="1" applyFont="1" applyBorder="1" applyAlignment="1">
      <alignment horizontal="center" wrapText="1"/>
    </xf>
    <xf numFmtId="1" fontId="107" fillId="0" borderId="1" xfId="0" applyNumberFormat="1" applyFont="1" applyBorder="1" applyAlignment="1">
      <alignment horizontal="center" wrapText="1"/>
    </xf>
    <xf numFmtId="1" fontId="82" fillId="2" borderId="1" xfId="3" applyNumberFormat="1" applyFont="1" applyFill="1" applyBorder="1" applyAlignment="1">
      <alignment horizontal="center"/>
    </xf>
    <xf numFmtId="1" fontId="82" fillId="2" borderId="15" xfId="5" applyNumberFormat="1" applyFont="1" applyFill="1" applyBorder="1" applyAlignment="1" applyProtection="1">
      <alignment horizontal="center"/>
    </xf>
    <xf numFmtId="169" fontId="73" fillId="8" borderId="1" xfId="5" applyNumberFormat="1" applyFont="1" applyFill="1" applyBorder="1" applyAlignment="1" applyProtection="1">
      <alignment vertical="center"/>
    </xf>
    <xf numFmtId="1" fontId="66" fillId="22" borderId="1" xfId="5" applyNumberFormat="1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vertical="center"/>
    </xf>
    <xf numFmtId="0" fontId="66" fillId="10" borderId="1" xfId="4" applyFont="1" applyFill="1" applyBorder="1" applyAlignment="1">
      <alignment horizontal="center"/>
    </xf>
    <xf numFmtId="1" fontId="66" fillId="10" borderId="1" xfId="5" applyNumberFormat="1" applyFont="1" applyFill="1" applyBorder="1" applyAlignment="1">
      <alignment horizontal="center" vertical="center"/>
    </xf>
    <xf numFmtId="1" fontId="66" fillId="17" borderId="1" xfId="5" applyNumberFormat="1" applyFont="1" applyFill="1" applyBorder="1" applyAlignment="1">
      <alignment horizontal="center" vertical="center"/>
    </xf>
    <xf numFmtId="0" fontId="72" fillId="10" borderId="1" xfId="4" applyFont="1" applyFill="1" applyBorder="1" applyAlignment="1">
      <alignment horizontal="center"/>
    </xf>
    <xf numFmtId="0" fontId="72" fillId="22" borderId="1" xfId="4" applyFont="1" applyFill="1" applyBorder="1" applyAlignment="1">
      <alignment horizontal="center"/>
    </xf>
    <xf numFmtId="0" fontId="66" fillId="22" borderId="1" xfId="4" applyFont="1" applyFill="1" applyBorder="1" applyAlignment="1">
      <alignment horizontal="center"/>
    </xf>
    <xf numFmtId="0" fontId="66" fillId="17" borderId="1" xfId="4" applyFont="1" applyFill="1" applyBorder="1" applyAlignment="1">
      <alignment horizontal="center"/>
    </xf>
    <xf numFmtId="0" fontId="59" fillId="2" borderId="1" xfId="3" applyFont="1" applyFill="1" applyBorder="1" applyAlignment="1">
      <alignment horizontal="left" vertical="justify"/>
    </xf>
    <xf numFmtId="0" fontId="66" fillId="12" borderId="1" xfId="3" applyNumberFormat="1" applyFont="1" applyFill="1" applyBorder="1" applyAlignment="1">
      <alignment horizontal="center"/>
    </xf>
    <xf numFmtId="1" fontId="89" fillId="2" borderId="1" xfId="0" applyNumberFormat="1" applyFont="1" applyFill="1" applyBorder="1" applyAlignment="1">
      <alignment horizontal="center" wrapText="1"/>
    </xf>
    <xf numFmtId="1" fontId="89" fillId="12" borderId="1" xfId="0" applyNumberFormat="1" applyFont="1" applyFill="1" applyBorder="1" applyAlignment="1">
      <alignment horizontal="center" wrapText="1"/>
    </xf>
    <xf numFmtId="0" fontId="56" fillId="0" borderId="1" xfId="0" applyFont="1" applyFill="1" applyBorder="1" applyAlignment="1">
      <alignment vertical="center" wrapText="1"/>
    </xf>
    <xf numFmtId="0" fontId="56" fillId="0" borderId="1" xfId="0" applyFont="1" applyFill="1" applyBorder="1"/>
    <xf numFmtId="0" fontId="60" fillId="0" borderId="21" xfId="3" applyFont="1" applyFill="1" applyBorder="1" applyAlignment="1">
      <alignment horizontal="left"/>
    </xf>
    <xf numFmtId="0" fontId="60" fillId="0" borderId="1" xfId="3" applyFont="1" applyFill="1" applyBorder="1" applyAlignment="1">
      <alignment horizontal="left"/>
    </xf>
    <xf numFmtId="2" fontId="66" fillId="0" borderId="1" xfId="3" applyNumberFormat="1" applyFont="1" applyFill="1" applyBorder="1" applyAlignment="1">
      <alignment horizontal="right"/>
    </xf>
    <xf numFmtId="1" fontId="108" fillId="0" borderId="0" xfId="0" applyNumberFormat="1" applyFont="1"/>
    <xf numFmtId="1" fontId="109" fillId="0" borderId="0" xfId="0" applyNumberFormat="1" applyFont="1"/>
    <xf numFmtId="49" fontId="97" fillId="0" borderId="0" xfId="0" applyNumberFormat="1" applyFont="1"/>
    <xf numFmtId="1" fontId="110" fillId="0" borderId="1" xfId="0" applyNumberFormat="1" applyFont="1" applyFill="1" applyBorder="1" applyAlignment="1">
      <alignment horizontal="center" wrapText="1"/>
    </xf>
    <xf numFmtId="170" fontId="96" fillId="9" borderId="1" xfId="3" applyNumberFormat="1" applyFont="1" applyFill="1" applyBorder="1" applyAlignment="1">
      <alignment horizontal="center"/>
    </xf>
    <xf numFmtId="1" fontId="17" fillId="15" borderId="1" xfId="0" applyNumberFormat="1" applyFont="1" applyFill="1" applyBorder="1" applyAlignment="1">
      <alignment horizontal="center" wrapText="1"/>
    </xf>
    <xf numFmtId="0" fontId="106" fillId="15" borderId="0" xfId="0" applyFont="1" applyFill="1"/>
    <xf numFmtId="1" fontId="106" fillId="15" borderId="0" xfId="0" applyNumberFormat="1" applyFont="1" applyFill="1"/>
    <xf numFmtId="16" fontId="17" fillId="0" borderId="0" xfId="0" applyNumberFormat="1" applyFont="1" applyBorder="1" applyAlignment="1">
      <alignment horizontal="center" wrapText="1"/>
    </xf>
    <xf numFmtId="0" fontId="106" fillId="0" borderId="0" xfId="0" applyFont="1" applyBorder="1"/>
    <xf numFmtId="0" fontId="112" fillId="0" borderId="1" xfId="0" applyFont="1" applyBorder="1"/>
    <xf numFmtId="0" fontId="106" fillId="0" borderId="1" xfId="0" applyFont="1" applyBorder="1"/>
    <xf numFmtId="0" fontId="106" fillId="22" borderId="1" xfId="0" applyFont="1" applyFill="1" applyBorder="1"/>
    <xf numFmtId="0" fontId="111" fillId="0" borderId="1" xfId="0" applyFont="1" applyBorder="1"/>
    <xf numFmtId="1" fontId="113" fillId="21" borderId="1" xfId="3" applyNumberFormat="1" applyFont="1" applyFill="1" applyBorder="1" applyAlignment="1">
      <alignment horizontal="center"/>
    </xf>
    <xf numFmtId="0" fontId="113" fillId="21" borderId="1" xfId="3" applyNumberFormat="1" applyFont="1" applyFill="1" applyBorder="1" applyAlignment="1">
      <alignment horizontal="center"/>
    </xf>
    <xf numFmtId="1" fontId="113" fillId="21" borderId="15" xfId="5" applyNumberFormat="1" applyFont="1" applyFill="1" applyBorder="1" applyAlignment="1" applyProtection="1">
      <alignment horizontal="center"/>
    </xf>
    <xf numFmtId="2" fontId="113" fillId="21" borderId="1" xfId="3" applyNumberFormat="1" applyFont="1" applyFill="1" applyBorder="1" applyAlignment="1">
      <alignment horizontal="center"/>
    </xf>
    <xf numFmtId="1" fontId="113" fillId="8" borderId="1" xfId="3" applyNumberFormat="1" applyFont="1" applyFill="1" applyBorder="1" applyAlignment="1">
      <alignment horizontal="center"/>
    </xf>
    <xf numFmtId="2" fontId="113" fillId="2" borderId="1" xfId="3" applyNumberFormat="1" applyFont="1" applyFill="1" applyBorder="1" applyAlignment="1">
      <alignment horizontal="center"/>
    </xf>
    <xf numFmtId="1" fontId="113" fillId="8" borderId="15" xfId="5" applyNumberFormat="1" applyFont="1" applyFill="1" applyBorder="1" applyAlignment="1" applyProtection="1">
      <alignment horizontal="center"/>
    </xf>
    <xf numFmtId="0" fontId="113" fillId="15" borderId="1" xfId="3" applyFont="1" applyFill="1" applyBorder="1" applyAlignment="1">
      <alignment horizontal="center"/>
    </xf>
    <xf numFmtId="0" fontId="113" fillId="15" borderId="15" xfId="3" applyFont="1" applyFill="1" applyBorder="1" applyAlignment="1">
      <alignment horizontal="center"/>
    </xf>
    <xf numFmtId="0" fontId="113" fillId="2" borderId="1" xfId="3" applyNumberFormat="1" applyFont="1" applyFill="1" applyBorder="1" applyAlignment="1">
      <alignment horizontal="center"/>
    </xf>
    <xf numFmtId="0" fontId="113" fillId="8" borderId="1" xfId="3" applyFont="1" applyFill="1" applyBorder="1" applyAlignment="1">
      <alignment horizontal="center"/>
    </xf>
    <xf numFmtId="1" fontId="113" fillId="15" borderId="1" xfId="3" applyNumberFormat="1" applyFont="1" applyFill="1" applyBorder="1" applyAlignment="1">
      <alignment horizontal="center"/>
    </xf>
    <xf numFmtId="0" fontId="113" fillId="21" borderId="1" xfId="3" applyFont="1" applyFill="1" applyBorder="1" applyAlignment="1">
      <alignment horizontal="center"/>
    </xf>
    <xf numFmtId="1" fontId="113" fillId="21" borderId="1" xfId="4" applyNumberFormat="1" applyFont="1" applyFill="1" applyBorder="1" applyAlignment="1">
      <alignment horizontal="center"/>
    </xf>
    <xf numFmtId="0" fontId="114" fillId="0" borderId="0" xfId="2" applyFont="1" applyAlignment="1" applyProtection="1"/>
    <xf numFmtId="2" fontId="114" fillId="0" borderId="0" xfId="2" applyNumberFormat="1" applyFont="1" applyAlignment="1" applyProtection="1"/>
    <xf numFmtId="0" fontId="60" fillId="0" borderId="21" xfId="3" applyFont="1" applyFill="1" applyBorder="1" applyAlignment="1">
      <alignment horizontal="left" vertical="center"/>
    </xf>
    <xf numFmtId="0" fontId="59" fillId="0" borderId="1" xfId="3" applyFont="1" applyFill="1" applyBorder="1" applyAlignment="1">
      <alignment horizontal="left" vertical="justify"/>
    </xf>
    <xf numFmtId="1" fontId="49" fillId="0" borderId="0" xfId="5" applyNumberFormat="1" applyFont="1" applyFill="1" applyBorder="1" applyAlignment="1" applyProtection="1">
      <alignment horizontal="center"/>
    </xf>
    <xf numFmtId="0" fontId="48" fillId="0" borderId="0" xfId="0" applyFont="1" applyFill="1" applyBorder="1"/>
    <xf numFmtId="0" fontId="59" fillId="0" borderId="1" xfId="3" applyFont="1" applyFill="1" applyBorder="1" applyAlignment="1">
      <alignment horizontal="left" vertical="center"/>
    </xf>
    <xf numFmtId="1" fontId="66" fillId="0" borderId="1" xfId="3" applyNumberFormat="1" applyFont="1" applyFill="1" applyBorder="1" applyAlignment="1">
      <alignment horizontal="center" vertical="center"/>
    </xf>
    <xf numFmtId="2" fontId="60" fillId="0" borderId="21" xfId="3" applyNumberFormat="1" applyFont="1" applyFill="1" applyBorder="1" applyAlignment="1">
      <alignment horizontal="left" vertical="center"/>
    </xf>
    <xf numFmtId="2" fontId="59" fillId="0" borderId="1" xfId="3" applyNumberFormat="1" applyFont="1" applyFill="1" applyBorder="1" applyAlignment="1">
      <alignment horizontal="left" vertical="center"/>
    </xf>
    <xf numFmtId="0" fontId="49" fillId="0" borderId="0" xfId="3" applyFont="1" applyFill="1" applyBorder="1" applyAlignment="1">
      <alignment horizontal="center"/>
    </xf>
    <xf numFmtId="170" fontId="18" fillId="9" borderId="1" xfId="3" applyNumberFormat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06" fillId="17" borderId="5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8" fillId="9" borderId="2" xfId="3" applyFont="1" applyFill="1" applyBorder="1" applyAlignment="1">
      <alignment horizontal="center"/>
    </xf>
    <xf numFmtId="0" fontId="18" fillId="9" borderId="4" xfId="3" applyFont="1" applyFill="1" applyBorder="1" applyAlignment="1">
      <alignment horizontal="center"/>
    </xf>
    <xf numFmtId="0" fontId="92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115" fillId="0" borderId="35" xfId="17" applyFont="1" applyBorder="1" applyAlignment="1">
      <alignment horizontal="center"/>
    </xf>
    <xf numFmtId="0" fontId="116" fillId="0" borderId="35" xfId="17" applyFont="1" applyBorder="1" applyAlignment="1">
      <alignment horizontal="center"/>
    </xf>
    <xf numFmtId="1" fontId="116" fillId="0" borderId="35" xfId="17" applyNumberFormat="1" applyFont="1" applyBorder="1" applyAlignment="1">
      <alignment horizontal="center"/>
    </xf>
    <xf numFmtId="1" fontId="115" fillId="0" borderId="35" xfId="17" applyNumberFormat="1" applyFont="1" applyBorder="1" applyAlignment="1">
      <alignment horizontal="center" wrapText="1"/>
    </xf>
    <xf numFmtId="0" fontId="115" fillId="0" borderId="35" xfId="17" applyFont="1" applyBorder="1" applyAlignment="1">
      <alignment horizontal="center" wrapText="1"/>
    </xf>
    <xf numFmtId="0" fontId="115" fillId="0" borderId="0" xfId="17" applyFont="1" applyAlignment="1">
      <alignment wrapText="1"/>
    </xf>
    <xf numFmtId="0" fontId="115" fillId="0" borderId="0" xfId="17" applyFont="1"/>
    <xf numFmtId="0" fontId="17" fillId="0" borderId="0" xfId="17" applyFont="1" applyAlignment="1">
      <alignment horizontal="center"/>
    </xf>
    <xf numFmtId="0" fontId="89" fillId="0" borderId="0" xfId="17" applyFont="1" applyAlignment="1">
      <alignment horizontal="center"/>
    </xf>
    <xf numFmtId="1" fontId="89" fillId="0" borderId="0" xfId="17" applyNumberFormat="1" applyFont="1" applyAlignment="1">
      <alignment horizontal="center"/>
    </xf>
    <xf numFmtId="1" fontId="3" fillId="0" borderId="0" xfId="17" applyNumberFormat="1" applyAlignment="1">
      <alignment horizontal="center"/>
    </xf>
    <xf numFmtId="2" fontId="3" fillId="0" borderId="0" xfId="17" applyNumberFormat="1" applyAlignment="1">
      <alignment horizontal="center"/>
    </xf>
    <xf numFmtId="2" fontId="3" fillId="0" borderId="0" xfId="17" applyNumberFormat="1"/>
    <xf numFmtId="0" fontId="3" fillId="0" borderId="0" xfId="17"/>
    <xf numFmtId="0" fontId="3" fillId="0" borderId="0" xfId="17" applyAlignment="1">
      <alignment horizontal="center"/>
    </xf>
    <xf numFmtId="0" fontId="119" fillId="21" borderId="1" xfId="3" applyFont="1" applyFill="1" applyBorder="1" applyAlignment="1">
      <alignment horizontal="center"/>
    </xf>
    <xf numFmtId="0" fontId="119" fillId="21" borderId="1" xfId="4" applyFont="1" applyFill="1" applyBorder="1" applyAlignment="1">
      <alignment horizontal="center"/>
    </xf>
    <xf numFmtId="1" fontId="51" fillId="2" borderId="0" xfId="5" applyNumberFormat="1" applyFont="1" applyFill="1" applyBorder="1" applyAlignment="1" applyProtection="1">
      <alignment horizontal="center"/>
    </xf>
    <xf numFmtId="0" fontId="120" fillId="0" borderId="0" xfId="0" applyFont="1" applyBorder="1"/>
    <xf numFmtId="0" fontId="120" fillId="0" borderId="0" xfId="0" applyFont="1"/>
    <xf numFmtId="1" fontId="120" fillId="0" borderId="0" xfId="0" applyNumberFormat="1" applyFont="1"/>
    <xf numFmtId="0" fontId="117" fillId="21" borderId="21" xfId="3" applyFont="1" applyFill="1" applyBorder="1" applyAlignment="1">
      <alignment horizontal="left" vertical="center"/>
    </xf>
    <xf numFmtId="0" fontId="118" fillId="21" borderId="1" xfId="3" applyFont="1" applyFill="1" applyBorder="1" applyAlignment="1">
      <alignment horizontal="left" vertical="center"/>
    </xf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1" fontId="121" fillId="21" borderId="1" xfId="5" applyNumberFormat="1" applyFont="1" applyFill="1" applyBorder="1" applyAlignment="1">
      <alignment horizontal="center" vertical="center"/>
    </xf>
    <xf numFmtId="2" fontId="121" fillId="21" borderId="1" xfId="3" applyNumberFormat="1" applyFont="1" applyFill="1" applyBorder="1" applyAlignment="1">
      <alignment horizontal="center"/>
    </xf>
    <xf numFmtId="0" fontId="65" fillId="21" borderId="21" xfId="3" applyFont="1" applyFill="1" applyBorder="1" applyAlignment="1">
      <alignment horizontal="left"/>
    </xf>
    <xf numFmtId="0" fontId="67" fillId="21" borderId="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center"/>
    </xf>
    <xf numFmtId="0" fontId="48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2" fontId="49" fillId="12" borderId="0" xfId="5" applyNumberFormat="1" applyFont="1" applyFill="1" applyBorder="1" applyAlignment="1" applyProtection="1">
      <alignment horizontal="center"/>
    </xf>
    <xf numFmtId="0" fontId="48" fillId="12" borderId="0" xfId="0" applyFont="1" applyFill="1" applyBorder="1"/>
    <xf numFmtId="0" fontId="60" fillId="15" borderId="15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66" fillId="12" borderId="1" xfId="3" applyNumberFormat="1" applyFont="1" applyFill="1" applyBorder="1" applyAlignment="1">
      <alignment horizontal="center" vertical="center"/>
    </xf>
    <xf numFmtId="0" fontId="98" fillId="12" borderId="1" xfId="4" applyFont="1" applyFill="1" applyBorder="1" applyAlignment="1">
      <alignment horizontal="center" wrapText="1"/>
    </xf>
    <xf numFmtId="1" fontId="66" fillId="2" borderId="1" xfId="4" applyNumberFormat="1" applyFont="1" applyFill="1" applyBorder="1" applyAlignment="1">
      <alignment horizontal="center" vertical="center"/>
    </xf>
    <xf numFmtId="1" fontId="115" fillId="0" borderId="1" xfId="17" applyNumberFormat="1" applyFont="1" applyBorder="1" applyAlignment="1">
      <alignment horizontal="center" wrapText="1"/>
    </xf>
    <xf numFmtId="0" fontId="3" fillId="0" borderId="1" xfId="17" applyNumberFormat="1" applyBorder="1" applyAlignment="1">
      <alignment horizontal="center"/>
    </xf>
    <xf numFmtId="1" fontId="3" fillId="0" borderId="1" xfId="17" applyNumberFormat="1" applyBorder="1" applyAlignment="1">
      <alignment horizontal="center"/>
    </xf>
    <xf numFmtId="1" fontId="122" fillId="0" borderId="1" xfId="0" applyNumberFormat="1" applyFont="1" applyBorder="1" applyAlignment="1">
      <alignment horizontal="center"/>
    </xf>
    <xf numFmtId="0" fontId="60" fillId="2" borderId="1" xfId="3" applyFont="1" applyFill="1" applyBorder="1" applyAlignment="1">
      <alignment horizontal="left"/>
    </xf>
    <xf numFmtId="2" fontId="66" fillId="2" borderId="1" xfId="3" applyNumberFormat="1" applyFont="1" applyFill="1" applyBorder="1" applyAlignment="1">
      <alignment horizontal="right"/>
    </xf>
    <xf numFmtId="0" fontId="113" fillId="0" borderId="1" xfId="4" applyFont="1" applyBorder="1" applyAlignment="1">
      <alignment horizontal="center" vertical="center"/>
    </xf>
    <xf numFmtId="2" fontId="113" fillId="8" borderId="1" xfId="3" applyNumberFormat="1" applyFont="1" applyFill="1" applyBorder="1" applyAlignment="1">
      <alignment horizontal="center" vertical="center"/>
    </xf>
    <xf numFmtId="0" fontId="113" fillId="8" borderId="1" xfId="3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horizontal="center" vertical="center"/>
    </xf>
    <xf numFmtId="0" fontId="113" fillId="0" borderId="1" xfId="4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vertical="center"/>
    </xf>
    <xf numFmtId="1" fontId="113" fillId="2" borderId="1" xfId="3" applyNumberFormat="1" applyFont="1" applyFill="1" applyBorder="1" applyAlignment="1">
      <alignment horizontal="center" vertical="center"/>
    </xf>
    <xf numFmtId="0" fontId="113" fillId="0" borderId="1" xfId="4" applyFont="1" applyBorder="1" applyAlignment="1">
      <alignment horizontal="center"/>
    </xf>
    <xf numFmtId="0" fontId="113" fillId="0" borderId="1" xfId="4" applyFont="1" applyFill="1" applyBorder="1" applyAlignment="1">
      <alignment horizontal="center"/>
    </xf>
    <xf numFmtId="0" fontId="113" fillId="2" borderId="1" xfId="4" applyFont="1" applyFill="1" applyBorder="1" applyAlignment="1"/>
    <xf numFmtId="2" fontId="113" fillId="8" borderId="1" xfId="3" applyNumberFormat="1" applyFont="1" applyFill="1" applyBorder="1" applyAlignment="1">
      <alignment horizontal="center"/>
    </xf>
    <xf numFmtId="2" fontId="113" fillId="8" borderId="8" xfId="3" applyNumberFormat="1" applyFont="1" applyFill="1" applyBorder="1" applyAlignment="1">
      <alignment horizontal="center"/>
    </xf>
    <xf numFmtId="0" fontId="113" fillId="23" borderId="1" xfId="4" applyFont="1" applyFill="1" applyBorder="1" applyAlignment="1">
      <alignment horizontal="center" vertical="center"/>
    </xf>
    <xf numFmtId="0" fontId="78" fillId="2" borderId="21" xfId="3" applyFont="1" applyFill="1" applyBorder="1" applyAlignment="1">
      <alignment horizontal="left"/>
    </xf>
    <xf numFmtId="0" fontId="113" fillId="2" borderId="1" xfId="4" applyFont="1" applyFill="1" applyBorder="1" applyAlignment="1">
      <alignment horizontal="center"/>
    </xf>
    <xf numFmtId="1" fontId="113" fillId="2" borderId="1" xfId="5" applyNumberFormat="1" applyFont="1" applyFill="1" applyBorder="1" applyAlignment="1">
      <alignment horizontal="center" vertical="center"/>
    </xf>
    <xf numFmtId="1" fontId="113" fillId="2" borderId="1" xfId="3" applyNumberFormat="1" applyFont="1" applyFill="1" applyBorder="1" applyAlignment="1">
      <alignment horizontal="center"/>
    </xf>
    <xf numFmtId="1" fontId="113" fillId="2" borderId="15" xfId="5" applyNumberFormat="1" applyFont="1" applyFill="1" applyBorder="1" applyAlignment="1" applyProtection="1">
      <alignment horizontal="center"/>
    </xf>
    <xf numFmtId="0" fontId="113" fillId="2" borderId="1" xfId="3" applyFont="1" applyFill="1" applyBorder="1" applyAlignment="1">
      <alignment horizontal="center"/>
    </xf>
    <xf numFmtId="164" fontId="113" fillId="2" borderId="1" xfId="5" applyNumberFormat="1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 wrapText="1"/>
    </xf>
    <xf numFmtId="0" fontId="113" fillId="0" borderId="1" xfId="4" applyFont="1" applyFill="1" applyBorder="1" applyAlignment="1">
      <alignment horizontal="center" wrapText="1"/>
    </xf>
    <xf numFmtId="0" fontId="113" fillId="0" borderId="1" xfId="4" applyFont="1" applyBorder="1" applyAlignment="1">
      <alignment horizontal="center" wrapText="1"/>
    </xf>
    <xf numFmtId="0" fontId="113" fillId="0" borderId="1" xfId="3" applyFont="1" applyFill="1" applyBorder="1" applyAlignment="1">
      <alignment horizontal="center"/>
    </xf>
    <xf numFmtId="0" fontId="113" fillId="10" borderId="24" xfId="4" applyFont="1" applyFill="1" applyBorder="1" applyAlignment="1">
      <alignment horizontal="center" vertical="center"/>
    </xf>
    <xf numFmtId="0" fontId="113" fillId="0" borderId="1" xfId="0" applyFont="1" applyBorder="1" applyAlignment="1">
      <alignment horizontal="center"/>
    </xf>
    <xf numFmtId="0" fontId="113" fillId="0" borderId="1" xfId="0" applyFont="1" applyFill="1" applyBorder="1" applyAlignment="1">
      <alignment horizontal="center"/>
    </xf>
    <xf numFmtId="1" fontId="113" fillId="0" borderId="1" xfId="0" applyNumberFormat="1" applyFont="1" applyFill="1" applyBorder="1" applyAlignment="1">
      <alignment horizontal="center"/>
    </xf>
    <xf numFmtId="0" fontId="113" fillId="0" borderId="0" xfId="0" applyFont="1" applyBorder="1"/>
    <xf numFmtId="0" fontId="113" fillId="12" borderId="1" xfId="4" applyFont="1" applyFill="1" applyBorder="1" applyAlignment="1">
      <alignment horizontal="center"/>
    </xf>
    <xf numFmtId="2" fontId="113" fillId="8" borderId="7" xfId="3" applyNumberFormat="1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8" fillId="12" borderId="1" xfId="4" applyFont="1" applyFill="1" applyBorder="1" applyAlignment="1">
      <alignment horizontal="center"/>
    </xf>
    <xf numFmtId="0" fontId="92" fillId="12" borderId="1" xfId="3" applyFont="1" applyFill="1" applyBorder="1" applyAlignment="1">
      <alignment horizontal="center" vertical="center"/>
    </xf>
    <xf numFmtId="0" fontId="97" fillId="12" borderId="1" xfId="0" applyFont="1" applyFill="1" applyBorder="1" applyAlignment="1">
      <alignment horizontal="center"/>
    </xf>
    <xf numFmtId="0" fontId="115" fillId="0" borderId="5" xfId="18" applyFont="1" applyBorder="1"/>
    <xf numFmtId="0" fontId="116" fillId="0" borderId="5" xfId="18" applyFont="1" applyBorder="1" applyAlignment="1">
      <alignment horizontal="center"/>
    </xf>
    <xf numFmtId="0" fontId="115" fillId="0" borderId="0" xfId="18" applyFont="1"/>
    <xf numFmtId="0" fontId="17" fillId="0" borderId="0" xfId="19" applyFont="1" applyAlignment="1">
      <alignment horizontal="center"/>
    </xf>
    <xf numFmtId="0" fontId="86" fillId="0" borderId="0" xfId="18" applyFont="1" applyAlignment="1">
      <alignment horizontal="center"/>
    </xf>
    <xf numFmtId="0" fontId="2" fillId="0" borderId="0" xfId="18"/>
    <xf numFmtId="0" fontId="2" fillId="0" borderId="0" xfId="18" applyAlignment="1">
      <alignment horizontal="center"/>
    </xf>
    <xf numFmtId="0" fontId="97" fillId="12" borderId="1" xfId="3" applyFont="1" applyFill="1" applyBorder="1" applyAlignment="1">
      <alignment horizontal="center"/>
    </xf>
    <xf numFmtId="1" fontId="82" fillId="24" borderId="15" xfId="5" applyNumberFormat="1" applyFont="1" applyFill="1" applyBorder="1" applyAlignment="1" applyProtection="1">
      <alignment horizontal="center"/>
    </xf>
    <xf numFmtId="0" fontId="106" fillId="19" borderId="5" xfId="0" applyFont="1" applyFill="1" applyBorder="1" applyAlignment="1">
      <alignment horizontal="center"/>
    </xf>
    <xf numFmtId="0" fontId="4" fillId="0" borderId="27" xfId="1" applyFont="1" applyFill="1" applyBorder="1" applyAlignment="1">
      <alignment horizontal="center" vertical="center" wrapText="1"/>
    </xf>
    <xf numFmtId="0" fontId="4" fillId="0" borderId="36" xfId="1" applyFont="1" applyFill="1" applyBorder="1" applyAlignment="1">
      <alignment horizontal="center" vertical="center" wrapText="1"/>
    </xf>
    <xf numFmtId="0" fontId="106" fillId="19" borderId="0" xfId="0" applyFont="1" applyFill="1" applyBorder="1" applyAlignment="1">
      <alignment horizontal="center"/>
    </xf>
    <xf numFmtId="0" fontId="129" fillId="0" borderId="21" xfId="1" applyFont="1" applyFill="1" applyBorder="1" applyAlignment="1">
      <alignment vertical="top" wrapText="1"/>
    </xf>
    <xf numFmtId="0" fontId="129" fillId="0" borderId="1" xfId="1" applyFont="1" applyFill="1" applyBorder="1" applyAlignment="1">
      <alignment horizontal="center" vertical="top" wrapText="1"/>
    </xf>
    <xf numFmtId="0" fontId="129" fillId="0" borderId="15" xfId="1" applyFont="1" applyFill="1" applyBorder="1" applyAlignment="1">
      <alignment horizontal="center" vertical="top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2" fillId="0" borderId="0" xfId="18" applyNumberFormat="1" applyFill="1" applyAlignment="1">
      <alignment horizontal="center"/>
    </xf>
    <xf numFmtId="0" fontId="2" fillId="0" borderId="0" xfId="18" applyFill="1" applyAlignment="1">
      <alignment horizontal="center"/>
    </xf>
    <xf numFmtId="0" fontId="2" fillId="0" borderId="0" xfId="18" applyFill="1"/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71" fillId="12" borderId="1" xfId="4" applyFont="1" applyFill="1" applyBorder="1" applyAlignment="1">
      <alignment horizontal="center" wrapText="1"/>
    </xf>
    <xf numFmtId="0" fontId="71" fillId="12" borderId="1" xfId="3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wrapText="1"/>
    </xf>
    <xf numFmtId="0" fontId="66" fillId="12" borderId="1" xfId="3" applyFont="1" applyFill="1" applyBorder="1" applyAlignment="1">
      <alignment horizontal="center" vertical="center"/>
    </xf>
    <xf numFmtId="0" fontId="49" fillId="12" borderId="0" xfId="3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2" fontId="49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175" fontId="60" fillId="9" borderId="1" xfId="3" applyNumberFormat="1" applyFont="1" applyFill="1" applyBorder="1" applyAlignment="1">
      <alignment horizontal="center" vertical="center"/>
    </xf>
    <xf numFmtId="175" fontId="60" fillId="9" borderId="1" xfId="3" applyNumberFormat="1" applyFont="1" applyFill="1" applyBorder="1" applyAlignment="1">
      <alignment horizontal="center"/>
    </xf>
    <xf numFmtId="175" fontId="66" fillId="8" borderId="1" xfId="3" applyNumberFormat="1" applyFont="1" applyFill="1" applyBorder="1" applyAlignment="1">
      <alignment horizontal="center" wrapText="1" shrinkToFit="1"/>
    </xf>
    <xf numFmtId="175" fontId="66" fillId="15" borderId="1" xfId="3" applyNumberFormat="1" applyFont="1" applyFill="1" applyBorder="1" applyAlignment="1">
      <alignment horizontal="center" vertical="center"/>
    </xf>
    <xf numFmtId="175" fontId="66" fillId="2" borderId="1" xfId="5" applyNumberFormat="1" applyFont="1" applyFill="1" applyBorder="1" applyAlignment="1">
      <alignment horizontal="center" vertical="center"/>
    </xf>
    <xf numFmtId="175" fontId="66" fillId="2" borderId="7" xfId="5" applyNumberFormat="1" applyFont="1" applyFill="1" applyBorder="1" applyAlignment="1">
      <alignment horizontal="center" vertical="center"/>
    </xf>
    <xf numFmtId="175" fontId="66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/>
    </xf>
    <xf numFmtId="175" fontId="74" fillId="12" borderId="1" xfId="5" applyNumberFormat="1" applyFont="1" applyFill="1" applyBorder="1" applyAlignment="1">
      <alignment horizontal="center" vertical="center"/>
    </xf>
    <xf numFmtId="175" fontId="73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 vertical="center"/>
    </xf>
    <xf numFmtId="175" fontId="71" fillId="8" borderId="1" xfId="3" applyNumberFormat="1" applyFont="1" applyFill="1" applyBorder="1" applyAlignment="1">
      <alignment horizontal="center"/>
    </xf>
    <xf numFmtId="175" fontId="71" fillId="8" borderId="1" xfId="5" applyNumberFormat="1" applyFont="1" applyFill="1" applyBorder="1" applyAlignment="1" applyProtection="1">
      <alignment horizontal="center" vertical="center"/>
    </xf>
    <xf numFmtId="175" fontId="73" fillId="8" borderId="1" xfId="5" applyNumberFormat="1" applyFont="1" applyFill="1" applyBorder="1" applyAlignment="1" applyProtection="1">
      <alignment horizontal="center" vertical="center"/>
    </xf>
    <xf numFmtId="175" fontId="66" fillId="15" borderId="1" xfId="3" applyNumberFormat="1" applyFont="1" applyFill="1" applyBorder="1" applyAlignment="1">
      <alignment horizontal="center"/>
    </xf>
    <xf numFmtId="175" fontId="66" fillId="15" borderId="1" xfId="3" applyNumberFormat="1" applyFont="1" applyFill="1" applyBorder="1" applyAlignment="1"/>
    <xf numFmtId="175" fontId="66" fillId="2" borderId="1" xfId="4" applyNumberFormat="1" applyFont="1" applyFill="1" applyBorder="1" applyAlignment="1"/>
    <xf numFmtId="175" fontId="66" fillId="8" borderId="1" xfId="3" applyNumberFormat="1" applyFont="1" applyFill="1" applyBorder="1" applyAlignment="1">
      <alignment horizontal="center"/>
    </xf>
    <xf numFmtId="175" fontId="66" fillId="0" borderId="1" xfId="3" applyNumberFormat="1" applyFont="1" applyFill="1" applyBorder="1" applyAlignment="1">
      <alignment horizontal="center"/>
    </xf>
    <xf numFmtId="175" fontId="71" fillId="2" borderId="1" xfId="3" applyNumberFormat="1" applyFont="1" applyFill="1" applyBorder="1" applyAlignment="1">
      <alignment horizontal="center"/>
    </xf>
    <xf numFmtId="175" fontId="66" fillId="10" borderId="24" xfId="5" applyNumberFormat="1" applyFont="1" applyFill="1" applyBorder="1" applyAlignment="1">
      <alignment horizontal="center" vertical="center"/>
    </xf>
    <xf numFmtId="175" fontId="71" fillId="0" borderId="1" xfId="0" applyNumberFormat="1" applyFont="1" applyBorder="1" applyAlignment="1">
      <alignment horizontal="center"/>
    </xf>
    <xf numFmtId="175" fontId="71" fillId="0" borderId="1" xfId="0" applyNumberFormat="1" applyFont="1" applyFill="1" applyBorder="1" applyAlignment="1">
      <alignment horizontal="center"/>
    </xf>
    <xf numFmtId="175" fontId="71" fillId="0" borderId="0" xfId="0" applyNumberFormat="1" applyFont="1" applyBorder="1"/>
    <xf numFmtId="175" fontId="66" fillId="15" borderId="1" xfId="5" applyNumberFormat="1" applyFont="1" applyFill="1" applyBorder="1" applyAlignment="1">
      <alignment horizontal="center"/>
    </xf>
    <xf numFmtId="175" fontId="74" fillId="2" borderId="1" xfId="5" applyNumberFormat="1" applyFont="1" applyFill="1" applyBorder="1" applyAlignment="1">
      <alignment horizontal="center" vertical="center"/>
    </xf>
    <xf numFmtId="175" fontId="66" fillId="0" borderId="1" xfId="5" applyNumberFormat="1" applyFont="1" applyFill="1" applyBorder="1" applyAlignment="1">
      <alignment horizontal="center" vertical="center"/>
    </xf>
    <xf numFmtId="175" fontId="66" fillId="8" borderId="1" xfId="6" applyNumberFormat="1" applyFont="1" applyFill="1" applyBorder="1" applyAlignment="1">
      <alignment horizontal="center"/>
    </xf>
    <xf numFmtId="175" fontId="66" fillId="8" borderId="7" xfId="6" applyNumberFormat="1" applyFont="1" applyFill="1" applyBorder="1" applyAlignment="1">
      <alignment horizontal="center"/>
    </xf>
    <xf numFmtId="175" fontId="76" fillId="0" borderId="0" xfId="0" applyNumberFormat="1" applyFont="1"/>
    <xf numFmtId="175" fontId="71" fillId="0" borderId="0" xfId="0" applyNumberFormat="1" applyFont="1"/>
    <xf numFmtId="0" fontId="49" fillId="0" borderId="0" xfId="3" applyFont="1" applyFill="1" applyBorder="1" applyAlignment="1">
      <alignment horizontal="center" vertic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124" fillId="12" borderId="5" xfId="18" applyNumberFormat="1" applyFont="1" applyFill="1" applyBorder="1" applyAlignment="1">
      <alignment horizontal="center" wrapText="1"/>
    </xf>
    <xf numFmtId="1" fontId="127" fillId="12" borderId="0" xfId="18" applyNumberFormat="1" applyFont="1" applyFill="1" applyAlignment="1">
      <alignment horizontal="center"/>
    </xf>
    <xf numFmtId="0" fontId="2" fillId="12" borderId="0" xfId="18" applyFill="1"/>
    <xf numFmtId="1" fontId="98" fillId="25" borderId="1" xfId="4" applyNumberFormat="1" applyFont="1" applyFill="1" applyBorder="1" applyAlignment="1">
      <alignment horizontal="center"/>
    </xf>
    <xf numFmtId="0" fontId="98" fillId="25" borderId="1" xfId="4" applyFont="1" applyFill="1" applyBorder="1" applyAlignment="1">
      <alignment horizontal="center"/>
    </xf>
    <xf numFmtId="1" fontId="92" fillId="25" borderId="1" xfId="5" applyNumberFormat="1" applyFont="1" applyFill="1" applyBorder="1" applyAlignment="1">
      <alignment horizontal="center" vertical="center"/>
    </xf>
    <xf numFmtId="0" fontId="97" fillId="25" borderId="1" xfId="0" applyFont="1" applyFill="1" applyBorder="1" applyAlignment="1">
      <alignment horizontal="center"/>
    </xf>
    <xf numFmtId="1" fontId="91" fillId="0" borderId="1" xfId="0" applyNumberFormat="1" applyFont="1" applyBorder="1"/>
    <xf numFmtId="166" fontId="66" fillId="9" borderId="21" xfId="3" applyNumberFormat="1" applyFont="1" applyFill="1" applyBorder="1" applyAlignment="1">
      <alignment horizontal="left"/>
    </xf>
    <xf numFmtId="0" fontId="66" fillId="7" borderId="1" xfId="4" applyFont="1" applyFill="1" applyBorder="1" applyAlignment="1">
      <alignment horizontal="center"/>
    </xf>
    <xf numFmtId="2" fontId="71" fillId="0" borderId="1" xfId="4" applyNumberFormat="1" applyFont="1" applyBorder="1" applyAlignment="1">
      <alignment horizontal="center"/>
    </xf>
    <xf numFmtId="0" fontId="107" fillId="0" borderId="4" xfId="0" applyFont="1" applyBorder="1" applyAlignment="1">
      <alignment horizontal="center" vertical="top" wrapText="1"/>
    </xf>
    <xf numFmtId="0" fontId="72" fillId="26" borderId="1" xfId="4" applyFont="1" applyFill="1" applyBorder="1" applyAlignment="1">
      <alignment horizontal="center"/>
    </xf>
    <xf numFmtId="0" fontId="66" fillId="26" borderId="1" xfId="4" applyFont="1" applyFill="1" applyBorder="1" applyAlignment="1">
      <alignment horizontal="center"/>
    </xf>
    <xf numFmtId="1" fontId="66" fillId="26" borderId="1" xfId="5" applyNumberFormat="1" applyFont="1" applyFill="1" applyBorder="1" applyAlignment="1">
      <alignment horizontal="center" vertical="center"/>
    </xf>
    <xf numFmtId="0" fontId="60" fillId="0" borderId="1" xfId="3" applyFont="1" applyFill="1" applyBorder="1" applyAlignment="1">
      <alignment horizontal="center" vertical="center"/>
    </xf>
    <xf numFmtId="1" fontId="60" fillId="0" borderId="15" xfId="3" applyNumberFormat="1" applyFont="1" applyFill="1" applyBorder="1" applyAlignment="1">
      <alignment horizontal="center" vertical="center"/>
    </xf>
    <xf numFmtId="10" fontId="60" fillId="0" borderId="1" xfId="3" applyNumberFormat="1" applyFont="1" applyFill="1" applyBorder="1" applyAlignment="1">
      <alignment horizontal="center"/>
    </xf>
    <xf numFmtId="1" fontId="60" fillId="0" borderId="1" xfId="3" applyNumberFormat="1" applyFont="1" applyFill="1" applyBorder="1" applyAlignment="1">
      <alignment horizontal="center"/>
    </xf>
    <xf numFmtId="1" fontId="60" fillId="0" borderId="15" xfId="3" applyNumberFormat="1" applyFont="1" applyFill="1" applyBorder="1" applyAlignment="1">
      <alignment horizontal="center"/>
    </xf>
    <xf numFmtId="2" fontId="60" fillId="0" borderId="1" xfId="3" applyNumberFormat="1" applyFont="1" applyFill="1" applyBorder="1" applyAlignment="1">
      <alignment horizontal="center"/>
    </xf>
    <xf numFmtId="9" fontId="60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 vertical="center"/>
    </xf>
    <xf numFmtId="164" fontId="66" fillId="0" borderId="1" xfId="3" applyNumberFormat="1" applyFont="1" applyFill="1" applyBorder="1" applyAlignment="1">
      <alignment horizontal="center" wrapText="1" shrinkToFit="1"/>
    </xf>
    <xf numFmtId="164" fontId="66" fillId="0" borderId="15" xfId="3" applyNumberFormat="1" applyFont="1" applyFill="1" applyBorder="1" applyAlignment="1">
      <alignment horizontal="center" wrapText="1" shrinkToFit="1"/>
    </xf>
    <xf numFmtId="0" fontId="66" fillId="0" borderId="1" xfId="3" applyFont="1" applyFill="1" applyBorder="1" applyAlignment="1">
      <alignment horizontal="center" vertical="center"/>
    </xf>
    <xf numFmtId="0" fontId="66" fillId="0" borderId="15" xfId="3" applyFont="1" applyFill="1" applyBorder="1" applyAlignment="1">
      <alignment horizontal="center"/>
    </xf>
    <xf numFmtId="2" fontId="71" fillId="0" borderId="1" xfId="3" applyNumberFormat="1" applyFont="1" applyFill="1" applyBorder="1" applyAlignment="1">
      <alignment horizontal="center"/>
    </xf>
    <xf numFmtId="1" fontId="71" fillId="0" borderId="1" xfId="5" applyNumberFormat="1" applyFont="1" applyFill="1" applyBorder="1" applyAlignment="1">
      <alignment horizontal="center" vertical="center"/>
    </xf>
    <xf numFmtId="0" fontId="71" fillId="0" borderId="1" xfId="3" applyNumberFormat="1" applyFont="1" applyFill="1" applyBorder="1" applyAlignment="1">
      <alignment horizontal="center"/>
    </xf>
    <xf numFmtId="1" fontId="71" fillId="0" borderId="15" xfId="5" applyNumberFormat="1" applyFont="1" applyFill="1" applyBorder="1" applyAlignment="1" applyProtection="1">
      <alignment horizontal="center"/>
    </xf>
    <xf numFmtId="2" fontId="66" fillId="0" borderId="8" xfId="3" applyNumberFormat="1" applyFont="1" applyFill="1" applyBorder="1" applyAlignment="1">
      <alignment horizontal="center"/>
    </xf>
    <xf numFmtId="1" fontId="71" fillId="0" borderId="8" xfId="3" applyNumberFormat="1" applyFont="1" applyFill="1" applyBorder="1" applyAlignment="1">
      <alignment horizontal="center"/>
    </xf>
    <xf numFmtId="1" fontId="71" fillId="0" borderId="8" xfId="5" applyNumberFormat="1" applyFont="1" applyFill="1" applyBorder="1" applyAlignment="1">
      <alignment horizontal="center" vertical="center"/>
    </xf>
    <xf numFmtId="2" fontId="71" fillId="0" borderId="1" xfId="3" applyNumberFormat="1" applyFont="1" applyFill="1" applyBorder="1" applyAlignment="1">
      <alignment horizontal="right"/>
    </xf>
    <xf numFmtId="1" fontId="82" fillId="0" borderId="1" xfId="5" applyNumberFormat="1" applyFont="1" applyFill="1" applyBorder="1" applyAlignment="1">
      <alignment horizontal="center" vertical="center"/>
    </xf>
    <xf numFmtId="0" fontId="66" fillId="0" borderId="1" xfId="3" applyNumberFormat="1" applyFont="1" applyFill="1" applyBorder="1" applyAlignment="1">
      <alignment horizontal="center"/>
    </xf>
    <xf numFmtId="0" fontId="71" fillId="0" borderId="1" xfId="4" applyFont="1" applyFill="1" applyBorder="1"/>
    <xf numFmtId="164" fontId="71" fillId="0" borderId="1" xfId="5" applyNumberFormat="1" applyFont="1" applyFill="1" applyBorder="1" applyAlignment="1">
      <alignment horizontal="center" vertical="center"/>
    </xf>
    <xf numFmtId="1" fontId="71" fillId="0" borderId="1" xfId="5" applyNumberFormat="1" applyFont="1" applyFill="1" applyBorder="1" applyAlignment="1" applyProtection="1">
      <alignment horizontal="center"/>
    </xf>
    <xf numFmtId="0" fontId="73" fillId="0" borderId="1" xfId="4" applyFont="1" applyFill="1" applyBorder="1" applyAlignment="1">
      <alignment horizontal="center"/>
    </xf>
    <xf numFmtId="0" fontId="71" fillId="0" borderId="1" xfId="3" applyFont="1" applyFill="1" applyBorder="1" applyAlignment="1">
      <alignment horizontal="center" vertical="center"/>
    </xf>
    <xf numFmtId="0" fontId="74" fillId="0" borderId="1" xfId="3" applyFont="1" applyFill="1" applyBorder="1" applyAlignment="1">
      <alignment horizontal="center" vertical="center"/>
    </xf>
    <xf numFmtId="1" fontId="66" fillId="0" borderId="15" xfId="3" applyNumberFormat="1" applyFont="1" applyFill="1" applyBorder="1" applyAlignment="1">
      <alignment horizontal="center" vertical="center"/>
    </xf>
    <xf numFmtId="2" fontId="75" fillId="0" borderId="1" xfId="3" applyNumberFormat="1" applyFont="1" applyFill="1" applyBorder="1" applyAlignment="1">
      <alignment horizontal="center"/>
    </xf>
    <xf numFmtId="164" fontId="71" fillId="0" borderId="1" xfId="3" applyNumberFormat="1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66" fillId="0" borderId="1" xfId="9" applyNumberFormat="1" applyFont="1" applyFill="1" applyBorder="1" applyAlignment="1">
      <alignment horizontal="center"/>
    </xf>
    <xf numFmtId="2" fontId="66" fillId="0" borderId="1" xfId="9" applyNumberFormat="1" applyFont="1" applyFill="1" applyBorder="1" applyAlignment="1">
      <alignment horizontal="center"/>
    </xf>
    <xf numFmtId="168" fontId="71" fillId="0" borderId="1" xfId="5" applyNumberFormat="1" applyFont="1" applyFill="1" applyBorder="1" applyAlignment="1" applyProtection="1">
      <alignment horizontal="center" vertical="center"/>
    </xf>
    <xf numFmtId="164" fontId="74" fillId="0" borderId="1" xfId="5" applyNumberFormat="1" applyFont="1" applyFill="1" applyBorder="1" applyAlignment="1" applyProtection="1">
      <alignment horizontal="center"/>
    </xf>
    <xf numFmtId="2" fontId="74" fillId="0" borderId="1" xfId="3" applyNumberFormat="1" applyFont="1" applyFill="1" applyBorder="1" applyAlignment="1">
      <alignment horizontal="right"/>
    </xf>
    <xf numFmtId="0" fontId="73" fillId="0" borderId="1" xfId="3" applyFont="1" applyFill="1" applyBorder="1" applyAlignment="1">
      <alignment horizontal="center"/>
    </xf>
    <xf numFmtId="169" fontId="73" fillId="0" borderId="1" xfId="5" applyNumberFormat="1" applyFont="1" applyFill="1" applyBorder="1" applyAlignment="1" applyProtection="1">
      <alignment horizontal="center" vertical="center"/>
    </xf>
    <xf numFmtId="1" fontId="73" fillId="0" borderId="1" xfId="3" applyNumberFormat="1" applyFont="1" applyFill="1" applyBorder="1" applyAlignment="1">
      <alignment horizontal="center" vertical="top"/>
    </xf>
    <xf numFmtId="0" fontId="66" fillId="0" borderId="1" xfId="3" applyFont="1" applyFill="1" applyBorder="1" applyAlignment="1">
      <alignment vertical="center"/>
    </xf>
    <xf numFmtId="0" fontId="66" fillId="0" borderId="1" xfId="3" applyFont="1" applyFill="1" applyBorder="1" applyAlignment="1"/>
    <xf numFmtId="0" fontId="66" fillId="0" borderId="15" xfId="3" applyFont="1" applyFill="1" applyBorder="1" applyAlignment="1"/>
    <xf numFmtId="164" fontId="66" fillId="0" borderId="1" xfId="5" applyNumberFormat="1" applyFont="1" applyFill="1" applyBorder="1" applyAlignment="1" applyProtection="1">
      <alignment horizontal="center" vertical="center"/>
    </xf>
    <xf numFmtId="164" fontId="66" fillId="0" borderId="1" xfId="5" applyNumberFormat="1" applyFont="1" applyFill="1" applyBorder="1" applyAlignment="1" applyProtection="1">
      <alignment horizontal="center" vertical="top"/>
    </xf>
    <xf numFmtId="0" fontId="66" fillId="0" borderId="1" xfId="4" applyFont="1" applyFill="1" applyBorder="1" applyAlignment="1"/>
    <xf numFmtId="0" fontId="66" fillId="0" borderId="15" xfId="4" applyFont="1" applyFill="1" applyBorder="1" applyAlignment="1"/>
    <xf numFmtId="43" fontId="66" fillId="0" borderId="1" xfId="7" applyFont="1" applyFill="1" applyBorder="1" applyAlignment="1">
      <alignment horizontal="right" wrapText="1"/>
    </xf>
    <xf numFmtId="0" fontId="66" fillId="0" borderId="24" xfId="4" applyFont="1" applyFill="1" applyBorder="1" applyAlignment="1">
      <alignment horizontal="center" vertical="center"/>
    </xf>
    <xf numFmtId="1" fontId="66" fillId="0" borderId="24" xfId="5" applyNumberFormat="1" applyFont="1" applyFill="1" applyBorder="1" applyAlignment="1">
      <alignment horizontal="center" vertical="center"/>
    </xf>
    <xf numFmtId="1" fontId="66" fillId="0" borderId="24" xfId="3" applyNumberFormat="1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/>
    </xf>
    <xf numFmtId="1" fontId="66" fillId="0" borderId="30" xfId="5" applyNumberFormat="1" applyFont="1" applyFill="1" applyBorder="1" applyAlignment="1" applyProtection="1">
      <alignment horizontal="center" vertical="center"/>
    </xf>
    <xf numFmtId="0" fontId="71" fillId="0" borderId="0" xfId="0" applyFont="1" applyFill="1" applyBorder="1"/>
    <xf numFmtId="0" fontId="66" fillId="0" borderId="0" xfId="0" applyFont="1" applyFill="1" applyBorder="1"/>
    <xf numFmtId="1" fontId="71" fillId="0" borderId="0" xfId="0" applyNumberFormat="1" applyFont="1" applyFill="1" applyBorder="1" applyAlignment="1">
      <alignment horizontal="center"/>
    </xf>
    <xf numFmtId="1" fontId="71" fillId="0" borderId="34" xfId="0" applyNumberFormat="1" applyFont="1" applyFill="1" applyBorder="1"/>
    <xf numFmtId="0" fontId="71" fillId="0" borderId="15" xfId="3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>
      <alignment horizontal="center"/>
    </xf>
    <xf numFmtId="9" fontId="66" fillId="0" borderId="1" xfId="6" applyNumberFormat="1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right"/>
    </xf>
    <xf numFmtId="2" fontId="66" fillId="0" borderId="7" xfId="3" applyNumberFormat="1" applyFont="1" applyFill="1" applyBorder="1" applyAlignment="1">
      <alignment horizontal="center"/>
    </xf>
    <xf numFmtId="9" fontId="66" fillId="0" borderId="7" xfId="6" applyNumberFormat="1" applyFont="1" applyFill="1" applyBorder="1" applyAlignment="1">
      <alignment horizontal="center"/>
    </xf>
    <xf numFmtId="2" fontId="66" fillId="0" borderId="7" xfId="3" applyNumberFormat="1" applyFont="1" applyFill="1" applyBorder="1" applyAlignment="1">
      <alignment horizontal="right"/>
    </xf>
    <xf numFmtId="1" fontId="66" fillId="0" borderId="23" xfId="5" applyNumberFormat="1" applyFont="1" applyFill="1" applyBorder="1" applyAlignment="1" applyProtection="1">
      <alignment horizontal="center"/>
    </xf>
    <xf numFmtId="0" fontId="76" fillId="0" borderId="0" xfId="0" applyFont="1" applyFill="1"/>
    <xf numFmtId="0" fontId="81" fillId="0" borderId="0" xfId="0" applyFont="1" applyFill="1"/>
    <xf numFmtId="1" fontId="76" fillId="0" borderId="0" xfId="0" applyNumberFormat="1" applyFont="1" applyFill="1" applyAlignment="1">
      <alignment horizontal="center"/>
    </xf>
    <xf numFmtId="1" fontId="76" fillId="0" borderId="0" xfId="0" applyNumberFormat="1" applyFont="1" applyFill="1"/>
    <xf numFmtId="0" fontId="71" fillId="0" borderId="0" xfId="0" applyFont="1" applyFill="1"/>
    <xf numFmtId="0" fontId="66" fillId="0" borderId="0" xfId="0" applyFont="1" applyFill="1"/>
    <xf numFmtId="1" fontId="71" fillId="0" borderId="0" xfId="0" applyNumberFormat="1" applyFont="1" applyFill="1" applyAlignment="1">
      <alignment horizontal="center"/>
    </xf>
    <xf numFmtId="1" fontId="71" fillId="0" borderId="0" xfId="0" applyNumberFormat="1" applyFont="1" applyFill="1"/>
    <xf numFmtId="1" fontId="130" fillId="2" borderId="21" xfId="1" applyNumberFormat="1" applyFont="1" applyFill="1" applyBorder="1" applyAlignment="1">
      <alignment vertical="center" wrapText="1"/>
    </xf>
    <xf numFmtId="1" fontId="131" fillId="0" borderId="1" xfId="0" applyNumberFormat="1" applyFont="1" applyBorder="1" applyAlignment="1">
      <alignment horizontal="center" wrapText="1"/>
    </xf>
    <xf numFmtId="0" fontId="92" fillId="12" borderId="1" xfId="4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 vertical="center"/>
    </xf>
    <xf numFmtId="0" fontId="17" fillId="0" borderId="24" xfId="0" applyNumberFormat="1" applyFont="1" applyBorder="1" applyAlignment="1">
      <alignment horizontal="center" wrapText="1"/>
    </xf>
    <xf numFmtId="0" fontId="106" fillId="0" borderId="0" xfId="0" applyNumberFormat="1" applyFont="1"/>
    <xf numFmtId="1" fontId="17" fillId="0" borderId="24" xfId="0" applyNumberFormat="1" applyFont="1" applyBorder="1" applyAlignment="1">
      <alignment horizontal="center" wrapText="1"/>
    </xf>
    <xf numFmtId="1" fontId="55" fillId="2" borderId="21" xfId="1" applyNumberFormat="1" applyFont="1" applyFill="1" applyBorder="1" applyAlignment="1">
      <alignment vertical="center" wrapText="1"/>
    </xf>
    <xf numFmtId="16" fontId="5" fillId="2" borderId="0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9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106" fillId="16" borderId="5" xfId="0" applyFont="1" applyFill="1" applyBorder="1" applyAlignment="1">
      <alignment horizontal="center"/>
    </xf>
    <xf numFmtId="0" fontId="106" fillId="17" borderId="5" xfId="0" applyFont="1" applyFill="1" applyBorder="1" applyAlignment="1">
      <alignment horizontal="center"/>
    </xf>
    <xf numFmtId="0" fontId="106" fillId="19" borderId="5" xfId="0" applyFont="1" applyFill="1" applyBorder="1" applyAlignment="1">
      <alignment horizontal="center"/>
    </xf>
    <xf numFmtId="0" fontId="1" fillId="0" borderId="19" xfId="1" applyFont="1" applyFill="1" applyBorder="1" applyAlignment="1">
      <alignment horizontal="center" vertical="center" wrapText="1"/>
    </xf>
    <xf numFmtId="0" fontId="106" fillId="17" borderId="3" xfId="0" applyFont="1" applyFill="1" applyBorder="1" applyAlignment="1">
      <alignment horizontal="center"/>
    </xf>
    <xf numFmtId="0" fontId="106" fillId="16" borderId="3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60" fillId="0" borderId="16" xfId="4" applyFont="1" applyBorder="1" applyAlignment="1">
      <alignment horizontal="left"/>
    </xf>
    <xf numFmtId="0" fontId="60" fillId="0" borderId="3" xfId="4" applyFont="1" applyBorder="1" applyAlignment="1">
      <alignment horizontal="left"/>
    </xf>
    <xf numFmtId="0" fontId="60" fillId="0" borderId="4" xfId="4" applyFont="1" applyBorder="1" applyAlignment="1">
      <alignment horizontal="left"/>
    </xf>
    <xf numFmtId="0" fontId="53" fillId="15" borderId="16" xfId="4" applyFont="1" applyFill="1" applyBorder="1" applyAlignment="1">
      <alignment horizontal="left"/>
    </xf>
    <xf numFmtId="0" fontId="53" fillId="15" borderId="3" xfId="4" applyFont="1" applyFill="1" applyBorder="1" applyAlignment="1">
      <alignment horizontal="left"/>
    </xf>
    <xf numFmtId="0" fontId="53" fillId="15" borderId="28" xfId="4" applyFont="1" applyFill="1" applyBorder="1" applyAlignment="1">
      <alignment horizontal="left"/>
    </xf>
    <xf numFmtId="0" fontId="60" fillId="2" borderId="16" xfId="4" applyFont="1" applyFill="1" applyBorder="1" applyAlignment="1">
      <alignment horizontal="left"/>
    </xf>
    <xf numFmtId="0" fontId="60" fillId="2" borderId="3" xfId="4" applyFont="1" applyFill="1" applyBorder="1" applyAlignment="1">
      <alignment horizontal="left"/>
    </xf>
    <xf numFmtId="0" fontId="60" fillId="2" borderId="4" xfId="4" applyFont="1" applyFill="1" applyBorder="1" applyAlignment="1">
      <alignment horizontal="left"/>
    </xf>
    <xf numFmtId="0" fontId="65" fillId="0" borderId="16" xfId="0" applyFont="1" applyFill="1" applyBorder="1" applyAlignment="1">
      <alignment horizontal="left"/>
    </xf>
    <xf numFmtId="0" fontId="65" fillId="0" borderId="4" xfId="0" applyFont="1" applyFill="1" applyBorder="1" applyAlignment="1">
      <alignment horizontal="left"/>
    </xf>
    <xf numFmtId="0" fontId="65" fillId="0" borderId="16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65" fillId="18" borderId="16" xfId="0" applyFont="1" applyFill="1" applyBorder="1" applyAlignment="1">
      <alignment horizontal="left"/>
    </xf>
    <xf numFmtId="0" fontId="65" fillId="18" borderId="4" xfId="0" applyFont="1" applyFill="1" applyBorder="1" applyAlignment="1">
      <alignment horizontal="left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60" fillId="8" borderId="16" xfId="3" applyFont="1" applyFill="1" applyBorder="1" applyAlignment="1">
      <alignment horizontal="left"/>
    </xf>
    <xf numFmtId="0" fontId="60" fillId="8" borderId="3" xfId="3" applyFont="1" applyFill="1" applyBorder="1" applyAlignment="1">
      <alignment horizontal="left"/>
    </xf>
    <xf numFmtId="0" fontId="60" fillId="8" borderId="4" xfId="3" applyFont="1" applyFill="1" applyBorder="1" applyAlignment="1">
      <alignment horizontal="left"/>
    </xf>
    <xf numFmtId="0" fontId="60" fillId="8" borderId="26" xfId="3" applyFont="1" applyFill="1" applyBorder="1" applyAlignment="1">
      <alignment horizontal="left"/>
    </xf>
    <xf numFmtId="0" fontId="60" fillId="8" borderId="10" xfId="3" applyFont="1" applyFill="1" applyBorder="1" applyAlignment="1">
      <alignment horizontal="left"/>
    </xf>
    <xf numFmtId="0" fontId="60" fillId="8" borderId="11" xfId="3" applyFont="1" applyFill="1" applyBorder="1" applyAlignment="1">
      <alignment horizontal="left"/>
    </xf>
    <xf numFmtId="0" fontId="59" fillId="15" borderId="16" xfId="3" applyFont="1" applyFill="1" applyBorder="1" applyAlignment="1">
      <alignment horizontal="center"/>
    </xf>
    <xf numFmtId="0" fontId="59" fillId="15" borderId="4" xfId="3" applyFont="1" applyFill="1" applyBorder="1" applyAlignment="1">
      <alignment horizontal="center"/>
    </xf>
    <xf numFmtId="0" fontId="79" fillId="8" borderId="19" xfId="3" applyFont="1" applyFill="1" applyBorder="1" applyAlignment="1">
      <alignment horizontal="center"/>
    </xf>
    <xf numFmtId="0" fontId="79" fillId="8" borderId="14" xfId="3" applyFont="1" applyFill="1" applyBorder="1" applyAlignment="1">
      <alignment horizontal="center"/>
    </xf>
    <xf numFmtId="0" fontId="79" fillId="8" borderId="20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77" fillId="15" borderId="16" xfId="3" applyFont="1" applyFill="1" applyBorder="1" applyAlignment="1">
      <alignment horizontal="center"/>
    </xf>
    <xf numFmtId="0" fontId="77" fillId="15" borderId="3" xfId="3" applyFont="1" applyFill="1" applyBorder="1" applyAlignment="1">
      <alignment horizontal="center"/>
    </xf>
    <xf numFmtId="0" fontId="77" fillId="15" borderId="4" xfId="3" applyFont="1" applyFill="1" applyBorder="1" applyAlignment="1">
      <alignment horizontal="center"/>
    </xf>
    <xf numFmtId="0" fontId="60" fillId="9" borderId="2" xfId="3" applyFont="1" applyFill="1" applyBorder="1" applyAlignment="1">
      <alignment horizontal="center"/>
    </xf>
    <xf numFmtId="0" fontId="60" fillId="9" borderId="4" xfId="3" applyFont="1" applyFill="1" applyBorder="1" applyAlignment="1">
      <alignment horizontal="center"/>
    </xf>
    <xf numFmtId="0" fontId="78" fillId="15" borderId="16" xfId="3" applyFont="1" applyFill="1" applyBorder="1" applyAlignment="1">
      <alignment horizontal="center" vertical="center"/>
    </xf>
    <xf numFmtId="0" fontId="78" fillId="15" borderId="3" xfId="3" applyFont="1" applyFill="1" applyBorder="1" applyAlignment="1">
      <alignment horizontal="center" vertical="center"/>
    </xf>
    <xf numFmtId="0" fontId="78" fillId="15" borderId="4" xfId="3" applyFont="1" applyFill="1" applyBorder="1" applyAlignment="1">
      <alignment horizontal="center" vertical="center"/>
    </xf>
    <xf numFmtId="0" fontId="49" fillId="2" borderId="16" xfId="3" applyFont="1" applyFill="1" applyBorder="1" applyAlignment="1">
      <alignment horizontal="center" vertical="justify"/>
    </xf>
    <xf numFmtId="0" fontId="49" fillId="2" borderId="3" xfId="3" applyFont="1" applyFill="1" applyBorder="1" applyAlignment="1">
      <alignment horizontal="center" vertical="justify"/>
    </xf>
    <xf numFmtId="0" fontId="49" fillId="2" borderId="28" xfId="3" applyFont="1" applyFill="1" applyBorder="1" applyAlignment="1">
      <alignment horizontal="center" vertical="justify"/>
    </xf>
    <xf numFmtId="0" fontId="59" fillId="15" borderId="16" xfId="3" applyFont="1" applyFill="1" applyBorder="1" applyAlignment="1">
      <alignment horizontal="left"/>
    </xf>
    <xf numFmtId="0" fontId="59" fillId="15" borderId="3" xfId="3" applyFont="1" applyFill="1" applyBorder="1" applyAlignment="1">
      <alignment horizontal="left"/>
    </xf>
    <xf numFmtId="0" fontId="59" fillId="15" borderId="4" xfId="3" applyFont="1" applyFill="1" applyBorder="1" applyAlignment="1">
      <alignment horizontal="left"/>
    </xf>
    <xf numFmtId="0" fontId="59" fillId="16" borderId="16" xfId="3" applyFont="1" applyFill="1" applyBorder="1" applyAlignment="1">
      <alignment horizontal="left"/>
    </xf>
    <xf numFmtId="0" fontId="59" fillId="16" borderId="3" xfId="3" applyFont="1" applyFill="1" applyBorder="1" applyAlignment="1">
      <alignment horizontal="left"/>
    </xf>
    <xf numFmtId="0" fontId="59" fillId="16" borderId="4" xfId="3" applyFont="1" applyFill="1" applyBorder="1" applyAlignment="1">
      <alignment horizontal="left"/>
    </xf>
    <xf numFmtId="0" fontId="60" fillId="17" borderId="27" xfId="0" applyFont="1" applyFill="1" applyBorder="1" applyAlignment="1">
      <alignment horizontal="center"/>
    </xf>
    <xf numFmtId="0" fontId="60" fillId="17" borderId="5" xfId="0" applyFont="1" applyFill="1" applyBorder="1" applyAlignment="1">
      <alignment horizontal="center"/>
    </xf>
    <xf numFmtId="0" fontId="68" fillId="0" borderId="3" xfId="0" applyFont="1" applyBorder="1" applyAlignment="1">
      <alignment horizontal="left"/>
    </xf>
    <xf numFmtId="0" fontId="105" fillId="0" borderId="2" xfId="0" applyFont="1" applyBorder="1" applyAlignment="1">
      <alignment horizontal="center"/>
    </xf>
    <xf numFmtId="0" fontId="105" fillId="0" borderId="3" xfId="0" applyFont="1" applyBorder="1" applyAlignment="1">
      <alignment horizontal="center"/>
    </xf>
    <xf numFmtId="0" fontId="105" fillId="0" borderId="4" xfId="0" applyFont="1" applyBorder="1" applyAlignment="1">
      <alignment horizontal="center"/>
    </xf>
    <xf numFmtId="0" fontId="65" fillId="17" borderId="16" xfId="0" applyFont="1" applyFill="1" applyBorder="1" applyAlignment="1">
      <alignment horizontal="left"/>
    </xf>
    <xf numFmtId="0" fontId="65" fillId="17" borderId="4" xfId="0" applyFont="1" applyFill="1" applyBorder="1" applyAlignment="1">
      <alignment horizontal="left"/>
    </xf>
    <xf numFmtId="0" fontId="65" fillId="0" borderId="3" xfId="0" applyFont="1" applyBorder="1" applyAlignment="1">
      <alignment horizontal="left"/>
    </xf>
    <xf numFmtId="0" fontId="65" fillId="8" borderId="16" xfId="3" applyFont="1" applyFill="1" applyBorder="1" applyAlignment="1">
      <alignment horizontal="left"/>
    </xf>
    <xf numFmtId="0" fontId="65" fillId="8" borderId="3" xfId="3" applyFont="1" applyFill="1" applyBorder="1" applyAlignment="1">
      <alignment horizontal="left"/>
    </xf>
    <xf numFmtId="0" fontId="65" fillId="8" borderId="4" xfId="3" applyFont="1" applyFill="1" applyBorder="1" applyAlignment="1">
      <alignment horizontal="left"/>
    </xf>
    <xf numFmtId="0" fontId="60" fillId="0" borderId="2" xfId="3" applyFont="1" applyFill="1" applyBorder="1" applyAlignment="1">
      <alignment horizontal="center"/>
    </xf>
    <xf numFmtId="0" fontId="60" fillId="0" borderId="4" xfId="3" applyFont="1" applyFill="1" applyBorder="1" applyAlignment="1">
      <alignment horizontal="center"/>
    </xf>
    <xf numFmtId="0" fontId="60" fillId="2" borderId="1" xfId="4" applyFont="1" applyFill="1" applyBorder="1" applyAlignment="1">
      <alignment horizontal="left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64" fillId="0" borderId="16" xfId="4" applyFont="1" applyFill="1" applyBorder="1" applyAlignment="1">
      <alignment horizontal="left"/>
    </xf>
    <xf numFmtId="0" fontId="64" fillId="0" borderId="3" xfId="4" applyFont="1" applyFill="1" applyBorder="1" applyAlignment="1">
      <alignment horizontal="left"/>
    </xf>
    <xf numFmtId="0" fontId="64" fillId="0" borderId="4" xfId="4" applyFont="1" applyFill="1" applyBorder="1" applyAlignment="1">
      <alignment horizontal="left"/>
    </xf>
    <xf numFmtId="0" fontId="60" fillId="12" borderId="16" xfId="4" applyFont="1" applyFill="1" applyBorder="1" applyAlignment="1">
      <alignment horizontal="left"/>
    </xf>
    <xf numFmtId="0" fontId="60" fillId="12" borderId="3" xfId="4" applyFont="1" applyFill="1" applyBorder="1" applyAlignment="1">
      <alignment horizontal="left"/>
    </xf>
    <xf numFmtId="0" fontId="60" fillId="12" borderId="4" xfId="4" applyFont="1" applyFill="1" applyBorder="1" applyAlignment="1">
      <alignment horizontal="left"/>
    </xf>
    <xf numFmtId="0" fontId="92" fillId="0" borderId="1" xfId="4" applyFont="1" applyBorder="1" applyAlignment="1">
      <alignment horizontal="left"/>
    </xf>
    <xf numFmtId="0" fontId="97" fillId="0" borderId="16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left"/>
    </xf>
    <xf numFmtId="0" fontId="97" fillId="0" borderId="16" xfId="0" applyFont="1" applyBorder="1" applyAlignment="1">
      <alignment horizontal="left"/>
    </xf>
    <xf numFmtId="0" fontId="97" fillId="0" borderId="4" xfId="0" applyFont="1" applyBorder="1" applyAlignment="1">
      <alignment horizontal="left"/>
    </xf>
    <xf numFmtId="0" fontId="88" fillId="17" borderId="16" xfId="0" applyFont="1" applyFill="1" applyBorder="1" applyAlignment="1">
      <alignment horizontal="left"/>
    </xf>
    <xf numFmtId="0" fontId="88" fillId="17" borderId="4" xfId="0" applyFont="1" applyFill="1" applyBorder="1" applyAlignment="1">
      <alignment horizontal="left"/>
    </xf>
    <xf numFmtId="0" fontId="88" fillId="0" borderId="16" xfId="0" applyFont="1" applyBorder="1" applyAlignment="1">
      <alignment horizontal="left"/>
    </xf>
    <xf numFmtId="0" fontId="88" fillId="0" borderId="4" xfId="0" applyFont="1" applyBorder="1" applyAlignment="1">
      <alignment horizontal="left"/>
    </xf>
    <xf numFmtId="0" fontId="88" fillId="18" borderId="16" xfId="0" applyFont="1" applyFill="1" applyBorder="1" applyAlignment="1">
      <alignment horizontal="left"/>
    </xf>
    <xf numFmtId="0" fontId="88" fillId="18" borderId="4" xfId="0" applyFont="1" applyFill="1" applyBorder="1" applyAlignment="1">
      <alignment horizontal="left"/>
    </xf>
    <xf numFmtId="0" fontId="97" fillId="18" borderId="16" xfId="0" applyFont="1" applyFill="1" applyBorder="1" applyAlignment="1">
      <alignment horizontal="left"/>
    </xf>
    <xf numFmtId="0" fontId="97" fillId="18" borderId="4" xfId="0" applyFont="1" applyFill="1" applyBorder="1" applyAlignment="1">
      <alignment horizontal="left"/>
    </xf>
    <xf numFmtId="0" fontId="92" fillId="17" borderId="27" xfId="0" applyFont="1" applyFill="1" applyBorder="1" applyAlignment="1">
      <alignment horizontal="center"/>
    </xf>
    <xf numFmtId="0" fontId="92" fillId="17" borderId="5" xfId="0" applyFont="1" applyFill="1" applyBorder="1" applyAlignment="1">
      <alignment horizontal="center"/>
    </xf>
    <xf numFmtId="0" fontId="88" fillId="0" borderId="3" xfId="0" applyFont="1" applyBorder="1" applyAlignment="1">
      <alignment horizontal="left"/>
    </xf>
    <xf numFmtId="0" fontId="92" fillId="16" borderId="16" xfId="3" applyFont="1" applyFill="1" applyBorder="1" applyAlignment="1">
      <alignment horizontal="left"/>
    </xf>
    <xf numFmtId="0" fontId="92" fillId="16" borderId="3" xfId="3" applyFont="1" applyFill="1" applyBorder="1" applyAlignment="1">
      <alignment horizontal="left"/>
    </xf>
    <xf numFmtId="0" fontId="92" fillId="16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left"/>
    </xf>
    <xf numFmtId="0" fontId="92" fillId="15" borderId="3" xfId="3" applyFont="1" applyFill="1" applyBorder="1" applyAlignment="1">
      <alignment horizontal="left"/>
    </xf>
    <xf numFmtId="0" fontId="92" fillId="15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center"/>
    </xf>
    <xf numFmtId="0" fontId="92" fillId="15" borderId="4" xfId="3" applyFont="1" applyFill="1" applyBorder="1" applyAlignment="1">
      <alignment horizontal="center"/>
    </xf>
    <xf numFmtId="0" fontId="92" fillId="8" borderId="16" xfId="3" applyFont="1" applyFill="1" applyBorder="1" applyAlignment="1">
      <alignment horizontal="left"/>
    </xf>
    <xf numFmtId="0" fontId="92" fillId="8" borderId="3" xfId="3" applyFont="1" applyFill="1" applyBorder="1" applyAlignment="1">
      <alignment horizontal="left"/>
    </xf>
    <xf numFmtId="0" fontId="92" fillId="8" borderId="4" xfId="3" applyFont="1" applyFill="1" applyBorder="1" applyAlignment="1">
      <alignment horizontal="left"/>
    </xf>
    <xf numFmtId="0" fontId="92" fillId="8" borderId="26" xfId="3" applyFont="1" applyFill="1" applyBorder="1" applyAlignment="1">
      <alignment horizontal="left"/>
    </xf>
    <xf numFmtId="0" fontId="92" fillId="8" borderId="10" xfId="3" applyFont="1" applyFill="1" applyBorder="1" applyAlignment="1">
      <alignment horizontal="left"/>
    </xf>
    <xf numFmtId="0" fontId="92" fillId="8" borderId="11" xfId="3" applyFont="1" applyFill="1" applyBorder="1" applyAlignment="1">
      <alignment horizontal="left"/>
    </xf>
    <xf numFmtId="0" fontId="92" fillId="0" borderId="16" xfId="4" applyFont="1" applyBorder="1" applyAlignment="1">
      <alignment horizontal="left"/>
    </xf>
    <xf numFmtId="0" fontId="92" fillId="0" borderId="3" xfId="4" applyFont="1" applyBorder="1" applyAlignment="1">
      <alignment horizontal="left"/>
    </xf>
    <xf numFmtId="0" fontId="92" fillId="0" borderId="4" xfId="4" applyFont="1" applyBorder="1" applyAlignment="1">
      <alignment horizontal="left"/>
    </xf>
    <xf numFmtId="0" fontId="98" fillId="0" borderId="16" xfId="4" applyFont="1" applyBorder="1" applyAlignment="1">
      <alignment horizontal="left"/>
    </xf>
    <xf numFmtId="0" fontId="98" fillId="0" borderId="3" xfId="4" applyFont="1" applyBorder="1" applyAlignment="1">
      <alignment horizontal="left"/>
    </xf>
    <xf numFmtId="0" fontId="98" fillId="0" borderId="4" xfId="4" applyFont="1" applyBorder="1" applyAlignment="1">
      <alignment horizontal="left"/>
    </xf>
    <xf numFmtId="0" fontId="103" fillId="15" borderId="16" xfId="4" applyFont="1" applyFill="1" applyBorder="1" applyAlignment="1">
      <alignment horizontal="left"/>
    </xf>
    <xf numFmtId="0" fontId="103" fillId="15" borderId="3" xfId="4" applyFont="1" applyFill="1" applyBorder="1" applyAlignment="1">
      <alignment horizontal="left"/>
    </xf>
    <xf numFmtId="0" fontId="103" fillId="15" borderId="28" xfId="4" applyFont="1" applyFill="1" applyBorder="1" applyAlignment="1">
      <alignment horizontal="left"/>
    </xf>
    <xf numFmtId="0" fontId="92" fillId="2" borderId="16" xfId="4" applyFont="1" applyFill="1" applyBorder="1" applyAlignment="1">
      <alignment horizontal="left"/>
    </xf>
    <xf numFmtId="0" fontId="92" fillId="2" borderId="3" xfId="4" applyFont="1" applyFill="1" applyBorder="1" applyAlignment="1">
      <alignment horizontal="left"/>
    </xf>
    <xf numFmtId="0" fontId="92" fillId="2" borderId="4" xfId="4" applyFont="1" applyFill="1" applyBorder="1" applyAlignment="1">
      <alignment horizontal="left"/>
    </xf>
    <xf numFmtId="0" fontId="95" fillId="15" borderId="16" xfId="3" applyFont="1" applyFill="1" applyBorder="1" applyAlignment="1">
      <alignment horizontal="center"/>
    </xf>
    <xf numFmtId="0" fontId="95" fillId="15" borderId="3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4" fillId="2" borderId="16" xfId="3" applyFont="1" applyFill="1" applyBorder="1" applyAlignment="1">
      <alignment horizontal="center" vertical="justify"/>
    </xf>
    <xf numFmtId="0" fontId="94" fillId="2" borderId="3" xfId="3" applyFont="1" applyFill="1" applyBorder="1" applyAlignment="1">
      <alignment horizontal="center" vertical="justify"/>
    </xf>
    <xf numFmtId="0" fontId="94" fillId="2" borderId="28" xfId="3" applyFont="1" applyFill="1" applyBorder="1" applyAlignment="1">
      <alignment horizontal="center" vertical="justify"/>
    </xf>
    <xf numFmtId="0" fontId="95" fillId="15" borderId="16" xfId="3" applyFont="1" applyFill="1" applyBorder="1" applyAlignment="1">
      <alignment horizontal="center" vertical="center"/>
    </xf>
    <xf numFmtId="0" fontId="95" fillId="15" borderId="3" xfId="3" applyFont="1" applyFill="1" applyBorder="1" applyAlignment="1">
      <alignment horizontal="center" vertical="center"/>
    </xf>
    <xf numFmtId="0" fontId="95" fillId="15" borderId="4" xfId="3" applyFont="1" applyFill="1" applyBorder="1" applyAlignment="1">
      <alignment horizontal="center" vertical="center"/>
    </xf>
    <xf numFmtId="0" fontId="90" fillId="8" borderId="19" xfId="3" applyFont="1" applyFill="1" applyBorder="1" applyAlignment="1">
      <alignment horizontal="center"/>
    </xf>
    <xf numFmtId="0" fontId="90" fillId="8" borderId="14" xfId="3" applyFont="1" applyFill="1" applyBorder="1" applyAlignment="1">
      <alignment horizontal="center"/>
    </xf>
    <xf numFmtId="0" fontId="90" fillId="8" borderId="20" xfId="3" applyFont="1" applyFill="1" applyBorder="1" applyAlignment="1">
      <alignment horizontal="center"/>
    </xf>
    <xf numFmtId="0" fontId="92" fillId="9" borderId="2" xfId="3" applyFont="1" applyFill="1" applyBorder="1" applyAlignment="1">
      <alignment horizontal="center"/>
    </xf>
    <xf numFmtId="0" fontId="92" fillId="9" borderId="4" xfId="3" applyFont="1" applyFill="1" applyBorder="1" applyAlignment="1">
      <alignment horizontal="center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65" fillId="0" borderId="21" xfId="0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21" xfId="0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5" fillId="18" borderId="2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68" fillId="17" borderId="21" xfId="0" applyFont="1" applyFill="1" applyBorder="1" applyAlignment="1">
      <alignment horizontal="left"/>
    </xf>
    <xf numFmtId="0" fontId="68" fillId="17" borderId="1" xfId="0" applyFont="1" applyFill="1" applyBorder="1" applyAlignment="1">
      <alignment horizontal="left"/>
    </xf>
    <xf numFmtId="0" fontId="68" fillId="0" borderId="2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77" fillId="15" borderId="21" xfId="3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0" fontId="77" fillId="15" borderId="21" xfId="3" applyFont="1" applyFill="1" applyBorder="1" applyAlignment="1">
      <alignment horizontal="center"/>
    </xf>
    <xf numFmtId="0" fontId="77" fillId="15" borderId="1" xfId="3" applyFont="1" applyFill="1" applyBorder="1" applyAlignment="1">
      <alignment horizontal="center"/>
    </xf>
    <xf numFmtId="0" fontId="53" fillId="15" borderId="21" xfId="4" applyFont="1" applyFill="1" applyBorder="1" applyAlignment="1">
      <alignment horizontal="left"/>
    </xf>
    <xf numFmtId="0" fontId="53" fillId="15" borderId="1" xfId="4" applyFont="1" applyFill="1" applyBorder="1" applyAlignment="1">
      <alignment horizontal="left"/>
    </xf>
    <xf numFmtId="0" fontId="53" fillId="15" borderId="15" xfId="4" applyFont="1" applyFill="1" applyBorder="1" applyAlignment="1">
      <alignment horizontal="left"/>
    </xf>
    <xf numFmtId="0" fontId="49" fillId="2" borderId="21" xfId="3" applyFont="1" applyFill="1" applyBorder="1" applyAlignment="1">
      <alignment horizontal="center" vertical="justify"/>
    </xf>
    <xf numFmtId="0" fontId="49" fillId="2" borderId="1" xfId="3" applyFont="1" applyFill="1" applyBorder="1" applyAlignment="1">
      <alignment horizontal="center" vertical="justify"/>
    </xf>
    <xf numFmtId="0" fontId="49" fillId="2" borderId="15" xfId="3" applyFont="1" applyFill="1" applyBorder="1" applyAlignment="1">
      <alignment horizontal="center" vertical="justify"/>
    </xf>
    <xf numFmtId="0" fontId="60" fillId="0" borderId="21" xfId="4" applyFont="1" applyBorder="1" applyAlignment="1">
      <alignment horizontal="left"/>
    </xf>
    <xf numFmtId="0" fontId="60" fillId="2" borderId="21" xfId="4" applyFont="1" applyFill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59" fillId="16" borderId="21" xfId="3" applyFont="1" applyFill="1" applyBorder="1" applyAlignment="1">
      <alignment horizontal="left"/>
    </xf>
    <xf numFmtId="0" fontId="59" fillId="16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center"/>
    </xf>
    <xf numFmtId="0" fontId="59" fillId="15" borderId="1" xfId="3" applyFont="1" applyFill="1" applyBorder="1" applyAlignment="1">
      <alignment horizontal="center"/>
    </xf>
    <xf numFmtId="0" fontId="60" fillId="17" borderId="33" xfId="0" applyFont="1" applyFill="1" applyBorder="1" applyAlignment="1">
      <alignment horizontal="center"/>
    </xf>
    <xf numFmtId="0" fontId="60" fillId="17" borderId="0" xfId="0" applyFont="1" applyFill="1" applyBorder="1" applyAlignment="1">
      <alignment horizontal="center"/>
    </xf>
    <xf numFmtId="0" fontId="60" fillId="8" borderId="22" xfId="3" applyFont="1" applyFill="1" applyBorder="1" applyAlignment="1">
      <alignment horizontal="left"/>
    </xf>
    <xf numFmtId="0" fontId="60" fillId="8" borderId="7" xfId="3" applyFont="1" applyFill="1" applyBorder="1" applyAlignment="1">
      <alignment horizontal="left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5" fillId="0" borderId="16" xfId="4" applyFont="1" applyBorder="1" applyAlignment="1">
      <alignment horizontal="left"/>
    </xf>
    <xf numFmtId="0" fontId="5" fillId="0" borderId="3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0" fontId="31" fillId="0" borderId="2" xfId="4" applyFont="1" applyBorder="1" applyAlignment="1">
      <alignment horizontal="left"/>
    </xf>
    <xf numFmtId="0" fontId="31" fillId="0" borderId="3" xfId="4" applyFont="1" applyBorder="1" applyAlignment="1">
      <alignment horizontal="left"/>
    </xf>
    <xf numFmtId="0" fontId="31" fillId="0" borderId="4" xfId="4" applyFont="1" applyBorder="1" applyAlignment="1">
      <alignment horizontal="left"/>
    </xf>
    <xf numFmtId="0" fontId="19" fillId="0" borderId="2" xfId="4" applyFont="1" applyBorder="1" applyAlignment="1">
      <alignment horizontal="left"/>
    </xf>
    <xf numFmtId="0" fontId="19" fillId="0" borderId="3" xfId="4" applyFont="1" applyBorder="1" applyAlignment="1">
      <alignment horizontal="left"/>
    </xf>
    <xf numFmtId="0" fontId="19" fillId="0" borderId="4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0" fontId="34" fillId="10" borderId="2" xfId="3" applyFont="1" applyFill="1" applyBorder="1" applyAlignment="1">
      <alignment horizontal="center"/>
    </xf>
    <xf numFmtId="0" fontId="34" fillId="10" borderId="3" xfId="3" applyFont="1" applyFill="1" applyBorder="1" applyAlignment="1">
      <alignment horizontal="center"/>
    </xf>
    <xf numFmtId="0" fontId="34" fillId="10" borderId="4" xfId="3" applyFont="1" applyFill="1" applyBorder="1" applyAlignment="1">
      <alignment horizontal="center"/>
    </xf>
    <xf numFmtId="0" fontId="34" fillId="10" borderId="2" xfId="3" applyFont="1" applyFill="1" applyBorder="1" applyAlignment="1">
      <alignment horizontal="center" vertical="center"/>
    </xf>
    <xf numFmtId="0" fontId="34" fillId="10" borderId="3" xfId="3" applyFont="1" applyFill="1" applyBorder="1" applyAlignment="1">
      <alignment horizontal="center" vertical="center"/>
    </xf>
    <xf numFmtId="0" fontId="34" fillId="10" borderId="4" xfId="3" applyFont="1" applyFill="1" applyBorder="1" applyAlignment="1">
      <alignment horizontal="center" vertical="center"/>
    </xf>
    <xf numFmtId="0" fontId="33" fillId="8" borderId="5" xfId="3" applyFont="1" applyFill="1" applyBorder="1" applyAlignment="1">
      <alignment horizontal="center"/>
    </xf>
    <xf numFmtId="166" fontId="20" fillId="9" borderId="2" xfId="3" applyNumberFormat="1" applyFont="1" applyFill="1" applyBorder="1" applyAlignment="1">
      <alignment horizontal="left"/>
    </xf>
    <xf numFmtId="166" fontId="20" fillId="9" borderId="4" xfId="3" applyNumberFormat="1" applyFont="1" applyFill="1" applyBorder="1" applyAlignment="1">
      <alignment horizontal="left"/>
    </xf>
    <xf numFmtId="0" fontId="19" fillId="2" borderId="2" xfId="3" applyFont="1" applyFill="1" applyBorder="1" applyAlignment="1">
      <alignment horizontal="center" vertical="justify"/>
    </xf>
    <xf numFmtId="0" fontId="19" fillId="2" borderId="3" xfId="3" applyFont="1" applyFill="1" applyBorder="1" applyAlignment="1">
      <alignment horizontal="center" vertical="justify"/>
    </xf>
    <xf numFmtId="0" fontId="19" fillId="2" borderId="4" xfId="3" applyFont="1" applyFill="1" applyBorder="1" applyAlignment="1">
      <alignment horizontal="center" vertical="justify"/>
    </xf>
    <xf numFmtId="0" fontId="19" fillId="11" borderId="2" xfId="3" applyFont="1" applyFill="1" applyBorder="1" applyAlignment="1">
      <alignment horizontal="center"/>
    </xf>
    <xf numFmtId="0" fontId="19" fillId="11" borderId="4" xfId="3" applyFont="1" applyFill="1" applyBorder="1" applyAlignment="1">
      <alignment horizontal="center"/>
    </xf>
    <xf numFmtId="0" fontId="34" fillId="10" borderId="17" xfId="3" applyFont="1" applyFill="1" applyBorder="1" applyAlignment="1">
      <alignment horizontal="center" vertical="center"/>
    </xf>
    <xf numFmtId="0" fontId="34" fillId="10" borderId="14" xfId="3" applyFont="1" applyFill="1" applyBorder="1" applyAlignment="1">
      <alignment horizontal="center" vertical="center"/>
    </xf>
    <xf numFmtId="0" fontId="34" fillId="10" borderId="18" xfId="3" applyFont="1" applyFill="1" applyBorder="1" applyAlignment="1">
      <alignment horizontal="center" vertic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35" fillId="9" borderId="4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47" fillId="0" borderId="2" xfId="4" applyFont="1" applyBorder="1" applyAlignment="1">
      <alignment horizontal="left"/>
    </xf>
    <xf numFmtId="0" fontId="47" fillId="0" borderId="3" xfId="4" applyFont="1" applyBorder="1" applyAlignment="1">
      <alignment horizontal="left"/>
    </xf>
    <xf numFmtId="0" fontId="47" fillId="0" borderId="4" xfId="4" applyFont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6" fillId="16" borderId="2" xfId="3" applyFont="1" applyFill="1" applyBorder="1" applyAlignment="1">
      <alignment horizontal="left"/>
    </xf>
    <xf numFmtId="0" fontId="36" fillId="16" borderId="3" xfId="3" applyFont="1" applyFill="1" applyBorder="1" applyAlignment="1">
      <alignment horizontal="left"/>
    </xf>
    <xf numFmtId="0" fontId="36" fillId="16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31</c:v>
                </c:pt>
                <c:pt idx="1">
                  <c:v>31.620000000002619</c:v>
                </c:pt>
                <c:pt idx="2">
                  <c:v>23.94999999999709</c:v>
                </c:pt>
                <c:pt idx="3">
                  <c:v>25.430000000000291</c:v>
                </c:pt>
                <c:pt idx="4">
                  <c:v>24</c:v>
                </c:pt>
                <c:pt idx="5">
                  <c:v>25.56000000000131</c:v>
                </c:pt>
                <c:pt idx="6">
                  <c:v>26</c:v>
                </c:pt>
                <c:pt idx="7">
                  <c:v>24</c:v>
                </c:pt>
                <c:pt idx="8">
                  <c:v>23.510000000002037</c:v>
                </c:pt>
                <c:pt idx="9">
                  <c:v>32.169999999998254</c:v>
                </c:pt>
                <c:pt idx="10">
                  <c:v>23.810000000004948</c:v>
                </c:pt>
                <c:pt idx="11">
                  <c:v>23.739999999997963</c:v>
                </c:pt>
                <c:pt idx="12">
                  <c:v>24.309999999997672</c:v>
                </c:pt>
                <c:pt idx="13">
                  <c:v>24.110000000000582</c:v>
                </c:pt>
                <c:pt idx="14">
                  <c:v>23.980000000003201</c:v>
                </c:pt>
                <c:pt idx="15">
                  <c:v>23.940000000002328</c:v>
                </c:pt>
                <c:pt idx="16">
                  <c:v>24.159999999996217</c:v>
                </c:pt>
                <c:pt idx="17">
                  <c:v>23.889999999999418</c:v>
                </c:pt>
                <c:pt idx="18">
                  <c:v>24.409999999999854</c:v>
                </c:pt>
                <c:pt idx="19">
                  <c:v>24</c:v>
                </c:pt>
                <c:pt idx="20">
                  <c:v>24</c:v>
                </c:pt>
                <c:pt idx="21">
                  <c:v>24.010000000002037</c:v>
                </c:pt>
                <c:pt idx="22">
                  <c:v>23.769999999996799</c:v>
                </c:pt>
                <c:pt idx="23">
                  <c:v>24</c:v>
                </c:pt>
                <c:pt idx="24">
                  <c:v>29.610000000000582</c:v>
                </c:pt>
                <c:pt idx="25">
                  <c:v>23.80000000000291</c:v>
                </c:pt>
                <c:pt idx="26">
                  <c:v>25.459999999999127</c:v>
                </c:pt>
                <c:pt idx="27">
                  <c:v>24.179999999996653</c:v>
                </c:pt>
                <c:pt idx="28">
                  <c:v>24.340000000000146</c:v>
                </c:pt>
                <c:pt idx="29">
                  <c:v>26.160000000003492</c:v>
                </c:pt>
                <c:pt idx="30">
                  <c:v>-759.4800000000032</c:v>
                </c:pt>
                <c:pt idx="31">
                  <c:v>-2.5599999999976717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30232320"/>
        <c:axId val="130233856"/>
      </c:lineChart>
      <c:catAx>
        <c:axId val="13023232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33856"/>
        <c:crosses val="autoZero"/>
        <c:auto val="1"/>
        <c:lblAlgn val="ctr"/>
        <c:lblOffset val="100"/>
      </c:catAx>
      <c:valAx>
        <c:axId val="130233856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30232320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12.960000000006403</c:v>
                </c:pt>
                <c:pt idx="1">
                  <c:v>16.569999999996071</c:v>
                </c:pt>
                <c:pt idx="2">
                  <c:v>14.399999999990541</c:v>
                </c:pt>
                <c:pt idx="3">
                  <c:v>13.409999999999854</c:v>
                </c:pt>
                <c:pt idx="4">
                  <c:v>11.77000000001135</c:v>
                </c:pt>
                <c:pt idx="5">
                  <c:v>12.029999999998836</c:v>
                </c:pt>
                <c:pt idx="6">
                  <c:v>10.880000000001019</c:v>
                </c:pt>
                <c:pt idx="7">
                  <c:v>13.119999999988067</c:v>
                </c:pt>
                <c:pt idx="8">
                  <c:v>12.77000000001135</c:v>
                </c:pt>
                <c:pt idx="9">
                  <c:v>8.8099999999976717</c:v>
                </c:pt>
                <c:pt idx="10">
                  <c:v>10.680000000000291</c:v>
                </c:pt>
                <c:pt idx="11">
                  <c:v>9.3100000000013097</c:v>
                </c:pt>
                <c:pt idx="12">
                  <c:v>11.849999999994907</c:v>
                </c:pt>
                <c:pt idx="13">
                  <c:v>10.200000000008004</c:v>
                </c:pt>
                <c:pt idx="14">
                  <c:v>9.3499999999876309</c:v>
                </c:pt>
                <c:pt idx="15">
                  <c:v>10.180000000000291</c:v>
                </c:pt>
                <c:pt idx="16">
                  <c:v>10.029999999998836</c:v>
                </c:pt>
                <c:pt idx="17">
                  <c:v>10.210000000006403</c:v>
                </c:pt>
                <c:pt idx="18">
                  <c:v>8.7200000000011642</c:v>
                </c:pt>
                <c:pt idx="19">
                  <c:v>9.6999999999934516</c:v>
                </c:pt>
                <c:pt idx="20">
                  <c:v>9.1000000000094587</c:v>
                </c:pt>
                <c:pt idx="21">
                  <c:v>9.5599999999903957</c:v>
                </c:pt>
                <c:pt idx="22">
                  <c:v>10.700000000004366</c:v>
                </c:pt>
                <c:pt idx="23">
                  <c:v>9.7999999999992724</c:v>
                </c:pt>
                <c:pt idx="24">
                  <c:v>9.7999999999992724</c:v>
                </c:pt>
                <c:pt idx="25">
                  <c:v>7.6300000000010186</c:v>
                </c:pt>
                <c:pt idx="26">
                  <c:v>7.2999999999992724</c:v>
                </c:pt>
                <c:pt idx="27">
                  <c:v>7.7599999999911233</c:v>
                </c:pt>
                <c:pt idx="28">
                  <c:v>7.6299999999973807</c:v>
                </c:pt>
                <c:pt idx="29">
                  <c:v>9.0500000000029104</c:v>
                </c:pt>
                <c:pt idx="30">
                  <c:v>-315.5199999999968</c:v>
                </c:pt>
                <c:pt idx="31">
                  <c:v>-0.24000000000887667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30267008"/>
        <c:axId val="130268544"/>
      </c:lineChart>
      <c:catAx>
        <c:axId val="13026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68544"/>
        <c:crosses val="autoZero"/>
        <c:auto val="1"/>
        <c:lblAlgn val="ctr"/>
        <c:lblOffset val="100"/>
      </c:catAx>
      <c:valAx>
        <c:axId val="130268544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67008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6414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193</c:v>
                </c:pt>
                <c:pt idx="1">
                  <c:v>173</c:v>
                </c:pt>
                <c:pt idx="2">
                  <c:v>153</c:v>
                </c:pt>
                <c:pt idx="3">
                  <c:v>174</c:v>
                </c:pt>
                <c:pt idx="4">
                  <c:v>178</c:v>
                </c:pt>
                <c:pt idx="5">
                  <c:v>156</c:v>
                </c:pt>
                <c:pt idx="6">
                  <c:v>157</c:v>
                </c:pt>
                <c:pt idx="7">
                  <c:v>156</c:v>
                </c:pt>
                <c:pt idx="8">
                  <c:v>143</c:v>
                </c:pt>
                <c:pt idx="9">
                  <c:v>143</c:v>
                </c:pt>
                <c:pt idx="10">
                  <c:v>137</c:v>
                </c:pt>
                <c:pt idx="11">
                  <c:v>141</c:v>
                </c:pt>
                <c:pt idx="12">
                  <c:v>142</c:v>
                </c:pt>
                <c:pt idx="13">
                  <c:v>133</c:v>
                </c:pt>
                <c:pt idx="14">
                  <c:v>138</c:v>
                </c:pt>
                <c:pt idx="15">
                  <c:v>136</c:v>
                </c:pt>
                <c:pt idx="16">
                  <c:v>138</c:v>
                </c:pt>
                <c:pt idx="17">
                  <c:v>157</c:v>
                </c:pt>
                <c:pt idx="18">
                  <c:v>151</c:v>
                </c:pt>
                <c:pt idx="19">
                  <c:v>141</c:v>
                </c:pt>
                <c:pt idx="20">
                  <c:v>158</c:v>
                </c:pt>
                <c:pt idx="21">
                  <c:v>159</c:v>
                </c:pt>
                <c:pt idx="22">
                  <c:v>138</c:v>
                </c:pt>
                <c:pt idx="23">
                  <c:v>194</c:v>
                </c:pt>
                <c:pt idx="24">
                  <c:v>133</c:v>
                </c:pt>
                <c:pt idx="25">
                  <c:v>159</c:v>
                </c:pt>
                <c:pt idx="26">
                  <c:v>112</c:v>
                </c:pt>
                <c:pt idx="27">
                  <c:v>116</c:v>
                </c:pt>
                <c:pt idx="28">
                  <c:v>75</c:v>
                </c:pt>
                <c:pt idx="29">
                  <c:v>114</c:v>
                </c:pt>
                <c:pt idx="30">
                  <c:v>-1572</c:v>
                </c:pt>
                <c:pt idx="31">
                  <c:v>2826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31490176"/>
        <c:axId val="131491712"/>
      </c:lineChart>
      <c:catAx>
        <c:axId val="131490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91712"/>
        <c:crosses val="autoZero"/>
        <c:auto val="1"/>
        <c:lblAlgn val="ctr"/>
        <c:lblOffset val="100"/>
      </c:catAx>
      <c:valAx>
        <c:axId val="131491712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90176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630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969</c:v>
                </c:pt>
                <c:pt idx="1">
                  <c:v>982</c:v>
                </c:pt>
                <c:pt idx="2">
                  <c:v>1003</c:v>
                </c:pt>
                <c:pt idx="3">
                  <c:v>978</c:v>
                </c:pt>
                <c:pt idx="4">
                  <c:v>935</c:v>
                </c:pt>
                <c:pt idx="5">
                  <c:v>883</c:v>
                </c:pt>
                <c:pt idx="6">
                  <c:v>898</c:v>
                </c:pt>
                <c:pt idx="7">
                  <c:v>952.0319999998901</c:v>
                </c:pt>
                <c:pt idx="8">
                  <c:v>903.46000000019558</c:v>
                </c:pt>
                <c:pt idx="9">
                  <c:v>791.61999999987893</c:v>
                </c:pt>
                <c:pt idx="10">
                  <c:v>846.82799999997951</c:v>
                </c:pt>
                <c:pt idx="11">
                  <c:v>774.06000000005588</c:v>
                </c:pt>
                <c:pt idx="12">
                  <c:v>805.97999999998137</c:v>
                </c:pt>
                <c:pt idx="13">
                  <c:v>821.02000000001863</c:v>
                </c:pt>
                <c:pt idx="14">
                  <c:v>807.75</c:v>
                </c:pt>
                <c:pt idx="15">
                  <c:v>832.25</c:v>
                </c:pt>
                <c:pt idx="16">
                  <c:v>799</c:v>
                </c:pt>
                <c:pt idx="17">
                  <c:v>776</c:v>
                </c:pt>
                <c:pt idx="18">
                  <c:v>733</c:v>
                </c:pt>
                <c:pt idx="19">
                  <c:v>772</c:v>
                </c:pt>
                <c:pt idx="20">
                  <c:v>700</c:v>
                </c:pt>
                <c:pt idx="21">
                  <c:v>767</c:v>
                </c:pt>
                <c:pt idx="22">
                  <c:v>824.37599999993108</c:v>
                </c:pt>
                <c:pt idx="23">
                  <c:v>817.29200000013225</c:v>
                </c:pt>
                <c:pt idx="24">
                  <c:v>698.87399999983609</c:v>
                </c:pt>
                <c:pt idx="25">
                  <c:v>688.53800000017509</c:v>
                </c:pt>
                <c:pt idx="26">
                  <c:v>627.37899999995716</c:v>
                </c:pt>
                <c:pt idx="27">
                  <c:v>461.80099999997765</c:v>
                </c:pt>
                <c:pt idx="28">
                  <c:v>643.03000000002794</c:v>
                </c:pt>
                <c:pt idx="29">
                  <c:v>476.70999999996275</c:v>
                </c:pt>
                <c:pt idx="30">
                  <c:v>-23968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31536768"/>
        <c:axId val="131538304"/>
      </c:lineChart>
      <c:catAx>
        <c:axId val="131536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38304"/>
        <c:crosses val="autoZero"/>
        <c:auto val="1"/>
        <c:lblAlgn val="ctr"/>
        <c:lblOffset val="100"/>
      </c:catAx>
      <c:valAx>
        <c:axId val="131538304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36768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213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4092</c:v>
                </c:pt>
                <c:pt idx="1">
                  <c:v>3883</c:v>
                </c:pt>
                <c:pt idx="2">
                  <c:v>3855</c:v>
                </c:pt>
                <c:pt idx="3">
                  <c:v>3932</c:v>
                </c:pt>
                <c:pt idx="4">
                  <c:v>3871</c:v>
                </c:pt>
                <c:pt idx="5">
                  <c:v>3819</c:v>
                </c:pt>
                <c:pt idx="6">
                  <c:v>3506</c:v>
                </c:pt>
                <c:pt idx="7">
                  <c:v>3493.2900000000081</c:v>
                </c:pt>
                <c:pt idx="8">
                  <c:v>3332.679999999993</c:v>
                </c:pt>
                <c:pt idx="9">
                  <c:v>3233.5</c:v>
                </c:pt>
                <c:pt idx="10">
                  <c:v>3367.2030000000086</c:v>
                </c:pt>
                <c:pt idx="11">
                  <c:v>3173.3269999999902</c:v>
                </c:pt>
                <c:pt idx="12">
                  <c:v>2995</c:v>
                </c:pt>
                <c:pt idx="13">
                  <c:v>2960</c:v>
                </c:pt>
                <c:pt idx="14">
                  <c:v>2830</c:v>
                </c:pt>
                <c:pt idx="15">
                  <c:v>2841</c:v>
                </c:pt>
                <c:pt idx="16">
                  <c:v>2947</c:v>
                </c:pt>
                <c:pt idx="17">
                  <c:v>2785</c:v>
                </c:pt>
                <c:pt idx="18">
                  <c:v>2793</c:v>
                </c:pt>
                <c:pt idx="19">
                  <c:v>2847</c:v>
                </c:pt>
                <c:pt idx="20">
                  <c:v>2797</c:v>
                </c:pt>
                <c:pt idx="21">
                  <c:v>2834</c:v>
                </c:pt>
                <c:pt idx="22">
                  <c:v>2983.890000000014</c:v>
                </c:pt>
                <c:pt idx="23">
                  <c:v>2938.1599999999744</c:v>
                </c:pt>
                <c:pt idx="24">
                  <c:v>3062.7000000000116</c:v>
                </c:pt>
                <c:pt idx="25">
                  <c:v>2911.359999999986</c:v>
                </c:pt>
                <c:pt idx="26">
                  <c:v>2737.2600000000093</c:v>
                </c:pt>
                <c:pt idx="27">
                  <c:v>2862.8999999999942</c:v>
                </c:pt>
                <c:pt idx="28">
                  <c:v>1955.1800000000221</c:v>
                </c:pt>
                <c:pt idx="29">
                  <c:v>2192.5499999999884</c:v>
                </c:pt>
                <c:pt idx="30">
                  <c:v>-93831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521</c:v>
                </c:pt>
                <c:pt idx="1">
                  <c:v>0</c:v>
                </c:pt>
                <c:pt idx="2">
                  <c:v>0</c:v>
                </c:pt>
                <c:pt idx="3">
                  <c:v>339</c:v>
                </c:pt>
                <c:pt idx="4">
                  <c:v>215</c:v>
                </c:pt>
                <c:pt idx="5">
                  <c:v>212</c:v>
                </c:pt>
                <c:pt idx="6">
                  <c:v>563</c:v>
                </c:pt>
                <c:pt idx="7">
                  <c:v>630.34999999997672</c:v>
                </c:pt>
                <c:pt idx="8">
                  <c:v>636.80000000004657</c:v>
                </c:pt>
                <c:pt idx="9">
                  <c:v>569.79999999998836</c:v>
                </c:pt>
                <c:pt idx="10">
                  <c:v>534.20000000001164</c:v>
                </c:pt>
                <c:pt idx="11">
                  <c:v>561.84999999997672</c:v>
                </c:pt>
                <c:pt idx="12">
                  <c:v>551</c:v>
                </c:pt>
                <c:pt idx="13">
                  <c:v>579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534</c:v>
                </c:pt>
                <c:pt idx="19">
                  <c:v>0</c:v>
                </c:pt>
                <c:pt idx="20">
                  <c:v>557</c:v>
                </c:pt>
                <c:pt idx="21">
                  <c:v>530</c:v>
                </c:pt>
                <c:pt idx="22">
                  <c:v>583.22999999998137</c:v>
                </c:pt>
                <c:pt idx="23">
                  <c:v>577.76000000000931</c:v>
                </c:pt>
                <c:pt idx="24">
                  <c:v>567.82000000000698</c:v>
                </c:pt>
                <c:pt idx="25">
                  <c:v>612.14000000001397</c:v>
                </c:pt>
                <c:pt idx="26">
                  <c:v>582.35999999998603</c:v>
                </c:pt>
                <c:pt idx="27">
                  <c:v>571.84000000002561</c:v>
                </c:pt>
                <c:pt idx="28">
                  <c:v>533.63999999995576</c:v>
                </c:pt>
                <c:pt idx="29">
                  <c:v>575.21000000002095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31576576"/>
        <c:axId val="131578112"/>
      </c:lineChart>
      <c:catAx>
        <c:axId val="131576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78112"/>
        <c:crosses val="autoZero"/>
        <c:auto val="1"/>
        <c:lblAlgn val="ctr"/>
        <c:lblOffset val="100"/>
      </c:catAx>
      <c:valAx>
        <c:axId val="131578112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76576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3430</c:v>
                </c:pt>
                <c:pt idx="1">
                  <c:v>3377</c:v>
                </c:pt>
                <c:pt idx="2">
                  <c:v>3065</c:v>
                </c:pt>
                <c:pt idx="3">
                  <c:v>3476</c:v>
                </c:pt>
                <c:pt idx="4">
                  <c:v>3595</c:v>
                </c:pt>
                <c:pt idx="5">
                  <c:v>3323</c:v>
                </c:pt>
                <c:pt idx="6">
                  <c:v>3389</c:v>
                </c:pt>
                <c:pt idx="7">
                  <c:v>3315.109999999986</c:v>
                </c:pt>
                <c:pt idx="8">
                  <c:v>3370.5600000000559</c:v>
                </c:pt>
                <c:pt idx="9">
                  <c:v>3180.7199999999721</c:v>
                </c:pt>
                <c:pt idx="10">
                  <c:v>3122.7199999999721</c:v>
                </c:pt>
                <c:pt idx="11">
                  <c:v>2973.890000000014</c:v>
                </c:pt>
                <c:pt idx="12">
                  <c:v>2879</c:v>
                </c:pt>
                <c:pt idx="13">
                  <c:v>2806</c:v>
                </c:pt>
                <c:pt idx="14">
                  <c:v>2727</c:v>
                </c:pt>
                <c:pt idx="15">
                  <c:v>2622</c:v>
                </c:pt>
                <c:pt idx="16">
                  <c:v>2618</c:v>
                </c:pt>
                <c:pt idx="17">
                  <c:v>2568</c:v>
                </c:pt>
                <c:pt idx="18">
                  <c:v>2735</c:v>
                </c:pt>
                <c:pt idx="19">
                  <c:v>2817</c:v>
                </c:pt>
                <c:pt idx="20">
                  <c:v>2824</c:v>
                </c:pt>
                <c:pt idx="21">
                  <c:v>2785</c:v>
                </c:pt>
                <c:pt idx="22">
                  <c:v>2814.390000000014</c:v>
                </c:pt>
                <c:pt idx="23">
                  <c:v>2831.359999999986</c:v>
                </c:pt>
                <c:pt idx="24">
                  <c:v>3053.25</c:v>
                </c:pt>
                <c:pt idx="25">
                  <c:v>3075.9499999999534</c:v>
                </c:pt>
                <c:pt idx="26">
                  <c:v>2619.3600000001024</c:v>
                </c:pt>
                <c:pt idx="27">
                  <c:v>2189.6799999999348</c:v>
                </c:pt>
                <c:pt idx="28">
                  <c:v>2054.0400000000373</c:v>
                </c:pt>
                <c:pt idx="29">
                  <c:v>2432.9699999999721</c:v>
                </c:pt>
                <c:pt idx="30">
                  <c:v>-88070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31705472"/>
        <c:axId val="131707264"/>
      </c:lineChart>
      <c:catAx>
        <c:axId val="131705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07264"/>
        <c:crosses val="autoZero"/>
        <c:auto val="1"/>
        <c:lblAlgn val="ctr"/>
        <c:lblOffset val="100"/>
      </c:catAx>
      <c:valAx>
        <c:axId val="131707264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0547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0.65</c:v>
                </c:pt>
                <c:pt idx="1">
                  <c:v>0.97</c:v>
                </c:pt>
                <c:pt idx="2">
                  <c:v>1</c:v>
                </c:pt>
                <c:pt idx="3">
                  <c:v>0.8</c:v>
                </c:pt>
                <c:pt idx="4">
                  <c:v>0.85</c:v>
                </c:pt>
                <c:pt idx="5">
                  <c:v>0.8</c:v>
                </c:pt>
                <c:pt idx="6">
                  <c:v>0.81</c:v>
                </c:pt>
                <c:pt idx="7">
                  <c:v>0.41</c:v>
                </c:pt>
                <c:pt idx="8">
                  <c:v>0.45</c:v>
                </c:pt>
                <c:pt idx="9">
                  <c:v>0.42</c:v>
                </c:pt>
                <c:pt idx="10">
                  <c:v>0.37</c:v>
                </c:pt>
                <c:pt idx="11">
                  <c:v>0.63</c:v>
                </c:pt>
                <c:pt idx="12">
                  <c:v>0.65</c:v>
                </c:pt>
                <c:pt idx="13">
                  <c:v>0.63</c:v>
                </c:pt>
                <c:pt idx="14">
                  <c:v>0.89</c:v>
                </c:pt>
                <c:pt idx="15">
                  <c:v>0.92</c:v>
                </c:pt>
                <c:pt idx="16">
                  <c:v>0.7</c:v>
                </c:pt>
                <c:pt idx="17">
                  <c:v>0.46</c:v>
                </c:pt>
                <c:pt idx="18">
                  <c:v>0.77</c:v>
                </c:pt>
                <c:pt idx="19">
                  <c:v>0.77</c:v>
                </c:pt>
                <c:pt idx="20">
                  <c:v>0.76</c:v>
                </c:pt>
                <c:pt idx="21">
                  <c:v>0.76</c:v>
                </c:pt>
                <c:pt idx="22">
                  <c:v>0.52</c:v>
                </c:pt>
                <c:pt idx="23">
                  <c:v>0.63</c:v>
                </c:pt>
                <c:pt idx="24">
                  <c:v>0.54</c:v>
                </c:pt>
                <c:pt idx="25">
                  <c:v>0.54</c:v>
                </c:pt>
                <c:pt idx="26">
                  <c:v>0.49</c:v>
                </c:pt>
                <c:pt idx="27">
                  <c:v>0.52</c:v>
                </c:pt>
                <c:pt idx="28">
                  <c:v>0.67</c:v>
                </c:pt>
                <c:pt idx="29">
                  <c:v>0.77</c:v>
                </c:pt>
                <c:pt idx="30">
                  <c:v>0.66</c:v>
                </c:pt>
                <c:pt idx="31">
                  <c:v>0.67129032258064514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31608960"/>
        <c:axId val="131610496"/>
      </c:lineChart>
      <c:catAx>
        <c:axId val="131608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10496"/>
        <c:crosses val="autoZero"/>
        <c:auto val="1"/>
        <c:lblAlgn val="ctr"/>
        <c:lblOffset val="100"/>
      </c:catAx>
      <c:valAx>
        <c:axId val="13161049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3160896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251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251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251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23696</c:v>
                </c:pt>
                <c:pt idx="1">
                  <c:v>22156</c:v>
                </c:pt>
                <c:pt idx="2">
                  <c:v>21071</c:v>
                </c:pt>
                <c:pt idx="3">
                  <c:v>21717</c:v>
                </c:pt>
                <c:pt idx="4">
                  <c:v>21598</c:v>
                </c:pt>
                <c:pt idx="5">
                  <c:v>20745</c:v>
                </c:pt>
                <c:pt idx="6">
                  <c:v>21932</c:v>
                </c:pt>
                <c:pt idx="7">
                  <c:v>21591</c:v>
                </c:pt>
                <c:pt idx="8">
                  <c:v>21971</c:v>
                </c:pt>
                <c:pt idx="9">
                  <c:v>20828</c:v>
                </c:pt>
                <c:pt idx="10">
                  <c:v>20879</c:v>
                </c:pt>
                <c:pt idx="11">
                  <c:v>20466</c:v>
                </c:pt>
                <c:pt idx="12">
                  <c:v>20135</c:v>
                </c:pt>
                <c:pt idx="13">
                  <c:v>20889</c:v>
                </c:pt>
                <c:pt idx="14">
                  <c:v>20167</c:v>
                </c:pt>
                <c:pt idx="15">
                  <c:v>20156</c:v>
                </c:pt>
                <c:pt idx="16">
                  <c:v>20298</c:v>
                </c:pt>
                <c:pt idx="17">
                  <c:v>19993</c:v>
                </c:pt>
                <c:pt idx="18">
                  <c:v>20300</c:v>
                </c:pt>
                <c:pt idx="19">
                  <c:v>20160</c:v>
                </c:pt>
                <c:pt idx="20">
                  <c:v>19605</c:v>
                </c:pt>
                <c:pt idx="21">
                  <c:v>19762</c:v>
                </c:pt>
                <c:pt idx="22">
                  <c:v>19931</c:v>
                </c:pt>
                <c:pt idx="23">
                  <c:v>19964</c:v>
                </c:pt>
                <c:pt idx="24">
                  <c:v>22296</c:v>
                </c:pt>
                <c:pt idx="25">
                  <c:v>20533</c:v>
                </c:pt>
                <c:pt idx="26">
                  <c:v>17995</c:v>
                </c:pt>
                <c:pt idx="27">
                  <c:v>17985</c:v>
                </c:pt>
                <c:pt idx="28">
                  <c:v>15953</c:v>
                </c:pt>
                <c:pt idx="29">
                  <c:v>23482</c:v>
                </c:pt>
                <c:pt idx="30">
                  <c:v>23482</c:v>
                </c:pt>
                <c:pt idx="31">
                  <c:v>641736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31795200"/>
        <c:axId val="131801088"/>
      </c:lineChart>
      <c:catAx>
        <c:axId val="131795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01088"/>
        <c:crosses val="autoZero"/>
        <c:auto val="1"/>
        <c:lblAlgn val="ctr"/>
        <c:lblOffset val="100"/>
      </c:catAx>
      <c:valAx>
        <c:axId val="131801088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95200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8.3599999999996726</c:v>
                </c:pt>
                <c:pt idx="1">
                  <c:v>7.5399999999999636</c:v>
                </c:pt>
                <c:pt idx="2">
                  <c:v>8.8100000000004002</c:v>
                </c:pt>
                <c:pt idx="3">
                  <c:v>8.6000000000003638</c:v>
                </c:pt>
                <c:pt idx="4">
                  <c:v>8.1199999999998909</c:v>
                </c:pt>
                <c:pt idx="5">
                  <c:v>8.1300000000001091</c:v>
                </c:pt>
                <c:pt idx="6">
                  <c:v>7.8999999999996362</c:v>
                </c:pt>
                <c:pt idx="7">
                  <c:v>8.2299999999995634</c:v>
                </c:pt>
                <c:pt idx="8">
                  <c:v>8.7800000000006548</c:v>
                </c:pt>
                <c:pt idx="9">
                  <c:v>8.569999999999709</c:v>
                </c:pt>
                <c:pt idx="10">
                  <c:v>8.2100000000000364</c:v>
                </c:pt>
                <c:pt idx="11">
                  <c:v>8.0899999999996908</c:v>
                </c:pt>
                <c:pt idx="12">
                  <c:v>7.9800000000004729</c:v>
                </c:pt>
                <c:pt idx="13">
                  <c:v>7.6199999999998909</c:v>
                </c:pt>
                <c:pt idx="14">
                  <c:v>8.6199999999998909</c:v>
                </c:pt>
                <c:pt idx="15">
                  <c:v>8</c:v>
                </c:pt>
                <c:pt idx="16">
                  <c:v>7.3299999999999272</c:v>
                </c:pt>
                <c:pt idx="17">
                  <c:v>8.6099999999996726</c:v>
                </c:pt>
                <c:pt idx="18">
                  <c:v>8.2200000000007094</c:v>
                </c:pt>
                <c:pt idx="19">
                  <c:v>8.3400000000001455</c:v>
                </c:pt>
                <c:pt idx="20">
                  <c:v>8.7699999999992997</c:v>
                </c:pt>
                <c:pt idx="21">
                  <c:v>8.7999999999999545</c:v>
                </c:pt>
                <c:pt idx="22">
                  <c:v>9.5900000000006003</c:v>
                </c:pt>
                <c:pt idx="23">
                  <c:v>8.3799999999996544</c:v>
                </c:pt>
                <c:pt idx="24">
                  <c:v>9.2699999999999818</c:v>
                </c:pt>
                <c:pt idx="25">
                  <c:v>8.75</c:v>
                </c:pt>
                <c:pt idx="26">
                  <c:v>7.5099999999999909</c:v>
                </c:pt>
                <c:pt idx="27">
                  <c:v>8.0199999999999818</c:v>
                </c:pt>
                <c:pt idx="28">
                  <c:v>7.7999999999999545</c:v>
                </c:pt>
                <c:pt idx="29">
                  <c:v>7.3099999999999454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31853696"/>
        <c:axId val="131871872"/>
      </c:lineChart>
      <c:catAx>
        <c:axId val="131853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71872"/>
        <c:crosses val="autoZero"/>
        <c:auto val="1"/>
        <c:lblAlgn val="ctr"/>
        <c:lblOffset val="100"/>
      </c:catAx>
      <c:valAx>
        <c:axId val="131871872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5369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3955E-2"/>
          <c:w val="0.84489954093858388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264</c:v>
                </c:pt>
                <c:pt idx="1">
                  <c:v>244</c:v>
                </c:pt>
                <c:pt idx="2">
                  <c:v>254</c:v>
                </c:pt>
                <c:pt idx="3">
                  <c:v>244</c:v>
                </c:pt>
                <c:pt idx="4">
                  <c:v>247.19999999995343</c:v>
                </c:pt>
                <c:pt idx="5">
                  <c:v>270.06000000005588</c:v>
                </c:pt>
                <c:pt idx="6">
                  <c:v>260.5</c:v>
                </c:pt>
                <c:pt idx="7">
                  <c:v>248.04000000003725</c:v>
                </c:pt>
                <c:pt idx="8">
                  <c:v>245.19999999995343</c:v>
                </c:pt>
                <c:pt idx="9">
                  <c:v>241</c:v>
                </c:pt>
                <c:pt idx="10">
                  <c:v>231</c:v>
                </c:pt>
                <c:pt idx="11">
                  <c:v>260</c:v>
                </c:pt>
                <c:pt idx="12">
                  <c:v>242</c:v>
                </c:pt>
                <c:pt idx="13">
                  <c:v>225</c:v>
                </c:pt>
                <c:pt idx="14">
                  <c:v>260</c:v>
                </c:pt>
                <c:pt idx="15">
                  <c:v>251</c:v>
                </c:pt>
                <c:pt idx="16">
                  <c:v>252</c:v>
                </c:pt>
                <c:pt idx="17">
                  <c:v>246</c:v>
                </c:pt>
                <c:pt idx="18">
                  <c:v>238</c:v>
                </c:pt>
                <c:pt idx="19">
                  <c:v>259.4100000000326</c:v>
                </c:pt>
                <c:pt idx="20">
                  <c:v>235.02999999991152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585.20000000000073</c:v>
                </c:pt>
                <c:pt idx="1">
                  <c:v>575</c:v>
                </c:pt>
                <c:pt idx="2">
                  <c:v>539</c:v>
                </c:pt>
                <c:pt idx="3">
                  <c:v>541</c:v>
                </c:pt>
                <c:pt idx="4">
                  <c:v>597.10199999993711</c:v>
                </c:pt>
                <c:pt idx="5">
                  <c:v>560.4000000001397</c:v>
                </c:pt>
                <c:pt idx="6">
                  <c:v>445.31999999989603</c:v>
                </c:pt>
                <c:pt idx="7">
                  <c:v>499.43799999993644</c:v>
                </c:pt>
                <c:pt idx="8">
                  <c:v>446.54000000009</c:v>
                </c:pt>
                <c:pt idx="9">
                  <c:v>482.1799999999821</c:v>
                </c:pt>
                <c:pt idx="10">
                  <c:v>493.62000000002445</c:v>
                </c:pt>
                <c:pt idx="11">
                  <c:v>458.75</c:v>
                </c:pt>
                <c:pt idx="12">
                  <c:v>508.25</c:v>
                </c:pt>
                <c:pt idx="13">
                  <c:v>485</c:v>
                </c:pt>
                <c:pt idx="14">
                  <c:v>448</c:v>
                </c:pt>
                <c:pt idx="15">
                  <c:v>391.39999999999418</c:v>
                </c:pt>
                <c:pt idx="16">
                  <c:v>471.60000000000036</c:v>
                </c:pt>
                <c:pt idx="17">
                  <c:v>367</c:v>
                </c:pt>
                <c:pt idx="18">
                  <c:v>435</c:v>
                </c:pt>
                <c:pt idx="19">
                  <c:v>444.39599999989696</c:v>
                </c:pt>
                <c:pt idx="20">
                  <c:v>490.58200000023317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105</c:v>
                </c:pt>
                <c:pt idx="1">
                  <c:v>99</c:v>
                </c:pt>
                <c:pt idx="2">
                  <c:v>76</c:v>
                </c:pt>
                <c:pt idx="3">
                  <c:v>94</c:v>
                </c:pt>
                <c:pt idx="4">
                  <c:v>106.13000000000466</c:v>
                </c:pt>
                <c:pt idx="5">
                  <c:v>73</c:v>
                </c:pt>
                <c:pt idx="6">
                  <c:v>85.199999999982538</c:v>
                </c:pt>
                <c:pt idx="7">
                  <c:v>99.350000000005821</c:v>
                </c:pt>
                <c:pt idx="8">
                  <c:v>82.320000000006985</c:v>
                </c:pt>
                <c:pt idx="9">
                  <c:v>83</c:v>
                </c:pt>
                <c:pt idx="10">
                  <c:v>96</c:v>
                </c:pt>
                <c:pt idx="11">
                  <c:v>89</c:v>
                </c:pt>
                <c:pt idx="12">
                  <c:v>82</c:v>
                </c:pt>
                <c:pt idx="13">
                  <c:v>88</c:v>
                </c:pt>
                <c:pt idx="14">
                  <c:v>68</c:v>
                </c:pt>
                <c:pt idx="15">
                  <c:v>91</c:v>
                </c:pt>
                <c:pt idx="16">
                  <c:v>78</c:v>
                </c:pt>
                <c:pt idx="17">
                  <c:v>87</c:v>
                </c:pt>
                <c:pt idx="18">
                  <c:v>94</c:v>
                </c:pt>
                <c:pt idx="19">
                  <c:v>89.070000000006985</c:v>
                </c:pt>
                <c:pt idx="20">
                  <c:v>91.979999999981374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32409984"/>
        <c:axId val="132419968"/>
      </c:lineChart>
      <c:catAx>
        <c:axId val="132409984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32419968"/>
        <c:crosses val="autoZero"/>
        <c:auto val="1"/>
        <c:lblAlgn val="ctr"/>
        <c:lblOffset val="100"/>
      </c:catAx>
      <c:valAx>
        <c:axId val="132419968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3240998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6313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17</c:v>
                </c:pt>
                <c:pt idx="1">
                  <c:v>87</c:v>
                </c:pt>
                <c:pt idx="2">
                  <c:v>72</c:v>
                </c:pt>
                <c:pt idx="3">
                  <c:v>71</c:v>
                </c:pt>
                <c:pt idx="4">
                  <c:v>0</c:v>
                </c:pt>
                <c:pt idx="5">
                  <c:v>68</c:v>
                </c:pt>
                <c:pt idx="6">
                  <c:v>79</c:v>
                </c:pt>
                <c:pt idx="7">
                  <c:v>78</c:v>
                </c:pt>
                <c:pt idx="8">
                  <c:v>75</c:v>
                </c:pt>
                <c:pt idx="9">
                  <c:v>69</c:v>
                </c:pt>
                <c:pt idx="10">
                  <c:v>73</c:v>
                </c:pt>
                <c:pt idx="11">
                  <c:v>68</c:v>
                </c:pt>
                <c:pt idx="12">
                  <c:v>66</c:v>
                </c:pt>
                <c:pt idx="13">
                  <c:v>76</c:v>
                </c:pt>
                <c:pt idx="14">
                  <c:v>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69093376"/>
        <c:axId val="169103360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5169102</c:v>
                </c:pt>
                <c:pt idx="1">
                  <c:v>5191372</c:v>
                </c:pt>
                <c:pt idx="2">
                  <c:v>5234378</c:v>
                </c:pt>
                <c:pt idx="3">
                  <c:v>5212541</c:v>
                </c:pt>
                <c:pt idx="4">
                  <c:v>0</c:v>
                </c:pt>
                <c:pt idx="5">
                  <c:v>5276902</c:v>
                </c:pt>
                <c:pt idx="6">
                  <c:v>5298954</c:v>
                </c:pt>
                <c:pt idx="7">
                  <c:v>5320650</c:v>
                </c:pt>
                <c:pt idx="8">
                  <c:v>5342740</c:v>
                </c:pt>
                <c:pt idx="9">
                  <c:v>5363644</c:v>
                </c:pt>
                <c:pt idx="10">
                  <c:v>5384609</c:v>
                </c:pt>
                <c:pt idx="11">
                  <c:v>5405163</c:v>
                </c:pt>
                <c:pt idx="12">
                  <c:v>5425384</c:v>
                </c:pt>
                <c:pt idx="13">
                  <c:v>5446358</c:v>
                </c:pt>
                <c:pt idx="14">
                  <c:v>5466584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69104896"/>
        <c:axId val="169106432"/>
      </c:lineChart>
      <c:catAx>
        <c:axId val="169093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103360"/>
        <c:crosses val="autoZero"/>
        <c:auto val="1"/>
        <c:lblAlgn val="ctr"/>
        <c:lblOffset val="100"/>
      </c:catAx>
      <c:valAx>
        <c:axId val="169103360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093376"/>
        <c:crosses val="autoZero"/>
        <c:crossBetween val="between"/>
        <c:minorUnit val="50"/>
      </c:valAx>
      <c:catAx>
        <c:axId val="169104896"/>
        <c:scaling>
          <c:orientation val="minMax"/>
        </c:scaling>
        <c:delete val="1"/>
        <c:axPos val="b"/>
        <c:tickLblPos val="none"/>
        <c:crossAx val="169106432"/>
        <c:crosses val="autoZero"/>
        <c:auto val="1"/>
        <c:lblAlgn val="ctr"/>
        <c:lblOffset val="100"/>
      </c:catAx>
      <c:valAx>
        <c:axId val="16910643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104896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69147392"/>
        <c:axId val="169018112"/>
      </c:lineChart>
      <c:catAx>
        <c:axId val="169147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018112"/>
        <c:crosses val="autoZero"/>
        <c:auto val="1"/>
        <c:lblAlgn val="ctr"/>
        <c:lblOffset val="100"/>
      </c:catAx>
      <c:valAx>
        <c:axId val="169018112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14739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5169102</c:v>
                </c:pt>
                <c:pt idx="1">
                  <c:v>5191372</c:v>
                </c:pt>
                <c:pt idx="2">
                  <c:v>5234378</c:v>
                </c:pt>
                <c:pt idx="3">
                  <c:v>5212541</c:v>
                </c:pt>
                <c:pt idx="4">
                  <c:v>0</c:v>
                </c:pt>
                <c:pt idx="5">
                  <c:v>5276902</c:v>
                </c:pt>
                <c:pt idx="6">
                  <c:v>5298954</c:v>
                </c:pt>
                <c:pt idx="7">
                  <c:v>5320650</c:v>
                </c:pt>
                <c:pt idx="8">
                  <c:v>5342740</c:v>
                </c:pt>
                <c:pt idx="9">
                  <c:v>5363644</c:v>
                </c:pt>
                <c:pt idx="10">
                  <c:v>5384609</c:v>
                </c:pt>
                <c:pt idx="11">
                  <c:v>5405163</c:v>
                </c:pt>
                <c:pt idx="12">
                  <c:v>5425384</c:v>
                </c:pt>
                <c:pt idx="13">
                  <c:v>5446358</c:v>
                </c:pt>
                <c:pt idx="14">
                  <c:v>5466584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69034880"/>
        <c:axId val="169036416"/>
      </c:lineChart>
      <c:catAx>
        <c:axId val="16903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036416"/>
        <c:crosses val="autoZero"/>
        <c:auto val="1"/>
        <c:lblAlgn val="ctr"/>
        <c:lblOffset val="100"/>
      </c:catAx>
      <c:valAx>
        <c:axId val="169036416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03488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0857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122</c:v>
                </c:pt>
                <c:pt idx="1">
                  <c:v>108</c:v>
                </c:pt>
                <c:pt idx="2">
                  <c:v>99</c:v>
                </c:pt>
                <c:pt idx="3">
                  <c:v>85</c:v>
                </c:pt>
                <c:pt idx="4">
                  <c:v>0</c:v>
                </c:pt>
                <c:pt idx="5">
                  <c:v>87</c:v>
                </c:pt>
                <c:pt idx="6">
                  <c:v>98</c:v>
                </c:pt>
                <c:pt idx="7">
                  <c:v>92</c:v>
                </c:pt>
                <c:pt idx="8">
                  <c:v>99</c:v>
                </c:pt>
                <c:pt idx="9">
                  <c:v>91</c:v>
                </c:pt>
                <c:pt idx="10">
                  <c:v>95</c:v>
                </c:pt>
                <c:pt idx="11">
                  <c:v>81</c:v>
                </c:pt>
                <c:pt idx="12">
                  <c:v>84</c:v>
                </c:pt>
                <c:pt idx="13">
                  <c:v>84</c:v>
                </c:pt>
                <c:pt idx="14">
                  <c:v>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69152896"/>
        <c:axId val="169154432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5169102</c:v>
                </c:pt>
                <c:pt idx="1">
                  <c:v>5191372</c:v>
                </c:pt>
                <c:pt idx="2">
                  <c:v>5234378</c:v>
                </c:pt>
                <c:pt idx="3">
                  <c:v>5212541</c:v>
                </c:pt>
                <c:pt idx="4">
                  <c:v>0</c:v>
                </c:pt>
                <c:pt idx="5">
                  <c:v>5276902</c:v>
                </c:pt>
                <c:pt idx="6">
                  <c:v>5298954</c:v>
                </c:pt>
                <c:pt idx="7">
                  <c:v>5320650</c:v>
                </c:pt>
                <c:pt idx="8">
                  <c:v>5342740</c:v>
                </c:pt>
                <c:pt idx="9">
                  <c:v>5363644</c:v>
                </c:pt>
                <c:pt idx="10">
                  <c:v>5384609</c:v>
                </c:pt>
                <c:pt idx="11">
                  <c:v>5405163</c:v>
                </c:pt>
                <c:pt idx="12">
                  <c:v>5425384</c:v>
                </c:pt>
                <c:pt idx="13">
                  <c:v>5446358</c:v>
                </c:pt>
                <c:pt idx="14">
                  <c:v>5466584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69155968"/>
        <c:axId val="169165952"/>
      </c:lineChart>
      <c:catAx>
        <c:axId val="169152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154432"/>
        <c:crosses val="autoZero"/>
        <c:auto val="1"/>
        <c:lblAlgn val="ctr"/>
        <c:lblOffset val="100"/>
      </c:catAx>
      <c:valAx>
        <c:axId val="169154432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152896"/>
        <c:crosses val="autoZero"/>
        <c:crossBetween val="between"/>
      </c:valAx>
      <c:catAx>
        <c:axId val="169155968"/>
        <c:scaling>
          <c:orientation val="minMax"/>
        </c:scaling>
        <c:delete val="1"/>
        <c:axPos val="b"/>
        <c:tickLblPos val="none"/>
        <c:crossAx val="169165952"/>
        <c:crosses val="autoZero"/>
        <c:auto val="1"/>
        <c:lblAlgn val="ctr"/>
        <c:lblOffset val="100"/>
      </c:catAx>
      <c:valAx>
        <c:axId val="16916595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1559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629</c:v>
                </c:pt>
                <c:pt idx="1">
                  <c:v>614</c:v>
                </c:pt>
                <c:pt idx="2">
                  <c:v>677.58000000000175</c:v>
                </c:pt>
                <c:pt idx="3">
                  <c:v>624</c:v>
                </c:pt>
                <c:pt idx="4">
                  <c:v>0</c:v>
                </c:pt>
                <c:pt idx="5">
                  <c:v>619</c:v>
                </c:pt>
                <c:pt idx="6">
                  <c:v>587</c:v>
                </c:pt>
                <c:pt idx="7">
                  <c:v>290.64999999999418</c:v>
                </c:pt>
                <c:pt idx="8">
                  <c:v>292.8700000000099</c:v>
                </c:pt>
                <c:pt idx="9">
                  <c:v>325.22999999999593</c:v>
                </c:pt>
                <c:pt idx="10">
                  <c:v>305.11000000000058</c:v>
                </c:pt>
                <c:pt idx="11">
                  <c:v>266.13999999999942</c:v>
                </c:pt>
                <c:pt idx="12">
                  <c:v>64</c:v>
                </c:pt>
                <c:pt idx="13">
                  <c:v>35</c:v>
                </c:pt>
                <c:pt idx="14">
                  <c:v>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69217408"/>
        <c:axId val="169231488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5169102</c:v>
                </c:pt>
                <c:pt idx="1">
                  <c:v>5191372</c:v>
                </c:pt>
                <c:pt idx="2">
                  <c:v>5234378</c:v>
                </c:pt>
                <c:pt idx="3">
                  <c:v>5212541</c:v>
                </c:pt>
                <c:pt idx="4">
                  <c:v>0</c:v>
                </c:pt>
                <c:pt idx="5">
                  <c:v>5276902</c:v>
                </c:pt>
                <c:pt idx="6">
                  <c:v>5298954</c:v>
                </c:pt>
                <c:pt idx="7">
                  <c:v>5320650</c:v>
                </c:pt>
                <c:pt idx="8">
                  <c:v>5342740</c:v>
                </c:pt>
                <c:pt idx="9">
                  <c:v>5363644</c:v>
                </c:pt>
                <c:pt idx="10">
                  <c:v>5384609</c:v>
                </c:pt>
                <c:pt idx="11">
                  <c:v>5405163</c:v>
                </c:pt>
                <c:pt idx="12">
                  <c:v>5425384</c:v>
                </c:pt>
                <c:pt idx="13">
                  <c:v>5446358</c:v>
                </c:pt>
                <c:pt idx="14">
                  <c:v>5466584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69233024"/>
        <c:axId val="169238912"/>
      </c:lineChart>
      <c:catAx>
        <c:axId val="169217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31488"/>
        <c:crosses val="autoZero"/>
        <c:auto val="1"/>
        <c:lblAlgn val="ctr"/>
        <c:lblOffset val="100"/>
      </c:catAx>
      <c:valAx>
        <c:axId val="169231488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17408"/>
        <c:crosses val="autoZero"/>
        <c:crossBetween val="between"/>
        <c:majorUnit val="2"/>
      </c:valAx>
      <c:catAx>
        <c:axId val="169233024"/>
        <c:scaling>
          <c:orientation val="minMax"/>
        </c:scaling>
        <c:delete val="1"/>
        <c:axPos val="b"/>
        <c:tickLblPos val="none"/>
        <c:crossAx val="169238912"/>
        <c:crosses val="autoZero"/>
        <c:auto val="1"/>
        <c:lblAlgn val="ctr"/>
        <c:lblOffset val="100"/>
      </c:catAx>
      <c:valAx>
        <c:axId val="16923891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33024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45</xdr:row>
      <xdr:rowOff>67235</xdr:rowOff>
    </xdr:from>
    <xdr:to>
      <xdr:col>42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Mumbai_HEP_Daily_Mar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>
        <row r="36">
          <cell r="B36">
            <v>668846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95">
          <cell r="G95">
            <v>71</v>
          </cell>
        </row>
        <row r="96">
          <cell r="G96">
            <v>15</v>
          </cell>
        </row>
        <row r="97">
          <cell r="G97">
            <v>19</v>
          </cell>
        </row>
        <row r="123">
          <cell r="G123">
            <v>234.59999999997672</v>
          </cell>
        </row>
      </sheetData>
      <sheetData sheetId="36">
        <row r="7">
          <cell r="G7">
            <v>23482</v>
          </cell>
        </row>
        <row r="123">
          <cell r="G123">
            <v>248</v>
          </cell>
        </row>
      </sheetData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opLeftCell="A13" workbookViewId="0">
      <selection activeCell="E11" sqref="E11"/>
    </sheetView>
  </sheetViews>
  <sheetFormatPr defaultColWidth="9" defaultRowHeight="15"/>
  <cols>
    <col min="1" max="1" width="9.6640625" style="1168" customWidth="1"/>
    <col min="2" max="3" width="9" style="1162"/>
    <col min="4" max="4" width="10.44140625" style="1163" customWidth="1"/>
    <col min="5" max="5" width="9.77734375" style="1164" customWidth="1"/>
    <col min="6" max="6" width="9.77734375" style="1168" customWidth="1"/>
    <col min="7" max="10" width="9" style="1168"/>
    <col min="11" max="12" width="9" style="1164"/>
    <col min="13" max="13" width="0" style="1167" hidden="1" customWidth="1"/>
    <col min="14" max="256" width="9" style="1167"/>
    <col min="257" max="257" width="9.6640625" style="1167" customWidth="1"/>
    <col min="258" max="259" width="9" style="1167"/>
    <col min="260" max="260" width="10.44140625" style="1167" customWidth="1"/>
    <col min="261" max="262" width="9.77734375" style="1167" customWidth="1"/>
    <col min="263" max="268" width="9" style="1167"/>
    <col min="269" max="269" width="0" style="1167" hidden="1" customWidth="1"/>
    <col min="270" max="512" width="9" style="1167"/>
    <col min="513" max="513" width="9.6640625" style="1167" customWidth="1"/>
    <col min="514" max="515" width="9" style="1167"/>
    <col min="516" max="516" width="10.44140625" style="1167" customWidth="1"/>
    <col min="517" max="518" width="9.77734375" style="1167" customWidth="1"/>
    <col min="519" max="524" width="9" style="1167"/>
    <col min="525" max="525" width="0" style="1167" hidden="1" customWidth="1"/>
    <col min="526" max="768" width="9" style="1167"/>
    <col min="769" max="769" width="9.6640625" style="1167" customWidth="1"/>
    <col min="770" max="771" width="9" style="1167"/>
    <col min="772" max="772" width="10.44140625" style="1167" customWidth="1"/>
    <col min="773" max="774" width="9.77734375" style="1167" customWidth="1"/>
    <col min="775" max="780" width="9" style="1167"/>
    <col min="781" max="781" width="0" style="1167" hidden="1" customWidth="1"/>
    <col min="782" max="1024" width="9" style="1167"/>
    <col min="1025" max="1025" width="9.6640625" style="1167" customWidth="1"/>
    <col min="1026" max="1027" width="9" style="1167"/>
    <col min="1028" max="1028" width="10.44140625" style="1167" customWidth="1"/>
    <col min="1029" max="1030" width="9.77734375" style="1167" customWidth="1"/>
    <col min="1031" max="1036" width="9" style="1167"/>
    <col min="1037" max="1037" width="0" style="1167" hidden="1" customWidth="1"/>
    <col min="1038" max="1280" width="9" style="1167"/>
    <col min="1281" max="1281" width="9.6640625" style="1167" customWidth="1"/>
    <col min="1282" max="1283" width="9" style="1167"/>
    <col min="1284" max="1284" width="10.44140625" style="1167" customWidth="1"/>
    <col min="1285" max="1286" width="9.77734375" style="1167" customWidth="1"/>
    <col min="1287" max="1292" width="9" style="1167"/>
    <col min="1293" max="1293" width="0" style="1167" hidden="1" customWidth="1"/>
    <col min="1294" max="1536" width="9" style="1167"/>
    <col min="1537" max="1537" width="9.6640625" style="1167" customWidth="1"/>
    <col min="1538" max="1539" width="9" style="1167"/>
    <col min="1540" max="1540" width="10.44140625" style="1167" customWidth="1"/>
    <col min="1541" max="1542" width="9.77734375" style="1167" customWidth="1"/>
    <col min="1543" max="1548" width="9" style="1167"/>
    <col min="1549" max="1549" width="0" style="1167" hidden="1" customWidth="1"/>
    <col min="1550" max="1792" width="9" style="1167"/>
    <col min="1793" max="1793" width="9.6640625" style="1167" customWidth="1"/>
    <col min="1794" max="1795" width="9" style="1167"/>
    <col min="1796" max="1796" width="10.44140625" style="1167" customWidth="1"/>
    <col min="1797" max="1798" width="9.77734375" style="1167" customWidth="1"/>
    <col min="1799" max="1804" width="9" style="1167"/>
    <col min="1805" max="1805" width="0" style="1167" hidden="1" customWidth="1"/>
    <col min="1806" max="2048" width="9" style="1167"/>
    <col min="2049" max="2049" width="9.6640625" style="1167" customWidth="1"/>
    <col min="2050" max="2051" width="9" style="1167"/>
    <col min="2052" max="2052" width="10.44140625" style="1167" customWidth="1"/>
    <col min="2053" max="2054" width="9.77734375" style="1167" customWidth="1"/>
    <col min="2055" max="2060" width="9" style="1167"/>
    <col min="2061" max="2061" width="0" style="1167" hidden="1" customWidth="1"/>
    <col min="2062" max="2304" width="9" style="1167"/>
    <col min="2305" max="2305" width="9.6640625" style="1167" customWidth="1"/>
    <col min="2306" max="2307" width="9" style="1167"/>
    <col min="2308" max="2308" width="10.44140625" style="1167" customWidth="1"/>
    <col min="2309" max="2310" width="9.77734375" style="1167" customWidth="1"/>
    <col min="2311" max="2316" width="9" style="1167"/>
    <col min="2317" max="2317" width="0" style="1167" hidden="1" customWidth="1"/>
    <col min="2318" max="2560" width="9" style="1167"/>
    <col min="2561" max="2561" width="9.6640625" style="1167" customWidth="1"/>
    <col min="2562" max="2563" width="9" style="1167"/>
    <col min="2564" max="2564" width="10.44140625" style="1167" customWidth="1"/>
    <col min="2565" max="2566" width="9.77734375" style="1167" customWidth="1"/>
    <col min="2567" max="2572" width="9" style="1167"/>
    <col min="2573" max="2573" width="0" style="1167" hidden="1" customWidth="1"/>
    <col min="2574" max="2816" width="9" style="1167"/>
    <col min="2817" max="2817" width="9.6640625" style="1167" customWidth="1"/>
    <col min="2818" max="2819" width="9" style="1167"/>
    <col min="2820" max="2820" width="10.44140625" style="1167" customWidth="1"/>
    <col min="2821" max="2822" width="9.77734375" style="1167" customWidth="1"/>
    <col min="2823" max="2828" width="9" style="1167"/>
    <col min="2829" max="2829" width="0" style="1167" hidden="1" customWidth="1"/>
    <col min="2830" max="3072" width="9" style="1167"/>
    <col min="3073" max="3073" width="9.6640625" style="1167" customWidth="1"/>
    <col min="3074" max="3075" width="9" style="1167"/>
    <col min="3076" max="3076" width="10.44140625" style="1167" customWidth="1"/>
    <col min="3077" max="3078" width="9.77734375" style="1167" customWidth="1"/>
    <col min="3079" max="3084" width="9" style="1167"/>
    <col min="3085" max="3085" width="0" style="1167" hidden="1" customWidth="1"/>
    <col min="3086" max="3328" width="9" style="1167"/>
    <col min="3329" max="3329" width="9.6640625" style="1167" customWidth="1"/>
    <col min="3330" max="3331" width="9" style="1167"/>
    <col min="3332" max="3332" width="10.44140625" style="1167" customWidth="1"/>
    <col min="3333" max="3334" width="9.77734375" style="1167" customWidth="1"/>
    <col min="3335" max="3340" width="9" style="1167"/>
    <col min="3341" max="3341" width="0" style="1167" hidden="1" customWidth="1"/>
    <col min="3342" max="3584" width="9" style="1167"/>
    <col min="3585" max="3585" width="9.6640625" style="1167" customWidth="1"/>
    <col min="3586" max="3587" width="9" style="1167"/>
    <col min="3588" max="3588" width="10.44140625" style="1167" customWidth="1"/>
    <col min="3589" max="3590" width="9.77734375" style="1167" customWidth="1"/>
    <col min="3591" max="3596" width="9" style="1167"/>
    <col min="3597" max="3597" width="0" style="1167" hidden="1" customWidth="1"/>
    <col min="3598" max="3840" width="9" style="1167"/>
    <col min="3841" max="3841" width="9.6640625" style="1167" customWidth="1"/>
    <col min="3842" max="3843" width="9" style="1167"/>
    <col min="3844" max="3844" width="10.44140625" style="1167" customWidth="1"/>
    <col min="3845" max="3846" width="9.77734375" style="1167" customWidth="1"/>
    <col min="3847" max="3852" width="9" style="1167"/>
    <col min="3853" max="3853" width="0" style="1167" hidden="1" customWidth="1"/>
    <col min="3854" max="4096" width="9" style="1167"/>
    <col min="4097" max="4097" width="9.6640625" style="1167" customWidth="1"/>
    <col min="4098" max="4099" width="9" style="1167"/>
    <col min="4100" max="4100" width="10.44140625" style="1167" customWidth="1"/>
    <col min="4101" max="4102" width="9.77734375" style="1167" customWidth="1"/>
    <col min="4103" max="4108" width="9" style="1167"/>
    <col min="4109" max="4109" width="0" style="1167" hidden="1" customWidth="1"/>
    <col min="4110" max="4352" width="9" style="1167"/>
    <col min="4353" max="4353" width="9.6640625" style="1167" customWidth="1"/>
    <col min="4354" max="4355" width="9" style="1167"/>
    <col min="4356" max="4356" width="10.44140625" style="1167" customWidth="1"/>
    <col min="4357" max="4358" width="9.77734375" style="1167" customWidth="1"/>
    <col min="4359" max="4364" width="9" style="1167"/>
    <col min="4365" max="4365" width="0" style="1167" hidden="1" customWidth="1"/>
    <col min="4366" max="4608" width="9" style="1167"/>
    <col min="4609" max="4609" width="9.6640625" style="1167" customWidth="1"/>
    <col min="4610" max="4611" width="9" style="1167"/>
    <col min="4612" max="4612" width="10.44140625" style="1167" customWidth="1"/>
    <col min="4613" max="4614" width="9.77734375" style="1167" customWidth="1"/>
    <col min="4615" max="4620" width="9" style="1167"/>
    <col min="4621" max="4621" width="0" style="1167" hidden="1" customWidth="1"/>
    <col min="4622" max="4864" width="9" style="1167"/>
    <col min="4865" max="4865" width="9.6640625" style="1167" customWidth="1"/>
    <col min="4866" max="4867" width="9" style="1167"/>
    <col min="4868" max="4868" width="10.44140625" style="1167" customWidth="1"/>
    <col min="4869" max="4870" width="9.77734375" style="1167" customWidth="1"/>
    <col min="4871" max="4876" width="9" style="1167"/>
    <col min="4877" max="4877" width="0" style="1167" hidden="1" customWidth="1"/>
    <col min="4878" max="5120" width="9" style="1167"/>
    <col min="5121" max="5121" width="9.6640625" style="1167" customWidth="1"/>
    <col min="5122" max="5123" width="9" style="1167"/>
    <col min="5124" max="5124" width="10.44140625" style="1167" customWidth="1"/>
    <col min="5125" max="5126" width="9.77734375" style="1167" customWidth="1"/>
    <col min="5127" max="5132" width="9" style="1167"/>
    <col min="5133" max="5133" width="0" style="1167" hidden="1" customWidth="1"/>
    <col min="5134" max="5376" width="9" style="1167"/>
    <col min="5377" max="5377" width="9.6640625" style="1167" customWidth="1"/>
    <col min="5378" max="5379" width="9" style="1167"/>
    <col min="5380" max="5380" width="10.44140625" style="1167" customWidth="1"/>
    <col min="5381" max="5382" width="9.77734375" style="1167" customWidth="1"/>
    <col min="5383" max="5388" width="9" style="1167"/>
    <col min="5389" max="5389" width="0" style="1167" hidden="1" customWidth="1"/>
    <col min="5390" max="5632" width="9" style="1167"/>
    <col min="5633" max="5633" width="9.6640625" style="1167" customWidth="1"/>
    <col min="5634" max="5635" width="9" style="1167"/>
    <col min="5636" max="5636" width="10.44140625" style="1167" customWidth="1"/>
    <col min="5637" max="5638" width="9.77734375" style="1167" customWidth="1"/>
    <col min="5639" max="5644" width="9" style="1167"/>
    <col min="5645" max="5645" width="0" style="1167" hidden="1" customWidth="1"/>
    <col min="5646" max="5888" width="9" style="1167"/>
    <col min="5889" max="5889" width="9.6640625" style="1167" customWidth="1"/>
    <col min="5890" max="5891" width="9" style="1167"/>
    <col min="5892" max="5892" width="10.44140625" style="1167" customWidth="1"/>
    <col min="5893" max="5894" width="9.77734375" style="1167" customWidth="1"/>
    <col min="5895" max="5900" width="9" style="1167"/>
    <col min="5901" max="5901" width="0" style="1167" hidden="1" customWidth="1"/>
    <col min="5902" max="6144" width="9" style="1167"/>
    <col min="6145" max="6145" width="9.6640625" style="1167" customWidth="1"/>
    <col min="6146" max="6147" width="9" style="1167"/>
    <col min="6148" max="6148" width="10.44140625" style="1167" customWidth="1"/>
    <col min="6149" max="6150" width="9.77734375" style="1167" customWidth="1"/>
    <col min="6151" max="6156" width="9" style="1167"/>
    <col min="6157" max="6157" width="0" style="1167" hidden="1" customWidth="1"/>
    <col min="6158" max="6400" width="9" style="1167"/>
    <col min="6401" max="6401" width="9.6640625" style="1167" customWidth="1"/>
    <col min="6402" max="6403" width="9" style="1167"/>
    <col min="6404" max="6404" width="10.44140625" style="1167" customWidth="1"/>
    <col min="6405" max="6406" width="9.77734375" style="1167" customWidth="1"/>
    <col min="6407" max="6412" width="9" style="1167"/>
    <col min="6413" max="6413" width="0" style="1167" hidden="1" customWidth="1"/>
    <col min="6414" max="6656" width="9" style="1167"/>
    <col min="6657" max="6657" width="9.6640625" style="1167" customWidth="1"/>
    <col min="6658" max="6659" width="9" style="1167"/>
    <col min="6660" max="6660" width="10.44140625" style="1167" customWidth="1"/>
    <col min="6661" max="6662" width="9.77734375" style="1167" customWidth="1"/>
    <col min="6663" max="6668" width="9" style="1167"/>
    <col min="6669" max="6669" width="0" style="1167" hidden="1" customWidth="1"/>
    <col min="6670" max="6912" width="9" style="1167"/>
    <col min="6913" max="6913" width="9.6640625" style="1167" customWidth="1"/>
    <col min="6914" max="6915" width="9" style="1167"/>
    <col min="6916" max="6916" width="10.44140625" style="1167" customWidth="1"/>
    <col min="6917" max="6918" width="9.77734375" style="1167" customWidth="1"/>
    <col min="6919" max="6924" width="9" style="1167"/>
    <col min="6925" max="6925" width="0" style="1167" hidden="1" customWidth="1"/>
    <col min="6926" max="7168" width="9" style="1167"/>
    <col min="7169" max="7169" width="9.6640625" style="1167" customWidth="1"/>
    <col min="7170" max="7171" width="9" style="1167"/>
    <col min="7172" max="7172" width="10.44140625" style="1167" customWidth="1"/>
    <col min="7173" max="7174" width="9.77734375" style="1167" customWidth="1"/>
    <col min="7175" max="7180" width="9" style="1167"/>
    <col min="7181" max="7181" width="0" style="1167" hidden="1" customWidth="1"/>
    <col min="7182" max="7424" width="9" style="1167"/>
    <col min="7425" max="7425" width="9.6640625" style="1167" customWidth="1"/>
    <col min="7426" max="7427" width="9" style="1167"/>
    <col min="7428" max="7428" width="10.44140625" style="1167" customWidth="1"/>
    <col min="7429" max="7430" width="9.77734375" style="1167" customWidth="1"/>
    <col min="7431" max="7436" width="9" style="1167"/>
    <col min="7437" max="7437" width="0" style="1167" hidden="1" customWidth="1"/>
    <col min="7438" max="7680" width="9" style="1167"/>
    <col min="7681" max="7681" width="9.6640625" style="1167" customWidth="1"/>
    <col min="7682" max="7683" width="9" style="1167"/>
    <col min="7684" max="7684" width="10.44140625" style="1167" customWidth="1"/>
    <col min="7685" max="7686" width="9.77734375" style="1167" customWidth="1"/>
    <col min="7687" max="7692" width="9" style="1167"/>
    <col min="7693" max="7693" width="0" style="1167" hidden="1" customWidth="1"/>
    <col min="7694" max="7936" width="9" style="1167"/>
    <col min="7937" max="7937" width="9.6640625" style="1167" customWidth="1"/>
    <col min="7938" max="7939" width="9" style="1167"/>
    <col min="7940" max="7940" width="10.44140625" style="1167" customWidth="1"/>
    <col min="7941" max="7942" width="9.77734375" style="1167" customWidth="1"/>
    <col min="7943" max="7948" width="9" style="1167"/>
    <col min="7949" max="7949" width="0" style="1167" hidden="1" customWidth="1"/>
    <col min="7950" max="8192" width="9" style="1167"/>
    <col min="8193" max="8193" width="9.6640625" style="1167" customWidth="1"/>
    <col min="8194" max="8195" width="9" style="1167"/>
    <col min="8196" max="8196" width="10.44140625" style="1167" customWidth="1"/>
    <col min="8197" max="8198" width="9.77734375" style="1167" customWidth="1"/>
    <col min="8199" max="8204" width="9" style="1167"/>
    <col min="8205" max="8205" width="0" style="1167" hidden="1" customWidth="1"/>
    <col min="8206" max="8448" width="9" style="1167"/>
    <col min="8449" max="8449" width="9.6640625" style="1167" customWidth="1"/>
    <col min="8450" max="8451" width="9" style="1167"/>
    <col min="8452" max="8452" width="10.44140625" style="1167" customWidth="1"/>
    <col min="8453" max="8454" width="9.77734375" style="1167" customWidth="1"/>
    <col min="8455" max="8460" width="9" style="1167"/>
    <col min="8461" max="8461" width="0" style="1167" hidden="1" customWidth="1"/>
    <col min="8462" max="8704" width="9" style="1167"/>
    <col min="8705" max="8705" width="9.6640625" style="1167" customWidth="1"/>
    <col min="8706" max="8707" width="9" style="1167"/>
    <col min="8708" max="8708" width="10.44140625" style="1167" customWidth="1"/>
    <col min="8709" max="8710" width="9.77734375" style="1167" customWidth="1"/>
    <col min="8711" max="8716" width="9" style="1167"/>
    <col min="8717" max="8717" width="0" style="1167" hidden="1" customWidth="1"/>
    <col min="8718" max="8960" width="9" style="1167"/>
    <col min="8961" max="8961" width="9.6640625" style="1167" customWidth="1"/>
    <col min="8962" max="8963" width="9" style="1167"/>
    <col min="8964" max="8964" width="10.44140625" style="1167" customWidth="1"/>
    <col min="8965" max="8966" width="9.77734375" style="1167" customWidth="1"/>
    <col min="8967" max="8972" width="9" style="1167"/>
    <col min="8973" max="8973" width="0" style="1167" hidden="1" customWidth="1"/>
    <col min="8974" max="9216" width="9" style="1167"/>
    <col min="9217" max="9217" width="9.6640625" style="1167" customWidth="1"/>
    <col min="9218" max="9219" width="9" style="1167"/>
    <col min="9220" max="9220" width="10.44140625" style="1167" customWidth="1"/>
    <col min="9221" max="9222" width="9.77734375" style="1167" customWidth="1"/>
    <col min="9223" max="9228" width="9" style="1167"/>
    <col min="9229" max="9229" width="0" style="1167" hidden="1" customWidth="1"/>
    <col min="9230" max="9472" width="9" style="1167"/>
    <col min="9473" max="9473" width="9.6640625" style="1167" customWidth="1"/>
    <col min="9474" max="9475" width="9" style="1167"/>
    <col min="9476" max="9476" width="10.44140625" style="1167" customWidth="1"/>
    <col min="9477" max="9478" width="9.77734375" style="1167" customWidth="1"/>
    <col min="9479" max="9484" width="9" style="1167"/>
    <col min="9485" max="9485" width="0" style="1167" hidden="1" customWidth="1"/>
    <col min="9486" max="9728" width="9" style="1167"/>
    <col min="9729" max="9729" width="9.6640625" style="1167" customWidth="1"/>
    <col min="9730" max="9731" width="9" style="1167"/>
    <col min="9732" max="9732" width="10.44140625" style="1167" customWidth="1"/>
    <col min="9733" max="9734" width="9.77734375" style="1167" customWidth="1"/>
    <col min="9735" max="9740" width="9" style="1167"/>
    <col min="9741" max="9741" width="0" style="1167" hidden="1" customWidth="1"/>
    <col min="9742" max="9984" width="9" style="1167"/>
    <col min="9985" max="9985" width="9.6640625" style="1167" customWidth="1"/>
    <col min="9986" max="9987" width="9" style="1167"/>
    <col min="9988" max="9988" width="10.44140625" style="1167" customWidth="1"/>
    <col min="9989" max="9990" width="9.77734375" style="1167" customWidth="1"/>
    <col min="9991" max="9996" width="9" style="1167"/>
    <col min="9997" max="9997" width="0" style="1167" hidden="1" customWidth="1"/>
    <col min="9998" max="10240" width="9" style="1167"/>
    <col min="10241" max="10241" width="9.6640625" style="1167" customWidth="1"/>
    <col min="10242" max="10243" width="9" style="1167"/>
    <col min="10244" max="10244" width="10.44140625" style="1167" customWidth="1"/>
    <col min="10245" max="10246" width="9.77734375" style="1167" customWidth="1"/>
    <col min="10247" max="10252" width="9" style="1167"/>
    <col min="10253" max="10253" width="0" style="1167" hidden="1" customWidth="1"/>
    <col min="10254" max="10496" width="9" style="1167"/>
    <col min="10497" max="10497" width="9.6640625" style="1167" customWidth="1"/>
    <col min="10498" max="10499" width="9" style="1167"/>
    <col min="10500" max="10500" width="10.44140625" style="1167" customWidth="1"/>
    <col min="10501" max="10502" width="9.77734375" style="1167" customWidth="1"/>
    <col min="10503" max="10508" width="9" style="1167"/>
    <col min="10509" max="10509" width="0" style="1167" hidden="1" customWidth="1"/>
    <col min="10510" max="10752" width="9" style="1167"/>
    <col min="10753" max="10753" width="9.6640625" style="1167" customWidth="1"/>
    <col min="10754" max="10755" width="9" style="1167"/>
    <col min="10756" max="10756" width="10.44140625" style="1167" customWidth="1"/>
    <col min="10757" max="10758" width="9.77734375" style="1167" customWidth="1"/>
    <col min="10759" max="10764" width="9" style="1167"/>
    <col min="10765" max="10765" width="0" style="1167" hidden="1" customWidth="1"/>
    <col min="10766" max="11008" width="9" style="1167"/>
    <col min="11009" max="11009" width="9.6640625" style="1167" customWidth="1"/>
    <col min="11010" max="11011" width="9" style="1167"/>
    <col min="11012" max="11012" width="10.44140625" style="1167" customWidth="1"/>
    <col min="11013" max="11014" width="9.77734375" style="1167" customWidth="1"/>
    <col min="11015" max="11020" width="9" style="1167"/>
    <col min="11021" max="11021" width="0" style="1167" hidden="1" customWidth="1"/>
    <col min="11022" max="11264" width="9" style="1167"/>
    <col min="11265" max="11265" width="9.6640625" style="1167" customWidth="1"/>
    <col min="11266" max="11267" width="9" style="1167"/>
    <col min="11268" max="11268" width="10.44140625" style="1167" customWidth="1"/>
    <col min="11269" max="11270" width="9.77734375" style="1167" customWidth="1"/>
    <col min="11271" max="11276" width="9" style="1167"/>
    <col min="11277" max="11277" width="0" style="1167" hidden="1" customWidth="1"/>
    <col min="11278" max="11520" width="9" style="1167"/>
    <col min="11521" max="11521" width="9.6640625" style="1167" customWidth="1"/>
    <col min="11522" max="11523" width="9" style="1167"/>
    <col min="11524" max="11524" width="10.44140625" style="1167" customWidth="1"/>
    <col min="11525" max="11526" width="9.77734375" style="1167" customWidth="1"/>
    <col min="11527" max="11532" width="9" style="1167"/>
    <col min="11533" max="11533" width="0" style="1167" hidden="1" customWidth="1"/>
    <col min="11534" max="11776" width="9" style="1167"/>
    <col min="11777" max="11777" width="9.6640625" style="1167" customWidth="1"/>
    <col min="11778" max="11779" width="9" style="1167"/>
    <col min="11780" max="11780" width="10.44140625" style="1167" customWidth="1"/>
    <col min="11781" max="11782" width="9.77734375" style="1167" customWidth="1"/>
    <col min="11783" max="11788" width="9" style="1167"/>
    <col min="11789" max="11789" width="0" style="1167" hidden="1" customWidth="1"/>
    <col min="11790" max="12032" width="9" style="1167"/>
    <col min="12033" max="12033" width="9.6640625" style="1167" customWidth="1"/>
    <col min="12034" max="12035" width="9" style="1167"/>
    <col min="12036" max="12036" width="10.44140625" style="1167" customWidth="1"/>
    <col min="12037" max="12038" width="9.77734375" style="1167" customWidth="1"/>
    <col min="12039" max="12044" width="9" style="1167"/>
    <col min="12045" max="12045" width="0" style="1167" hidden="1" customWidth="1"/>
    <col min="12046" max="12288" width="9" style="1167"/>
    <col min="12289" max="12289" width="9.6640625" style="1167" customWidth="1"/>
    <col min="12290" max="12291" width="9" style="1167"/>
    <col min="12292" max="12292" width="10.44140625" style="1167" customWidth="1"/>
    <col min="12293" max="12294" width="9.77734375" style="1167" customWidth="1"/>
    <col min="12295" max="12300" width="9" style="1167"/>
    <col min="12301" max="12301" width="0" style="1167" hidden="1" customWidth="1"/>
    <col min="12302" max="12544" width="9" style="1167"/>
    <col min="12545" max="12545" width="9.6640625" style="1167" customWidth="1"/>
    <col min="12546" max="12547" width="9" style="1167"/>
    <col min="12548" max="12548" width="10.44140625" style="1167" customWidth="1"/>
    <col min="12549" max="12550" width="9.77734375" style="1167" customWidth="1"/>
    <col min="12551" max="12556" width="9" style="1167"/>
    <col min="12557" max="12557" width="0" style="1167" hidden="1" customWidth="1"/>
    <col min="12558" max="12800" width="9" style="1167"/>
    <col min="12801" max="12801" width="9.6640625" style="1167" customWidth="1"/>
    <col min="12802" max="12803" width="9" style="1167"/>
    <col min="12804" max="12804" width="10.44140625" style="1167" customWidth="1"/>
    <col min="12805" max="12806" width="9.77734375" style="1167" customWidth="1"/>
    <col min="12807" max="12812" width="9" style="1167"/>
    <col min="12813" max="12813" width="0" style="1167" hidden="1" customWidth="1"/>
    <col min="12814" max="13056" width="9" style="1167"/>
    <col min="13057" max="13057" width="9.6640625" style="1167" customWidth="1"/>
    <col min="13058" max="13059" width="9" style="1167"/>
    <col min="13060" max="13060" width="10.44140625" style="1167" customWidth="1"/>
    <col min="13061" max="13062" width="9.77734375" style="1167" customWidth="1"/>
    <col min="13063" max="13068" width="9" style="1167"/>
    <col min="13069" max="13069" width="0" style="1167" hidden="1" customWidth="1"/>
    <col min="13070" max="13312" width="9" style="1167"/>
    <col min="13313" max="13313" width="9.6640625" style="1167" customWidth="1"/>
    <col min="13314" max="13315" width="9" style="1167"/>
    <col min="13316" max="13316" width="10.44140625" style="1167" customWidth="1"/>
    <col min="13317" max="13318" width="9.77734375" style="1167" customWidth="1"/>
    <col min="13319" max="13324" width="9" style="1167"/>
    <col min="13325" max="13325" width="0" style="1167" hidden="1" customWidth="1"/>
    <col min="13326" max="13568" width="9" style="1167"/>
    <col min="13569" max="13569" width="9.6640625" style="1167" customWidth="1"/>
    <col min="13570" max="13571" width="9" style="1167"/>
    <col min="13572" max="13572" width="10.44140625" style="1167" customWidth="1"/>
    <col min="13573" max="13574" width="9.77734375" style="1167" customWidth="1"/>
    <col min="13575" max="13580" width="9" style="1167"/>
    <col min="13581" max="13581" width="0" style="1167" hidden="1" customWidth="1"/>
    <col min="13582" max="13824" width="9" style="1167"/>
    <col min="13825" max="13825" width="9.6640625" style="1167" customWidth="1"/>
    <col min="13826" max="13827" width="9" style="1167"/>
    <col min="13828" max="13828" width="10.44140625" style="1167" customWidth="1"/>
    <col min="13829" max="13830" width="9.77734375" style="1167" customWidth="1"/>
    <col min="13831" max="13836" width="9" style="1167"/>
    <col min="13837" max="13837" width="0" style="1167" hidden="1" customWidth="1"/>
    <col min="13838" max="14080" width="9" style="1167"/>
    <col min="14081" max="14081" width="9.6640625" style="1167" customWidth="1"/>
    <col min="14082" max="14083" width="9" style="1167"/>
    <col min="14084" max="14084" width="10.44140625" style="1167" customWidth="1"/>
    <col min="14085" max="14086" width="9.77734375" style="1167" customWidth="1"/>
    <col min="14087" max="14092" width="9" style="1167"/>
    <col min="14093" max="14093" width="0" style="1167" hidden="1" customWidth="1"/>
    <col min="14094" max="14336" width="9" style="1167"/>
    <col min="14337" max="14337" width="9.6640625" style="1167" customWidth="1"/>
    <col min="14338" max="14339" width="9" style="1167"/>
    <col min="14340" max="14340" width="10.44140625" style="1167" customWidth="1"/>
    <col min="14341" max="14342" width="9.77734375" style="1167" customWidth="1"/>
    <col min="14343" max="14348" width="9" style="1167"/>
    <col min="14349" max="14349" width="0" style="1167" hidden="1" customWidth="1"/>
    <col min="14350" max="14592" width="9" style="1167"/>
    <col min="14593" max="14593" width="9.6640625" style="1167" customWidth="1"/>
    <col min="14594" max="14595" width="9" style="1167"/>
    <col min="14596" max="14596" width="10.44140625" style="1167" customWidth="1"/>
    <col min="14597" max="14598" width="9.77734375" style="1167" customWidth="1"/>
    <col min="14599" max="14604" width="9" style="1167"/>
    <col min="14605" max="14605" width="0" style="1167" hidden="1" customWidth="1"/>
    <col min="14606" max="14848" width="9" style="1167"/>
    <col min="14849" max="14849" width="9.6640625" style="1167" customWidth="1"/>
    <col min="14850" max="14851" width="9" style="1167"/>
    <col min="14852" max="14852" width="10.44140625" style="1167" customWidth="1"/>
    <col min="14853" max="14854" width="9.77734375" style="1167" customWidth="1"/>
    <col min="14855" max="14860" width="9" style="1167"/>
    <col min="14861" max="14861" width="0" style="1167" hidden="1" customWidth="1"/>
    <col min="14862" max="15104" width="9" style="1167"/>
    <col min="15105" max="15105" width="9.6640625" style="1167" customWidth="1"/>
    <col min="15106" max="15107" width="9" style="1167"/>
    <col min="15108" max="15108" width="10.44140625" style="1167" customWidth="1"/>
    <col min="15109" max="15110" width="9.77734375" style="1167" customWidth="1"/>
    <col min="15111" max="15116" width="9" style="1167"/>
    <col min="15117" max="15117" width="0" style="1167" hidden="1" customWidth="1"/>
    <col min="15118" max="15360" width="9" style="1167"/>
    <col min="15361" max="15361" width="9.6640625" style="1167" customWidth="1"/>
    <col min="15362" max="15363" width="9" style="1167"/>
    <col min="15364" max="15364" width="10.44140625" style="1167" customWidth="1"/>
    <col min="15365" max="15366" width="9.77734375" style="1167" customWidth="1"/>
    <col min="15367" max="15372" width="9" style="1167"/>
    <col min="15373" max="15373" width="0" style="1167" hidden="1" customWidth="1"/>
    <col min="15374" max="15616" width="9" style="1167"/>
    <col min="15617" max="15617" width="9.6640625" style="1167" customWidth="1"/>
    <col min="15618" max="15619" width="9" style="1167"/>
    <col min="15620" max="15620" width="10.44140625" style="1167" customWidth="1"/>
    <col min="15621" max="15622" width="9.77734375" style="1167" customWidth="1"/>
    <col min="15623" max="15628" width="9" style="1167"/>
    <col min="15629" max="15629" width="0" style="1167" hidden="1" customWidth="1"/>
    <col min="15630" max="15872" width="9" style="1167"/>
    <col min="15873" max="15873" width="9.6640625" style="1167" customWidth="1"/>
    <col min="15874" max="15875" width="9" style="1167"/>
    <col min="15876" max="15876" width="10.44140625" style="1167" customWidth="1"/>
    <col min="15877" max="15878" width="9.77734375" style="1167" customWidth="1"/>
    <col min="15879" max="15884" width="9" style="1167"/>
    <col min="15885" max="15885" width="0" style="1167" hidden="1" customWidth="1"/>
    <col min="15886" max="16128" width="9" style="1167"/>
    <col min="16129" max="16129" width="9.6640625" style="1167" customWidth="1"/>
    <col min="16130" max="16131" width="9" style="1167"/>
    <col min="16132" max="16132" width="10.44140625" style="1167" customWidth="1"/>
    <col min="16133" max="16134" width="9.77734375" style="1167" customWidth="1"/>
    <col min="16135" max="16140" width="9" style="1167"/>
    <col min="16141" max="16141" width="0" style="1167" hidden="1" customWidth="1"/>
    <col min="16142" max="16384" width="9" style="1167"/>
  </cols>
  <sheetData>
    <row r="1" spans="1:13" s="1160" customFormat="1" ht="60.75" thickBot="1">
      <c r="A1" s="1154" t="s">
        <v>290</v>
      </c>
      <c r="B1" s="1155" t="s">
        <v>291</v>
      </c>
      <c r="C1" s="1155" t="s">
        <v>292</v>
      </c>
      <c r="D1" s="1156" t="s">
        <v>293</v>
      </c>
      <c r="E1" s="1157" t="s">
        <v>294</v>
      </c>
      <c r="F1" s="1158" t="s">
        <v>295</v>
      </c>
      <c r="G1" s="1157" t="s">
        <v>302</v>
      </c>
      <c r="H1" s="1158" t="s">
        <v>303</v>
      </c>
      <c r="I1" s="1158" t="s">
        <v>296</v>
      </c>
      <c r="J1" s="1158" t="s">
        <v>297</v>
      </c>
      <c r="K1" s="1157" t="s">
        <v>298</v>
      </c>
      <c r="L1" s="1157" t="s">
        <v>299</v>
      </c>
      <c r="M1" s="1159" t="s">
        <v>300</v>
      </c>
    </row>
    <row r="2" spans="1:13">
      <c r="A2" s="1161" t="s">
        <v>301</v>
      </c>
      <c r="B2" s="1162">
        <v>1</v>
      </c>
      <c r="C2" s="1162">
        <v>4</v>
      </c>
      <c r="D2" s="1163">
        <v>2021</v>
      </c>
      <c r="E2" s="1164">
        <f>(IF('Daily HLP'!I4&gt;0,'Daily HLP'!I4,0))</f>
        <v>23696</v>
      </c>
      <c r="F2" s="1165">
        <v>9</v>
      </c>
      <c r="G2" s="1165">
        <f>(IF('Daily HLP'!M4&gt;0,'Daily HLP'!M4,0))</f>
        <v>969</v>
      </c>
      <c r="H2" s="1165">
        <v>51.5</v>
      </c>
      <c r="I2" s="1165">
        <f>(IF('Daily HLP'!P4&gt;0,'Daily HLP'!P4,0))</f>
        <v>193</v>
      </c>
      <c r="J2" s="1165">
        <v>100</v>
      </c>
      <c r="K2" s="1240">
        <f>Occupancy!G2</f>
        <v>148</v>
      </c>
      <c r="L2" s="1164">
        <f>Occupancy!F2</f>
        <v>363</v>
      </c>
      <c r="M2" s="1166" t="e">
        <f>E2*F2+G2*H2+#REF!*#REF!+I2*J2</f>
        <v>#REF!</v>
      </c>
    </row>
    <row r="3" spans="1:13">
      <c r="A3" s="1161" t="s">
        <v>301</v>
      </c>
      <c r="B3" s="1162">
        <f>B2+1</f>
        <v>2</v>
      </c>
      <c r="C3" s="1162">
        <v>4</v>
      </c>
      <c r="D3" s="1163">
        <v>2021</v>
      </c>
      <c r="E3" s="1164">
        <f>(IF('Daily HLP'!I5&gt;0,'Daily HLP'!I5,0))</f>
        <v>22156</v>
      </c>
      <c r="F3" s="1165">
        <v>9</v>
      </c>
      <c r="G3" s="1165">
        <f>(IF('Daily HLP'!M5&gt;0,'Daily HLP'!M5,0))</f>
        <v>982</v>
      </c>
      <c r="H3" s="1165">
        <v>51.5</v>
      </c>
      <c r="I3" s="1165">
        <f>(IF('Daily HLP'!P5&gt;0,'Daily HLP'!P5,0))</f>
        <v>173</v>
      </c>
      <c r="J3" s="1165">
        <v>100</v>
      </c>
      <c r="K3" s="1240">
        <f>Occupancy!G3</f>
        <v>178</v>
      </c>
      <c r="L3" s="1164">
        <f>Occupancy!F3</f>
        <v>232</v>
      </c>
      <c r="M3" s="1166" t="e">
        <f>E3*F3+G3*H3+#REF!*#REF!+I3*J3</f>
        <v>#REF!</v>
      </c>
    </row>
    <row r="4" spans="1:13">
      <c r="A4" s="1161" t="s">
        <v>301</v>
      </c>
      <c r="B4" s="1162">
        <f t="shared" ref="B4:B31" si="0">B3+1</f>
        <v>3</v>
      </c>
      <c r="C4" s="1162">
        <v>4</v>
      </c>
      <c r="D4" s="1163">
        <v>2021</v>
      </c>
      <c r="E4" s="1164">
        <f>(IF('Daily HLP'!I6&gt;0,'Daily HLP'!I6,0))</f>
        <v>21071</v>
      </c>
      <c r="F4" s="1165">
        <v>9</v>
      </c>
      <c r="G4" s="1165">
        <f>(IF('Daily HLP'!M6&gt;0,'Daily HLP'!M6,0))</f>
        <v>1003</v>
      </c>
      <c r="H4" s="1165">
        <v>51.5</v>
      </c>
      <c r="I4" s="1165">
        <f>(IF('Daily HLP'!P6&gt;0,'Daily HLP'!P6,0))</f>
        <v>153</v>
      </c>
      <c r="J4" s="1165">
        <v>100</v>
      </c>
      <c r="K4" s="1240">
        <f>Occupancy!G4</f>
        <v>194</v>
      </c>
      <c r="L4" s="1164">
        <f>Occupancy!F4</f>
        <v>230</v>
      </c>
      <c r="M4" s="1166" t="e">
        <f>E4*F4+G4*H4+#REF!*#REF!+I4*J4</f>
        <v>#REF!</v>
      </c>
    </row>
    <row r="5" spans="1:13">
      <c r="A5" s="1161" t="s">
        <v>301</v>
      </c>
      <c r="B5" s="1162">
        <f t="shared" si="0"/>
        <v>4</v>
      </c>
      <c r="C5" s="1162">
        <v>4</v>
      </c>
      <c r="D5" s="1163">
        <v>2021</v>
      </c>
      <c r="E5" s="1164">
        <f>(IF('Daily HLP'!I7&gt;0,'Daily HLP'!I7,0))</f>
        <v>21717</v>
      </c>
      <c r="F5" s="1165">
        <v>9</v>
      </c>
      <c r="G5" s="1165">
        <f>(IF('Daily HLP'!M7&gt;0,'Daily HLP'!M7,0))</f>
        <v>978</v>
      </c>
      <c r="H5" s="1165">
        <v>51.5</v>
      </c>
      <c r="I5" s="1165">
        <f>(IF('Daily HLP'!P7&gt;0,'Daily HLP'!P7,0))</f>
        <v>174</v>
      </c>
      <c r="J5" s="1165">
        <v>100</v>
      </c>
      <c r="K5" s="1240">
        <f>Occupancy!G5</f>
        <v>195</v>
      </c>
      <c r="L5" s="1164">
        <f>Occupancy!F5</f>
        <v>233</v>
      </c>
      <c r="M5" s="1166" t="e">
        <f>E5*F5+G5*H5+#REF!*#REF!+I5*J5</f>
        <v>#REF!</v>
      </c>
    </row>
    <row r="6" spans="1:13">
      <c r="A6" s="1161" t="s">
        <v>301</v>
      </c>
      <c r="B6" s="1162">
        <f t="shared" si="0"/>
        <v>5</v>
      </c>
      <c r="C6" s="1162">
        <v>4</v>
      </c>
      <c r="D6" s="1163">
        <v>2021</v>
      </c>
      <c r="E6" s="1164">
        <f>(IF('Daily HLP'!I8&gt;0,'Daily HLP'!I8,0))</f>
        <v>21598</v>
      </c>
      <c r="F6" s="1165">
        <v>9</v>
      </c>
      <c r="G6" s="1165">
        <f>(IF('Daily HLP'!M8&gt;0,'Daily HLP'!M8,0))</f>
        <v>935</v>
      </c>
      <c r="H6" s="1165">
        <v>51.5</v>
      </c>
      <c r="I6" s="1165">
        <f>(IF('Daily HLP'!P8&gt;0,'Daily HLP'!P8,0))</f>
        <v>178</v>
      </c>
      <c r="J6" s="1165">
        <v>100</v>
      </c>
      <c r="K6" s="1240">
        <f>Occupancy!G6</f>
        <v>193</v>
      </c>
      <c r="L6" s="1164">
        <f>Occupancy!F6</f>
        <v>157</v>
      </c>
      <c r="M6" s="1166" t="e">
        <f>E6*F6+G6*H6+#REF!*#REF!+I6*J6</f>
        <v>#REF!</v>
      </c>
    </row>
    <row r="7" spans="1:13">
      <c r="A7" s="1161" t="s">
        <v>301</v>
      </c>
      <c r="B7" s="1162">
        <f t="shared" si="0"/>
        <v>6</v>
      </c>
      <c r="C7" s="1162">
        <v>4</v>
      </c>
      <c r="D7" s="1163">
        <v>2021</v>
      </c>
      <c r="E7" s="1164">
        <f>(IF('Daily HLP'!I9&gt;0,'Daily HLP'!I9,0))</f>
        <v>20745</v>
      </c>
      <c r="F7" s="1165">
        <v>9</v>
      </c>
      <c r="G7" s="1165">
        <f>(IF('Daily HLP'!M9&gt;0,'Daily HLP'!M9,0))</f>
        <v>883</v>
      </c>
      <c r="H7" s="1165">
        <v>51.5</v>
      </c>
      <c r="I7" s="1165">
        <f>(IF('Daily HLP'!P9&gt;0,'Daily HLP'!P9,0))</f>
        <v>156</v>
      </c>
      <c r="J7" s="1165">
        <v>100</v>
      </c>
      <c r="K7" s="1240">
        <f>Occupancy!G7</f>
        <v>194</v>
      </c>
      <c r="L7" s="1164">
        <f>Occupancy!F7</f>
        <v>142</v>
      </c>
      <c r="M7" s="1166" t="e">
        <f>E7*F7+G7*H7+#REF!*#REF!+I7*J7</f>
        <v>#REF!</v>
      </c>
    </row>
    <row r="8" spans="1:13">
      <c r="A8" s="1161" t="s">
        <v>301</v>
      </c>
      <c r="B8" s="1162">
        <f t="shared" si="0"/>
        <v>7</v>
      </c>
      <c r="C8" s="1162">
        <v>4</v>
      </c>
      <c r="D8" s="1163">
        <v>2021</v>
      </c>
      <c r="E8" s="1164">
        <f>(IF('Daily HLP'!I10&gt;0,'Daily HLP'!I10,0))</f>
        <v>21932</v>
      </c>
      <c r="F8" s="1165">
        <v>9</v>
      </c>
      <c r="G8" s="1165">
        <f>(IF('Daily HLP'!M10&gt;0,'Daily HLP'!M10,0))</f>
        <v>898</v>
      </c>
      <c r="H8" s="1165">
        <v>51.5</v>
      </c>
      <c r="I8" s="1165">
        <f>(IF('Daily HLP'!P10&gt;0,'Daily HLP'!P10,0))</f>
        <v>157</v>
      </c>
      <c r="J8" s="1165">
        <v>100</v>
      </c>
      <c r="K8" s="1240">
        <f>Occupancy!G8</f>
        <v>187</v>
      </c>
      <c r="L8" s="1164">
        <f>Occupancy!F8</f>
        <v>128</v>
      </c>
      <c r="M8" s="1166" t="e">
        <f>E8*F8+G8*H8+#REF!*#REF!+I8*J8</f>
        <v>#REF!</v>
      </c>
    </row>
    <row r="9" spans="1:13">
      <c r="A9" s="1161" t="s">
        <v>301</v>
      </c>
      <c r="B9" s="1162">
        <f t="shared" si="0"/>
        <v>8</v>
      </c>
      <c r="C9" s="1162">
        <v>4</v>
      </c>
      <c r="D9" s="1163">
        <v>2021</v>
      </c>
      <c r="E9" s="1164">
        <f>(IF('Daily HLP'!I11&gt;0,'Daily HLP'!I11,0))</f>
        <v>21591</v>
      </c>
      <c r="F9" s="1165">
        <v>9</v>
      </c>
      <c r="G9" s="1165">
        <f>(IF('Daily HLP'!M11&gt;0,'Daily HLP'!M11,0))</f>
        <v>952.0319999998901</v>
      </c>
      <c r="H9" s="1165">
        <v>51.5</v>
      </c>
      <c r="I9" s="1165">
        <f>(IF('Daily HLP'!P11&gt;0,'Daily HLP'!P11,0))</f>
        <v>156</v>
      </c>
      <c r="J9" s="1165">
        <v>100</v>
      </c>
      <c r="K9" s="1240">
        <f>Occupancy!G9</f>
        <v>172</v>
      </c>
      <c r="L9" s="1164">
        <f>Occupancy!F9</f>
        <v>89</v>
      </c>
      <c r="M9" s="1166" t="e">
        <f>E9*F9+G9*H9+#REF!*#REF!+I9*J9</f>
        <v>#REF!</v>
      </c>
    </row>
    <row r="10" spans="1:13">
      <c r="A10" s="1161" t="s">
        <v>301</v>
      </c>
      <c r="B10" s="1162">
        <f t="shared" si="0"/>
        <v>9</v>
      </c>
      <c r="C10" s="1162">
        <v>4</v>
      </c>
      <c r="D10" s="1163">
        <v>2021</v>
      </c>
      <c r="E10" s="1164">
        <f>(IF('Daily HLP'!I12&gt;0,'Daily HLP'!I12,0))</f>
        <v>21971</v>
      </c>
      <c r="F10" s="1165">
        <v>9</v>
      </c>
      <c r="G10" s="1165">
        <f>(IF('Daily HLP'!M12&gt;0,'Daily HLP'!M12,0))</f>
        <v>903.46000000019558</v>
      </c>
      <c r="H10" s="1165">
        <v>51.5</v>
      </c>
      <c r="I10" s="1165">
        <f>(IF('Daily HLP'!P12&gt;0,'Daily HLP'!P12,0))</f>
        <v>143</v>
      </c>
      <c r="J10" s="1165">
        <v>100</v>
      </c>
      <c r="K10" s="1240">
        <f>Occupancy!G10</f>
        <v>167</v>
      </c>
      <c r="L10" s="1164">
        <f>Occupancy!F10</f>
        <v>118</v>
      </c>
      <c r="M10" s="1166" t="e">
        <f>E10*F10+G10*H10+#REF!*#REF!+I10*J10</f>
        <v>#REF!</v>
      </c>
    </row>
    <row r="11" spans="1:13">
      <c r="A11" s="1161" t="s">
        <v>301</v>
      </c>
      <c r="B11" s="1162">
        <f t="shared" si="0"/>
        <v>10</v>
      </c>
      <c r="C11" s="1162">
        <v>4</v>
      </c>
      <c r="D11" s="1163">
        <v>2021</v>
      </c>
      <c r="E11" s="1164">
        <f>(IF('Daily HLP'!I13&gt;0,'Daily HLP'!I13,0))</f>
        <v>20828</v>
      </c>
      <c r="F11" s="1165">
        <v>9</v>
      </c>
      <c r="G11" s="1165">
        <f>(IF('Daily HLP'!M13&gt;0,'Daily HLP'!M13,0))</f>
        <v>791.61999999987893</v>
      </c>
      <c r="H11" s="1165">
        <v>51.5</v>
      </c>
      <c r="I11" s="1165">
        <f>(IF('Daily HLP'!P13&gt;0,'Daily HLP'!P13,0))</f>
        <v>143</v>
      </c>
      <c r="J11" s="1165">
        <v>100</v>
      </c>
      <c r="K11" s="1240">
        <f>Occupancy!G11</f>
        <v>166</v>
      </c>
      <c r="L11" s="1164">
        <f>Occupancy!F11</f>
        <v>93</v>
      </c>
      <c r="M11" s="1166" t="e">
        <f>E11*F11+G11*H11+#REF!*#REF!+I11*J11</f>
        <v>#REF!</v>
      </c>
    </row>
    <row r="12" spans="1:13">
      <c r="A12" s="1161" t="s">
        <v>301</v>
      </c>
      <c r="B12" s="1162">
        <f t="shared" si="0"/>
        <v>11</v>
      </c>
      <c r="C12" s="1162">
        <v>4</v>
      </c>
      <c r="D12" s="1163">
        <v>2021</v>
      </c>
      <c r="E12" s="1164">
        <f>(IF('Daily HLP'!I14&gt;0,'Daily HLP'!I14,0))</f>
        <v>20879</v>
      </c>
      <c r="F12" s="1165">
        <v>9</v>
      </c>
      <c r="G12" s="1165">
        <f>(IF('Daily HLP'!M14&gt;0,'Daily HLP'!M14,0))</f>
        <v>846.82799999997951</v>
      </c>
      <c r="H12" s="1165">
        <v>51.5</v>
      </c>
      <c r="I12" s="1165">
        <f>(IF('Daily HLP'!P14&gt;0,'Daily HLP'!P14,0))</f>
        <v>137</v>
      </c>
      <c r="J12" s="1165">
        <v>100</v>
      </c>
      <c r="K12" s="1240">
        <f>Occupancy!G12</f>
        <v>165</v>
      </c>
      <c r="L12" s="1164">
        <f>Occupancy!F12</f>
        <v>104</v>
      </c>
      <c r="M12" s="1166" t="e">
        <f>E12*F12+G12*H12+#REF!*#REF!+I12*J12</f>
        <v>#REF!</v>
      </c>
    </row>
    <row r="13" spans="1:13">
      <c r="A13" s="1161" t="s">
        <v>301</v>
      </c>
      <c r="B13" s="1162">
        <f t="shared" si="0"/>
        <v>12</v>
      </c>
      <c r="C13" s="1162">
        <v>4</v>
      </c>
      <c r="D13" s="1163">
        <v>2021</v>
      </c>
      <c r="E13" s="1164">
        <f>(IF('Daily HLP'!I15&gt;0,'Daily HLP'!I15,0))</f>
        <v>20466</v>
      </c>
      <c r="F13" s="1165">
        <v>9</v>
      </c>
      <c r="G13" s="1165">
        <f>(IF('Daily HLP'!M15&gt;0,'Daily HLP'!M15,0))</f>
        <v>774.06000000005588</v>
      </c>
      <c r="H13" s="1165">
        <v>51.5</v>
      </c>
      <c r="I13" s="1165">
        <f>(IF('Daily HLP'!P15&gt;0,'Daily HLP'!P15,0))</f>
        <v>141</v>
      </c>
      <c r="J13" s="1165">
        <v>100</v>
      </c>
      <c r="K13" s="1240">
        <f>Occupancy!G13</f>
        <v>162</v>
      </c>
      <c r="L13" s="1164">
        <f>Occupancy!F13</f>
        <v>59</v>
      </c>
      <c r="M13" s="1166" t="e">
        <f>E13*F13+G13*H13+#REF!*#REF!+I13*J13</f>
        <v>#REF!</v>
      </c>
    </row>
    <row r="14" spans="1:13">
      <c r="A14" s="1161" t="s">
        <v>301</v>
      </c>
      <c r="B14" s="1162">
        <f t="shared" si="0"/>
        <v>13</v>
      </c>
      <c r="C14" s="1162">
        <v>4</v>
      </c>
      <c r="D14" s="1163">
        <v>2021</v>
      </c>
      <c r="E14" s="1164">
        <f>(IF('Daily HLP'!I16&gt;0,'Daily HLP'!I16,0))</f>
        <v>20135</v>
      </c>
      <c r="F14" s="1165">
        <v>9</v>
      </c>
      <c r="G14" s="1165">
        <f>(IF('Daily HLP'!M16&gt;0,'Daily HLP'!M16,0))</f>
        <v>805.97999999998137</v>
      </c>
      <c r="H14" s="1165">
        <v>51.5</v>
      </c>
      <c r="I14" s="1165">
        <f>(IF('Daily HLP'!P16&gt;0,'Daily HLP'!P16,0))</f>
        <v>142</v>
      </c>
      <c r="J14" s="1165">
        <v>100</v>
      </c>
      <c r="K14" s="1240">
        <f>Occupancy!G14</f>
        <v>159</v>
      </c>
      <c r="L14" s="1164">
        <f>Occupancy!F14</f>
        <v>116</v>
      </c>
      <c r="M14" s="1166" t="e">
        <f>E14*F14+G14*H14+#REF!*#REF!+I14*J14</f>
        <v>#REF!</v>
      </c>
    </row>
    <row r="15" spans="1:13">
      <c r="A15" s="1161" t="s">
        <v>301</v>
      </c>
      <c r="B15" s="1162">
        <f t="shared" si="0"/>
        <v>14</v>
      </c>
      <c r="C15" s="1162">
        <v>4</v>
      </c>
      <c r="D15" s="1163">
        <v>2021</v>
      </c>
      <c r="E15" s="1164">
        <f>(IF('Daily HLP'!I17&gt;0,'Daily HLP'!I17,0))</f>
        <v>20889</v>
      </c>
      <c r="F15" s="1165">
        <v>9</v>
      </c>
      <c r="G15" s="1165">
        <f>(IF('Daily HLP'!M17&gt;0,'Daily HLP'!M17,0))</f>
        <v>821.02000000001863</v>
      </c>
      <c r="H15" s="1165">
        <v>51.5</v>
      </c>
      <c r="I15" s="1165">
        <f>(IF('Daily HLP'!P17&gt;0,'Daily HLP'!P17,0))</f>
        <v>133</v>
      </c>
      <c r="J15" s="1165">
        <v>100</v>
      </c>
      <c r="K15" s="1240">
        <f>Occupancy!G15</f>
        <v>176</v>
      </c>
      <c r="L15" s="1164">
        <f>Occupancy!F15</f>
        <v>122</v>
      </c>
      <c r="M15" s="1166" t="e">
        <f>E15*F15+G15*H15+#REF!*#REF!+I15*J15</f>
        <v>#REF!</v>
      </c>
    </row>
    <row r="16" spans="1:13">
      <c r="A16" s="1161" t="s">
        <v>301</v>
      </c>
      <c r="B16" s="1162">
        <f t="shared" si="0"/>
        <v>15</v>
      </c>
      <c r="C16" s="1162">
        <v>4</v>
      </c>
      <c r="D16" s="1163">
        <v>2021</v>
      </c>
      <c r="E16" s="1164">
        <f>(IF('Daily HLP'!I18&gt;0,'Daily HLP'!I18,0))</f>
        <v>20167</v>
      </c>
      <c r="F16" s="1165">
        <v>9</v>
      </c>
      <c r="G16" s="1165">
        <f>(IF('Daily HLP'!M18&gt;0,'Daily HLP'!M18,0))</f>
        <v>807.75</v>
      </c>
      <c r="H16" s="1165">
        <v>51.5</v>
      </c>
      <c r="I16" s="1165">
        <f>(IF('Daily HLP'!P18&gt;0,'Daily HLP'!P18,0))</f>
        <v>138</v>
      </c>
      <c r="J16" s="1165">
        <v>100</v>
      </c>
      <c r="K16" s="1240">
        <f>Occupancy!G16</f>
        <v>176</v>
      </c>
      <c r="L16" s="1164">
        <f>Occupancy!F16</f>
        <v>93</v>
      </c>
      <c r="M16" s="1166" t="e">
        <f>E16*F16+G16*H16+#REF!*#REF!+I16*J16</f>
        <v>#REF!</v>
      </c>
    </row>
    <row r="17" spans="1:13">
      <c r="A17" s="1161" t="s">
        <v>301</v>
      </c>
      <c r="B17" s="1162">
        <f t="shared" si="0"/>
        <v>16</v>
      </c>
      <c r="C17" s="1162">
        <v>4</v>
      </c>
      <c r="D17" s="1163">
        <v>2021</v>
      </c>
      <c r="E17" s="1164">
        <f>(IF('Daily HLP'!I19&gt;0,'Daily HLP'!I19,0))</f>
        <v>20156</v>
      </c>
      <c r="F17" s="1165">
        <v>9</v>
      </c>
      <c r="G17" s="1165">
        <f>(IF('Daily HLP'!M19&gt;0,'Daily HLP'!M19,0))</f>
        <v>832.25</v>
      </c>
      <c r="H17" s="1165">
        <v>51.5</v>
      </c>
      <c r="I17" s="1165">
        <f>(IF('Daily HLP'!P19&gt;0,'Daily HLP'!P19,0))</f>
        <v>136</v>
      </c>
      <c r="J17" s="1165">
        <v>100</v>
      </c>
      <c r="K17" s="1240">
        <f>Occupancy!G17</f>
        <v>179</v>
      </c>
      <c r="L17" s="1164">
        <f>Occupancy!F17</f>
        <v>108</v>
      </c>
      <c r="M17" s="1166" t="e">
        <f>E17*F17+G17*H17+#REF!*#REF!+I17*J17</f>
        <v>#REF!</v>
      </c>
    </row>
    <row r="18" spans="1:13">
      <c r="A18" s="1161" t="s">
        <v>301</v>
      </c>
      <c r="B18" s="1162">
        <f t="shared" si="0"/>
        <v>17</v>
      </c>
      <c r="C18" s="1162">
        <v>4</v>
      </c>
      <c r="D18" s="1163">
        <v>2021</v>
      </c>
      <c r="E18" s="1164">
        <f>(IF('Daily HLP'!I20&gt;0,'Daily HLP'!I20,0))</f>
        <v>20298</v>
      </c>
      <c r="F18" s="1165">
        <v>9</v>
      </c>
      <c r="G18" s="1165">
        <f>(IF('Daily HLP'!M20&gt;0,'Daily HLP'!M20,0))</f>
        <v>799</v>
      </c>
      <c r="H18" s="1165">
        <v>51.5</v>
      </c>
      <c r="I18" s="1165">
        <f>(IF('Daily HLP'!P20&gt;0,'Daily HLP'!P20,0))</f>
        <v>138</v>
      </c>
      <c r="J18" s="1165">
        <v>100</v>
      </c>
      <c r="K18" s="1240">
        <f>Occupancy!G18</f>
        <v>179</v>
      </c>
      <c r="L18" s="1164">
        <f>Occupancy!F18</f>
        <v>100</v>
      </c>
      <c r="M18" s="1166" t="e">
        <f>E18*F18+G18*H18+#REF!*#REF!+I18*J18</f>
        <v>#REF!</v>
      </c>
    </row>
    <row r="19" spans="1:13">
      <c r="A19" s="1161" t="s">
        <v>301</v>
      </c>
      <c r="B19" s="1162">
        <f t="shared" si="0"/>
        <v>18</v>
      </c>
      <c r="C19" s="1162">
        <v>4</v>
      </c>
      <c r="D19" s="1163">
        <v>2021</v>
      </c>
      <c r="E19" s="1164">
        <f>(IF('Daily HLP'!I21&gt;0,'Daily HLP'!I21,0))</f>
        <v>19993</v>
      </c>
      <c r="F19" s="1165">
        <v>9</v>
      </c>
      <c r="G19" s="1165">
        <f>(IF('Daily HLP'!M21&gt;0,'Daily HLP'!M21,0))</f>
        <v>776</v>
      </c>
      <c r="H19" s="1165">
        <v>51.5</v>
      </c>
      <c r="I19" s="1165">
        <f>(IF('Daily HLP'!P21&gt;0,'Daily HLP'!P21,0))</f>
        <v>157</v>
      </c>
      <c r="J19" s="1165">
        <v>100</v>
      </c>
      <c r="K19" s="1240">
        <f>Occupancy!G19</f>
        <v>185</v>
      </c>
      <c r="L19" s="1164">
        <f>Occupancy!F19</f>
        <v>93</v>
      </c>
      <c r="M19" s="1166" t="e">
        <f>E19*F19+G19*H19+#REF!*#REF!+I19*J19</f>
        <v>#REF!</v>
      </c>
    </row>
    <row r="20" spans="1:13">
      <c r="A20" s="1161" t="s">
        <v>301</v>
      </c>
      <c r="B20" s="1162">
        <f t="shared" si="0"/>
        <v>19</v>
      </c>
      <c r="C20" s="1162">
        <v>4</v>
      </c>
      <c r="D20" s="1163">
        <v>2021</v>
      </c>
      <c r="E20" s="1164">
        <f>(IF('Daily HLP'!I22&gt;0,'Daily HLP'!I22,0))</f>
        <v>20300</v>
      </c>
      <c r="F20" s="1165">
        <v>9</v>
      </c>
      <c r="G20" s="1165">
        <f>(IF('Daily HLP'!M22&gt;0,'Daily HLP'!M22,0))</f>
        <v>733</v>
      </c>
      <c r="H20" s="1165">
        <v>51.5</v>
      </c>
      <c r="I20" s="1165">
        <f>(IF('Daily HLP'!P22&gt;0,'Daily HLP'!P22,0))</f>
        <v>151</v>
      </c>
      <c r="J20" s="1165">
        <v>100</v>
      </c>
      <c r="K20" s="1240">
        <f>Occupancy!G20</f>
        <v>181</v>
      </c>
      <c r="L20" s="1164">
        <f>Occupancy!F20</f>
        <v>80</v>
      </c>
      <c r="M20" s="1166" t="e">
        <f>E20*F20+G20*H20+#REF!*#REF!+I20*J20</f>
        <v>#REF!</v>
      </c>
    </row>
    <row r="21" spans="1:13">
      <c r="A21" s="1161" t="s">
        <v>301</v>
      </c>
      <c r="B21" s="1162">
        <f t="shared" si="0"/>
        <v>20</v>
      </c>
      <c r="C21" s="1162">
        <v>4</v>
      </c>
      <c r="D21" s="1163">
        <v>2021</v>
      </c>
      <c r="E21" s="1164">
        <f>(IF('Daily HLP'!I23&gt;0,'Daily HLP'!I23,0))</f>
        <v>20160</v>
      </c>
      <c r="F21" s="1165">
        <v>9</v>
      </c>
      <c r="G21" s="1165">
        <f>(IF('Daily HLP'!M23&gt;0,'Daily HLP'!M23,0))</f>
        <v>772</v>
      </c>
      <c r="H21" s="1165">
        <v>51.5</v>
      </c>
      <c r="I21" s="1165">
        <f>(IF('Daily HLP'!P23&gt;0,'Daily HLP'!P23,0))</f>
        <v>141</v>
      </c>
      <c r="J21" s="1165">
        <v>100</v>
      </c>
      <c r="K21" s="1240">
        <f>Occupancy!G21</f>
        <v>182</v>
      </c>
      <c r="L21" s="1164">
        <f>Occupancy!F21</f>
        <v>89</v>
      </c>
      <c r="M21" s="1166" t="e">
        <f>E21*F21+G21*H21+#REF!*#REF!+I21*J21</f>
        <v>#REF!</v>
      </c>
    </row>
    <row r="22" spans="1:13">
      <c r="A22" s="1161" t="s">
        <v>301</v>
      </c>
      <c r="B22" s="1162">
        <f t="shared" si="0"/>
        <v>21</v>
      </c>
      <c r="C22" s="1162">
        <v>4</v>
      </c>
      <c r="D22" s="1163">
        <v>2021</v>
      </c>
      <c r="E22" s="1164">
        <f>(IF('Daily HLP'!I24&gt;0,'Daily HLP'!I24,0))</f>
        <v>19605</v>
      </c>
      <c r="F22" s="1165">
        <v>9</v>
      </c>
      <c r="G22" s="1165">
        <f>(IF('Daily HLP'!M24&gt;0,'Daily HLP'!M24,0))</f>
        <v>700</v>
      </c>
      <c r="H22" s="1165">
        <v>51.5</v>
      </c>
      <c r="I22" s="1165">
        <f>(IF('Daily HLP'!P24&gt;0,'Daily HLP'!P24,0))</f>
        <v>158</v>
      </c>
      <c r="J22" s="1165">
        <v>100</v>
      </c>
      <c r="K22" s="1240">
        <f>Occupancy!G22</f>
        <v>182</v>
      </c>
      <c r="L22" s="1164">
        <f>Occupancy!F22</f>
        <v>72</v>
      </c>
      <c r="M22" s="1166" t="e">
        <f>E22*F22+G22*H22+#REF!*#REF!+I22*J22</f>
        <v>#REF!</v>
      </c>
    </row>
    <row r="23" spans="1:13">
      <c r="A23" s="1161" t="s">
        <v>301</v>
      </c>
      <c r="B23" s="1162">
        <f t="shared" si="0"/>
        <v>22</v>
      </c>
      <c r="C23" s="1162">
        <v>4</v>
      </c>
      <c r="D23" s="1163">
        <v>2021</v>
      </c>
      <c r="E23" s="1164">
        <f>(IF('Daily HLP'!I25&gt;0,'Daily HLP'!I25,0))</f>
        <v>19762</v>
      </c>
      <c r="F23" s="1165">
        <v>9</v>
      </c>
      <c r="G23" s="1165">
        <f>(IF('Daily HLP'!M25&gt;0,'Daily HLP'!M25,0))</f>
        <v>767</v>
      </c>
      <c r="H23" s="1165">
        <v>51.5</v>
      </c>
      <c r="I23" s="1165">
        <f>(IF('Daily HLP'!P25&gt;0,'Daily HLP'!P25,0))</f>
        <v>159</v>
      </c>
      <c r="J23" s="1165">
        <v>100</v>
      </c>
      <c r="K23" s="1240">
        <f>Occupancy!G23</f>
        <v>189</v>
      </c>
      <c r="L23" s="1164">
        <f>Occupancy!F23</f>
        <v>72</v>
      </c>
      <c r="M23" s="1166" t="e">
        <f>E23*F23+G23*H23+#REF!*#REF!+I23*J23</f>
        <v>#REF!</v>
      </c>
    </row>
    <row r="24" spans="1:13">
      <c r="A24" s="1161" t="s">
        <v>301</v>
      </c>
      <c r="B24" s="1162">
        <f t="shared" si="0"/>
        <v>23</v>
      </c>
      <c r="C24" s="1162">
        <v>4</v>
      </c>
      <c r="D24" s="1163">
        <v>2021</v>
      </c>
      <c r="E24" s="1164">
        <f>(IF('Daily HLP'!I26&gt;0,'Daily HLP'!I26,0))</f>
        <v>19931</v>
      </c>
      <c r="F24" s="1165">
        <v>9</v>
      </c>
      <c r="G24" s="1165">
        <f>(IF('Daily HLP'!M26&gt;0,'Daily HLP'!M26,0))</f>
        <v>824.37599999993108</v>
      </c>
      <c r="H24" s="1165">
        <v>51.5</v>
      </c>
      <c r="I24" s="1165">
        <f>(IF('Daily HLP'!P26&gt;0,'Daily HLP'!P26,0))</f>
        <v>138</v>
      </c>
      <c r="J24" s="1165">
        <v>100</v>
      </c>
      <c r="K24" s="1240">
        <f>Occupancy!G24</f>
        <v>165</v>
      </c>
      <c r="L24" s="1164">
        <f>Occupancy!F24</f>
        <v>106</v>
      </c>
      <c r="M24" s="1166" t="e">
        <f>E24*F24+G24*H24+#REF!*#REF!+I24*J24</f>
        <v>#REF!</v>
      </c>
    </row>
    <row r="25" spans="1:13">
      <c r="A25" s="1161" t="s">
        <v>301</v>
      </c>
      <c r="B25" s="1162">
        <f t="shared" si="0"/>
        <v>24</v>
      </c>
      <c r="C25" s="1162">
        <v>4</v>
      </c>
      <c r="D25" s="1163">
        <v>2021</v>
      </c>
      <c r="E25" s="1164">
        <f>(IF('Daily HLP'!I27&gt;0,'Daily HLP'!I27,0))</f>
        <v>19964</v>
      </c>
      <c r="F25" s="1165">
        <v>9</v>
      </c>
      <c r="G25" s="1165">
        <f>(IF('Daily HLP'!M27&gt;0,'Daily HLP'!M27,0))</f>
        <v>817.29200000013225</v>
      </c>
      <c r="H25" s="1165">
        <v>51.5</v>
      </c>
      <c r="I25" s="1165">
        <f>(IF('Daily HLP'!P27&gt;0,'Daily HLP'!P27,0))</f>
        <v>194</v>
      </c>
      <c r="J25" s="1165">
        <v>100</v>
      </c>
      <c r="K25" s="1240">
        <f>Occupancy!G25</f>
        <v>168</v>
      </c>
      <c r="L25" s="1164">
        <f>Occupancy!F25</f>
        <v>79</v>
      </c>
      <c r="M25" s="1166" t="e">
        <f>E25*F25+G25*H25+#REF!*#REF!+I25*J25</f>
        <v>#REF!</v>
      </c>
    </row>
    <row r="26" spans="1:13">
      <c r="A26" s="1161" t="s">
        <v>301</v>
      </c>
      <c r="B26" s="1162">
        <f>B25+1</f>
        <v>25</v>
      </c>
      <c r="C26" s="1162">
        <v>4</v>
      </c>
      <c r="D26" s="1163">
        <v>2021</v>
      </c>
      <c r="E26" s="1164">
        <f>(IF('Daily HLP'!I28&gt;0,'Daily HLP'!I28,0))</f>
        <v>22296</v>
      </c>
      <c r="F26" s="1165">
        <v>9</v>
      </c>
      <c r="G26" s="1165">
        <f>(IF('Daily HLP'!M28&gt;0,'Daily HLP'!M28,0))</f>
        <v>698.87399999983609</v>
      </c>
      <c r="H26" s="1165">
        <v>51.5</v>
      </c>
      <c r="I26" s="1165">
        <f>(IF('Daily HLP'!P28&gt;0,'Daily HLP'!P28,0))</f>
        <v>133</v>
      </c>
      <c r="J26" s="1165">
        <v>100</v>
      </c>
      <c r="K26" s="1240">
        <f>Occupancy!G26</f>
        <v>170</v>
      </c>
      <c r="L26" s="1164">
        <f>Occupancy!F26</f>
        <v>114</v>
      </c>
      <c r="M26" s="1166" t="e">
        <f>E26*F26+G26*H26+#REF!*#REF!+I26*J26</f>
        <v>#REF!</v>
      </c>
    </row>
    <row r="27" spans="1:13">
      <c r="A27" s="1161" t="s">
        <v>301</v>
      </c>
      <c r="B27" s="1162">
        <f t="shared" si="0"/>
        <v>26</v>
      </c>
      <c r="C27" s="1162">
        <v>4</v>
      </c>
      <c r="D27" s="1163">
        <v>2021</v>
      </c>
      <c r="E27" s="1164">
        <f>(IF('Daily HLP'!I29&gt;0,'Daily HLP'!I29,0))</f>
        <v>20533</v>
      </c>
      <c r="F27" s="1165">
        <v>9</v>
      </c>
      <c r="G27" s="1165">
        <f>(IF('Daily HLP'!M29&gt;0,'Daily HLP'!M29,0))</f>
        <v>688.53800000017509</v>
      </c>
      <c r="H27" s="1165">
        <v>51.5</v>
      </c>
      <c r="I27" s="1165">
        <f>(IF('Daily HLP'!P29&gt;0,'Daily HLP'!P29,0))</f>
        <v>159</v>
      </c>
      <c r="J27" s="1165">
        <v>100</v>
      </c>
      <c r="K27" s="1240">
        <f>Occupancy!G27</f>
        <v>57</v>
      </c>
      <c r="L27" s="1164">
        <f>Occupancy!F27</f>
        <v>174</v>
      </c>
      <c r="M27" s="1166" t="e">
        <f>E27*F27+G27*H27+#REF!*#REF!+I27*J27</f>
        <v>#REF!</v>
      </c>
    </row>
    <row r="28" spans="1:13">
      <c r="A28" s="1161" t="s">
        <v>301</v>
      </c>
      <c r="B28" s="1162">
        <f t="shared" si="0"/>
        <v>27</v>
      </c>
      <c r="C28" s="1162">
        <v>4</v>
      </c>
      <c r="D28" s="1163">
        <v>2021</v>
      </c>
      <c r="E28" s="1164">
        <f>(IF('Daily HLP'!I30&gt;0,'Daily HLP'!I30,0))</f>
        <v>17995</v>
      </c>
      <c r="F28" s="1165">
        <v>9</v>
      </c>
      <c r="G28" s="1165">
        <f>(IF('Daily HLP'!M30&gt;0,'Daily HLP'!M30,0))</f>
        <v>627.37899999995716</v>
      </c>
      <c r="H28" s="1165">
        <v>51.5</v>
      </c>
      <c r="I28" s="1165">
        <f>(IF('Daily HLP'!P30&gt;0,'Daily HLP'!P30,0))</f>
        <v>112</v>
      </c>
      <c r="J28" s="1165">
        <v>100</v>
      </c>
      <c r="K28" s="1240">
        <f>Occupancy!G28</f>
        <v>43</v>
      </c>
      <c r="L28" s="1164">
        <f>Occupancy!F28</f>
        <v>69</v>
      </c>
      <c r="M28" s="1166" t="e">
        <f>E28*F28+G28*H28+#REF!*#REF!+I28*J28</f>
        <v>#REF!</v>
      </c>
    </row>
    <row r="29" spans="1:13">
      <c r="A29" s="1161" t="s">
        <v>301</v>
      </c>
      <c r="B29" s="1162">
        <f t="shared" si="0"/>
        <v>28</v>
      </c>
      <c r="C29" s="1162">
        <v>4</v>
      </c>
      <c r="D29" s="1163">
        <v>2021</v>
      </c>
      <c r="E29" s="1164">
        <f>(IF('Daily HLP'!I31&gt;0,'Daily HLP'!I31,0))</f>
        <v>17985</v>
      </c>
      <c r="F29" s="1165">
        <v>9</v>
      </c>
      <c r="G29" s="1165">
        <f>(IF('Daily HLP'!M31&gt;0,'Daily HLP'!M31,0))</f>
        <v>461.80099999997765</v>
      </c>
      <c r="H29" s="1165">
        <v>51.5</v>
      </c>
      <c r="I29" s="1165">
        <f>(IF('Daily HLP'!P31&gt;0,'Daily HLP'!P31,0))</f>
        <v>116</v>
      </c>
      <c r="J29" s="1165">
        <v>100</v>
      </c>
      <c r="K29" s="1240">
        <f>Occupancy!G29</f>
        <v>49</v>
      </c>
      <c r="L29" s="1164">
        <f>Occupancy!F29</f>
        <v>51</v>
      </c>
      <c r="M29" s="1166" t="e">
        <f>E29*F29+G29*H29+#REF!*#REF!+I29*J29</f>
        <v>#REF!</v>
      </c>
    </row>
    <row r="30" spans="1:13">
      <c r="A30" s="1161" t="s">
        <v>301</v>
      </c>
      <c r="B30" s="1162">
        <f t="shared" si="0"/>
        <v>29</v>
      </c>
      <c r="C30" s="1162">
        <v>4</v>
      </c>
      <c r="D30" s="1163">
        <v>2021</v>
      </c>
      <c r="E30" s="1164">
        <f>(IF('Daily HLP'!I32&gt;0,'Daily HLP'!I32,0))</f>
        <v>15953</v>
      </c>
      <c r="F30" s="1165">
        <v>9</v>
      </c>
      <c r="G30" s="1165">
        <f>(IF('Daily HLP'!M32&gt;0,'Daily HLP'!M32,0))</f>
        <v>643.03000000002794</v>
      </c>
      <c r="H30" s="1165">
        <v>51.5</v>
      </c>
      <c r="I30" s="1165">
        <f>(IF('Daily HLP'!P32&gt;0,'Daily HLP'!P32,0))</f>
        <v>75</v>
      </c>
      <c r="J30" s="1165">
        <v>100</v>
      </c>
      <c r="K30" s="1240">
        <f>Occupancy!G30</f>
        <v>58</v>
      </c>
      <c r="L30" s="1164">
        <f>Occupancy!F30</f>
        <v>36</v>
      </c>
      <c r="M30" s="1166" t="e">
        <f>E30*F30+G30*H30+#REF!*#REF!+I30*J30</f>
        <v>#REF!</v>
      </c>
    </row>
    <row r="31" spans="1:13">
      <c r="A31" s="1161" t="s">
        <v>301</v>
      </c>
      <c r="B31" s="1162">
        <f t="shared" si="0"/>
        <v>30</v>
      </c>
      <c r="C31" s="1162">
        <v>4</v>
      </c>
      <c r="D31" s="1163">
        <v>2021</v>
      </c>
      <c r="E31" s="1164">
        <f>(IF('Daily HLP'!I33&gt;0,'Daily HLP'!I33,0))</f>
        <v>23482</v>
      </c>
      <c r="F31" s="1165">
        <v>9</v>
      </c>
      <c r="G31" s="1165">
        <f>(IF('Daily HLP'!M33&gt;0,'Daily HLP'!M33,0))</f>
        <v>476.70999999996275</v>
      </c>
      <c r="H31" s="1165">
        <v>51.5</v>
      </c>
      <c r="I31" s="1165">
        <f>(IF('Daily HLP'!P33&gt;0,'Daily HLP'!P33,0))</f>
        <v>114</v>
      </c>
      <c r="J31" s="1165">
        <v>100</v>
      </c>
      <c r="K31" s="1240">
        <f>Occupancy!G31</f>
        <v>70</v>
      </c>
      <c r="L31" s="1164">
        <f>Occupancy!F31</f>
        <v>86</v>
      </c>
      <c r="M31" s="1166" t="e">
        <f>E31*F31+G31*H31+#REF!*#REF!+I31*J31</f>
        <v>#REF!</v>
      </c>
    </row>
    <row r="32" spans="1:13" s="1164" customFormat="1">
      <c r="A32" s="1168"/>
      <c r="B32" s="1162"/>
      <c r="C32" s="1162"/>
      <c r="D32" s="1163"/>
      <c r="F32" s="1165"/>
      <c r="G32" s="1165"/>
      <c r="H32" s="1165"/>
      <c r="I32" s="1165"/>
      <c r="J32" s="1165"/>
      <c r="M32" s="1167"/>
    </row>
    <row r="33" spans="1:13" s="1164" customFormat="1">
      <c r="A33" s="1168"/>
      <c r="B33" s="1162"/>
      <c r="C33" s="1162"/>
      <c r="D33" s="1163"/>
      <c r="F33" s="1165"/>
      <c r="G33" s="1165"/>
      <c r="H33" s="1165"/>
      <c r="I33" s="1165"/>
      <c r="J33" s="1165"/>
      <c r="M33" s="1167"/>
    </row>
    <row r="34" spans="1:13" s="1164" customFormat="1">
      <c r="A34" s="1168"/>
      <c r="B34" s="1162"/>
      <c r="C34" s="1162"/>
      <c r="D34" s="1163"/>
      <c r="F34" s="1165"/>
      <c r="G34" s="1165"/>
      <c r="H34" s="1165"/>
      <c r="I34" s="1165"/>
      <c r="J34" s="1165"/>
      <c r="M34" s="1167"/>
    </row>
    <row r="35" spans="1:13" s="1164" customFormat="1">
      <c r="A35" s="1168"/>
      <c r="B35" s="1162"/>
      <c r="C35" s="1162"/>
      <c r="D35" s="1163"/>
      <c r="F35" s="1165"/>
      <c r="G35" s="1165"/>
      <c r="H35" s="1165"/>
      <c r="I35" s="1165"/>
      <c r="J35" s="1165"/>
      <c r="M35" s="1167"/>
    </row>
    <row r="36" spans="1:13" s="1164" customFormat="1">
      <c r="A36" s="1168"/>
      <c r="B36" s="1162"/>
      <c r="C36" s="1162"/>
      <c r="D36" s="1163"/>
      <c r="F36" s="1165"/>
      <c r="G36" s="1165"/>
      <c r="H36" s="1165"/>
      <c r="I36" s="1165"/>
      <c r="J36" s="1165"/>
      <c r="M36" s="1167"/>
    </row>
    <row r="37" spans="1:13" s="1164" customFormat="1">
      <c r="A37" s="1168"/>
      <c r="B37" s="1162"/>
      <c r="C37" s="1162"/>
      <c r="D37" s="1163"/>
      <c r="F37" s="1165"/>
      <c r="G37" s="1165"/>
      <c r="H37" s="1165"/>
      <c r="I37" s="1165"/>
      <c r="J37" s="1165"/>
      <c r="M37" s="1167"/>
    </row>
    <row r="38" spans="1:13" s="1164" customFormat="1">
      <c r="A38" s="1168"/>
      <c r="B38" s="1162"/>
      <c r="C38" s="1162"/>
      <c r="D38" s="1163"/>
      <c r="F38" s="1165"/>
      <c r="G38" s="1165"/>
      <c r="H38" s="1165"/>
      <c r="I38" s="1165"/>
      <c r="J38" s="1165"/>
      <c r="M38" s="1167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6" sqref="F16"/>
    </sheetView>
  </sheetViews>
  <sheetFormatPr defaultColWidth="9" defaultRowHeight="15"/>
  <cols>
    <col min="1" max="1" width="20.109375" style="1282" customWidth="1"/>
    <col min="2" max="3" width="9" style="1286" customWidth="1"/>
    <col min="4" max="4" width="10.44140625" style="1286" customWidth="1"/>
    <col min="5" max="29" width="9.77734375" style="1302" customWidth="1"/>
    <col min="30" max="30" width="9" style="1302"/>
    <col min="31" max="31" width="9" style="1303"/>
    <col min="32" max="32" width="9" style="1302"/>
    <col min="33" max="39" width="9" style="1304"/>
    <col min="40" max="40" width="9" style="1380"/>
    <col min="41" max="49" width="9" style="1304"/>
    <col min="50" max="58" width="9" style="1380"/>
    <col min="59" max="65" width="9" style="1304"/>
    <col min="66" max="16384" width="9" style="1285"/>
  </cols>
  <sheetData>
    <row r="1" spans="1:65" s="1282" customFormat="1" ht="60" customHeight="1">
      <c r="A1" s="1280" t="s">
        <v>290</v>
      </c>
      <c r="B1" s="1281" t="s">
        <v>291</v>
      </c>
      <c r="C1" s="1281" t="s">
        <v>292</v>
      </c>
      <c r="D1" s="1281" t="s">
        <v>293</v>
      </c>
      <c r="E1" s="1296" t="str">
        <f>'Section Load'!F4</f>
        <v>HVAC</v>
      </c>
      <c r="F1" s="1296" t="str">
        <f>'Section Load'!G4</f>
        <v>Fire &amp; Emergency PP</v>
      </c>
      <c r="G1" s="1296" t="str">
        <f>'Section Load'!H4</f>
        <v>Main PP</v>
      </c>
      <c r="H1" s="1296" t="str">
        <f>'Section Load'!I4</f>
        <v>Lighting PP</v>
      </c>
      <c r="I1" s="1296" t="str">
        <f>'Section Load'!J4</f>
        <v>CH-1+ CH2+CH3+CH4</v>
      </c>
      <c r="J1" s="1296" t="str">
        <f>'Section Load'!K4</f>
        <v>Chilled water Pump</v>
      </c>
      <c r="K1" s="1296" t="str">
        <f>'Section Load'!L4</f>
        <v>Ball Room-1</v>
      </c>
      <c r="L1" s="1296" t="str">
        <f>'Section Load'!M4</f>
        <v>Ball Room-2</v>
      </c>
      <c r="M1" s="1296" t="str">
        <f>'Section Load'!N4</f>
        <v>MK-1</v>
      </c>
      <c r="N1" s="1296" t="str">
        <f>'Section Load'!O4</f>
        <v>MK-2</v>
      </c>
      <c r="O1" s="1296" t="str">
        <f>'Section Load'!P4</f>
        <v>Prato</v>
      </c>
      <c r="P1" s="1296" t="str">
        <f>'Section Load'!Q4</f>
        <v>San- Qi Indian</v>
      </c>
      <c r="Q1" s="1296" t="str">
        <f>'Section Load'!R4</f>
        <v>San- Qi Japanese</v>
      </c>
      <c r="R1" s="1296" t="str">
        <f>'Section Load'!S4</f>
        <v>The club</v>
      </c>
      <c r="S1" s="1296" t="str">
        <f>'Section Load'!T4</f>
        <v>AER</v>
      </c>
      <c r="T1" s="1296" t="str">
        <f>'Section Load'!U4</f>
        <v>COLD ROOM'S</v>
      </c>
      <c r="U1" s="1296" t="str">
        <f>'Section Load'!V4</f>
        <v>Ball Room 1</v>
      </c>
      <c r="V1" s="1296" t="str">
        <f>'Section Load'!W4</f>
        <v>Ball Room 2</v>
      </c>
      <c r="W1" s="1296" t="str">
        <f>'Section Load'!X4</f>
        <v>B1 Laundry</v>
      </c>
      <c r="X1" s="1296" t="str">
        <f>'Section Load'!Y4</f>
        <v>B2 Laundry</v>
      </c>
      <c r="Y1" s="1296" t="str">
        <f>'Section Load'!Z4</f>
        <v>STP</v>
      </c>
      <c r="Z1" s="1296" t="str">
        <f>'Section Load'!AA4</f>
        <v>MOCK Up Room</v>
      </c>
      <c r="AA1" s="1296" t="str">
        <f>'Section Load'!AB4</f>
        <v>27th Floor</v>
      </c>
      <c r="AB1" s="1296" t="str">
        <f>'Section Load'!AC4</f>
        <v>Physic57</v>
      </c>
      <c r="AC1" s="1296" t="str">
        <f>'Section Load'!AD4</f>
        <v>Pinoor Legal- Power+lighting</v>
      </c>
      <c r="AD1" s="1296" t="str">
        <f>'Section Load'!AE4</f>
        <v>2nd floor plant room</v>
      </c>
      <c r="AE1" s="1296" t="str">
        <f>'Section Load'!AF4</f>
        <v>5th Floor</v>
      </c>
      <c r="AF1" s="1296" t="str">
        <f>'Section Load'!AG4</f>
        <v>5th Floor</v>
      </c>
      <c r="AG1" s="1296" t="str">
        <f>'Section Load'!AH4</f>
        <v>12th Floor</v>
      </c>
      <c r="AH1" s="1296" t="str">
        <f>'Section Load'!AI4</f>
        <v>20th Floor</v>
      </c>
      <c r="AI1" s="1296" t="str">
        <f>'Section Load'!AJ4</f>
        <v>27th Floor</v>
      </c>
      <c r="AJ1" s="1296" t="str">
        <f>'Section Load'!AK4</f>
        <v>34th Floor</v>
      </c>
      <c r="AK1" s="1296" t="str">
        <f>'Section Load'!AL4</f>
        <v>Sanqi</v>
      </c>
      <c r="AL1" s="1296" t="str">
        <f>'Section Load'!AM4</f>
        <v>Cooling Tower</v>
      </c>
      <c r="AM1" s="1297" t="s">
        <v>315</v>
      </c>
      <c r="AN1" s="1378" t="s">
        <v>207</v>
      </c>
      <c r="AO1" s="1297" t="s">
        <v>209</v>
      </c>
      <c r="AP1" s="1297" t="s">
        <v>210</v>
      </c>
      <c r="AQ1" s="1297" t="s">
        <v>211</v>
      </c>
      <c r="AR1" s="1297" t="s">
        <v>212</v>
      </c>
      <c r="AS1" s="1297" t="s">
        <v>213</v>
      </c>
      <c r="AT1" s="1297" t="s">
        <v>214</v>
      </c>
      <c r="AU1" s="1297" t="s">
        <v>219</v>
      </c>
      <c r="AV1" s="1297" t="s">
        <v>77</v>
      </c>
      <c r="AW1" s="1297" t="s">
        <v>78</v>
      </c>
      <c r="AX1" s="1378" t="s">
        <v>220</v>
      </c>
      <c r="AY1" s="1378" t="s">
        <v>221</v>
      </c>
      <c r="AZ1" s="1378" t="s">
        <v>222</v>
      </c>
      <c r="BA1" s="1378" t="s">
        <v>224</v>
      </c>
      <c r="BB1" s="1378" t="s">
        <v>225</v>
      </c>
      <c r="BC1" s="1378" t="s">
        <v>341</v>
      </c>
      <c r="BD1" s="1378" t="s">
        <v>339</v>
      </c>
      <c r="BE1" s="1378" t="s">
        <v>316</v>
      </c>
      <c r="BF1" s="1378" t="s">
        <v>317</v>
      </c>
      <c r="BG1" s="1298" t="str">
        <f>'Section Load'!AN4</f>
        <v>MGL</v>
      </c>
      <c r="BH1" s="1298" t="str">
        <f>'Section Load'!AO4</f>
        <v>HWG</v>
      </c>
      <c r="BI1" s="1298" t="str">
        <f>'Section Load'!AP4</f>
        <v>Prato</v>
      </c>
      <c r="BJ1" s="1298" t="str">
        <f>'Section Load'!AQ4</f>
        <v>BR-1</v>
      </c>
      <c r="BK1" s="1298" t="str">
        <f>'Section Load'!AR4</f>
        <v>SanQi IND</v>
      </c>
      <c r="BL1" s="1298" t="str">
        <f>'Section Load'!AS4</f>
        <v>SanQi JPN</v>
      </c>
      <c r="BM1" s="1298" t="str">
        <f>'Section Load'!AT4</f>
        <v>Boiler</v>
      </c>
    </row>
    <row r="2" spans="1:65" ht="15" customHeight="1">
      <c r="A2" s="1283" t="s">
        <v>301</v>
      </c>
      <c r="B2" s="1284">
        <v>1</v>
      </c>
      <c r="C2" s="1284">
        <v>4</v>
      </c>
      <c r="D2" s="1284">
        <v>2021</v>
      </c>
      <c r="E2" s="1299">
        <f>(IF('Section Load'!F5&gt;0,'Section Load'!F5,0))</f>
        <v>3430</v>
      </c>
      <c r="F2" s="1299">
        <f>(IF('Section Load'!G5&gt;0,'Section Load'!G5,0))</f>
        <v>1448</v>
      </c>
      <c r="G2" s="1299">
        <f>(IF('Section Load'!H5&gt;0,'Section Load'!H5,0))</f>
        <v>1779</v>
      </c>
      <c r="H2" s="1299">
        <f>(IF('Section Load'!I5&gt;0,'Section Load'!I5,0))</f>
        <v>4613</v>
      </c>
      <c r="I2" s="1299">
        <f>(IF('Section Load'!J5&gt;0,'Section Load'!J5,0))</f>
        <v>6956.8399999999965</v>
      </c>
      <c r="J2" s="1299">
        <f>(IF('Section Load'!K5&gt;0,'Section Load'!K5,0))</f>
        <v>2596</v>
      </c>
      <c r="K2" s="1299">
        <f>(IF('Section Load'!L5&gt;0,'Section Load'!L5,0))</f>
        <v>1486</v>
      </c>
      <c r="L2" s="1299">
        <f>(IF('Section Load'!M5&gt;0,'Section Load'!M5,0))</f>
        <v>1016</v>
      </c>
      <c r="M2" s="1299">
        <f>(IF('Section Load'!N5&gt;0,'Section Load'!N5,0))</f>
        <v>122</v>
      </c>
      <c r="N2" s="1299">
        <f>(IF('Section Load'!O5&gt;0,'Section Load'!O5,0))</f>
        <v>4</v>
      </c>
      <c r="O2" s="1299">
        <f>(IF('Section Load'!P5&gt;0,'Section Load'!P5,0))</f>
        <v>19</v>
      </c>
      <c r="P2" s="1299">
        <f>(IF('Section Load'!Q5&gt;0,'Section Load'!Q5,0))</f>
        <v>150</v>
      </c>
      <c r="Q2" s="1299">
        <f>(IF('Section Load'!R5&gt;0,'Section Load'!R5,0))</f>
        <v>59</v>
      </c>
      <c r="R2" s="1299">
        <f>(IF('Section Load'!S5&gt;0,'Section Load'!S5,0))</f>
        <v>50</v>
      </c>
      <c r="S2" s="1299">
        <f>(IF('Section Load'!T5&gt;0,'Section Load'!T5,0))</f>
        <v>395</v>
      </c>
      <c r="T2" s="1299">
        <f>(IF('Section Load'!U5&gt;0,'Section Load'!U5,0))</f>
        <v>194</v>
      </c>
      <c r="U2" s="1299">
        <f>(IF('Section Load'!V5&gt;0,'Section Load'!V5,0))</f>
        <v>380</v>
      </c>
      <c r="V2" s="1299">
        <f>(IF('Section Load'!W5&gt;0,'Section Load'!W5,0))</f>
        <v>198</v>
      </c>
      <c r="W2" s="1299">
        <f>(IF('Section Load'!X5&gt;0,'Section Load'!X5,0))</f>
        <v>23</v>
      </c>
      <c r="X2" s="1299">
        <f>(IF('Section Load'!Y5&gt;0,'Section Load'!Y5,0))</f>
        <v>172</v>
      </c>
      <c r="Y2" s="1299">
        <f>(IF('Section Load'!Z5&gt;0,'Section Load'!Z5,0))</f>
        <v>239</v>
      </c>
      <c r="Z2" s="1299">
        <f>(IF('Section Load'!AA5&gt;0,'Section Load'!AA5,0))</f>
        <v>223</v>
      </c>
      <c r="AA2" s="1299">
        <f>(IF('Section Load'!AB5&gt;0,'Section Load'!AB5,0))</f>
        <v>34</v>
      </c>
      <c r="AB2" s="1299">
        <f>(IF('Section Load'!AC5&gt;0,'Section Load'!AC5,0))</f>
        <v>69</v>
      </c>
      <c r="AC2" s="1299">
        <f>(IF('Section Load'!AD5&gt;0,'Section Load'!AD5,0))</f>
        <v>45</v>
      </c>
      <c r="AD2" s="1299">
        <f>(IF('Section Load'!AE5&gt;0,'Section Load'!AE5,0))</f>
        <v>0</v>
      </c>
      <c r="AE2" s="1299">
        <f>(IF('Section Load'!AF5&gt;0,'Section Load'!AF5,0))</f>
        <v>12</v>
      </c>
      <c r="AF2" s="1299">
        <f>(IF('Section Load'!AG5&gt;0,'Section Load'!AG5,0))</f>
        <v>463</v>
      </c>
      <c r="AG2" s="1299">
        <f>(IF('Section Load'!AH5&gt;0,'Section Load'!AH5,0))</f>
        <v>364</v>
      </c>
      <c r="AH2" s="1299">
        <f>(IF('Section Load'!AI5&gt;0,'Section Load'!AI5,0))</f>
        <v>392</v>
      </c>
      <c r="AI2" s="1299">
        <f>(IF('Section Load'!AJ5&gt;0,'Section Load'!AJ5,0))</f>
        <v>695</v>
      </c>
      <c r="AJ2" s="1299">
        <f>(IF('Section Load'!AK5&gt;0,'Section Load'!AK5,0))</f>
        <v>322</v>
      </c>
      <c r="AK2" s="1299">
        <f>(IF('Section Load'!AL5&gt;0,'Section Load'!AL5,0))</f>
        <v>307</v>
      </c>
      <c r="AL2" s="1299">
        <f>(IF('Section Load'!AM5&gt;0,'Section Load'!AM5,0))</f>
        <v>915</v>
      </c>
      <c r="AM2" s="1300">
        <f>(IF('Water Report'!$D$7&gt;0,'Water Report'!$D$7,0))</f>
        <v>92</v>
      </c>
      <c r="AN2" s="1300">
        <f>(IF('Water Report'!$D$8&gt;0,'Water Report'!$D$8,0))</f>
        <v>127</v>
      </c>
      <c r="AO2" s="1300">
        <f>(IF('Water Report'!$D$9&gt;0,'Water Report'!$D$9,0))</f>
        <v>77</v>
      </c>
      <c r="AP2" s="1300">
        <f>(IF('Water Report'!$D$10&gt;0,'Water Report'!$D$10,0))</f>
        <v>17</v>
      </c>
      <c r="AQ2" s="1300">
        <f>(IF('Water Report'!$D$11&gt;0,'Water Report'!$D$11,0))</f>
        <v>20</v>
      </c>
      <c r="AR2" s="1300">
        <f>(IF('Water Report'!$D$13&gt;0,'Water Report'!$D$13,0))</f>
        <v>28</v>
      </c>
      <c r="AS2" s="1300">
        <f>(IF('Water Report'!$D$14&gt;0,'Water Report'!$D$14,0))</f>
        <v>20</v>
      </c>
      <c r="AT2" s="1300">
        <f>(IF('Water Report'!$D$15&gt;0,'Water Report'!$D$15,0))</f>
        <v>5</v>
      </c>
      <c r="AU2" s="1300">
        <f>(IF('Water Report'!$D$17&gt;0,'Water Report'!$D$17,0))</f>
        <v>8</v>
      </c>
      <c r="AV2" s="1300">
        <f>(IF('Water Report'!$D$18&gt;0,'Water Report'!$D$18,0))</f>
        <v>5</v>
      </c>
      <c r="AW2" s="1300">
        <f>(IF('Water Report'!$D$19&gt;0,'Water Report'!$D$19,0))</f>
        <v>5</v>
      </c>
      <c r="AX2" s="1379">
        <f>(IF('Water Report'!$D$21&gt;0,'Water Report'!$D$21,0))</f>
        <v>87</v>
      </c>
      <c r="AY2" s="1379">
        <f>(IF('Water Report'!$D$22&gt;0,'Water Report'!$D$22,0))</f>
        <v>30</v>
      </c>
      <c r="AZ2" s="1379">
        <f>(IF('Water Report'!$D$23&gt;0,'Water Report'!$D$23,0))</f>
        <v>21</v>
      </c>
      <c r="BA2" s="1379">
        <f>(IF('Water Report'!$D$14&gt;0,'Water Report'!$D$14,0))</f>
        <v>20</v>
      </c>
      <c r="BB2" s="1379">
        <f>(IF('Water Report'!$D$15&gt;0,'Water Report'!$D$15,0))</f>
        <v>5</v>
      </c>
      <c r="BC2" s="1379">
        <f>(IF('Water Report'!$D$13&gt;0,'Water Report'!$D$13,0))</f>
        <v>28</v>
      </c>
      <c r="BD2" s="1379">
        <f>(IF('Water Report'!$D$24&gt;0,'Water Report'!$D$24,0))</f>
        <v>193</v>
      </c>
      <c r="BE2" s="1379">
        <f>(IF('Water Report'!$D$25&gt;0,'Water Report'!$D$25,0))</f>
        <v>139</v>
      </c>
      <c r="BF2" s="1379">
        <f>(IF('Water Report'!$D$27&gt;0,'Water Report'!$D$27,0))</f>
        <v>136</v>
      </c>
      <c r="BG2" s="1301">
        <f>(IF('Section Load'!AN5&gt;0,'Section Load'!AN5,0))</f>
        <v>969</v>
      </c>
      <c r="BH2" s="1301">
        <f>(IF('Section Load'!AO5&gt;0,'Section Load'!AO5,0))</f>
        <v>257</v>
      </c>
      <c r="BI2" s="1301">
        <f>(IF('Section Load'!AP5&gt;0,'Section Load'!AP5,0))</f>
        <v>0</v>
      </c>
      <c r="BJ2" s="1301">
        <f>(IF('Section Load'!AQ5&gt;0,'Section Load'!AQ5,0))</f>
        <v>96</v>
      </c>
      <c r="BK2" s="1301">
        <f>(IF('Section Load'!AR5&gt;0,'Section Load'!AR5,0))</f>
        <v>0</v>
      </c>
      <c r="BL2" s="1301">
        <f>(IF('Section Load'!AS5&gt;0,'Section Load'!AS5,0))</f>
        <v>1</v>
      </c>
      <c r="BM2" s="1301">
        <f>(IF('Section Load'!AT5&gt;0,'Section Load'!AT5,0))</f>
        <v>615</v>
      </c>
    </row>
    <row r="3" spans="1:65">
      <c r="A3" s="1283" t="s">
        <v>301</v>
      </c>
      <c r="B3" s="1284">
        <f>B2+1</f>
        <v>2</v>
      </c>
      <c r="C3" s="1284">
        <v>4</v>
      </c>
      <c r="D3" s="1284">
        <v>2021</v>
      </c>
      <c r="E3" s="1299">
        <f>(IF('Section Load'!F6&gt;0,'Section Load'!F6,0))</f>
        <v>3377.1300000000047</v>
      </c>
      <c r="F3" s="1299">
        <f>(IF('Section Load'!G6&gt;0,'Section Load'!G6,0))</f>
        <v>1445</v>
      </c>
      <c r="G3" s="1299">
        <f>(IF('Section Load'!H6&gt;0,'Section Load'!H6,0))</f>
        <v>1823</v>
      </c>
      <c r="H3" s="1299">
        <f>(IF('Section Load'!I6&gt;0,'Section Load'!I6,0))</f>
        <v>3883</v>
      </c>
      <c r="I3" s="1299">
        <f>(IF('Section Load'!J6&gt;0,'Section Load'!J6,0))</f>
        <v>6251</v>
      </c>
      <c r="J3" s="1299">
        <f>(IF('Section Load'!K6&gt;0,'Section Load'!K6,0))</f>
        <v>2688</v>
      </c>
      <c r="K3" s="1299">
        <f>(IF('Section Load'!L6&gt;0,'Section Load'!L6,0))</f>
        <v>1086</v>
      </c>
      <c r="L3" s="1299">
        <f>(IF('Section Load'!M6&gt;0,'Section Load'!M6,0))</f>
        <v>922</v>
      </c>
      <c r="M3" s="1299">
        <f>(IF('Section Load'!N6&gt;0,'Section Load'!N6,0))</f>
        <v>108</v>
      </c>
      <c r="N3" s="1299">
        <f>(IF('Section Load'!O6&gt;0,'Section Load'!O6,0))</f>
        <v>1</v>
      </c>
      <c r="O3" s="1299">
        <f>(IF('Section Load'!P6&gt;0,'Section Load'!P6,0))</f>
        <v>20</v>
      </c>
      <c r="P3" s="1299">
        <f>(IF('Section Load'!Q6&gt;0,'Section Load'!Q6,0))</f>
        <v>136</v>
      </c>
      <c r="Q3" s="1299">
        <f>(IF('Section Load'!R6&gt;0,'Section Load'!R6,0))</f>
        <v>59</v>
      </c>
      <c r="R3" s="1299">
        <f>(IF('Section Load'!S6&gt;0,'Section Load'!S6,0))</f>
        <v>47</v>
      </c>
      <c r="S3" s="1299">
        <f>(IF('Section Load'!T6&gt;0,'Section Load'!T6,0))</f>
        <v>328</v>
      </c>
      <c r="T3" s="1299">
        <f>(IF('Section Load'!U6&gt;0,'Section Load'!U6,0))</f>
        <v>190</v>
      </c>
      <c r="U3" s="1299">
        <f>(IF('Section Load'!V6&gt;0,'Section Load'!V6,0))</f>
        <v>333</v>
      </c>
      <c r="V3" s="1299">
        <f>(IF('Section Load'!W6&gt;0,'Section Load'!W6,0))</f>
        <v>294</v>
      </c>
      <c r="W3" s="1299">
        <f>(IF('Section Load'!X6&gt;0,'Section Load'!X6,0))</f>
        <v>27</v>
      </c>
      <c r="X3" s="1299">
        <f>(IF('Section Load'!Y6&gt;0,'Section Load'!Y6,0))</f>
        <v>218</v>
      </c>
      <c r="Y3" s="1299">
        <f>(IF('Section Load'!Z6&gt;0,'Section Load'!Z6,0))</f>
        <v>276</v>
      </c>
      <c r="Z3" s="1299">
        <f>(IF('Section Load'!AA6&gt;0,'Section Load'!AA6,0))</f>
        <v>154</v>
      </c>
      <c r="AA3" s="1299">
        <f>(IF('Section Load'!AB6&gt;0,'Section Load'!AB6,0))</f>
        <v>33</v>
      </c>
      <c r="AB3" s="1299">
        <f>(IF('Section Load'!AC6&gt;0,'Section Load'!AC6,0))</f>
        <v>107</v>
      </c>
      <c r="AC3" s="1299">
        <f>(IF('Section Load'!AD6&gt;0,'Section Load'!AD6,0))</f>
        <v>43</v>
      </c>
      <c r="AD3" s="1299">
        <f>(IF('Section Load'!AE6&gt;0,'Section Load'!AE6,0))</f>
        <v>0</v>
      </c>
      <c r="AE3" s="1299">
        <f>(IF('Section Load'!AF6&gt;0,'Section Load'!AF6,0))</f>
        <v>10</v>
      </c>
      <c r="AF3" s="1299">
        <f>(IF('Section Load'!AG6&gt;0,'Section Load'!AG6,0))</f>
        <v>456</v>
      </c>
      <c r="AG3" s="1299">
        <f>(IF('Section Load'!AH6&gt;0,'Section Load'!AH6,0))</f>
        <v>362</v>
      </c>
      <c r="AH3" s="1299">
        <f>(IF('Section Load'!AI6&gt;0,'Section Load'!AI6,0))</f>
        <v>398</v>
      </c>
      <c r="AI3" s="1299">
        <f>(IF('Section Load'!AJ6&gt;0,'Section Load'!AJ6,0))</f>
        <v>629</v>
      </c>
      <c r="AJ3" s="1299">
        <f>(IF('Section Load'!AK6&gt;0,'Section Load'!AK6,0))</f>
        <v>306</v>
      </c>
      <c r="AK3" s="1299">
        <f>(IF('Section Load'!AL6&gt;0,'Section Load'!AL6,0))</f>
        <v>308</v>
      </c>
      <c r="AL3" s="1299">
        <f>(IF('Section Load'!AM6&gt;0,'Section Load'!AM6,0))</f>
        <v>920</v>
      </c>
      <c r="AM3" s="1300">
        <f>(IF('Water Report'!$E$7&gt;0,'Water Report'!$E$7,0))</f>
        <v>83</v>
      </c>
      <c r="AN3" s="1300">
        <f>(IF('Water Report'!$E$8&gt;0,'Water Report'!$E$8,0))</f>
        <v>143</v>
      </c>
      <c r="AO3" s="1300">
        <f>(IF('Water Report'!$E$9&gt;0,'Water Report'!$E$9,0))</f>
        <v>87</v>
      </c>
      <c r="AP3" s="1300">
        <f>(IF('Water Report'!$E$10&gt;0,'Water Report'!$E$10,0))</f>
        <v>19</v>
      </c>
      <c r="AQ3" s="1300">
        <f>(IF('Water Report'!$E$11&gt;0,'Water Report'!$E$11,0))</f>
        <v>14</v>
      </c>
      <c r="AR3" s="1300">
        <f>(IF('Water Report'!$E$13&gt;0,'Water Report'!$E$13,0))</f>
        <v>50</v>
      </c>
      <c r="AS3" s="1300">
        <f>(IF('Water Report'!$E$14&gt;0,'Water Report'!$E$14,0))</f>
        <v>14</v>
      </c>
      <c r="AT3" s="1300">
        <f>(IF('Water Report'!$E$15&gt;0,'Water Report'!$E$15,0))</f>
        <v>4</v>
      </c>
      <c r="AU3" s="1300">
        <f>(IF('Water Report'!$E$17&gt;0,'Water Report'!$E$17,0))</f>
        <v>0</v>
      </c>
      <c r="AV3" s="1300">
        <f>(IF('Water Report'!$E$18&gt;0,'Water Report'!$E$18,0))</f>
        <v>8</v>
      </c>
      <c r="AW3" s="1300">
        <f>(IF('Water Report'!$E$19&gt;0,'Water Report'!$E$19,0))</f>
        <v>7</v>
      </c>
      <c r="AX3" s="1379">
        <f>(IF('Water Report'!$E$21&gt;0,'Water Report'!$E$21,0))</f>
        <v>94</v>
      </c>
      <c r="AY3" s="1379">
        <f>(IF('Water Report'!$E$22&gt;0,'Water Report'!$E$22,0))</f>
        <v>14</v>
      </c>
      <c r="AZ3" s="1379">
        <f>(IF('Water Report'!$E$23&gt;0,'Water Report'!$E$23,0))</f>
        <v>9</v>
      </c>
      <c r="BA3" s="1379">
        <f>(IF('Water Report'!$E$14&gt;0,'Water Report'!$E$14,0))</f>
        <v>14</v>
      </c>
      <c r="BB3" s="1379">
        <f>(IF('Water Report'!$E$15&gt;0,'Water Report'!$E$15,0))</f>
        <v>4</v>
      </c>
      <c r="BC3" s="1379">
        <f>(IF('Water Report'!$E$13&gt;0,'Water Report'!$E$13,0))</f>
        <v>50</v>
      </c>
      <c r="BD3" s="1379">
        <f>(IF('Water Report'!$E$24&gt;0,'Water Report'!$E$24,0))</f>
        <v>173</v>
      </c>
      <c r="BE3" s="1379">
        <f>(IF('Water Report'!$E$25&gt;0,'Water Report'!$E$25,0))</f>
        <v>138</v>
      </c>
      <c r="BF3" s="1379">
        <f>(IF('Water Report'!$E$27&gt;0,'Water Report'!$E$27,0))</f>
        <v>153</v>
      </c>
      <c r="BG3" s="1301">
        <f>(IF('Section Load'!AN6&gt;0,'Section Load'!AN6,0))</f>
        <v>982</v>
      </c>
      <c r="BH3" s="1301">
        <f>(IF('Section Load'!AO6&gt;0,'Section Load'!AO6,0))</f>
        <v>231</v>
      </c>
      <c r="BI3" s="1301">
        <f>(IF('Section Load'!AP6&gt;0,'Section Load'!AP6,0))</f>
        <v>0</v>
      </c>
      <c r="BJ3" s="1301">
        <f>(IF('Section Load'!AQ6&gt;0,'Section Load'!AQ6,0))</f>
        <v>82</v>
      </c>
      <c r="BK3" s="1301">
        <f>(IF('Section Load'!AR6&gt;0,'Section Load'!AR6,0))</f>
        <v>0</v>
      </c>
      <c r="BL3" s="1301">
        <f>(IF('Section Load'!AS6&gt;0,'Section Load'!AS6,0))</f>
        <v>3</v>
      </c>
      <c r="BM3" s="1301">
        <f>(IF('Section Load'!AT6&gt;0,'Section Load'!AT6,0))</f>
        <v>666</v>
      </c>
    </row>
    <row r="4" spans="1:65">
      <c r="A4" s="1283" t="s">
        <v>301</v>
      </c>
      <c r="B4" s="1284">
        <f t="shared" ref="B4:B32" si="0">B3+1</f>
        <v>3</v>
      </c>
      <c r="C4" s="1284">
        <v>4</v>
      </c>
      <c r="D4" s="1284">
        <v>2021</v>
      </c>
      <c r="E4" s="1299">
        <f>(IF('Section Load'!F7&gt;0,'Section Load'!F7,0))</f>
        <v>3065</v>
      </c>
      <c r="F4" s="1299">
        <f>(IF('Section Load'!G7&gt;0,'Section Load'!G7,0))</f>
        <v>1432</v>
      </c>
      <c r="G4" s="1299">
        <f>(IF('Section Load'!H7&gt;0,'Section Load'!H7,0))</f>
        <v>1736</v>
      </c>
      <c r="H4" s="1299">
        <f>(IF('Section Load'!I7&gt;0,'Section Load'!I7,0))</f>
        <v>3855</v>
      </c>
      <c r="I4" s="1299">
        <f>(IF('Section Load'!J7&gt;0,'Section Load'!J7,0))</f>
        <v>5680</v>
      </c>
      <c r="J4" s="1299">
        <f>(IF('Section Load'!K7&gt;0,'Section Load'!K7,0))</f>
        <v>2426.33</v>
      </c>
      <c r="K4" s="1299">
        <f>(IF('Section Load'!L7&gt;0,'Section Load'!L7,0))</f>
        <v>1064</v>
      </c>
      <c r="L4" s="1299">
        <f>(IF('Section Load'!M7&gt;0,'Section Load'!M7,0))</f>
        <v>975</v>
      </c>
      <c r="M4" s="1299">
        <f>(IF('Section Load'!N7&gt;0,'Section Load'!N7,0))</f>
        <v>85</v>
      </c>
      <c r="N4" s="1299">
        <f>(IF('Section Load'!O7&gt;0,'Section Load'!O7,0))</f>
        <v>1</v>
      </c>
      <c r="O4" s="1299">
        <f>(IF('Section Load'!P7&gt;0,'Section Load'!P7,0))</f>
        <v>29</v>
      </c>
      <c r="P4" s="1299">
        <f>(IF('Section Load'!Q7&gt;0,'Section Load'!Q7,0))</f>
        <v>105</v>
      </c>
      <c r="Q4" s="1299">
        <f>(IF('Section Load'!R7&gt;0,'Section Load'!R7,0))</f>
        <v>69</v>
      </c>
      <c r="R4" s="1299">
        <f>(IF('Section Load'!S7&gt;0,'Section Load'!S7,0))</f>
        <v>44</v>
      </c>
      <c r="S4" s="1299">
        <f>(IF('Section Load'!T7&gt;0,'Section Load'!T7,0))</f>
        <v>290</v>
      </c>
      <c r="T4" s="1299">
        <f>(IF('Section Load'!U7&gt;0,'Section Load'!U7,0))</f>
        <v>192</v>
      </c>
      <c r="U4" s="1299">
        <f>(IF('Section Load'!V7&gt;0,'Section Load'!V7,0))</f>
        <v>315</v>
      </c>
      <c r="V4" s="1299">
        <f>(IF('Section Load'!W7&gt;0,'Section Load'!W7,0))</f>
        <v>240</v>
      </c>
      <c r="W4" s="1299">
        <f>(IF('Section Load'!X7&gt;0,'Section Load'!X7,0))</f>
        <v>20</v>
      </c>
      <c r="X4" s="1299">
        <f>(IF('Section Load'!Y7&gt;0,'Section Load'!Y7,0))</f>
        <v>181</v>
      </c>
      <c r="Y4" s="1299">
        <f>(IF('Section Load'!Z7&gt;0,'Section Load'!Z7,0))</f>
        <v>255</v>
      </c>
      <c r="Z4" s="1299">
        <f>(IF('Section Load'!AA7&gt;0,'Section Load'!AA7,0))</f>
        <v>156</v>
      </c>
      <c r="AA4" s="1299">
        <f>(IF('Section Load'!AB7&gt;0,'Section Load'!AB7,0))</f>
        <v>34</v>
      </c>
      <c r="AB4" s="1299">
        <f>(IF('Section Load'!AC7&gt;0,'Section Load'!AC7,0))</f>
        <v>92</v>
      </c>
      <c r="AC4" s="1299">
        <f>(IF('Section Load'!AD7&gt;0,'Section Load'!AD7,0))</f>
        <v>41</v>
      </c>
      <c r="AD4" s="1299">
        <f>(IF('Section Load'!AE7&gt;0,'Section Load'!AE7,0))</f>
        <v>0</v>
      </c>
      <c r="AE4" s="1299">
        <f>(IF('Section Load'!AF7&gt;0,'Section Load'!AF7,0))</f>
        <v>11</v>
      </c>
      <c r="AF4" s="1299">
        <f>(IF('Section Load'!AG7&gt;0,'Section Load'!AG7,0))</f>
        <v>453</v>
      </c>
      <c r="AG4" s="1299">
        <f>(IF('Section Load'!AH7&gt;0,'Section Load'!AH7,0))</f>
        <v>355</v>
      </c>
      <c r="AH4" s="1299">
        <f>(IF('Section Load'!AI7&gt;0,'Section Load'!AI7,0))</f>
        <v>433</v>
      </c>
      <c r="AI4" s="1299">
        <f>(IF('Section Load'!AJ7&gt;0,'Section Load'!AJ7,0))</f>
        <v>610</v>
      </c>
      <c r="AJ4" s="1299">
        <f>(IF('Section Load'!AK7&gt;0,'Section Load'!AK7,0))</f>
        <v>316</v>
      </c>
      <c r="AK4" s="1299">
        <f>(IF('Section Load'!AL7&gt;0,'Section Load'!AL7,0))</f>
        <v>308</v>
      </c>
      <c r="AL4" s="1299">
        <f>(IF('Section Load'!AM7&gt;0,'Section Load'!AM7,0))</f>
        <v>814</v>
      </c>
      <c r="AM4" s="1300">
        <f>(IF('Water Report'!$F$7&gt;0,'Water Report'!$F$7,0))</f>
        <v>77</v>
      </c>
      <c r="AN4" s="1300">
        <f>(IF('Water Report'!$F$8&gt;0,'Water Report'!$F$8,0))</f>
        <v>158</v>
      </c>
      <c r="AO4" s="1300">
        <f>(IF('Water Report'!$F$9&gt;0,'Water Report'!$G$9,0))</f>
        <v>71</v>
      </c>
      <c r="AP4" s="1300">
        <f>(IF('Water Report'!$F$10&gt;0,'Water Report'!$F$10,0))</f>
        <v>20</v>
      </c>
      <c r="AQ4" s="1300">
        <f>(IF('Water Report'!$F$11&gt;0,'Water Report'!$F$11,0))</f>
        <v>18</v>
      </c>
      <c r="AR4" s="1300">
        <f>(IF('Water Report'!$F$13&gt;0,'Water Report'!$F$13,0))</f>
        <v>56</v>
      </c>
      <c r="AS4" s="1300">
        <f>(IF('Water Report'!$F$14&gt;0,'Water Report'!$F$14,0))</f>
        <v>17</v>
      </c>
      <c r="AT4" s="1300">
        <f>(IF('Water Report'!$F$15&gt;0,'Water Report'!$F$15,0))</f>
        <v>5</v>
      </c>
      <c r="AU4" s="1300">
        <f>(IF('Water Report'!$F$17&gt;0,'Water Report'!$F$17,0))</f>
        <v>0</v>
      </c>
      <c r="AV4" s="1300">
        <f>(IF('Water Report'!$F$18&gt;0,'Water Report'!$F$18,0))</f>
        <v>7</v>
      </c>
      <c r="AW4" s="1300">
        <f>(IF('Water Report'!$F$19&gt;0,'Water Report'!$F$19,0))</f>
        <v>6</v>
      </c>
      <c r="AX4" s="1379">
        <f>(IF('Water Report'!$F$21&gt;0,'Water Report'!$F$21,0))</f>
        <v>88</v>
      </c>
      <c r="AY4" s="1379">
        <f>(IF('Water Report'!$F$22&gt;0,'Water Report'!$F$22,0))</f>
        <v>71</v>
      </c>
      <c r="AZ4" s="1379">
        <f>(IF('Water Report'!$F$23&gt;0,'Water Report'!$F$23,0))</f>
        <v>12</v>
      </c>
      <c r="BA4" s="1379">
        <f>(IF('Water Report'!$F$14&gt;0,'Water Report'!$F$14,0))</f>
        <v>17</v>
      </c>
      <c r="BB4" s="1379">
        <f>(IF('Water Report'!$F$15&gt;0,'Water Report'!$F$15,0))</f>
        <v>5</v>
      </c>
      <c r="BC4" s="1379">
        <f>(IF('Water Report'!$F$13&gt;0,'Water Report'!$F$13,0))</f>
        <v>56</v>
      </c>
      <c r="BD4" s="1379">
        <f>(IF('Water Report'!$F$24&gt;0,'Water Report'!$F$24,0))</f>
        <v>153</v>
      </c>
      <c r="BE4" s="1379">
        <f>(IF('Water Report'!$F$25&gt;0,'Water Report'!$F$25,0))</f>
        <v>132</v>
      </c>
      <c r="BF4" s="1379">
        <f>(IF('Water Report'!$F$27&gt;0,'Water Report'!$F$27,0))</f>
        <v>156</v>
      </c>
      <c r="BG4" s="1301">
        <f>(IF('Section Load'!AN7&gt;0,'Section Load'!AN7,0))</f>
        <v>1003</v>
      </c>
      <c r="BH4" s="1301">
        <f>(IF('Section Load'!AO7&gt;0,'Section Load'!AO7,0))</f>
        <v>272</v>
      </c>
      <c r="BI4" s="1301">
        <f>(IF('Section Load'!AP7&gt;0,'Section Load'!AP7,0))</f>
        <v>0</v>
      </c>
      <c r="BJ4" s="1301">
        <f>(IF('Section Load'!AQ7&gt;0,'Section Load'!AQ7,0))</f>
        <v>93</v>
      </c>
      <c r="BK4" s="1301">
        <f>(IF('Section Load'!AR7&gt;0,'Section Load'!AR7,0))</f>
        <v>10.5</v>
      </c>
      <c r="BL4" s="1301">
        <f>(IF('Section Load'!AS7&gt;0,'Section Load'!AS7,0))</f>
        <v>0</v>
      </c>
      <c r="BM4" s="1301">
        <f>(IF('Section Load'!AT7&gt;0,'Section Load'!AT7,0))</f>
        <v>627.89999999999418</v>
      </c>
    </row>
    <row r="5" spans="1:65">
      <c r="A5" s="1283" t="s">
        <v>301</v>
      </c>
      <c r="B5" s="1284">
        <f t="shared" si="0"/>
        <v>4</v>
      </c>
      <c r="C5" s="1284">
        <v>4</v>
      </c>
      <c r="D5" s="1284">
        <v>2021</v>
      </c>
      <c r="E5" s="1299">
        <f>(IF('Section Load'!F8&gt;0,'Section Load'!F8,0))</f>
        <v>3475.8699999999953</v>
      </c>
      <c r="F5" s="1299">
        <f>(IF('Section Load'!G8&gt;0,'Section Load'!G8,0))</f>
        <v>1390</v>
      </c>
      <c r="G5" s="1299">
        <f>(IF('Section Load'!H8&gt;0,'Section Load'!H8,0))</f>
        <v>1683.6999999999971</v>
      </c>
      <c r="H5" s="1299">
        <f>(IF('Section Load'!I8&gt;0,'Section Load'!I8,0))</f>
        <v>4271</v>
      </c>
      <c r="I5" s="1299">
        <f>(IF('Section Load'!J8&gt;0,'Section Load'!J8,0))</f>
        <v>6033</v>
      </c>
      <c r="J5" s="1299">
        <f>(IF('Section Load'!K8&gt;0,'Section Load'!K8,0))</f>
        <v>2475.67</v>
      </c>
      <c r="K5" s="1299">
        <f>(IF('Section Load'!L8&gt;0,'Section Load'!L8,0))</f>
        <v>1054</v>
      </c>
      <c r="L5" s="1299">
        <f>(IF('Section Load'!M8&gt;0,'Section Load'!M8,0))</f>
        <v>857</v>
      </c>
      <c r="M5" s="1299">
        <f>(IF('Section Load'!N8&gt;0,'Section Load'!N8,0))</f>
        <v>99</v>
      </c>
      <c r="N5" s="1299">
        <f>(IF('Section Load'!O8&gt;0,'Section Load'!O8,0))</f>
        <v>2</v>
      </c>
      <c r="O5" s="1299">
        <f>(IF('Section Load'!P8&gt;0,'Section Load'!P8,0))</f>
        <v>18</v>
      </c>
      <c r="P5" s="1299">
        <f>(IF('Section Load'!Q8&gt;0,'Section Load'!Q8,0))</f>
        <v>18</v>
      </c>
      <c r="Q5" s="1299">
        <f>(IF('Section Load'!R8&gt;0,'Section Load'!R8,0))</f>
        <v>74</v>
      </c>
      <c r="R5" s="1299">
        <f>(IF('Section Load'!S8&gt;0,'Section Load'!S8,0))</f>
        <v>45</v>
      </c>
      <c r="S5" s="1299">
        <f>(IF('Section Load'!T8&gt;0,'Section Load'!T8,0))</f>
        <v>357</v>
      </c>
      <c r="T5" s="1299">
        <f>(IF('Section Load'!U8&gt;0,'Section Load'!U8,0))</f>
        <v>184</v>
      </c>
      <c r="U5" s="1299">
        <f>(IF('Section Load'!V8&gt;0,'Section Load'!V8,0))</f>
        <v>347.76000000000931</v>
      </c>
      <c r="V5" s="1299">
        <f>(IF('Section Load'!W8&gt;0,'Section Load'!W8,0))</f>
        <v>324</v>
      </c>
      <c r="W5" s="1299">
        <f>(IF('Section Load'!X8&gt;0,'Section Load'!X8,0))</f>
        <v>25</v>
      </c>
      <c r="X5" s="1299">
        <f>(IF('Section Load'!Y8&gt;0,'Section Load'!Y8,0))</f>
        <v>214</v>
      </c>
      <c r="Y5" s="1299">
        <f>(IF('Section Load'!Z8&gt;0,'Section Load'!Z8,0))</f>
        <v>260</v>
      </c>
      <c r="Z5" s="1299">
        <f>(IF('Section Load'!AA8&gt;0,'Section Load'!AA8,0))</f>
        <v>123</v>
      </c>
      <c r="AA5" s="1299">
        <f>(IF('Section Load'!AB8&gt;0,'Section Load'!AB8,0))</f>
        <v>15</v>
      </c>
      <c r="AB5" s="1299">
        <f>(IF('Section Load'!AC8&gt;0,'Section Load'!AC8,0))</f>
        <v>36</v>
      </c>
      <c r="AC5" s="1299">
        <f>(IF('Section Load'!AD8&gt;0,'Section Load'!AD8,0))</f>
        <v>46</v>
      </c>
      <c r="AD5" s="1299">
        <f>(IF('Section Load'!AE8&gt;0,'Section Load'!AE8,0))</f>
        <v>0</v>
      </c>
      <c r="AE5" s="1299">
        <f>(IF('Section Load'!AF8&gt;0,'Section Load'!AF8,0))</f>
        <v>11</v>
      </c>
      <c r="AF5" s="1299">
        <f>(IF('Section Load'!AG8&gt;0,'Section Load'!AG8,0))</f>
        <v>454</v>
      </c>
      <c r="AG5" s="1299">
        <f>(IF('Section Load'!AH8&gt;0,'Section Load'!AH8,0))</f>
        <v>376</v>
      </c>
      <c r="AH5" s="1299">
        <f>(IF('Section Load'!AI8&gt;0,'Section Load'!AI8,0))</f>
        <v>383</v>
      </c>
      <c r="AI5" s="1299">
        <f>(IF('Section Load'!AJ8&gt;0,'Section Load'!AJ8,0))</f>
        <v>637</v>
      </c>
      <c r="AJ5" s="1299">
        <f>(IF('Section Load'!AK8&gt;0,'Section Load'!AK8,0))</f>
        <v>355</v>
      </c>
      <c r="AK5" s="1299">
        <f>(IF('Section Load'!AL8&gt;0,'Section Load'!AL8,0))</f>
        <v>322.58000000000175</v>
      </c>
      <c r="AL5" s="1299">
        <f>(IF('Section Load'!AM8&gt;0,'Section Load'!AM8,0))</f>
        <v>962</v>
      </c>
      <c r="AM5" s="1300">
        <f>(IF('Water Report'!$G$7&gt;0,'Water Report'!$F$7,0))</f>
        <v>77</v>
      </c>
      <c r="AN5" s="1300">
        <f>(IF('Water Report'!$G$8&gt;0,'Water Report'!$F$8,0))</f>
        <v>158</v>
      </c>
      <c r="AO5" s="1300">
        <f>(IF('Water Report'!$G$9&gt;0,'Water Report'!$H$9,0))</f>
        <v>68</v>
      </c>
      <c r="AP5" s="1300">
        <f>(IF('Water Report'!$G$10&gt;0,'Water Report'!$G$10,0))</f>
        <v>19</v>
      </c>
      <c r="AQ5" s="1300">
        <f>(IF('Water Report'!$G$11&gt;0,'Water Report'!$G$11,0))</f>
        <v>18</v>
      </c>
      <c r="AR5" s="1300">
        <f>(IF('Water Report'!$G$13&gt;0,'Water Report'!$G$13,0))</f>
        <v>54</v>
      </c>
      <c r="AS5" s="1300">
        <f>(IF('Water Report'!$G$14&gt;0,'Water Report'!$G$14,0))</f>
        <v>21</v>
      </c>
      <c r="AT5" s="1300">
        <f>(IF('Water Report'!$G$15&gt;0,'Water Report'!$G$15,0))</f>
        <v>6</v>
      </c>
      <c r="AU5" s="1300">
        <f>(IF('Water Report'!$G$17&gt;0,'Water Report'!$G$17,0))</f>
        <v>0</v>
      </c>
      <c r="AV5" s="1300">
        <f>(IF('Water Report'!$G$18&gt;0,'Water Report'!$G$18,0))</f>
        <v>5</v>
      </c>
      <c r="AW5" s="1300">
        <f>(IF('Water Report'!$G$19&gt;0,'Water Report'!$G$19,0))</f>
        <v>7</v>
      </c>
      <c r="AX5" s="1379">
        <f>(IF('Water Report'!$G$21&gt;0,'Water Report'!$G$21,0))</f>
        <v>62</v>
      </c>
      <c r="AY5" s="1379">
        <f>(IF('Water Report'!$G$22&gt;0,'Water Report'!$G$22,0))</f>
        <v>44</v>
      </c>
      <c r="AZ5" s="1379">
        <f>(IF('Water Report'!$G$23&gt;0,'Water Report'!$G$23,0))</f>
        <v>0</v>
      </c>
      <c r="BA5" s="1379">
        <f>(IF('Water Report'!$G$14&gt;0,'Water Report'!$G$14,0))</f>
        <v>21</v>
      </c>
      <c r="BB5" s="1379">
        <f>(IF('Water Report'!$G$15&gt;0,'Water Report'!$G$15,0))</f>
        <v>6</v>
      </c>
      <c r="BC5" s="1379">
        <f>(IF('Water Report'!$G$13&gt;0,'Water Report'!$G$13,0))</f>
        <v>54</v>
      </c>
      <c r="BD5" s="1379">
        <f>(IF('Water Report'!$G$24&gt;0,'Water Report'!$G$24,0))</f>
        <v>174</v>
      </c>
      <c r="BE5" s="1379">
        <f>(IF('Water Report'!$G$25&gt;0,'Water Report'!$G$25,0))</f>
        <v>135</v>
      </c>
      <c r="BF5" s="1379">
        <f>(IF('Water Report'!$G$27&gt;0,'Water Report'!$G$27,0))</f>
        <v>116</v>
      </c>
      <c r="BG5" s="1301">
        <f>(IF('Section Load'!AN8&gt;0,'Section Load'!AN8,0))</f>
        <v>978</v>
      </c>
      <c r="BH5" s="1301">
        <f>(IF('Section Load'!AO8&gt;0,'Section Load'!AO8,0))</f>
        <v>264</v>
      </c>
      <c r="BI5" s="1301">
        <f>(IF('Section Load'!AP8&gt;0,'Section Load'!AP8,0))</f>
        <v>0</v>
      </c>
      <c r="BJ5" s="1301">
        <f>(IF('Section Load'!AQ8&gt;0,'Section Load'!AQ8,0))</f>
        <v>105</v>
      </c>
      <c r="BK5" s="1301">
        <f>(IF('Section Load'!AR8&gt;0,'Section Load'!AR8,0))</f>
        <v>23.799999999999272</v>
      </c>
      <c r="BL5" s="1301">
        <f>(IF('Section Load'!AS8&gt;0,'Section Load'!AS8,0))</f>
        <v>0</v>
      </c>
      <c r="BM5" s="1301">
        <f>(IF('Section Load'!AT8&gt;0,'Section Load'!AT8,0))</f>
        <v>585.20000000000073</v>
      </c>
    </row>
    <row r="6" spans="1:65">
      <c r="A6" s="1283" t="s">
        <v>301</v>
      </c>
      <c r="B6" s="1284">
        <f t="shared" si="0"/>
        <v>5</v>
      </c>
      <c r="C6" s="1284">
        <v>4</v>
      </c>
      <c r="D6" s="1284">
        <v>2021</v>
      </c>
      <c r="E6" s="1299">
        <f>(IF('Section Load'!F9&gt;0,'Section Load'!F9,0))</f>
        <v>3595</v>
      </c>
      <c r="F6" s="1299">
        <f>(IF('Section Load'!G9&gt;0,'Section Load'!G9,0))</f>
        <v>1361</v>
      </c>
      <c r="G6" s="1299">
        <f>(IF('Section Load'!H9&gt;0,'Section Load'!H9,0))</f>
        <v>1731.3000000000029</v>
      </c>
      <c r="H6" s="1299">
        <f>(IF('Section Load'!I9&gt;0,'Section Load'!I9,0))</f>
        <v>4086</v>
      </c>
      <c r="I6" s="1299">
        <f>(IF('Section Load'!J9&gt;0,'Section Load'!J9,0))</f>
        <v>5790</v>
      </c>
      <c r="J6" s="1299">
        <f>(IF('Section Load'!K9&gt;0,'Section Load'!K9,0))</f>
        <v>2428</v>
      </c>
      <c r="K6" s="1299">
        <f>(IF('Section Load'!L9&gt;0,'Section Load'!L9,0))</f>
        <v>1047</v>
      </c>
      <c r="L6" s="1299">
        <f>(IF('Section Load'!M9&gt;0,'Section Load'!M9,0))</f>
        <v>869</v>
      </c>
      <c r="M6" s="1299">
        <f>(IF('Section Load'!N9&gt;0,'Section Load'!N9,0))</f>
        <v>100</v>
      </c>
      <c r="N6" s="1299">
        <f>(IF('Section Load'!O9&gt;0,'Section Load'!O9,0))</f>
        <v>1</v>
      </c>
      <c r="O6" s="1299">
        <f>(IF('Section Load'!P9&gt;0,'Section Load'!P9,0))</f>
        <v>35</v>
      </c>
      <c r="P6" s="1299">
        <f>(IF('Section Load'!Q9&gt;0,'Section Load'!Q9,0))</f>
        <v>112</v>
      </c>
      <c r="Q6" s="1299">
        <f>(IF('Section Load'!R9&gt;0,'Section Load'!R9,0))</f>
        <v>67</v>
      </c>
      <c r="R6" s="1299">
        <f>(IF('Section Load'!S9&gt;0,'Section Load'!S9,0))</f>
        <v>42</v>
      </c>
      <c r="S6" s="1299">
        <f>(IF('Section Load'!T9&gt;0,'Section Load'!T9,0))</f>
        <v>325</v>
      </c>
      <c r="T6" s="1299">
        <f>(IF('Section Load'!U9&gt;0,'Section Load'!U9,0))</f>
        <v>187</v>
      </c>
      <c r="U6" s="1299">
        <f>(IF('Section Load'!V9&gt;0,'Section Load'!V9,0))</f>
        <v>322.23999999999069</v>
      </c>
      <c r="V6" s="1299">
        <f>(IF('Section Load'!W9&gt;0,'Section Load'!W9,0))</f>
        <v>223</v>
      </c>
      <c r="W6" s="1299">
        <f>(IF('Section Load'!X9&gt;0,'Section Load'!X9,0))</f>
        <v>23</v>
      </c>
      <c r="X6" s="1299">
        <f>(IF('Section Load'!Y9&gt;0,'Section Load'!Y9,0))</f>
        <v>188</v>
      </c>
      <c r="Y6" s="1299">
        <f>(IF('Section Load'!Z9&gt;0,'Section Load'!Z9,0))</f>
        <v>278</v>
      </c>
      <c r="Z6" s="1299">
        <f>(IF('Section Load'!AA9&gt;0,'Section Load'!AA9,0))</f>
        <v>196</v>
      </c>
      <c r="AA6" s="1299">
        <f>(IF('Section Load'!AB9&gt;0,'Section Load'!AB9,0))</f>
        <v>35</v>
      </c>
      <c r="AB6" s="1299">
        <f>(IF('Section Load'!AC9&gt;0,'Section Load'!AC9,0))</f>
        <v>34</v>
      </c>
      <c r="AC6" s="1299">
        <f>(IF('Section Load'!AD9&gt;0,'Section Load'!AD9,0))</f>
        <v>45</v>
      </c>
      <c r="AD6" s="1299">
        <f>(IF('Section Load'!AE9&gt;0,'Section Load'!AE9,0))</f>
        <v>0</v>
      </c>
      <c r="AE6" s="1299">
        <f>(IF('Section Load'!AF9&gt;0,'Section Load'!AF9,0))</f>
        <v>14</v>
      </c>
      <c r="AF6" s="1299">
        <f>(IF('Section Load'!AG9&gt;0,'Section Load'!AG9,0))</f>
        <v>475</v>
      </c>
      <c r="AG6" s="1299">
        <f>(IF('Section Load'!AH9&gt;0,'Section Load'!AH9,0))</f>
        <v>365</v>
      </c>
      <c r="AH6" s="1299">
        <f>(IF('Section Load'!AI9&gt;0,'Section Load'!AI9,0))</f>
        <v>400</v>
      </c>
      <c r="AI6" s="1299">
        <f>(IF('Section Load'!AJ9&gt;0,'Section Load'!AJ9,0))</f>
        <v>621</v>
      </c>
      <c r="AJ6" s="1299">
        <f>(IF('Section Load'!AK9&gt;0,'Section Load'!AK9,0))</f>
        <v>327</v>
      </c>
      <c r="AK6" s="1299">
        <f>(IF('Section Load'!AL9&gt;0,'Section Load'!AL9,0))</f>
        <v>302.41999999999825</v>
      </c>
      <c r="AL6" s="1299">
        <f>(IF('Section Load'!AM9&gt;0,'Section Load'!AM9,0))</f>
        <v>1005</v>
      </c>
      <c r="AM6" s="1300">
        <f>(IF('Water Report'!$H$7&gt;0,'Water Report'!$H$7,0))</f>
        <v>79</v>
      </c>
      <c r="AN6" s="1300">
        <f>(IF('Water Report'!$H$8&gt;0,'Water Report'!$H$8,0))</f>
        <v>168</v>
      </c>
      <c r="AO6" s="1300">
        <f>(IF('Water Report'!$H$9&gt;0,'Water Report'!$H$9,0))</f>
        <v>68</v>
      </c>
      <c r="AP6" s="1300">
        <f>(IF('Water Report'!$H$10&gt;0,'Water Report'!$H$10,0))</f>
        <v>15</v>
      </c>
      <c r="AQ6" s="1300">
        <f>(IF('Water Report'!$H$11&gt;0,'Water Report'!$H$11,0))</f>
        <v>22</v>
      </c>
      <c r="AR6" s="1300">
        <f>(IF('Water Report'!$H$13&gt;0,'Water Report'!$H$13,0))</f>
        <v>28</v>
      </c>
      <c r="AS6" s="1300">
        <f>(IF('Water Report'!$H$14&gt;0,'Water Report'!$H$14,0))</f>
        <v>47</v>
      </c>
      <c r="AT6" s="1300">
        <f>(IF('Water Report'!$H$15&gt;0,'Water Report'!$H$15,0))</f>
        <v>11</v>
      </c>
      <c r="AU6" s="1300">
        <f>(IF('Water Report'!$H$17&gt;0,'Water Report'!$H$17,0))</f>
        <v>10</v>
      </c>
      <c r="AV6" s="1300">
        <f>(IF('Water Report'!$H$18&gt;0,'Water Report'!$H$18,0))</f>
        <v>11</v>
      </c>
      <c r="AW6" s="1300">
        <f>(IF('Water Report'!$H$19&gt;0,'Water Report'!$H$19,0))</f>
        <v>13</v>
      </c>
      <c r="AX6" s="1379">
        <f>(IF('Water Report'!$H$21&gt;0,'Water Report'!$H$21,0))</f>
        <v>86</v>
      </c>
      <c r="AY6" s="1379">
        <f>(IF('Water Report'!$H$22&gt;0,'Water Report'!$H$22,0))</f>
        <v>73</v>
      </c>
      <c r="AZ6" s="1379">
        <f>(IF('Water Report'!$H$23&gt;0,'Water Report'!$H$23,0))</f>
        <v>10</v>
      </c>
      <c r="BA6" s="1379">
        <f>(IF('Water Report'!$H$14&gt;0,'Water Report'!$H$14,0))</f>
        <v>47</v>
      </c>
      <c r="BB6" s="1379">
        <f>(IF('Water Report'!$H$15&gt;0,'Water Report'!$H$15,0))</f>
        <v>11</v>
      </c>
      <c r="BC6" s="1379">
        <f>(IF('Water Report'!$H$13&gt;0,'Water Report'!$H$13,0))</f>
        <v>28</v>
      </c>
      <c r="BD6" s="1379">
        <f>(IF('Water Report'!$H$24&gt;0,'Water Report'!$H$24,0))</f>
        <v>178</v>
      </c>
      <c r="BE6" s="1379">
        <f>(IF('Water Report'!$H$25&gt;0,'Water Report'!$H$25,0))</f>
        <v>163</v>
      </c>
      <c r="BF6" s="1379">
        <f>(IF('Water Report'!$H$27&gt;0,'Water Report'!$H$27,0))</f>
        <v>124</v>
      </c>
      <c r="BG6" s="1301">
        <f>(IF('Section Load'!AN9&gt;0,'Section Load'!AN9,0))</f>
        <v>935</v>
      </c>
      <c r="BH6" s="1301">
        <f>(IF('Section Load'!AO9&gt;0,'Section Load'!AO9,0))</f>
        <v>244</v>
      </c>
      <c r="BI6" s="1301">
        <f>(IF('Section Load'!AP9&gt;0,'Section Load'!AP9,0))</f>
        <v>0</v>
      </c>
      <c r="BJ6" s="1301">
        <f>(IF('Section Load'!AQ9&gt;0,'Section Load'!AQ9,0))</f>
        <v>99</v>
      </c>
      <c r="BK6" s="1301">
        <f>(IF('Section Load'!AR9&gt;0,'Section Load'!AR9,0))</f>
        <v>17</v>
      </c>
      <c r="BL6" s="1301">
        <f>(IF('Section Load'!AS9&gt;0,'Section Load'!AS9,0))</f>
        <v>0</v>
      </c>
      <c r="BM6" s="1301">
        <f>(IF('Section Load'!AT9&gt;0,'Section Load'!AT9,0))</f>
        <v>575</v>
      </c>
    </row>
    <row r="7" spans="1:65">
      <c r="A7" s="1283" t="s">
        <v>301</v>
      </c>
      <c r="B7" s="1284">
        <f t="shared" si="0"/>
        <v>6</v>
      </c>
      <c r="C7" s="1284">
        <v>4</v>
      </c>
      <c r="D7" s="1284">
        <v>2021</v>
      </c>
      <c r="E7" s="1299">
        <f>(IF('Section Load'!F10&gt;0,'Section Load'!F10,0))</f>
        <v>3323</v>
      </c>
      <c r="F7" s="1299">
        <f>(IF('Section Load'!G10&gt;0,'Section Load'!G10,0))</f>
        <v>1356</v>
      </c>
      <c r="G7" s="1299">
        <f>(IF('Section Load'!H10&gt;0,'Section Load'!H10,0))</f>
        <v>1685</v>
      </c>
      <c r="H7" s="1299">
        <f>(IF('Section Load'!I10&gt;0,'Section Load'!I10,0))</f>
        <v>4031</v>
      </c>
      <c r="I7" s="1299">
        <f>(IF('Section Load'!J10&gt;0,'Section Load'!J10,0))</f>
        <v>5482</v>
      </c>
      <c r="J7" s="1299">
        <f>(IF('Section Load'!K10&gt;0,'Section Load'!K10,0))</f>
        <v>2432</v>
      </c>
      <c r="K7" s="1299">
        <f>(IF('Section Load'!L10&gt;0,'Section Load'!L10,0))</f>
        <v>1085</v>
      </c>
      <c r="L7" s="1299">
        <f>(IF('Section Load'!M10&gt;0,'Section Load'!M10,0))</f>
        <v>700</v>
      </c>
      <c r="M7" s="1299">
        <f>(IF('Section Load'!N10&gt;0,'Section Load'!N10,0))</f>
        <v>87</v>
      </c>
      <c r="N7" s="1299">
        <f>(IF('Section Load'!O10&gt;0,'Section Load'!O10,0))</f>
        <v>1</v>
      </c>
      <c r="O7" s="1299">
        <f>(IF('Section Load'!P10&gt;0,'Section Load'!P10,0))</f>
        <v>29</v>
      </c>
      <c r="P7" s="1299">
        <f>(IF('Section Load'!Q10&gt;0,'Section Load'!Q10,0))</f>
        <v>120</v>
      </c>
      <c r="Q7" s="1299">
        <f>(IF('Section Load'!R10&gt;0,'Section Load'!R10,0))</f>
        <v>66</v>
      </c>
      <c r="R7" s="1299">
        <f>(IF('Section Load'!S10&gt;0,'Section Load'!S10,0))</f>
        <v>45</v>
      </c>
      <c r="S7" s="1299">
        <f>(IF('Section Load'!T10&gt;0,'Section Load'!T10,0))</f>
        <v>285</v>
      </c>
      <c r="T7" s="1299">
        <f>(IF('Section Load'!U10&gt;0,'Section Load'!U10,0))</f>
        <v>179</v>
      </c>
      <c r="U7" s="1299">
        <f>(IF('Section Load'!V10&gt;0,'Section Load'!V10,0))</f>
        <v>371</v>
      </c>
      <c r="V7" s="1299">
        <f>(IF('Section Load'!W10&gt;0,'Section Load'!W10,0))</f>
        <v>221</v>
      </c>
      <c r="W7" s="1299">
        <f>(IF('Section Load'!X10&gt;0,'Section Load'!X10,0))</f>
        <v>26</v>
      </c>
      <c r="X7" s="1299">
        <f>(IF('Section Load'!Y10&gt;0,'Section Load'!Y10,0))</f>
        <v>183</v>
      </c>
      <c r="Y7" s="1299">
        <f>(IF('Section Load'!Z10&gt;0,'Section Load'!Z10,0))</f>
        <v>252</v>
      </c>
      <c r="Z7" s="1299">
        <f>(IF('Section Load'!AA10&gt;0,'Section Load'!AA10,0))</f>
        <v>216</v>
      </c>
      <c r="AA7" s="1299">
        <f>(IF('Section Load'!AB10&gt;0,'Section Load'!AB10,0))</f>
        <v>29</v>
      </c>
      <c r="AB7" s="1299">
        <f>(IF('Section Load'!AC10&gt;0,'Section Load'!AC10,0))</f>
        <v>34</v>
      </c>
      <c r="AC7" s="1299">
        <f>(IF('Section Load'!AD10&gt;0,'Section Load'!AD10,0))</f>
        <v>43</v>
      </c>
      <c r="AD7" s="1299">
        <f>(IF('Section Load'!AE10&gt;0,'Section Load'!AE10,0))</f>
        <v>0</v>
      </c>
      <c r="AE7" s="1299">
        <f>(IF('Section Load'!AF10&gt;0,'Section Load'!AF10,0))</f>
        <v>12</v>
      </c>
      <c r="AF7" s="1299">
        <f>(IF('Section Load'!AG10&gt;0,'Section Load'!AG10,0))</f>
        <v>469</v>
      </c>
      <c r="AG7" s="1299">
        <f>(IF('Section Load'!AH10&gt;0,'Section Load'!AH10,0))</f>
        <v>359</v>
      </c>
      <c r="AH7" s="1299">
        <f>(IF('Section Load'!AI10&gt;0,'Section Load'!AI10,0))</f>
        <v>387</v>
      </c>
      <c r="AI7" s="1299">
        <f>(IF('Section Load'!AJ10&gt;0,'Section Load'!AJ10,0))</f>
        <v>568</v>
      </c>
      <c r="AJ7" s="1299">
        <f>(IF('Section Load'!AK10&gt;0,'Section Load'!AK10,0))</f>
        <v>321</v>
      </c>
      <c r="AK7" s="1299">
        <f>(IF('Section Load'!AL10&gt;0,'Section Load'!AL10,0))</f>
        <v>298</v>
      </c>
      <c r="AL7" s="1299">
        <f>(IF('Section Load'!AM10&gt;0,'Section Load'!AM10,0))</f>
        <v>982</v>
      </c>
      <c r="AM7" s="1300">
        <f>(IF('Water Report'!$I$7&gt;0,'Water Report'!$I$7,0))</f>
        <v>62</v>
      </c>
      <c r="AN7" s="1300">
        <f>(IF('Water Report'!$I$8&gt;0,'Water Report'!$I$8,0))</f>
        <v>166</v>
      </c>
      <c r="AO7" s="1300">
        <f>(IF('Water Report'!$I$9&gt;0,'Water Report'!$I$9,0))</f>
        <v>68</v>
      </c>
      <c r="AP7" s="1300">
        <f>(IF('Water Report'!$I$10&gt;0,'Water Report'!$I$10,0))</f>
        <v>17</v>
      </c>
      <c r="AQ7" s="1300">
        <f>(IF('Water Report'!$I$11&gt;0,'Water Report'!$I$11,0))</f>
        <v>19</v>
      </c>
      <c r="AR7" s="1300">
        <f>(IF('Water Report'!$I$13&gt;0,'Water Report'!$I$13,0))</f>
        <v>15</v>
      </c>
      <c r="AS7" s="1300">
        <f>(IF('Water Report'!$I$14&gt;0,'Water Report'!$I$14,0))</f>
        <v>21</v>
      </c>
      <c r="AT7" s="1300">
        <f>(IF('Water Report'!$I$15&gt;0,'Water Report'!$I$15,0))</f>
        <v>6</v>
      </c>
      <c r="AU7" s="1300">
        <f>(IF('Water Report'!$I$17&gt;0,'Water Report'!$I$17,0))</f>
        <v>1</v>
      </c>
      <c r="AV7" s="1300">
        <f>(IF('Water Report'!$I$18&gt;0,'Water Report'!$I$18,0))</f>
        <v>4</v>
      </c>
      <c r="AW7" s="1300">
        <f>(IF('Water Report'!$I$19&gt;0,'Water Report'!$I$19,0))</f>
        <v>7</v>
      </c>
      <c r="AX7" s="1379">
        <f>(IF('Water Report'!$I$21&gt;0,'Water Report'!$I$21,0))</f>
        <v>85</v>
      </c>
      <c r="AY7" s="1379">
        <f>(IF('Water Report'!$I$22&gt;0,'Water Report'!$I$22,0))</f>
        <v>0</v>
      </c>
      <c r="AZ7" s="1379">
        <f>(IF('Water Report'!$I$23&gt;0,'Water Report'!$I$23,0))</f>
        <v>0</v>
      </c>
      <c r="BA7" s="1379">
        <f>(IF('Water Report'!$I$14&gt;0,'Water Report'!$I$14,0))</f>
        <v>21</v>
      </c>
      <c r="BB7" s="1379">
        <f>(IF('Water Report'!$I$15&gt;0,'Water Report'!$I$15,0))</f>
        <v>6</v>
      </c>
      <c r="BC7" s="1379">
        <f>(IF('Water Report'!$I$13&gt;0,'Water Report'!$I$13,0))</f>
        <v>15</v>
      </c>
      <c r="BD7" s="1379">
        <f>(IF('Water Report'!$I$24&gt;0,'Water Report'!$I$24,0))</f>
        <v>156</v>
      </c>
      <c r="BE7" s="1379">
        <f>(IF('Water Report'!$I$25&gt;0,'Water Report'!$I$25,0))</f>
        <v>131</v>
      </c>
      <c r="BF7" s="1379">
        <f>(IF('Water Report'!$I$27&gt;0,'Water Report'!$I$27,0))</f>
        <v>100</v>
      </c>
      <c r="BG7" s="1301">
        <f>(IF('Section Load'!AN10&gt;0,'Section Load'!AN10,0))</f>
        <v>883</v>
      </c>
      <c r="BH7" s="1301">
        <f>(IF('Section Load'!AO10&gt;0,'Section Load'!AO10,0))</f>
        <v>254</v>
      </c>
      <c r="BI7" s="1301">
        <f>(IF('Section Load'!AP10&gt;0,'Section Load'!AP10,0))</f>
        <v>0</v>
      </c>
      <c r="BJ7" s="1301">
        <f>(IF('Section Load'!AQ10&gt;0,'Section Load'!AQ10,0))</f>
        <v>76</v>
      </c>
      <c r="BK7" s="1301">
        <f>(IF('Section Load'!AR10&gt;0,'Section Load'!AR10,0))</f>
        <v>14</v>
      </c>
      <c r="BL7" s="1301">
        <f>(IF('Section Load'!AS10&gt;0,'Section Load'!AS10,0))</f>
        <v>0</v>
      </c>
      <c r="BM7" s="1301">
        <f>(IF('Section Load'!AT10&gt;0,'Section Load'!AT10,0))</f>
        <v>539</v>
      </c>
    </row>
    <row r="8" spans="1:65">
      <c r="A8" s="1283" t="s">
        <v>301</v>
      </c>
      <c r="B8" s="1284">
        <f t="shared" si="0"/>
        <v>7</v>
      </c>
      <c r="C8" s="1284">
        <v>4</v>
      </c>
      <c r="D8" s="1284">
        <v>2021</v>
      </c>
      <c r="E8" s="1299">
        <f>(IF('Section Load'!F11&gt;0,'Section Load'!F11,0))</f>
        <v>3389</v>
      </c>
      <c r="F8" s="1299">
        <f>(IF('Section Load'!G11&gt;0,'Section Load'!G11,0))</f>
        <v>1397</v>
      </c>
      <c r="G8" s="1299">
        <f>(IF('Section Load'!H11&gt;0,'Section Load'!H11,0))</f>
        <v>1757</v>
      </c>
      <c r="H8" s="1299">
        <f>(IF('Section Load'!I11&gt;0,'Section Load'!I11,0))</f>
        <v>4069</v>
      </c>
      <c r="I8" s="1299">
        <f>(IF('Section Load'!J11&gt;0,'Section Load'!J11,0))</f>
        <v>6293</v>
      </c>
      <c r="J8" s="1299">
        <f>(IF('Section Load'!K11&gt;0,'Section Load'!K11,0))</f>
        <v>2494</v>
      </c>
      <c r="K8" s="1299">
        <f>(IF('Section Load'!L11&gt;0,'Section Load'!L11,0))</f>
        <v>1163</v>
      </c>
      <c r="L8" s="1299">
        <f>(IF('Section Load'!M11&gt;0,'Section Load'!M11,0))</f>
        <v>797</v>
      </c>
      <c r="M8" s="1299">
        <f>(IF('Section Load'!N11&gt;0,'Section Load'!N11,0))</f>
        <v>98</v>
      </c>
      <c r="N8" s="1299">
        <f>(IF('Section Load'!O11&gt;0,'Section Load'!O11,0))</f>
        <v>1</v>
      </c>
      <c r="O8" s="1299">
        <f>(IF('Section Load'!P11&gt;0,'Section Load'!P11,0))</f>
        <v>32</v>
      </c>
      <c r="P8" s="1299">
        <f>(IF('Section Load'!Q11&gt;0,'Section Load'!Q11,0))</f>
        <v>122</v>
      </c>
      <c r="Q8" s="1299">
        <f>(IF('Section Load'!R11&gt;0,'Section Load'!R11,0))</f>
        <v>65</v>
      </c>
      <c r="R8" s="1299">
        <f>(IF('Section Load'!S11&gt;0,'Section Load'!S11,0))</f>
        <v>45</v>
      </c>
      <c r="S8" s="1299">
        <f>(IF('Section Load'!T11&gt;0,'Section Load'!T11,0))</f>
        <v>307</v>
      </c>
      <c r="T8" s="1299">
        <f>(IF('Section Load'!U11&gt;0,'Section Load'!U11,0))</f>
        <v>169</v>
      </c>
      <c r="U8" s="1299">
        <f>(IF('Section Load'!V11&gt;0,'Section Load'!V11,0))</f>
        <v>361</v>
      </c>
      <c r="V8" s="1299">
        <f>(IF('Section Load'!W11&gt;0,'Section Load'!W11,0))</f>
        <v>288</v>
      </c>
      <c r="W8" s="1299">
        <f>(IF('Section Load'!X11&gt;0,'Section Load'!X11,0))</f>
        <v>22</v>
      </c>
      <c r="X8" s="1299">
        <f>(IF('Section Load'!Y11&gt;0,'Section Load'!Y11,0))</f>
        <v>179</v>
      </c>
      <c r="Y8" s="1299">
        <f>(IF('Section Load'!Z11&gt;0,'Section Load'!Z11,0))</f>
        <v>233</v>
      </c>
      <c r="Z8" s="1299">
        <f>(IF('Section Load'!AA11&gt;0,'Section Load'!AA11,0))</f>
        <v>207</v>
      </c>
      <c r="AA8" s="1299">
        <f>(IF('Section Load'!AB11&gt;0,'Section Load'!AB11,0))</f>
        <v>35</v>
      </c>
      <c r="AB8" s="1299">
        <f>(IF('Section Load'!AC11&gt;0,'Section Load'!AC11,0))</f>
        <v>33</v>
      </c>
      <c r="AC8" s="1299">
        <f>(IF('Section Load'!AD11&gt;0,'Section Load'!AD11,0))</f>
        <v>41</v>
      </c>
      <c r="AD8" s="1299">
        <f>(IF('Section Load'!AE11&gt;0,'Section Load'!AE11,0))</f>
        <v>0</v>
      </c>
      <c r="AE8" s="1299">
        <f>(IF('Section Load'!AF11&gt;0,'Section Load'!AF11,0))</f>
        <v>12</v>
      </c>
      <c r="AF8" s="1299">
        <f>(IF('Section Load'!AG11&gt;0,'Section Load'!AG11,0))</f>
        <v>473</v>
      </c>
      <c r="AG8" s="1299">
        <f>(IF('Section Load'!AH11&gt;0,'Section Load'!AH11,0))</f>
        <v>359</v>
      </c>
      <c r="AH8" s="1299">
        <f>(IF('Section Load'!AI11&gt;0,'Section Load'!AI11,0))</f>
        <v>386</v>
      </c>
      <c r="AI8" s="1299">
        <f>(IF('Section Load'!AJ11&gt;0,'Section Load'!AJ11,0))</f>
        <v>618</v>
      </c>
      <c r="AJ8" s="1299">
        <f>(IF('Section Load'!AK11&gt;0,'Section Load'!AK11,0))</f>
        <v>287</v>
      </c>
      <c r="AK8" s="1299">
        <f>(IF('Section Load'!AL11&gt;0,'Section Load'!AL11,0))</f>
        <v>300</v>
      </c>
      <c r="AL8" s="1299">
        <f>(IF('Section Load'!AM11&gt;0,'Section Load'!AM11,0))</f>
        <v>910</v>
      </c>
      <c r="AM8" s="1300">
        <f>(IF('Water Report'!$J$7&gt;0,'Water Report'!$J$7,0))</f>
        <v>82</v>
      </c>
      <c r="AN8" s="1300">
        <f>(IF('Water Report'!$J$8&gt;0,'Water Report'!$J$8,0))</f>
        <v>151</v>
      </c>
      <c r="AO8" s="1300">
        <f>(IF('Water Report'!$J$9&gt;0,'Water Report'!$J$9,0))</f>
        <v>79</v>
      </c>
      <c r="AP8" s="1300">
        <f>(IF('Water Report'!$J$10&gt;0,'Water Report'!$J$10,0))</f>
        <v>18</v>
      </c>
      <c r="AQ8" s="1300">
        <f>(IF('Water Report'!$J$11&gt;0,'Water Report'!$J$11,0))</f>
        <v>18</v>
      </c>
      <c r="AR8" s="1300">
        <f>(IF('Water Report'!$J$13&gt;0,'Water Report'!$J$13,0))</f>
        <v>34</v>
      </c>
      <c r="AS8" s="1300">
        <f>(IF('Water Report'!$J$14&gt;0,'Water Report'!$J$14,0))</f>
        <v>18</v>
      </c>
      <c r="AT8" s="1300">
        <f>(IF('Water Report'!$J$15&gt;0,'Water Report'!$J$15,0))</f>
        <v>6</v>
      </c>
      <c r="AU8" s="1300">
        <f>(IF('Water Report'!$J$17&gt;0,'Water Report'!$J$17,0))</f>
        <v>0</v>
      </c>
      <c r="AV8" s="1300">
        <f>(IF('Water Report'!$J$18&gt;0,'Water Report'!$J$18,0))</f>
        <v>6</v>
      </c>
      <c r="AW8" s="1300">
        <f>(IF('Water Report'!$J$19&gt;0,'Water Report'!$J$19,0))</f>
        <v>6</v>
      </c>
      <c r="AX8" s="1379">
        <f>(IF('Water Report'!$J$21&gt;0,'Water Report'!$J$21,0))</f>
        <v>86</v>
      </c>
      <c r="AY8" s="1379">
        <f>(IF('Water Report'!$J$22&gt;0,'Water Report'!$J$22,0))</f>
        <v>0</v>
      </c>
      <c r="AZ8" s="1379">
        <f>(IF('Water Report'!$J$23&gt;0,'Water Report'!$J$23,0))</f>
        <v>0</v>
      </c>
      <c r="BA8" s="1379">
        <f>(IF('Water Report'!$J$14&gt;0,'Water Report'!$J$14,0))</f>
        <v>18</v>
      </c>
      <c r="BB8" s="1379">
        <f>(IF('Water Report'!$J$15&gt;0,'Water Report'!$J$15,0))</f>
        <v>6</v>
      </c>
      <c r="BC8" s="1379">
        <f>(IF('Water Report'!$J$13&gt;0,'Water Report'!$J$13,0))</f>
        <v>34</v>
      </c>
      <c r="BD8" s="1379">
        <f>(IF('Water Report'!$J$24&gt;0,'Water Report'!$J$24,0))</f>
        <v>157</v>
      </c>
      <c r="BE8" s="1379">
        <f>(IF('Water Report'!$J$25&gt;0,'Water Report'!$J$25,0))</f>
        <v>139</v>
      </c>
      <c r="BF8" s="1379">
        <f>(IF('Water Report'!$J$27&gt;0,'Water Report'!$J$27,0))</f>
        <v>120</v>
      </c>
      <c r="BG8" s="1301">
        <f>(IF('Section Load'!AN11&gt;0,'Section Load'!AN11,0))</f>
        <v>898</v>
      </c>
      <c r="BH8" s="1301">
        <f>(IF('Section Load'!AO11&gt;0,'Section Load'!AO11,0))</f>
        <v>244</v>
      </c>
      <c r="BI8" s="1301">
        <f>(IF('Section Load'!AP11&gt;0,'Section Load'!AP11,0))</f>
        <v>0</v>
      </c>
      <c r="BJ8" s="1301">
        <f>(IF('Section Load'!AQ11&gt;0,'Section Load'!AQ11,0))</f>
        <v>94</v>
      </c>
      <c r="BK8" s="1301">
        <f>(IF('Section Load'!AR11&gt;0,'Section Load'!AR11,0))</f>
        <v>19</v>
      </c>
      <c r="BL8" s="1301">
        <f>(IF('Section Load'!AS11&gt;0,'Section Load'!AS11,0))</f>
        <v>0</v>
      </c>
      <c r="BM8" s="1301">
        <f>(IF('Section Load'!AT11&gt;0,'Section Load'!AT11,0))</f>
        <v>541</v>
      </c>
    </row>
    <row r="9" spans="1:65">
      <c r="A9" s="1283" t="s">
        <v>301</v>
      </c>
      <c r="B9" s="1284">
        <f t="shared" si="0"/>
        <v>8</v>
      </c>
      <c r="C9" s="1284">
        <v>4</v>
      </c>
      <c r="D9" s="1284">
        <v>2021</v>
      </c>
      <c r="E9" s="1299">
        <f>(IF('Section Load'!F12&gt;0,'Section Load'!F12,0))</f>
        <v>3315.2399999999907</v>
      </c>
      <c r="F9" s="1299">
        <f>(IF('Section Load'!G12&gt;0,'Section Load'!G12,0))</f>
        <v>1388.2329999999929</v>
      </c>
      <c r="G9" s="1299">
        <f>(IF('Section Load'!H12&gt;0,'Section Load'!H12,0))</f>
        <v>1689.4100000000035</v>
      </c>
      <c r="H9" s="1299">
        <f>(IF('Section Load'!I12&gt;0,'Section Load'!I12,0))</f>
        <v>4123.6399999999849</v>
      </c>
      <c r="I9" s="1299">
        <f>(IF('Section Load'!J12&gt;0,'Section Load'!J12,0))</f>
        <v>6203.3729999999632</v>
      </c>
      <c r="J9" s="1299">
        <f>(IF('Section Load'!K12&gt;0,'Section Load'!K12,0))</f>
        <v>2486.2299999999814</v>
      </c>
      <c r="K9" s="1299">
        <f>(IF('Section Load'!L12&gt;0,'Section Load'!L12,0))</f>
        <v>1108.75</v>
      </c>
      <c r="L9" s="1299">
        <f>(IF('Section Load'!M12&gt;0,'Section Load'!M12,0))</f>
        <v>833.46999999997206</v>
      </c>
      <c r="M9" s="1299">
        <f>(IF('Section Load'!N12&gt;0,'Section Load'!N12,0))</f>
        <v>92</v>
      </c>
      <c r="N9" s="1299">
        <f>(IF('Section Load'!O12&gt;0,'Section Load'!O12,0))</f>
        <v>1</v>
      </c>
      <c r="O9" s="1299">
        <f>(IF('Section Load'!P12&gt;0,'Section Load'!P12,0))</f>
        <v>32.650000000000091</v>
      </c>
      <c r="P9" s="1299">
        <f>(IF('Section Load'!Q12&gt;0,'Section Load'!Q12,0))</f>
        <v>77.309999999999491</v>
      </c>
      <c r="Q9" s="1299">
        <f>(IF('Section Load'!R12&gt;0,'Section Load'!R12,0))</f>
        <v>66.550000000000182</v>
      </c>
      <c r="R9" s="1299">
        <f>(IF('Section Load'!S12&gt;0,'Section Load'!S12,0))</f>
        <v>49</v>
      </c>
      <c r="S9" s="1299">
        <f>(IF('Section Load'!T12&gt;0,'Section Load'!T12,0))</f>
        <v>339</v>
      </c>
      <c r="T9" s="1299">
        <f>(IF('Section Load'!U12&gt;0,'Section Load'!U12,0))</f>
        <v>204</v>
      </c>
      <c r="U9" s="1299">
        <f>(IF('Section Load'!V12&gt;0,'Section Load'!V12,0))</f>
        <v>362.88000000000466</v>
      </c>
      <c r="V9" s="1299">
        <f>(IF('Section Load'!W12&gt;0,'Section Load'!W12,0))</f>
        <v>235.43999999994412</v>
      </c>
      <c r="W9" s="1299">
        <f>(IF('Section Load'!X12&gt;0,'Section Load'!X12,0))</f>
        <v>24.399999999994179</v>
      </c>
      <c r="X9" s="1299">
        <f>(IF('Section Load'!Y12&gt;0,'Section Load'!Y12,0))</f>
        <v>198.2300000000032</v>
      </c>
      <c r="Y9" s="1299">
        <f>(IF('Section Load'!Z12&gt;0,'Section Load'!Z12,0))</f>
        <v>309</v>
      </c>
      <c r="Z9" s="1299">
        <f>(IF('Section Load'!AA12&gt;0,'Section Load'!AA12,0))</f>
        <v>186.52000000001863</v>
      </c>
      <c r="AA9" s="1299">
        <f>(IF('Section Load'!AB12&gt;0,'Section Load'!AB12,0))</f>
        <v>40.399999999994179</v>
      </c>
      <c r="AB9" s="1299">
        <f>(IF('Section Load'!AC12&gt;0,'Section Load'!AC12,0))</f>
        <v>33.529999999998836</v>
      </c>
      <c r="AC9" s="1299">
        <f>(IF('Section Load'!AD12&gt;0,'Section Load'!AD12,0))</f>
        <v>43.400000000002819</v>
      </c>
      <c r="AD9" s="1299">
        <f>(IF('Section Load'!AE12&gt;0,'Section Load'!AE12,0))</f>
        <v>0</v>
      </c>
      <c r="AE9" s="1299">
        <f>(IF('Section Load'!AF12&gt;0,'Section Load'!AF12,0))</f>
        <v>11.579999999999927</v>
      </c>
      <c r="AF9" s="1299">
        <f>(IF('Section Load'!AG12&gt;0,'Section Load'!AG12,0))</f>
        <v>484.70999999999185</v>
      </c>
      <c r="AG9" s="1299">
        <f>(IF('Section Load'!AH12&gt;0,'Section Load'!AH12,0))</f>
        <v>364.55999999999767</v>
      </c>
      <c r="AH9" s="1299">
        <f>(IF('Section Load'!AI12&gt;0,'Section Load'!AI12,0))</f>
        <v>386</v>
      </c>
      <c r="AI9" s="1299">
        <f>(IF('Section Load'!AJ12&gt;0,'Section Load'!AJ12,0))</f>
        <v>631.79000000000815</v>
      </c>
      <c r="AJ9" s="1299">
        <f>(IF('Section Load'!AK12&gt;0,'Section Load'!AK12,0))</f>
        <v>0</v>
      </c>
      <c r="AK9" s="1299">
        <f>(IF('Section Load'!AL12&gt;0,'Section Load'!AL12,0))</f>
        <v>290.64999999999418</v>
      </c>
      <c r="AL9" s="1299">
        <f>(IF('Section Load'!AM12&gt;0,'Section Load'!AM12,0))</f>
        <v>1021</v>
      </c>
      <c r="AM9" s="1300">
        <f>(IF('Water Report'!$K$7&gt;0,'Water Report'!$K$7,0))</f>
        <v>76</v>
      </c>
      <c r="AN9" s="1300">
        <f>(IF('Water Report'!$K$8&gt;0,'Water Report'!$K$8,0))</f>
        <v>180</v>
      </c>
      <c r="AO9" s="1300">
        <f>(IF('Water Report'!$K$9&gt;0,'Water Report'!$K$9,0))</f>
        <v>78</v>
      </c>
      <c r="AP9" s="1300">
        <f>(IF('Water Report'!$K$10&gt;0,'Water Report'!$K$10,0))</f>
        <v>17</v>
      </c>
      <c r="AQ9" s="1300">
        <f>(IF('Water Report'!$K$11&gt;0,'Water Report'!$K$11,0))</f>
        <v>18</v>
      </c>
      <c r="AR9" s="1300">
        <f>(IF('Water Report'!$K$13&gt;0,'Water Report'!$K$13,0))</f>
        <v>35</v>
      </c>
      <c r="AS9" s="1300">
        <f>(IF('Water Report'!$K$14&gt;0,'Water Report'!$K$14,0))</f>
        <v>12</v>
      </c>
      <c r="AT9" s="1300">
        <f>(IF('Water Report'!$K$15&gt;0,'Water Report'!$K$15,0))</f>
        <v>7</v>
      </c>
      <c r="AU9" s="1300">
        <f>(IF('Water Report'!$K$17&gt;0,'Water Report'!$K$17,0))</f>
        <v>0</v>
      </c>
      <c r="AV9" s="1300">
        <f>(IF('Water Report'!$K$18&gt;0,'Water Report'!$K$18,0))</f>
        <v>6</v>
      </c>
      <c r="AW9" s="1300">
        <f>(IF('Water Report'!$K$19&gt;0,'Water Report'!$K$19,0))</f>
        <v>9</v>
      </c>
      <c r="AX9" s="1379">
        <f>(IF('Water Report'!$K$21&gt;0,'Water Report'!$K$21,0))</f>
        <v>104</v>
      </c>
      <c r="AY9" s="1379">
        <f>(IF('Water Report'!$K$22&gt;0,'Water Report'!$K$22,0))</f>
        <v>32</v>
      </c>
      <c r="AZ9" s="1379">
        <f>(IF('Water Report'!$K$23&gt;0,'Water Report'!$K$23,0))</f>
        <v>16</v>
      </c>
      <c r="BA9" s="1379">
        <f>(IF('Water Report'!$K$14&gt;0,'Water Report'!$K$14,0))</f>
        <v>12</v>
      </c>
      <c r="BB9" s="1379">
        <f>(IF('Water Report'!$K$15&gt;0,'Water Report'!$K$15,0))</f>
        <v>7</v>
      </c>
      <c r="BC9" s="1379">
        <f>(IF('Water Report'!$K$13&gt;0,'Water Report'!$K$13,0))</f>
        <v>35</v>
      </c>
      <c r="BD9" s="1379">
        <f>(IF('Water Report'!$K$24&gt;0,'Water Report'!$K$24,0))</f>
        <v>156</v>
      </c>
      <c r="BE9" s="1379">
        <f>(IF('Water Report'!$K$25&gt;0,'Water Report'!$K$25,0))</f>
        <v>132</v>
      </c>
      <c r="BF9" s="1379">
        <f>(IF('Water Report'!$K$27&gt;0,'Water Report'!$K$27,0))</f>
        <v>155</v>
      </c>
      <c r="BG9" s="1301">
        <f>(IF('Section Load'!AN12&gt;0,'Section Load'!AN12,0))</f>
        <v>952.0319999998901</v>
      </c>
      <c r="BH9" s="1301">
        <f>(IF('Section Load'!AO12&gt;0,'Section Load'!AO12,0))</f>
        <v>247.19999999995343</v>
      </c>
      <c r="BI9" s="1301">
        <f>(IF('Section Load'!AP12&gt;0,'Section Load'!AP12,0))</f>
        <v>0.39999999999417923</v>
      </c>
      <c r="BJ9" s="1301">
        <f>(IF('Section Load'!AQ12&gt;0,'Section Load'!AQ12,0))</f>
        <v>106.13000000000466</v>
      </c>
      <c r="BK9" s="1301">
        <f>(IF('Section Load'!AR12&gt;0,'Section Load'!AR12,0))</f>
        <v>1.2000000000007276</v>
      </c>
      <c r="BL9" s="1301">
        <f>(IF('Section Load'!AS12&gt;0,'Section Load'!AS12,0))</f>
        <v>0</v>
      </c>
      <c r="BM9" s="1301">
        <f>(IF('Section Load'!AT12&gt;0,'Section Load'!AT12,0))</f>
        <v>597.10199999993711</v>
      </c>
    </row>
    <row r="10" spans="1:65">
      <c r="A10" s="1283" t="s">
        <v>301</v>
      </c>
      <c r="B10" s="1284">
        <f t="shared" si="0"/>
        <v>9</v>
      </c>
      <c r="C10" s="1284">
        <v>4</v>
      </c>
      <c r="D10" s="1284">
        <v>2021</v>
      </c>
      <c r="E10" s="1299">
        <f>(IF('Section Load'!F13&gt;0,'Section Load'!F13,0))</f>
        <v>3370.5600000000559</v>
      </c>
      <c r="F10" s="1299">
        <f>(IF('Section Load'!G13&gt;0,'Section Load'!G13,0))</f>
        <v>1354.226999999999</v>
      </c>
      <c r="G10" s="1299">
        <f>(IF('Section Load'!H13&gt;0,'Section Load'!H13,0))</f>
        <v>1593.1899999999441</v>
      </c>
      <c r="H10" s="1299">
        <f>(IF('Section Load'!I13&gt;0,'Section Load'!I13,0))</f>
        <v>3969.4800000000396</v>
      </c>
      <c r="I10" s="1299">
        <f>(IF('Section Load'!J13&gt;0,'Section Load'!J13,0))</f>
        <v>6545.3870000000461</v>
      </c>
      <c r="J10" s="1299">
        <f>(IF('Section Load'!K13&gt;0,'Section Load'!K13,0))</f>
        <v>2478.9599999999627</v>
      </c>
      <c r="K10" s="1299">
        <f>(IF('Section Load'!L13&gt;0,'Section Load'!L13,0))</f>
        <v>1043.1599999999744</v>
      </c>
      <c r="L10" s="1299">
        <f>(IF('Section Load'!M13&gt;0,'Section Load'!M13,0))</f>
        <v>996.70000000001164</v>
      </c>
      <c r="M10" s="1299">
        <f>(IF('Section Load'!N13&gt;0,'Section Load'!N13,0))</f>
        <v>99</v>
      </c>
      <c r="N10" s="1299">
        <f>(IF('Section Load'!O13&gt;0,'Section Load'!O13,0))</f>
        <v>1</v>
      </c>
      <c r="O10" s="1299">
        <f>(IF('Section Load'!P13&gt;0,'Section Load'!P13,0))</f>
        <v>29.349999999999909</v>
      </c>
      <c r="P10" s="1299">
        <f>(IF('Section Load'!Q13&gt;0,'Section Load'!Q13,0))</f>
        <v>66.940000000000509</v>
      </c>
      <c r="Q10" s="1299">
        <f>(IF('Section Load'!R13&gt;0,'Section Load'!R13,0))</f>
        <v>66.9399999999996</v>
      </c>
      <c r="R10" s="1299">
        <f>(IF('Section Load'!S13&gt;0,'Section Load'!S13,0))</f>
        <v>49</v>
      </c>
      <c r="S10" s="1299">
        <f>(IF('Section Load'!T13&gt;0,'Section Load'!T13,0))</f>
        <v>275</v>
      </c>
      <c r="T10" s="1299">
        <f>(IF('Section Load'!U13&gt;0,'Section Load'!U13,0))</f>
        <v>179</v>
      </c>
      <c r="U10" s="1299">
        <f>(IF('Section Load'!V13&gt;0,'Section Load'!V13,0))</f>
        <v>358.64000000001397</v>
      </c>
      <c r="V10" s="1299">
        <f>(IF('Section Load'!W13&gt;0,'Section Load'!W13,0))</f>
        <v>311.68000000005122</v>
      </c>
      <c r="W10" s="1299">
        <f>(IF('Section Load'!X13&gt;0,'Section Load'!X13,0))</f>
        <v>24.970000000001164</v>
      </c>
      <c r="X10" s="1299">
        <f>(IF('Section Load'!Y13&gt;0,'Section Load'!Y13,0))</f>
        <v>223.82999999999447</v>
      </c>
      <c r="Y10" s="1299">
        <f>(IF('Section Load'!Z13&gt;0,'Section Load'!Z13,0))</f>
        <v>271</v>
      </c>
      <c r="Z10" s="1299">
        <f>(IF('Section Load'!AA13&gt;0,'Section Load'!AA13,0))</f>
        <v>130.95999999996275</v>
      </c>
      <c r="AA10" s="1299">
        <f>(IF('Section Load'!AB13&gt;0,'Section Load'!AB13,0))</f>
        <v>29</v>
      </c>
      <c r="AB10" s="1299">
        <f>(IF('Section Load'!AC13&gt;0,'Section Load'!AC13,0))</f>
        <v>87.489999999990687</v>
      </c>
      <c r="AC10" s="1299">
        <f>(IF('Section Load'!AD13&gt;0,'Section Load'!AD13,0))</f>
        <v>42.399999999996908</v>
      </c>
      <c r="AD10" s="1299">
        <f>(IF('Section Load'!AE13&gt;0,'Section Load'!AE13,0))</f>
        <v>0</v>
      </c>
      <c r="AE10" s="1299">
        <f>(IF('Section Load'!AF13&gt;0,'Section Load'!AF13,0))</f>
        <v>11.099999999999909</v>
      </c>
      <c r="AF10" s="1299">
        <f>(IF('Section Load'!AG13&gt;0,'Section Load'!AG13,0))</f>
        <v>472.68000000002212</v>
      </c>
      <c r="AG10" s="1299">
        <f>(IF('Section Load'!AH13&gt;0,'Section Load'!AH13,0))</f>
        <v>347.39999999999418</v>
      </c>
      <c r="AH10" s="1299">
        <f>(IF('Section Load'!AI13&gt;0,'Section Load'!AI13,0))</f>
        <v>373.56999999999971</v>
      </c>
      <c r="AI10" s="1299">
        <f>(IF('Section Load'!AJ13&gt;0,'Section Load'!AJ13,0))</f>
        <v>566.97999999998137</v>
      </c>
      <c r="AJ10" s="1299">
        <f>(IF('Section Load'!AK13&gt;0,'Section Load'!AK13,0))</f>
        <v>0</v>
      </c>
      <c r="AK10" s="1299">
        <f>(IF('Section Load'!AL13&gt;0,'Section Load'!AL13,0))</f>
        <v>292.8700000000099</v>
      </c>
      <c r="AL10" s="1299">
        <f>(IF('Section Load'!AM13&gt;0,'Section Load'!AM13,0))</f>
        <v>992</v>
      </c>
      <c r="AM10" s="1300">
        <f>(IF('Water Report'!$L$7&gt;0,'Water Report'!$L$7,0))</f>
        <v>50</v>
      </c>
      <c r="AN10" s="1300">
        <f>(IF('Water Report'!$L$8&gt;0,'Water Report'!$L$8,0))</f>
        <v>160</v>
      </c>
      <c r="AO10" s="1300">
        <f>(IF('Water Report'!$L$9&gt;0,'Water Report'!$L$9,0))</f>
        <v>75</v>
      </c>
      <c r="AP10" s="1300">
        <f>(IF('Water Report'!$L$10&gt;0,'Water Report'!$L$10,0))</f>
        <v>15</v>
      </c>
      <c r="AQ10" s="1300">
        <f>(IF('Water Report'!$L$11&gt;0,'Water Report'!$L$11,0))</f>
        <v>16</v>
      </c>
      <c r="AR10" s="1300">
        <f>(IF('Water Report'!$L$13&gt;0,'Water Report'!$L$13,0))</f>
        <v>36</v>
      </c>
      <c r="AS10" s="1300">
        <f>(IF('Water Report'!$L$14&gt;0,'Water Report'!$L$14,0))</f>
        <v>15</v>
      </c>
      <c r="AT10" s="1300">
        <f>(IF('Water Report'!$L$15&gt;0,'Water Report'!$L$15,0))</f>
        <v>2</v>
      </c>
      <c r="AU10" s="1300">
        <f>(IF('Water Report'!$L$17&gt;0,'Water Report'!$L$17,0))</f>
        <v>0</v>
      </c>
      <c r="AV10" s="1300">
        <f>(IF('Water Report'!$L$18&gt;0,'Water Report'!$L$18,0))</f>
        <v>8</v>
      </c>
      <c r="AW10" s="1300">
        <f>(IF('Water Report'!$L$19&gt;0,'Water Report'!$L$19,0))</f>
        <v>9</v>
      </c>
      <c r="AX10" s="1379">
        <f>(IF('Water Report'!$L$21&gt;0,'Water Report'!$L$21,0))</f>
        <v>85</v>
      </c>
      <c r="AY10" s="1379">
        <f>(IF('Water Report'!$L$22&gt;0,'Water Report'!$L$22,0))</f>
        <v>30</v>
      </c>
      <c r="AZ10" s="1379">
        <f>(IF('Water Report'!$L$23&gt;0,'Water Report'!$L$23,0))</f>
        <v>15</v>
      </c>
      <c r="BA10" s="1379">
        <f>(IF('Water Report'!$L$14&gt;0,'Water Report'!$L$14,0))</f>
        <v>15</v>
      </c>
      <c r="BB10" s="1379">
        <f>(IF('Water Report'!$L$15&gt;0,'Water Report'!$L$15,0))</f>
        <v>2</v>
      </c>
      <c r="BC10" s="1379">
        <f>(IF('Water Report'!$L$13&gt;0,'Water Report'!$L$13,0))</f>
        <v>36</v>
      </c>
      <c r="BD10" s="1379">
        <f>(IF('Water Report'!$L$24&gt;0,'Water Report'!$L$24,0))</f>
        <v>143</v>
      </c>
      <c r="BE10" s="1379">
        <f>(IF('Water Report'!$L$25&gt;0,'Water Report'!$L$25,0))</f>
        <v>123</v>
      </c>
      <c r="BF10" s="1379">
        <f>(IF('Water Report'!$L$27&gt;0,'Water Report'!$L$27,0))</f>
        <v>136</v>
      </c>
      <c r="BG10" s="1301">
        <f>(IF('Section Load'!AN13&gt;0,'Section Load'!AN13,0))</f>
        <v>903.46000000019558</v>
      </c>
      <c r="BH10" s="1301">
        <f>(IF('Section Load'!AO13&gt;0,'Section Load'!AO13,0))</f>
        <v>270.06000000005588</v>
      </c>
      <c r="BI10" s="1301">
        <f>(IF('Section Load'!AP13&gt;0,'Section Load'!AP13,0))</f>
        <v>0</v>
      </c>
      <c r="BJ10" s="1301">
        <f>(IF('Section Load'!AQ13&gt;0,'Section Load'!AQ13,0))</f>
        <v>73</v>
      </c>
      <c r="BK10" s="1301">
        <f>(IF('Section Load'!AR13&gt;0,'Section Load'!AR13,0))</f>
        <v>0</v>
      </c>
      <c r="BL10" s="1301">
        <f>(IF('Section Load'!AS13&gt;0,'Section Load'!AS13,0))</f>
        <v>0</v>
      </c>
      <c r="BM10" s="1301">
        <f>(IF('Section Load'!AT13&gt;0,'Section Load'!AT13,0))</f>
        <v>560.4000000001397</v>
      </c>
    </row>
    <row r="11" spans="1:65">
      <c r="A11" s="1283" t="s">
        <v>301</v>
      </c>
      <c r="B11" s="1284">
        <f t="shared" si="0"/>
        <v>10</v>
      </c>
      <c r="C11" s="1284">
        <v>4</v>
      </c>
      <c r="D11" s="1284">
        <v>2021</v>
      </c>
      <c r="E11" s="1299">
        <f>(IF('Section Load'!F14&gt;0,'Section Load'!F14,0))</f>
        <v>3180.7199999999721</v>
      </c>
      <c r="F11" s="1299">
        <f>(IF('Section Load'!G14&gt;0,'Section Load'!G14,0))</f>
        <v>1303.25</v>
      </c>
      <c r="G11" s="1299">
        <f>(IF('Section Load'!H14&gt;0,'Section Load'!H14,0))</f>
        <v>1608.7700000000041</v>
      </c>
      <c r="H11" s="1299">
        <f>(IF('Section Load'!I14&gt;0,'Section Load'!I14,0))</f>
        <v>3803.2999999999884</v>
      </c>
      <c r="I11" s="1299">
        <f>(IF('Section Load'!J14&gt;0,'Section Load'!J14,0))</f>
        <v>6016.4600000000501</v>
      </c>
      <c r="J11" s="1299">
        <f>(IF('Section Load'!K14&gt;0,'Section Load'!K14,0))</f>
        <v>2479.8600000001024</v>
      </c>
      <c r="K11" s="1299">
        <f>(IF('Section Load'!L14&gt;0,'Section Load'!L14,0))</f>
        <v>1042.0400000000373</v>
      </c>
      <c r="L11" s="1299">
        <f>(IF('Section Load'!M14&gt;0,'Section Load'!M14,0))</f>
        <v>870.52000000001863</v>
      </c>
      <c r="M11" s="1299">
        <f>(IF('Section Load'!N14&gt;0,'Section Load'!N14,0))</f>
        <v>91</v>
      </c>
      <c r="N11" s="1299">
        <f>(IF('Section Load'!O14&gt;0,'Section Load'!O14,0))</f>
        <v>2</v>
      </c>
      <c r="O11" s="1299">
        <f>(IF('Section Load'!P14&gt;0,'Section Load'!P14,0))</f>
        <v>33.019999999999982</v>
      </c>
      <c r="P11" s="1299">
        <f>(IF('Section Load'!Q14&gt;0,'Section Load'!Q14,0))</f>
        <v>63.399999999999636</v>
      </c>
      <c r="Q11" s="1299">
        <f>(IF('Section Load'!R14&gt;0,'Section Load'!R14,0))</f>
        <v>70.600000000000364</v>
      </c>
      <c r="R11" s="1299">
        <f>(IF('Section Load'!S14&gt;0,'Section Load'!S14,0))</f>
        <v>43</v>
      </c>
      <c r="S11" s="1299">
        <f>(IF('Section Load'!T14&gt;0,'Section Load'!T14,0))</f>
        <v>196</v>
      </c>
      <c r="T11" s="1299">
        <f>(IF('Section Load'!U14&gt;0,'Section Load'!U14,0))</f>
        <v>187</v>
      </c>
      <c r="U11" s="1299">
        <f>(IF('Section Load'!V14&gt;0,'Section Load'!V14,0))</f>
        <v>353.44000000000233</v>
      </c>
      <c r="V11" s="1299">
        <f>(IF('Section Load'!W14&gt;0,'Section Load'!W14,0))</f>
        <v>229.19999999995343</v>
      </c>
      <c r="W11" s="1299">
        <f>(IF('Section Load'!X14&gt;0,'Section Load'!X14,0))</f>
        <v>21.980000000010477</v>
      </c>
      <c r="X11" s="1299">
        <f>(IF('Section Load'!Y14&gt;0,'Section Load'!Y14,0))</f>
        <v>154.34000000000378</v>
      </c>
      <c r="Y11" s="1299">
        <f>(IF('Section Load'!Z14&gt;0,'Section Load'!Z14,0))</f>
        <v>288</v>
      </c>
      <c r="Z11" s="1299">
        <f>(IF('Section Load'!AA14&gt;0,'Section Load'!AA14,0))</f>
        <v>162.76000000000931</v>
      </c>
      <c r="AA11" s="1299">
        <f>(IF('Section Load'!AB14&gt;0,'Section Load'!AB14,0))</f>
        <v>22</v>
      </c>
      <c r="AB11" s="1299">
        <f>(IF('Section Load'!AC14&gt;0,'Section Load'!AC14,0))</f>
        <v>22.680000000022119</v>
      </c>
      <c r="AC11" s="1299">
        <f>(IF('Section Load'!AD14&gt;0,'Section Load'!AD14,0))</f>
        <v>21.800000000000182</v>
      </c>
      <c r="AD11" s="1299">
        <f>(IF('Section Load'!AE14&gt;0,'Section Load'!AE14,0))</f>
        <v>0</v>
      </c>
      <c r="AE11" s="1299">
        <f>(IF('Section Load'!AF14&gt;0,'Section Load'!AF14,0))</f>
        <v>11.480000000000018</v>
      </c>
      <c r="AF11" s="1299">
        <f>(IF('Section Load'!AG14&gt;0,'Section Load'!AG14,0))</f>
        <v>474.25999999998021</v>
      </c>
      <c r="AG11" s="1299">
        <f>(IF('Section Load'!AH14&gt;0,'Section Load'!AH14,0))</f>
        <v>350.52999999999884</v>
      </c>
      <c r="AH11" s="1299">
        <f>(IF('Section Load'!AI14&gt;0,'Section Load'!AI14,0))</f>
        <v>360.34000000000378</v>
      </c>
      <c r="AI11" s="1299">
        <f>(IF('Section Load'!AJ14&gt;0,'Section Load'!AJ14,0))</f>
        <v>498.0800000000163</v>
      </c>
      <c r="AJ11" s="1299">
        <f>(IF('Section Load'!AK14&gt;0,'Section Load'!AK14,0))</f>
        <v>0</v>
      </c>
      <c r="AK11" s="1299">
        <f>(IF('Section Load'!AL14&gt;0,'Section Load'!AL14,0))</f>
        <v>325.22999999999593</v>
      </c>
      <c r="AL11" s="1299">
        <f>(IF('Section Load'!AM14&gt;0,'Section Load'!AM14,0))</f>
        <v>991</v>
      </c>
      <c r="AM11" s="1300">
        <f>(IF('Water Report'!$M$7&gt;0,'Water Report'!$M$7,0))</f>
        <v>62</v>
      </c>
      <c r="AN11" s="1300">
        <f>(IF('Water Report'!$M$8&gt;0,'Water Report'!$M$8,0))</f>
        <v>154</v>
      </c>
      <c r="AO11" s="1300">
        <f>(IF('Water Report'!$M$9&gt;0,'Water Report'!$M$9,0))</f>
        <v>69</v>
      </c>
      <c r="AP11" s="1300">
        <f>(IF('Water Report'!$M$10&gt;0,'Water Report'!$M$10,0))</f>
        <v>15</v>
      </c>
      <c r="AQ11" s="1300">
        <f>(IF('Water Report'!$M$11&gt;0,'Water Report'!$M$11,0))</f>
        <v>13</v>
      </c>
      <c r="AR11" s="1300">
        <f>(IF('Water Report'!$M$13&gt;0,'Water Report'!$M$13,0))</f>
        <v>50</v>
      </c>
      <c r="AS11" s="1300">
        <f>(IF('Water Report'!$M$14&gt;0,'Water Report'!$M$14,0))</f>
        <v>8</v>
      </c>
      <c r="AT11" s="1300">
        <f>(IF('Water Report'!$M$15&gt;0,'Water Report'!$M$15,0))</f>
        <v>4</v>
      </c>
      <c r="AU11" s="1300">
        <f>(IF('Water Report'!$M$17&gt;0,'Water Report'!$M$17,0))</f>
        <v>8</v>
      </c>
      <c r="AV11" s="1300">
        <f>(IF('Water Report'!$M$18&gt;0,'Water Report'!$M$18,0))</f>
        <v>4</v>
      </c>
      <c r="AW11" s="1300">
        <f>(IF('Water Report'!$M$19&gt;0,'Water Report'!$M$19,0))</f>
        <v>5</v>
      </c>
      <c r="AX11" s="1379">
        <f>(IF('Water Report'!$M$21&gt;0,'Water Report'!$M$21,0))</f>
        <v>62</v>
      </c>
      <c r="AY11" s="1379">
        <f>(IF('Water Report'!$M$22&gt;0,'Water Report'!$M$22,0))</f>
        <v>51</v>
      </c>
      <c r="AZ11" s="1379">
        <f>(IF('Water Report'!$M$23&gt;0,'Water Report'!$M$23,0))</f>
        <v>0</v>
      </c>
      <c r="BA11" s="1379">
        <f>(IF('Water Report'!$M$14&gt;0,'Water Report'!$M$14,0))</f>
        <v>8</v>
      </c>
      <c r="BB11" s="1379">
        <f>(IF('Water Report'!$M$15&gt;0,'Water Report'!$M$15,0))</f>
        <v>4</v>
      </c>
      <c r="BC11" s="1379">
        <f>(IF('Water Report'!$M$13&gt;0,'Water Report'!$M$13,0))</f>
        <v>50</v>
      </c>
      <c r="BD11" s="1379">
        <f>(IF('Water Report'!$M$24&gt;0,'Water Report'!$M$24,0))</f>
        <v>143</v>
      </c>
      <c r="BE11" s="1379">
        <f>(IF('Water Report'!$M$25&gt;0,'Water Report'!$M$25,0))</f>
        <v>109</v>
      </c>
      <c r="BF11" s="1379">
        <f>(IF('Water Report'!$M$27&gt;0,'Water Report'!$M$27,0))</f>
        <v>112</v>
      </c>
      <c r="BG11" s="1301">
        <f>(IF('Section Load'!AN14&gt;0,'Section Load'!AN14,0))</f>
        <v>791.61999999987893</v>
      </c>
      <c r="BH11" s="1301">
        <f>(IF('Section Load'!AO14&gt;0,'Section Load'!AO14,0))</f>
        <v>260.5</v>
      </c>
      <c r="BI11" s="1301">
        <f>(IF('Section Load'!AP14&gt;0,'Section Load'!AP14,0))</f>
        <v>0</v>
      </c>
      <c r="BJ11" s="1301">
        <f>(IF('Section Load'!AQ14&gt;0,'Section Load'!AQ14,0))</f>
        <v>85.199999999982538</v>
      </c>
      <c r="BK11" s="1301">
        <f>(IF('Section Load'!AR14&gt;0,'Section Load'!AR14,0))</f>
        <v>0</v>
      </c>
      <c r="BL11" s="1301">
        <f>(IF('Section Load'!AS14&gt;0,'Section Load'!AS14,0))</f>
        <v>0.6000000000003638</v>
      </c>
      <c r="BM11" s="1301">
        <f>(IF('Section Load'!AT14&gt;0,'Section Load'!AT14,0))</f>
        <v>445.31999999989603</v>
      </c>
    </row>
    <row r="12" spans="1:65">
      <c r="A12" s="1283" t="s">
        <v>301</v>
      </c>
      <c r="B12" s="1284">
        <f t="shared" si="0"/>
        <v>11</v>
      </c>
      <c r="C12" s="1284">
        <v>4</v>
      </c>
      <c r="D12" s="1284">
        <v>2021</v>
      </c>
      <c r="E12" s="1299">
        <f>(IF('Section Load'!F15&gt;0,'Section Load'!F15,0))</f>
        <v>3122.5899999999674</v>
      </c>
      <c r="F12" s="1299">
        <f>(IF('Section Load'!G15&gt;0,'Section Load'!G15,0))</f>
        <v>1355.6100000000006</v>
      </c>
      <c r="G12" s="1299">
        <f>(IF('Section Load'!H15&gt;0,'Section Load'!H15,0))</f>
        <v>1611.0099999999948</v>
      </c>
      <c r="H12" s="1299">
        <f>(IF('Section Load'!I15&gt;0,'Section Load'!I15,0))</f>
        <v>3901.4030000000203</v>
      </c>
      <c r="I12" s="1299">
        <f>(IF('Section Load'!J15&gt;0,'Section Load'!J15,0))</f>
        <v>5752.1999999999825</v>
      </c>
      <c r="J12" s="1299">
        <f>(IF('Section Load'!K15&gt;0,'Section Load'!K15,0))</f>
        <v>2398.2999999999302</v>
      </c>
      <c r="K12" s="1299">
        <f>(IF('Section Load'!L15&gt;0,'Section Load'!L15,0))</f>
        <v>1125.0800000000163</v>
      </c>
      <c r="L12" s="1299">
        <f>(IF('Section Load'!M15&gt;0,'Section Load'!M15,0))</f>
        <v>1033.640000000014</v>
      </c>
      <c r="M12" s="1299">
        <f>(IF('Section Load'!N15&gt;0,'Section Load'!N15,0))</f>
        <v>95</v>
      </c>
      <c r="N12" s="1299">
        <f>(IF('Section Load'!O15&gt;0,'Section Load'!O15,0))</f>
        <v>3</v>
      </c>
      <c r="O12" s="1299">
        <f>(IF('Section Load'!P15&gt;0,'Section Load'!P15,0))</f>
        <v>31.610000000000127</v>
      </c>
      <c r="P12" s="1299">
        <f>(IF('Section Load'!Q15&gt;0,'Section Load'!Q15,0))</f>
        <v>65.75</v>
      </c>
      <c r="Q12" s="1299">
        <f>(IF('Section Load'!R15&gt;0,'Section Load'!R15,0))</f>
        <v>65.389999999999418</v>
      </c>
      <c r="R12" s="1299">
        <f>(IF('Section Load'!S15&gt;0,'Section Load'!S15,0))</f>
        <v>45</v>
      </c>
      <c r="S12" s="1299">
        <f>(IF('Section Load'!T15&gt;0,'Section Load'!T15,0))</f>
        <v>118</v>
      </c>
      <c r="T12" s="1299">
        <f>(IF('Section Load'!U15&gt;0,'Section Load'!U15,0))</f>
        <v>189</v>
      </c>
      <c r="U12" s="1299">
        <f>(IF('Section Load'!V15&gt;0,'Section Load'!V15,0))</f>
        <v>355.35999999998603</v>
      </c>
      <c r="V12" s="1299">
        <f>(IF('Section Load'!W15&gt;0,'Section Load'!W15,0))</f>
        <v>270.48000000009779</v>
      </c>
      <c r="W12" s="1299">
        <f>(IF('Section Load'!X15&gt;0,'Section Load'!X15,0))</f>
        <v>23.379999999990105</v>
      </c>
      <c r="X12" s="1299">
        <f>(IF('Section Load'!Y15&gt;0,'Section Load'!Y15,0))</f>
        <v>181.66999999999825</v>
      </c>
      <c r="Y12" s="1299">
        <f>(IF('Section Load'!Z15&gt;0,'Section Load'!Z15,0))</f>
        <v>250</v>
      </c>
      <c r="Z12" s="1299">
        <f>(IF('Section Load'!AA15&gt;0,'Section Load'!AA15,0))</f>
        <v>228.96000000002095</v>
      </c>
      <c r="AA12" s="1299">
        <f>(IF('Section Load'!AB15&gt;0,'Section Load'!AB15,0))</f>
        <v>24.700000000011642</v>
      </c>
      <c r="AB12" s="1299">
        <f>(IF('Section Load'!AC15&gt;0,'Section Load'!AC15,0))</f>
        <v>23.929999999993015</v>
      </c>
      <c r="AC12" s="1299">
        <f>(IF('Section Load'!AD15&gt;0,'Section Load'!AD15,0))</f>
        <v>24.700000000011642</v>
      </c>
      <c r="AD12" s="1299">
        <f>(IF('Section Load'!AE15&gt;0,'Section Load'!AE15,0))</f>
        <v>0</v>
      </c>
      <c r="AE12" s="1299">
        <f>(IF('Section Load'!AF15&gt;0,'Section Load'!AF15,0))</f>
        <v>12.539999999999964</v>
      </c>
      <c r="AF12" s="1299">
        <f>(IF('Section Load'!AG15&gt;0,'Section Load'!AG15,0))</f>
        <v>489.33999999999651</v>
      </c>
      <c r="AG12" s="1299">
        <f>(IF('Section Load'!AH15&gt;0,'Section Load'!AH15,0))</f>
        <v>373.36000000001513</v>
      </c>
      <c r="AH12" s="1299">
        <f>(IF('Section Load'!AI15&gt;0,'Section Load'!AI15,0))</f>
        <v>411.43999999999505</v>
      </c>
      <c r="AI12" s="1299">
        <f>(IF('Section Load'!AJ15&gt;0,'Section Load'!AJ15,0))</f>
        <v>481.17999999999302</v>
      </c>
      <c r="AJ12" s="1299">
        <f>(IF('Section Load'!AK15&gt;0,'Section Load'!AK15,0))</f>
        <v>0</v>
      </c>
      <c r="AK12" s="1299">
        <f>(IF('Section Load'!AL15&gt;0,'Section Load'!AL15,0))</f>
        <v>305.11000000000058</v>
      </c>
      <c r="AL12" s="1299">
        <f>(IF('Section Load'!AM15&gt;0,'Section Load'!AM15,0))</f>
        <v>1020</v>
      </c>
      <c r="AM12" s="1300">
        <f>(IF('Water Report'!$N$7&gt;0,'Water Report'!$N$7,0))</f>
        <v>55</v>
      </c>
      <c r="AN12" s="1300">
        <f>(IF('Water Report'!$N$8&gt;0,'Water Report'!$N$8,0))</f>
        <v>142</v>
      </c>
      <c r="AO12" s="1300">
        <f>(IF('Water Report'!$N$9&gt;0,'Water Report'!$N$9,0))</f>
        <v>73</v>
      </c>
      <c r="AP12" s="1300">
        <f>(IF('Water Report'!$N$10&gt;0,'Water Report'!$N$10,0))</f>
        <v>15</v>
      </c>
      <c r="AQ12" s="1300">
        <f>(IF('Water Report'!$N$11&gt;0,'Water Report'!$N$11,0))</f>
        <v>17</v>
      </c>
      <c r="AR12" s="1300">
        <f>(IF('Water Report'!$N$13&gt;0,'Water Report'!$N$13,0))</f>
        <v>28</v>
      </c>
      <c r="AS12" s="1300">
        <f>(IF('Water Report'!$N$14&gt;0,'Water Report'!$N$14,0))</f>
        <v>8</v>
      </c>
      <c r="AT12" s="1300">
        <f>(IF('Water Report'!$N$15&gt;0,'Water Report'!$N$15,0))</f>
        <v>4</v>
      </c>
      <c r="AU12" s="1300">
        <f>(IF('Water Report'!$N$17&gt;0,'Water Report'!$N$17,0))</f>
        <v>18</v>
      </c>
      <c r="AV12" s="1300">
        <f>(IF('Water Report'!$N$18&gt;0,'Water Report'!$N$18,0))</f>
        <v>6</v>
      </c>
      <c r="AW12" s="1300">
        <f>(IF('Water Report'!$N$19&gt;0,'Water Report'!$N$19,0))</f>
        <v>6</v>
      </c>
      <c r="AX12" s="1379">
        <f>(IF('Water Report'!$N$21&gt;0,'Water Report'!$N$21,0))</f>
        <v>87</v>
      </c>
      <c r="AY12" s="1379">
        <f>(IF('Water Report'!$N$22&gt;0,'Water Report'!$N$22,0))</f>
        <v>19</v>
      </c>
      <c r="AZ12" s="1379">
        <f>(IF('Water Report'!$N$23&gt;0,'Water Report'!$N$23,0))</f>
        <v>0</v>
      </c>
      <c r="BA12" s="1379">
        <f>(IF('Water Report'!$N$14&gt;0,'Water Report'!$N$14,0))</f>
        <v>8</v>
      </c>
      <c r="BB12" s="1379">
        <f>(IF('Water Report'!$N$15&gt;0,'Water Report'!$N$15,0))</f>
        <v>4</v>
      </c>
      <c r="BC12" s="1379">
        <f>(IF('Water Report'!$N$13&gt;0,'Water Report'!$N$13,0))</f>
        <v>28</v>
      </c>
      <c r="BD12" s="1379">
        <f>(IF('Water Report'!$N$24&gt;0,'Water Report'!$N$24,0))</f>
        <v>137</v>
      </c>
      <c r="BE12" s="1379">
        <f>(IF('Water Report'!$N$25&gt;0,'Water Report'!$N$25,0))</f>
        <v>117</v>
      </c>
      <c r="BF12" s="1379">
        <f>(IF('Water Report'!$N$27&gt;0,'Water Report'!$N$27,0))</f>
        <v>115</v>
      </c>
      <c r="BG12" s="1301">
        <f>(IF('Section Load'!AN15&gt;0,'Section Load'!AN15,0))</f>
        <v>846.82799999997951</v>
      </c>
      <c r="BH12" s="1301">
        <f>(IF('Section Load'!AO15&gt;0,'Section Load'!AO15,0))</f>
        <v>248.04000000003725</v>
      </c>
      <c r="BI12" s="1301">
        <f>(IF('Section Load'!AP15&gt;0,'Section Load'!AP15,0))</f>
        <v>0</v>
      </c>
      <c r="BJ12" s="1301">
        <f>(IF('Section Load'!AQ15&gt;0,'Section Load'!AQ15,0))</f>
        <v>99.350000000005821</v>
      </c>
      <c r="BK12" s="1301">
        <f>(IF('Section Load'!AR15&gt;0,'Section Load'!AR15,0))</f>
        <v>0</v>
      </c>
      <c r="BL12" s="1301">
        <f>(IF('Section Load'!AS15&gt;0,'Section Load'!AS15,0))</f>
        <v>0</v>
      </c>
      <c r="BM12" s="1301">
        <f>(IF('Section Load'!AT15&gt;0,'Section Load'!AT15,0))</f>
        <v>499.43799999993644</v>
      </c>
    </row>
    <row r="13" spans="1:65">
      <c r="A13" s="1283" t="s">
        <v>301</v>
      </c>
      <c r="B13" s="1284">
        <f t="shared" si="0"/>
        <v>12</v>
      </c>
      <c r="C13" s="1284">
        <v>4</v>
      </c>
      <c r="D13" s="1284">
        <v>2021</v>
      </c>
      <c r="E13" s="1299">
        <f>(IF('Section Load'!F16&gt;0,'Section Load'!F16,0))</f>
        <v>2973.890000000014</v>
      </c>
      <c r="F13" s="1299">
        <f>(IF('Section Load'!G16&gt;0,'Section Load'!G16,0))</f>
        <v>1326.6800000000076</v>
      </c>
      <c r="G13" s="1299">
        <f>(IF('Section Load'!H16&gt;0,'Section Load'!H16,0))</f>
        <v>1617.6200000000536</v>
      </c>
      <c r="H13" s="1299">
        <f>(IF('Section Load'!I16&gt;0,'Section Load'!I16,0))</f>
        <v>3735.1769999999669</v>
      </c>
      <c r="I13" s="1299">
        <f>(IF('Section Load'!J16&gt;0,'Section Load'!J16,0))</f>
        <v>5662.5799999999581</v>
      </c>
      <c r="J13" s="1299">
        <f>(IF('Section Load'!K16&gt;0,'Section Load'!K16,0))</f>
        <v>2314.6500000000233</v>
      </c>
      <c r="K13" s="1299">
        <f>(IF('Section Load'!L16&gt;0,'Section Load'!L16,0))</f>
        <v>1196.9699999999721</v>
      </c>
      <c r="L13" s="1299">
        <f>(IF('Section Load'!M16&gt;0,'Section Load'!M16,0))</f>
        <v>973.6699999999837</v>
      </c>
      <c r="M13" s="1299">
        <f>(IF('Section Load'!N16&gt;0,'Section Load'!N16,0))</f>
        <v>81</v>
      </c>
      <c r="N13" s="1299">
        <f>(IF('Section Load'!O16&gt;0,'Section Load'!O16,0))</f>
        <v>1</v>
      </c>
      <c r="O13" s="1299">
        <f>(IF('Section Load'!P16&gt;0,'Section Load'!P16,0))</f>
        <v>31.369999999999891</v>
      </c>
      <c r="P13" s="1299">
        <f>(IF('Section Load'!Q16&gt;0,'Section Load'!Q16,0))</f>
        <v>63.600000000000364</v>
      </c>
      <c r="Q13" s="1299">
        <f>(IF('Section Load'!R16&gt;0,'Section Load'!R16,0))</f>
        <v>65.520000000000437</v>
      </c>
      <c r="R13" s="1299">
        <f>(IF('Section Load'!S16&gt;0,'Section Load'!S16,0))</f>
        <v>43</v>
      </c>
      <c r="S13" s="1299">
        <f>(IF('Section Load'!T16&gt;0,'Section Load'!T16,0))</f>
        <v>110</v>
      </c>
      <c r="T13" s="1299">
        <f>(IF('Section Load'!U16&gt;0,'Section Load'!U16,0))</f>
        <v>176</v>
      </c>
      <c r="U13" s="1299">
        <f>(IF('Section Load'!V16&gt;0,'Section Load'!V16,0))</f>
        <v>382.67999999999302</v>
      </c>
      <c r="V13" s="1299">
        <f>(IF('Section Load'!W16&gt;0,'Section Load'!W16,0))</f>
        <v>231.19999999995343</v>
      </c>
      <c r="W13" s="1299">
        <f>(IF('Section Load'!X16&gt;0,'Section Load'!X16,0))</f>
        <v>24.270000000004075</v>
      </c>
      <c r="X13" s="1299">
        <f>(IF('Section Load'!Y16&gt;0,'Section Load'!Y16,0))</f>
        <v>173.93000000000029</v>
      </c>
      <c r="Y13" s="1299">
        <f>(IF('Section Load'!Z16&gt;0,'Section Load'!Z16,0))</f>
        <v>258</v>
      </c>
      <c r="Z13" s="1299">
        <f>(IF('Section Load'!AA16&gt;0,'Section Load'!AA16,0))</f>
        <v>274.79999999998836</v>
      </c>
      <c r="AA13" s="1299">
        <f>(IF('Section Load'!AB16&gt;0,'Section Load'!AB16,0))</f>
        <v>43.899999999994179</v>
      </c>
      <c r="AB13" s="1299">
        <f>(IF('Section Load'!AC16&gt;0,'Section Load'!AC16,0))</f>
        <v>23.369999999995343</v>
      </c>
      <c r="AC13" s="1299">
        <f>(IF('Section Load'!AD16&gt;0,'Section Load'!AD16,0))</f>
        <v>44.099999999993997</v>
      </c>
      <c r="AD13" s="1299">
        <f>(IF('Section Load'!AE16&gt;0,'Section Load'!AE16,0))</f>
        <v>0</v>
      </c>
      <c r="AE13" s="1299">
        <f>(IF('Section Load'!AF16&gt;0,'Section Load'!AF16,0))</f>
        <v>11.300000000000182</v>
      </c>
      <c r="AF13" s="1299">
        <f>(IF('Section Load'!AG16&gt;0,'Section Load'!AG16,0))</f>
        <v>476.01000000000931</v>
      </c>
      <c r="AG13" s="1299">
        <f>(IF('Section Load'!AH16&gt;0,'Section Load'!AH16,0))</f>
        <v>361.14999999999418</v>
      </c>
      <c r="AH13" s="1299">
        <f>(IF('Section Load'!AI16&gt;0,'Section Load'!AI16,0))</f>
        <v>377.65000000000146</v>
      </c>
      <c r="AI13" s="1299">
        <f>(IF('Section Load'!AJ16&gt;0,'Section Load'!AJ16,0))</f>
        <v>452.97000000000116</v>
      </c>
      <c r="AJ13" s="1299">
        <f>(IF('Section Load'!AK16&gt;0,'Section Load'!AK16,0))</f>
        <v>0</v>
      </c>
      <c r="AK13" s="1299">
        <f>(IF('Section Load'!AL16&gt;0,'Section Load'!AL16,0))</f>
        <v>266.13999999999942</v>
      </c>
      <c r="AL13" s="1299">
        <f>(IF('Section Load'!AM16&gt;0,'Section Load'!AM16,0))</f>
        <v>982</v>
      </c>
      <c r="AM13" s="1300">
        <f>(IF('Water Report'!$O$7&gt;0,'Water Report'!$O$7,0))</f>
        <v>56</v>
      </c>
      <c r="AN13" s="1300">
        <f>(IF('Water Report'!$O$8&gt;0,'Water Report'!$O$8,0))</f>
        <v>122</v>
      </c>
      <c r="AO13" s="1300">
        <f>(IF('Water Report'!$O$9&gt;0,'Water Report'!$O$9,0))</f>
        <v>68</v>
      </c>
      <c r="AP13" s="1300">
        <f>(IF('Water Report'!$O$10&gt;0,'Water Report'!$O$10,0))</f>
        <v>19</v>
      </c>
      <c r="AQ13" s="1300">
        <f>(IF('Water Report'!$O$11&gt;0,'Water Report'!$O$11,0))</f>
        <v>15</v>
      </c>
      <c r="AR13" s="1300">
        <f>(IF('Water Report'!$O$13&gt;0,'Water Report'!$O$13,0))</f>
        <v>30</v>
      </c>
      <c r="AS13" s="1300">
        <f>(IF('Water Report'!$O$14&gt;0,'Water Report'!$O$14,0))</f>
        <v>10</v>
      </c>
      <c r="AT13" s="1300">
        <f>(IF('Water Report'!$O$15&gt;0,'Water Report'!$O$15,0))</f>
        <v>4</v>
      </c>
      <c r="AU13" s="1300">
        <f>(IF('Water Report'!$O$17&gt;0,'Water Report'!$O$17,0))</f>
        <v>0</v>
      </c>
      <c r="AV13" s="1300">
        <f>(IF('Water Report'!$O$18&gt;0,'Water Report'!$O$18,0))</f>
        <v>4</v>
      </c>
      <c r="AW13" s="1300">
        <f>(IF('Water Report'!$O$19&gt;0,'Water Report'!$O$19,0))</f>
        <v>7</v>
      </c>
      <c r="AX13" s="1379">
        <f>(IF('Water Report'!$O$21&gt;0,'Water Report'!$O$21,0))</f>
        <v>63</v>
      </c>
      <c r="AY13" s="1379">
        <f>(IF('Water Report'!$O$22&gt;0,'Water Report'!$O$22,0))</f>
        <v>24</v>
      </c>
      <c r="AZ13" s="1379">
        <f>(IF('Water Report'!$O$23&gt;0,'Water Report'!$O$23,0))</f>
        <v>20</v>
      </c>
      <c r="BA13" s="1379">
        <f>(IF('Water Report'!$O$14&gt;0,'Water Report'!$O$14,0))</f>
        <v>10</v>
      </c>
      <c r="BB13" s="1379">
        <f>(IF('Water Report'!$O$15&gt;0,'Water Report'!$O$15,0))</f>
        <v>4</v>
      </c>
      <c r="BC13" s="1379">
        <f>(IF('Water Report'!$O$13&gt;0,'Water Report'!$O$13,0))</f>
        <v>30</v>
      </c>
      <c r="BD13" s="1379">
        <f>(IF('Water Report'!$O$24&gt;0,'Water Report'!$O$24,0))</f>
        <v>141</v>
      </c>
      <c r="BE13" s="1379">
        <f>(IF('Water Report'!$O$25&gt;0,'Water Report'!$O$25,0))</f>
        <v>116</v>
      </c>
      <c r="BF13" s="1379">
        <f>(IF('Water Report'!$O$27&gt;0,'Water Report'!$O$27,0))</f>
        <v>113</v>
      </c>
      <c r="BG13" s="1301">
        <f>(IF('Section Load'!AN16&gt;0,'Section Load'!AN16,0))</f>
        <v>774.06000000005588</v>
      </c>
      <c r="BH13" s="1301">
        <f>(IF('Section Load'!AO16&gt;0,'Section Load'!AO16,0))</f>
        <v>245.19999999995343</v>
      </c>
      <c r="BI13" s="1301">
        <f>(IF('Section Load'!AP16&gt;0,'Section Load'!AP16,0))</f>
        <v>0</v>
      </c>
      <c r="BJ13" s="1301">
        <f>(IF('Section Load'!AQ16&gt;0,'Section Load'!AQ16,0))</f>
        <v>82.320000000006985</v>
      </c>
      <c r="BK13" s="1301">
        <f>(IF('Section Load'!AR16&gt;0,'Section Load'!AR16,0))</f>
        <v>0</v>
      </c>
      <c r="BL13" s="1301">
        <f>(IF('Section Load'!AS16&gt;0,'Section Load'!AS16,0))</f>
        <v>0.3999999999996362</v>
      </c>
      <c r="BM13" s="1301">
        <f>(IF('Section Load'!AT16&gt;0,'Section Load'!AT16,0))</f>
        <v>446.54000000009</v>
      </c>
    </row>
    <row r="14" spans="1:65">
      <c r="A14" s="1283" t="s">
        <v>301</v>
      </c>
      <c r="B14" s="1284">
        <f t="shared" si="0"/>
        <v>13</v>
      </c>
      <c r="C14" s="1284">
        <v>4</v>
      </c>
      <c r="D14" s="1284">
        <v>2021</v>
      </c>
      <c r="E14" s="1299">
        <f>(IF('Section Load'!F17&gt;0,'Section Load'!F17,0))</f>
        <v>2879</v>
      </c>
      <c r="F14" s="1299">
        <f>(IF('Section Load'!G17&gt;0,'Section Load'!G17,0))</f>
        <v>1352</v>
      </c>
      <c r="G14" s="1299">
        <f>(IF('Section Load'!H17&gt;0,'Section Load'!H17,0))</f>
        <v>1644</v>
      </c>
      <c r="H14" s="1299">
        <f>(IF('Section Load'!I17&gt;0,'Section Load'!I17,0))</f>
        <v>3546</v>
      </c>
      <c r="I14" s="1299">
        <f>(IF('Section Load'!J17&gt;0,'Section Load'!J17,0))</f>
        <v>5812</v>
      </c>
      <c r="J14" s="1299">
        <f>(IF('Section Load'!K17&gt;0,'Section Load'!K17,0))</f>
        <v>2305.33</v>
      </c>
      <c r="K14" s="1299">
        <f>(IF('Section Load'!L17&gt;0,'Section Load'!L17,0))</f>
        <v>1083</v>
      </c>
      <c r="L14" s="1299">
        <f>(IF('Section Load'!M17&gt;0,'Section Load'!M17,0))</f>
        <v>1048</v>
      </c>
      <c r="M14" s="1299">
        <f>(IF('Section Load'!N17&gt;0,'Section Load'!N17,0))</f>
        <v>84</v>
      </c>
      <c r="N14" s="1299">
        <f>(IF('Section Load'!O17&gt;0,'Section Load'!O17,0))</f>
        <v>1</v>
      </c>
      <c r="O14" s="1299">
        <f>(IF('Section Load'!P17&gt;0,'Section Load'!P17,0))</f>
        <v>32</v>
      </c>
      <c r="P14" s="1299">
        <f>(IF('Section Load'!Q17&gt;0,'Section Load'!Q17,0))</f>
        <v>59</v>
      </c>
      <c r="Q14" s="1299">
        <f>(IF('Section Load'!R17&gt;0,'Section Load'!R17,0))</f>
        <v>60</v>
      </c>
      <c r="R14" s="1299">
        <f>(IF('Section Load'!S17&gt;0,'Section Load'!S17,0))</f>
        <v>41</v>
      </c>
      <c r="S14" s="1299">
        <f>(IF('Section Load'!T17&gt;0,'Section Load'!T17,0))</f>
        <v>96</v>
      </c>
      <c r="T14" s="1299">
        <f>(IF('Section Load'!U17&gt;0,'Section Load'!U17,0))</f>
        <v>169</v>
      </c>
      <c r="U14" s="1299">
        <f>(IF('Section Load'!V17&gt;0,'Section Load'!V17,0))</f>
        <v>385</v>
      </c>
      <c r="V14" s="1299">
        <f>(IF('Section Load'!W17&gt;0,'Section Load'!W17,0))</f>
        <v>242</v>
      </c>
      <c r="W14" s="1299">
        <f>(IF('Section Load'!X17&gt;0,'Section Load'!X17,0))</f>
        <v>24</v>
      </c>
      <c r="X14" s="1299">
        <f>(IF('Section Load'!Y17&gt;0,'Section Load'!Y17,0))</f>
        <v>186</v>
      </c>
      <c r="Y14" s="1299">
        <f>(IF('Section Load'!Z17&gt;0,'Section Load'!Z17,0))</f>
        <v>250</v>
      </c>
      <c r="Z14" s="1299">
        <f>(IF('Section Load'!AA17&gt;0,'Section Load'!AA17,0))</f>
        <v>214</v>
      </c>
      <c r="AA14" s="1299">
        <f>(IF('Section Load'!AB17&gt;0,'Section Load'!AB17,0))</f>
        <v>37</v>
      </c>
      <c r="AB14" s="1299">
        <f>(IF('Section Load'!AC17&gt;0,'Section Load'!AC17,0))</f>
        <v>23</v>
      </c>
      <c r="AC14" s="1299">
        <f>(IF('Section Load'!AD17&gt;0,'Section Load'!AD17,0))</f>
        <v>37</v>
      </c>
      <c r="AD14" s="1299">
        <f>(IF('Section Load'!AE17&gt;0,'Section Load'!AE17,0))</f>
        <v>0.18000000000029104</v>
      </c>
      <c r="AE14" s="1299">
        <f>(IF('Section Load'!AF17&gt;0,'Section Load'!AF17,0))</f>
        <v>10</v>
      </c>
      <c r="AF14" s="1299">
        <f>(IF('Section Load'!AG17&gt;0,'Section Load'!AG17,0))</f>
        <v>474</v>
      </c>
      <c r="AG14" s="1299">
        <f>(IF('Section Load'!AH17&gt;0,'Section Load'!AH17,0))</f>
        <v>367</v>
      </c>
      <c r="AH14" s="1299">
        <f>(IF('Section Load'!AI17&gt;0,'Section Load'!AI17,0))</f>
        <v>397</v>
      </c>
      <c r="AI14" s="1299">
        <f>(IF('Section Load'!AJ17&gt;0,'Section Load'!AJ17,0))</f>
        <v>460</v>
      </c>
      <c r="AJ14" s="1299">
        <f>(IF('Section Load'!AK17&gt;0,'Section Load'!AK17,0))</f>
        <v>0</v>
      </c>
      <c r="AK14" s="1299">
        <f>(IF('Section Load'!AL17&gt;0,'Section Load'!AL17,0))</f>
        <v>64</v>
      </c>
      <c r="AL14" s="1299">
        <f>(IF('Section Load'!AM17&gt;0,'Section Load'!AM17,0))</f>
        <v>908</v>
      </c>
      <c r="AM14" s="1300">
        <f>(IF('Water Report'!$P$7&gt;0,'Water Report'!$P$7,0))</f>
        <v>50</v>
      </c>
      <c r="AN14" s="1300">
        <f>(IF('Water Report'!$P$8&gt;0,'Water Report'!$P$8,0))</f>
        <v>123</v>
      </c>
      <c r="AO14" s="1300">
        <f>(IF('Water Report'!$P$9&gt;0,'Water Report'!$P$9,0))</f>
        <v>66</v>
      </c>
      <c r="AP14" s="1300">
        <f>(IF('Water Report'!$P$10&gt;0,'Water Report'!$P$10,0))</f>
        <v>16</v>
      </c>
      <c r="AQ14" s="1300">
        <f>(IF('Water Report'!$P$11&gt;0,'Water Report'!$P$11,0))</f>
        <v>18</v>
      </c>
      <c r="AR14" s="1300">
        <f>(IF('Water Report'!$P$13&gt;0,'Water Report'!$P$13,0))</f>
        <v>25</v>
      </c>
      <c r="AS14" s="1300">
        <f>(IF('Water Report'!$P$14&gt;0,'Water Report'!$P$14,0))</f>
        <v>6</v>
      </c>
      <c r="AT14" s="1300">
        <f>(IF('Water Report'!$P$15&gt;0,'Water Report'!$P$15,0))</f>
        <v>4</v>
      </c>
      <c r="AU14" s="1300">
        <f>(IF('Water Report'!$P$17&gt;0,'Water Report'!$P$17,0))</f>
        <v>0</v>
      </c>
      <c r="AV14" s="1300">
        <f>(IF('Water Report'!$P$18&gt;0,'Water Report'!$P$18,0))</f>
        <v>5</v>
      </c>
      <c r="AW14" s="1300">
        <f>(IF('Water Report'!$P$19&gt;0,'Water Report'!$P$19,0))</f>
        <v>7</v>
      </c>
      <c r="AX14" s="1379">
        <f>(IF('Water Report'!$P$21&gt;0,'Water Report'!$P$21,0))</f>
        <v>63</v>
      </c>
      <c r="AY14" s="1379">
        <f>(IF('Water Report'!$P$22&gt;0,'Water Report'!$P$22,0))</f>
        <v>23</v>
      </c>
      <c r="AZ14" s="1379">
        <f>(IF('Water Report'!$P$23&gt;0,'Water Report'!$P$23,0))</f>
        <v>0</v>
      </c>
      <c r="BA14" s="1379">
        <f>(IF('Water Report'!$P$14&gt;0,'Water Report'!$P$14,0))</f>
        <v>6</v>
      </c>
      <c r="BB14" s="1379">
        <f>(IF('Water Report'!$P$15&gt;0,'Water Report'!$P$15,0))</f>
        <v>4</v>
      </c>
      <c r="BC14" s="1379">
        <f>(IF('Water Report'!$P$13&gt;0,'Water Report'!$P$13,0))</f>
        <v>25</v>
      </c>
      <c r="BD14" s="1379">
        <f>(IF('Water Report'!$P$24&gt;0,'Water Report'!$P$24,0))</f>
        <v>142</v>
      </c>
      <c r="BE14" s="1379">
        <f>(IF('Water Report'!$P$25&gt;0,'Water Report'!$P$25,0))</f>
        <v>110</v>
      </c>
      <c r="BF14" s="1379">
        <f>(IF('Water Report'!$P$27&gt;0,'Water Report'!$P$27,0))</f>
        <v>88</v>
      </c>
      <c r="BG14" s="1301">
        <f>(IF('Section Load'!AN17&gt;0,'Section Load'!AN17,0))</f>
        <v>805.97999999998137</v>
      </c>
      <c r="BH14" s="1301">
        <f>(IF('Section Load'!AO17&gt;0,'Section Load'!AO17,0))</f>
        <v>241</v>
      </c>
      <c r="BI14" s="1301">
        <f>(IF('Section Load'!AP17&gt;0,'Section Load'!AP17,0))</f>
        <v>0</v>
      </c>
      <c r="BJ14" s="1301">
        <f>(IF('Section Load'!AQ17&gt;0,'Section Load'!AQ17,0))</f>
        <v>83</v>
      </c>
      <c r="BK14" s="1301">
        <f>(IF('Section Load'!AR17&gt;0,'Section Load'!AR17,0))</f>
        <v>0</v>
      </c>
      <c r="BL14" s="1301">
        <f>(IF('Section Load'!AS17&gt;0,'Section Load'!AS17,0))</f>
        <v>0</v>
      </c>
      <c r="BM14" s="1301">
        <f>(IF('Section Load'!AT17&gt;0,'Section Load'!AT17,0))</f>
        <v>482.1799999999821</v>
      </c>
    </row>
    <row r="15" spans="1:65">
      <c r="A15" s="1283" t="s">
        <v>301</v>
      </c>
      <c r="B15" s="1284">
        <f t="shared" si="0"/>
        <v>14</v>
      </c>
      <c r="C15" s="1284">
        <v>4</v>
      </c>
      <c r="D15" s="1284">
        <v>2021</v>
      </c>
      <c r="E15" s="1299">
        <f>(IF('Section Load'!F18&gt;0,'Section Load'!F18,0))</f>
        <v>2806</v>
      </c>
      <c r="F15" s="1299">
        <f>(IF('Section Load'!G18&gt;0,'Section Load'!G18,0))</f>
        <v>1384</v>
      </c>
      <c r="G15" s="1299">
        <f>(IF('Section Load'!H18&gt;0,'Section Load'!H18,0))</f>
        <v>1681</v>
      </c>
      <c r="H15" s="1299">
        <f>(IF('Section Load'!I18&gt;0,'Section Load'!I18,0))</f>
        <v>3539</v>
      </c>
      <c r="I15" s="1299">
        <f>(IF('Section Load'!J18&gt;0,'Section Load'!J18,0))</f>
        <v>6215</v>
      </c>
      <c r="J15" s="1299">
        <f>(IF('Section Load'!K18&gt;0,'Section Load'!K18,0))</f>
        <v>2300</v>
      </c>
      <c r="K15" s="1299">
        <f>(IF('Section Load'!L18&gt;0,'Section Load'!L18,0))</f>
        <v>1182</v>
      </c>
      <c r="L15" s="1299">
        <f>(IF('Section Load'!M18&gt;0,'Section Load'!M18,0))</f>
        <v>1106</v>
      </c>
      <c r="M15" s="1299">
        <f>(IF('Section Load'!N18&gt;0,'Section Load'!N18,0))</f>
        <v>83</v>
      </c>
      <c r="N15" s="1299">
        <f>(IF('Section Load'!O18&gt;0,'Section Load'!O18,0))</f>
        <v>1</v>
      </c>
      <c r="O15" s="1299">
        <f>(IF('Section Load'!P18&gt;0,'Section Load'!P18,0))</f>
        <v>34</v>
      </c>
      <c r="P15" s="1299">
        <f>(IF('Section Load'!Q18&gt;0,'Section Load'!Q18,0))</f>
        <v>59</v>
      </c>
      <c r="Q15" s="1299">
        <f>(IF('Section Load'!R18&gt;0,'Section Load'!R18,0))</f>
        <v>64</v>
      </c>
      <c r="R15" s="1299">
        <f>(IF('Section Load'!S18&gt;0,'Section Load'!S18,0))</f>
        <v>51</v>
      </c>
      <c r="S15" s="1299">
        <f>(IF('Section Load'!T18&gt;0,'Section Load'!T18,0))</f>
        <v>90</v>
      </c>
      <c r="T15" s="1299">
        <f>(IF('Section Load'!U18&gt;0,'Section Load'!U18,0))</f>
        <v>192</v>
      </c>
      <c r="U15" s="1299">
        <f>(IF('Section Load'!V18&gt;0,'Section Load'!V18,0))</f>
        <v>402</v>
      </c>
      <c r="V15" s="1299">
        <f>(IF('Section Load'!W18&gt;0,'Section Load'!W18,0))</f>
        <v>314</v>
      </c>
      <c r="W15" s="1299">
        <f>(IF('Section Load'!X18&gt;0,'Section Load'!X18,0))</f>
        <v>18</v>
      </c>
      <c r="X15" s="1299">
        <f>(IF('Section Load'!Y18&gt;0,'Section Load'!Y18,0))</f>
        <v>181</v>
      </c>
      <c r="Y15" s="1299">
        <f>(IF('Section Load'!Z18&gt;0,'Section Load'!Z18,0))</f>
        <v>285</v>
      </c>
      <c r="Z15" s="1299">
        <f>(IF('Section Load'!AA18&gt;0,'Section Load'!AA18,0))</f>
        <v>222</v>
      </c>
      <c r="AA15" s="1299">
        <f>(IF('Section Load'!AB18&gt;0,'Section Load'!AB18,0))</f>
        <v>35</v>
      </c>
      <c r="AB15" s="1299">
        <f>(IF('Section Load'!AC18&gt;0,'Section Load'!AC18,0))</f>
        <v>24</v>
      </c>
      <c r="AC15" s="1299">
        <f>(IF('Section Load'!AD18&gt;0,'Section Load'!AD18,0))</f>
        <v>35</v>
      </c>
      <c r="AD15" s="1299">
        <f>(IF('Section Load'!AE18&gt;0,'Section Load'!AE18,0))</f>
        <v>0</v>
      </c>
      <c r="AE15" s="1299">
        <f>(IF('Section Load'!AF18&gt;0,'Section Load'!AF18,0))</f>
        <v>12</v>
      </c>
      <c r="AF15" s="1299">
        <f>(IF('Section Load'!AG18&gt;0,'Section Load'!AG18,0))</f>
        <v>489</v>
      </c>
      <c r="AG15" s="1299">
        <f>(IF('Section Load'!AH18&gt;0,'Section Load'!AH18,0))</f>
        <v>379</v>
      </c>
      <c r="AH15" s="1299">
        <f>(IF('Section Load'!AI18&gt;0,'Section Load'!AI18,0))</f>
        <v>411</v>
      </c>
      <c r="AI15" s="1299">
        <f>(IF('Section Load'!AJ18&gt;0,'Section Load'!AJ18,0))</f>
        <v>463</v>
      </c>
      <c r="AJ15" s="1299">
        <f>(IF('Section Load'!AK18&gt;0,'Section Load'!AK18,0))</f>
        <v>0</v>
      </c>
      <c r="AK15" s="1299">
        <f>(IF('Section Load'!AL18&gt;0,'Section Load'!AL18,0))</f>
        <v>35</v>
      </c>
      <c r="AL15" s="1299">
        <f>(IF('Section Load'!AM18&gt;0,'Section Load'!AM18,0))</f>
        <v>802</v>
      </c>
      <c r="AM15" s="1300">
        <f>(IF('Water Report'!$Q$7&gt;0,'Water Report'!$Q$7,0))</f>
        <v>74</v>
      </c>
      <c r="AN15" s="1300">
        <f>(IF('Water Report'!$Q$8&gt;0,'Water Report'!$Q$8,0))</f>
        <v>145</v>
      </c>
      <c r="AO15" s="1300">
        <f>(IF('Water Report'!$Q$9&gt;0,'Water Report'!$Q$9,0))</f>
        <v>76</v>
      </c>
      <c r="AP15" s="1300">
        <f>(IF('Water Report'!$Q$10&gt;0,'Water Report'!$Q$10,0))</f>
        <v>18</v>
      </c>
      <c r="AQ15" s="1300">
        <f>(IF('Water Report'!$Q$11&gt;0,'Water Report'!$Q$11,0))</f>
        <v>15</v>
      </c>
      <c r="AR15" s="1300">
        <f>(IF('Water Report'!$Q$13&gt;0,'Water Report'!$Q$13,0))</f>
        <v>16</v>
      </c>
      <c r="AS15" s="1300">
        <f>(IF('Water Report'!$Q$14&gt;0,'Water Report'!$Q$14,0))</f>
        <v>23</v>
      </c>
      <c r="AT15" s="1300">
        <f>(IF('Water Report'!$Q$15&gt;0,'Water Report'!$Q$15,0))</f>
        <v>7</v>
      </c>
      <c r="AU15" s="1300">
        <f>(IF('Water Report'!$Q$17&gt;0,'Water Report'!$Q$17,0))</f>
        <v>9</v>
      </c>
      <c r="AV15" s="1300">
        <f>(IF('Water Report'!$Q$18&gt;0,'Water Report'!$Q$18,0))</f>
        <v>5</v>
      </c>
      <c r="AW15" s="1300">
        <f>(IF('Water Report'!$Q$19&gt;0,'Water Report'!$Q$19,0))</f>
        <v>8</v>
      </c>
      <c r="AX15" s="1379">
        <f>(IF('Water Report'!$Q$21&gt;0,'Water Report'!$Q$21,0))</f>
        <v>60</v>
      </c>
      <c r="AY15" s="1379">
        <f>(IF('Water Report'!$Q$22&gt;0,'Water Report'!$Q$22,0))</f>
        <v>24</v>
      </c>
      <c r="AZ15" s="1379">
        <f>(IF('Water Report'!$Q$23&gt;0,'Water Report'!$Q$23,0))</f>
        <v>16</v>
      </c>
      <c r="BA15" s="1379">
        <f>(IF('Water Report'!$Q$14&gt;0,'Water Report'!$Q$14,0))</f>
        <v>23</v>
      </c>
      <c r="BB15" s="1379">
        <f>(IF('Water Report'!$Q$15&gt;0,'Water Report'!$Q$15,0))</f>
        <v>7</v>
      </c>
      <c r="BC15" s="1379">
        <f>(IF('Water Report'!$Q$13&gt;0,'Water Report'!$Q$13,0))</f>
        <v>16</v>
      </c>
      <c r="BD15" s="1379">
        <f>(IF('Water Report'!$Q$24&gt;0,'Water Report'!$Q$24,0))</f>
        <v>133</v>
      </c>
      <c r="BE15" s="1379">
        <f>(IF('Water Report'!$Q$25&gt;0,'Water Report'!$Q$25,0))</f>
        <v>139</v>
      </c>
      <c r="BF15" s="1379">
        <f>(IF('Water Report'!$Q$27&gt;0,'Water Report'!$Q$27,0))</f>
        <v>92</v>
      </c>
      <c r="BG15" s="1301">
        <f>(IF('Section Load'!AN18&gt;0,'Section Load'!AN18,0))</f>
        <v>821.02000000001863</v>
      </c>
      <c r="BH15" s="1301">
        <f>(IF('Section Load'!AO18&gt;0,'Section Load'!AO18,0))</f>
        <v>231</v>
      </c>
      <c r="BI15" s="1301">
        <f>(IF('Section Load'!AP18&gt;0,'Section Load'!AP18,0))</f>
        <v>0.39999999999417923</v>
      </c>
      <c r="BJ15" s="1301">
        <f>(IF('Section Load'!AQ18&gt;0,'Section Load'!AQ18,0))</f>
        <v>96</v>
      </c>
      <c r="BK15" s="1301">
        <f>(IF('Section Load'!AR18&gt;0,'Section Load'!AR18,0))</f>
        <v>0</v>
      </c>
      <c r="BL15" s="1301">
        <f>(IF('Section Load'!AS18&gt;0,'Section Load'!AS18,0))</f>
        <v>0</v>
      </c>
      <c r="BM15" s="1301">
        <f>(IF('Section Load'!AT18&gt;0,'Section Load'!AT18,0))</f>
        <v>493.62000000002445</v>
      </c>
    </row>
    <row r="16" spans="1:65">
      <c r="A16" s="1283" t="s">
        <v>301</v>
      </c>
      <c r="B16" s="1284">
        <f t="shared" si="0"/>
        <v>15</v>
      </c>
      <c r="C16" s="1284">
        <v>4</v>
      </c>
      <c r="D16" s="1284">
        <v>2021</v>
      </c>
      <c r="E16" s="1299">
        <f>(IF('Section Load'!F19&gt;0,'Section Load'!F19,0))</f>
        <v>2727</v>
      </c>
      <c r="F16" s="1299">
        <f>(IF('Section Load'!G19&gt;0,'Section Load'!G19,0))</f>
        <v>1350</v>
      </c>
      <c r="G16" s="1299">
        <f>(IF('Section Load'!H19&gt;0,'Section Load'!H19,0))</f>
        <v>1581</v>
      </c>
      <c r="H16" s="1299">
        <f>(IF('Section Load'!I19&gt;0,'Section Load'!I19,0))</f>
        <v>2830</v>
      </c>
      <c r="I16" s="1299">
        <f>(IF('Section Load'!J19&gt;0,'Section Load'!J19,0))</f>
        <v>6050</v>
      </c>
      <c r="J16" s="1299">
        <f>(IF('Section Load'!K19&gt;0,'Section Load'!K19,0))</f>
        <v>2310</v>
      </c>
      <c r="K16" s="1299">
        <f>(IF('Section Load'!L19&gt;0,'Section Load'!L19,0))</f>
        <v>1164</v>
      </c>
      <c r="L16" s="1299">
        <f>(IF('Section Load'!M19&gt;0,'Section Load'!M19,0))</f>
        <v>1201</v>
      </c>
      <c r="M16" s="1299">
        <f>(IF('Section Load'!N19&gt;0,'Section Load'!N19,0))</f>
        <v>81</v>
      </c>
      <c r="N16" s="1299">
        <f>(IF('Section Load'!O19&gt;0,'Section Load'!O19,0))</f>
        <v>2</v>
      </c>
      <c r="O16" s="1299">
        <f>(IF('Section Load'!P19&gt;0,'Section Load'!P19,0))</f>
        <v>31</v>
      </c>
      <c r="P16" s="1299">
        <f>(IF('Section Load'!Q19&gt;0,'Section Load'!Q19,0))</f>
        <v>59</v>
      </c>
      <c r="Q16" s="1299">
        <f>(IF('Section Load'!R19&gt;0,'Section Load'!R19,0))</f>
        <v>55</v>
      </c>
      <c r="R16" s="1299">
        <f>(IF('Section Load'!S19&gt;0,'Section Load'!S19,0))</f>
        <v>48</v>
      </c>
      <c r="S16" s="1299">
        <f>(IF('Section Load'!T19&gt;0,'Section Load'!T19,0))</f>
        <v>66</v>
      </c>
      <c r="T16" s="1299">
        <f>(IF('Section Load'!U19&gt;0,'Section Load'!U19,0))</f>
        <v>192</v>
      </c>
      <c r="U16" s="1299">
        <f>(IF('Section Load'!V19&gt;0,'Section Load'!V19,0))</f>
        <v>389</v>
      </c>
      <c r="V16" s="1299">
        <f>(IF('Section Load'!W19&gt;0,'Section Load'!W19,0))</f>
        <v>279</v>
      </c>
      <c r="W16" s="1299">
        <f>(IF('Section Load'!X19&gt;0,'Section Load'!X19,0))</f>
        <v>33</v>
      </c>
      <c r="X16" s="1299">
        <f>(IF('Section Load'!Y19&gt;0,'Section Load'!Y19,0))</f>
        <v>162</v>
      </c>
      <c r="Y16" s="1299">
        <f>(IF('Section Load'!Z19&gt;0,'Section Load'!Z19,0))</f>
        <v>253</v>
      </c>
      <c r="Z16" s="1299">
        <f>(IF('Section Load'!AA19&gt;0,'Section Load'!AA19,0))</f>
        <v>230</v>
      </c>
      <c r="AA16" s="1299">
        <f>(IF('Section Load'!AB19&gt;0,'Section Load'!AB19,0))</f>
        <v>31</v>
      </c>
      <c r="AB16" s="1299">
        <f>(IF('Section Load'!AC19&gt;0,'Section Load'!AC19,0))</f>
        <v>24</v>
      </c>
      <c r="AC16" s="1299">
        <f>(IF('Section Load'!AD19&gt;0,'Section Load'!AD19,0))</f>
        <v>31</v>
      </c>
      <c r="AD16" s="1299">
        <f>(IF('Section Load'!AE19&gt;0,'Section Load'!AE19,0))</f>
        <v>0.18000000000029104</v>
      </c>
      <c r="AE16" s="1299">
        <f>(IF('Section Load'!AF19&gt;0,'Section Load'!AF19,0))</f>
        <v>10</v>
      </c>
      <c r="AF16" s="1299">
        <f>(IF('Section Load'!AG19&gt;0,'Section Load'!AG19,0))</f>
        <v>483</v>
      </c>
      <c r="AG16" s="1299">
        <f>(IF('Section Load'!AH19&gt;0,'Section Load'!AH19,0))</f>
        <v>348</v>
      </c>
      <c r="AH16" s="1299">
        <f>(IF('Section Load'!AI19&gt;0,'Section Load'!AI19,0))</f>
        <v>374</v>
      </c>
      <c r="AI16" s="1299">
        <f>(IF('Section Load'!AJ19&gt;0,'Section Load'!AJ19,0))</f>
        <v>412</v>
      </c>
      <c r="AJ16" s="1299">
        <f>(IF('Section Load'!AK19&gt;0,'Section Load'!AK19,0))</f>
        <v>0</v>
      </c>
      <c r="AK16" s="1299">
        <f>(IF('Section Load'!AL19&gt;0,'Section Load'!AL19,0))</f>
        <v>36</v>
      </c>
      <c r="AL16" s="1299">
        <f>(IF('Section Load'!AM19&gt;0,'Section Load'!AM19,0))</f>
        <v>754</v>
      </c>
      <c r="AM16" s="1300">
        <f>(IF('Water Report'!$R$7&gt;0,'Water Report'!$R$7,0))</f>
        <v>65</v>
      </c>
      <c r="AN16" s="1300">
        <f>(IF('Water Report'!$R$8&gt;0,'Water Report'!$R$8,0))</f>
        <v>146</v>
      </c>
      <c r="AO16" s="1300">
        <f>(IF('Water Report'!$R$9&gt;0,'Water Report'!$R$9,0))</f>
        <v>61</v>
      </c>
      <c r="AP16" s="1300">
        <f>(IF('Water Report'!$R$10&gt;0,'Water Report'!$R$10,0))</f>
        <v>14</v>
      </c>
      <c r="AQ16" s="1300">
        <f>(IF('Water Report'!$R$11&gt;0,'Water Report'!$R$11,0))</f>
        <v>15</v>
      </c>
      <c r="AR16" s="1300">
        <f>(IF('Water Report'!$R$13&gt;0,'Water Report'!$R$13,0))</f>
        <v>14</v>
      </c>
      <c r="AS16" s="1300">
        <f>(IF('Water Report'!$R$14&gt;0,'Water Report'!$R$14,0))</f>
        <v>10</v>
      </c>
      <c r="AT16" s="1300">
        <f>(IF('Water Report'!$R$15&gt;0,'Water Report'!$R$15,0))</f>
        <v>6</v>
      </c>
      <c r="AU16" s="1300">
        <f>(IF('Water Report'!$R$17&gt;0,'Water Report'!$R$17,0))</f>
        <v>1</v>
      </c>
      <c r="AV16" s="1300">
        <f>(IF('Water Report'!$R$18&gt;0,'Water Report'!$R$18,0))</f>
        <v>5</v>
      </c>
      <c r="AW16" s="1300">
        <f>(IF('Water Report'!$R$19&gt;0,'Water Report'!$R$19,0))</f>
        <v>5</v>
      </c>
      <c r="AX16" s="1379">
        <f>(IF('Water Report'!$R$21&gt;0,'Water Report'!$R$21,0))</f>
        <v>61</v>
      </c>
      <c r="AY16" s="1379">
        <f>(IF('Water Report'!$R$22&gt;0,'Water Report'!$R$22,0))</f>
        <v>0</v>
      </c>
      <c r="AZ16" s="1379">
        <f>(IF('Water Report'!$R$23&gt;0,'Water Report'!$R$23,0))</f>
        <v>0</v>
      </c>
      <c r="BA16" s="1379">
        <f>(IF('Water Report'!$R$14&gt;0,'Water Report'!$R$14,0))</f>
        <v>10</v>
      </c>
      <c r="BB16" s="1379">
        <f>(IF('Water Report'!$R$15&gt;0,'Water Report'!$R$15,0))</f>
        <v>6</v>
      </c>
      <c r="BC16" s="1379">
        <f>(IF('Water Report'!$R$13&gt;0,'Water Report'!$R$13,0))</f>
        <v>14</v>
      </c>
      <c r="BD16" s="1379">
        <f>(IF('Water Report'!$R$24&gt;0,'Water Report'!$R$24,0))</f>
        <v>138</v>
      </c>
      <c r="BE16" s="1379">
        <f>(IF('Water Report'!$R$25&gt;0,'Water Report'!$R$25,0))</f>
        <v>106</v>
      </c>
      <c r="BF16" s="1379">
        <f>(IF('Water Report'!$R$27&gt;0,'Water Report'!$R$27,0))</f>
        <v>75</v>
      </c>
      <c r="BG16" s="1301">
        <f>(IF('Section Load'!AN19&gt;0,'Section Load'!AN19,0))</f>
        <v>807.75</v>
      </c>
      <c r="BH16" s="1301">
        <f>(IF('Section Load'!AO19&gt;0,'Section Load'!AO19,0))</f>
        <v>260</v>
      </c>
      <c r="BI16" s="1301">
        <f>(IF('Section Load'!AP19&gt;0,'Section Load'!AP19,0))</f>
        <v>0</v>
      </c>
      <c r="BJ16" s="1301">
        <f>(IF('Section Load'!AQ19&gt;0,'Section Load'!AQ19,0))</f>
        <v>89</v>
      </c>
      <c r="BK16" s="1301">
        <f>(IF('Section Load'!AR19&gt;0,'Section Load'!AR19,0))</f>
        <v>0</v>
      </c>
      <c r="BL16" s="1301">
        <f>(IF('Section Load'!AS19&gt;0,'Section Load'!AS19,0))</f>
        <v>0</v>
      </c>
      <c r="BM16" s="1301">
        <f>(IF('Section Load'!AT19&gt;0,'Section Load'!AT19,0))</f>
        <v>458.75</v>
      </c>
    </row>
    <row r="17" spans="1:65">
      <c r="A17" s="1283" t="s">
        <v>301</v>
      </c>
      <c r="B17" s="1284">
        <f t="shared" si="0"/>
        <v>16</v>
      </c>
      <c r="C17" s="1284">
        <v>4</v>
      </c>
      <c r="D17" s="1284">
        <v>2021</v>
      </c>
      <c r="E17" s="1299">
        <f>(IF('Section Load'!F20&gt;0,'Section Load'!F20,0))</f>
        <v>2622.1300000000047</v>
      </c>
      <c r="F17" s="1299">
        <f>(IF('Section Load'!G20&gt;0,'Section Load'!G20,0))</f>
        <v>1374</v>
      </c>
      <c r="G17" s="1299">
        <f>(IF('Section Load'!H20&gt;0,'Section Load'!H20,0))</f>
        <v>1654</v>
      </c>
      <c r="H17" s="1299">
        <f>(IF('Section Load'!I20&gt;0,'Section Load'!I20,0))</f>
        <v>2841</v>
      </c>
      <c r="I17" s="1299">
        <f>(IF('Section Load'!J20&gt;0,'Section Load'!J20,0))</f>
        <v>6004</v>
      </c>
      <c r="J17" s="1299">
        <f>(IF('Section Load'!K20&gt;0,'Section Load'!K20,0))</f>
        <v>2307</v>
      </c>
      <c r="K17" s="1299">
        <f>(IF('Section Load'!L20&gt;0,'Section Load'!L20,0))</f>
        <v>1183</v>
      </c>
      <c r="L17" s="1299">
        <f>(IF('Section Load'!M20&gt;0,'Section Load'!M20,0))</f>
        <v>1018</v>
      </c>
      <c r="M17" s="1299">
        <f>(IF('Section Load'!N20&gt;0,'Section Load'!N20,0))</f>
        <v>79</v>
      </c>
      <c r="N17" s="1299">
        <f>(IF('Section Load'!O20&gt;0,'Section Load'!O20,0))</f>
        <v>1</v>
      </c>
      <c r="O17" s="1299">
        <f>(IF('Section Load'!P20&gt;0,'Section Load'!P20,0))</f>
        <v>33</v>
      </c>
      <c r="P17" s="1299">
        <f>(IF('Section Load'!Q20&gt;0,'Section Load'!Q20,0))</f>
        <v>61</v>
      </c>
      <c r="Q17" s="1299">
        <f>(IF('Section Load'!R20&gt;0,'Section Load'!R20,0))</f>
        <v>57</v>
      </c>
      <c r="R17" s="1299">
        <f>(IF('Section Load'!S20&gt;0,'Section Load'!S20,0))</f>
        <v>49</v>
      </c>
      <c r="S17" s="1299">
        <f>(IF('Section Load'!T20&gt;0,'Section Load'!T20,0))</f>
        <v>119</v>
      </c>
      <c r="T17" s="1299">
        <f>(IF('Section Load'!U20&gt;0,'Section Load'!U20,0))</f>
        <v>191</v>
      </c>
      <c r="U17" s="1299">
        <f>(IF('Section Load'!V20&gt;0,'Section Load'!V20,0))</f>
        <v>382</v>
      </c>
      <c r="V17" s="1299">
        <f>(IF('Section Load'!W20&gt;0,'Section Load'!W20,0))</f>
        <v>201</v>
      </c>
      <c r="W17" s="1299">
        <f>(IF('Section Load'!X20&gt;0,'Section Load'!X20,0))</f>
        <v>24</v>
      </c>
      <c r="X17" s="1299">
        <f>(IF('Section Load'!Y20&gt;0,'Section Load'!Y20,0))</f>
        <v>179</v>
      </c>
      <c r="Y17" s="1299">
        <f>(IF('Section Load'!Z20&gt;0,'Section Load'!Z20,0))</f>
        <v>281</v>
      </c>
      <c r="Z17" s="1299">
        <f>(IF('Section Load'!AA20&gt;0,'Section Load'!AA20,0))</f>
        <v>219</v>
      </c>
      <c r="AA17" s="1299">
        <f>(IF('Section Load'!AB20&gt;0,'Section Load'!AB20,0))</f>
        <v>25</v>
      </c>
      <c r="AB17" s="1299">
        <f>(IF('Section Load'!AC20&gt;0,'Section Load'!AC20,0))</f>
        <v>23</v>
      </c>
      <c r="AC17" s="1299">
        <f>(IF('Section Load'!AD20&gt;0,'Section Load'!AD20,0))</f>
        <v>25</v>
      </c>
      <c r="AD17" s="1299">
        <f>(IF('Section Load'!AE20&gt;0,'Section Load'!AE20,0))</f>
        <v>0</v>
      </c>
      <c r="AE17" s="1299">
        <f>(IF('Section Load'!AF20&gt;0,'Section Load'!AF20,0))</f>
        <v>10.409999999999854</v>
      </c>
      <c r="AF17" s="1299">
        <f>(IF('Section Load'!AG20&gt;0,'Section Load'!AG20,0))</f>
        <v>480</v>
      </c>
      <c r="AG17" s="1299">
        <f>(IF('Section Load'!AH20&gt;0,'Section Load'!AH20,0))</f>
        <v>342</v>
      </c>
      <c r="AH17" s="1299">
        <f>(IF('Section Load'!AI20&gt;0,'Section Load'!AI20,0))</f>
        <v>372</v>
      </c>
      <c r="AI17" s="1299">
        <f>(IF('Section Load'!AJ20&gt;0,'Section Load'!AJ20,0))</f>
        <v>450</v>
      </c>
      <c r="AJ17" s="1299">
        <f>(IF('Section Load'!AK20&gt;0,'Section Load'!AK20,0))</f>
        <v>0</v>
      </c>
      <c r="AK17" s="1299">
        <f>(IF('Section Load'!AL20&gt;0,'Section Load'!AL20,0))</f>
        <v>37</v>
      </c>
      <c r="AL17" s="1299">
        <f>(IF('Section Load'!AM20&gt;0,'Section Load'!AM20,0))</f>
        <v>721</v>
      </c>
      <c r="AM17" s="1300">
        <f>(IF('Water Report'!$S$7&gt;0,'Water Report'!$S$7,0))</f>
        <v>80</v>
      </c>
      <c r="AN17" s="1300">
        <f>(IF('Water Report'!$S$8&gt;0,'Water Report'!$S$8,0))</f>
        <v>81</v>
      </c>
      <c r="AO17" s="1300">
        <f>(IF('Water Report'!$S$9&gt;0,'Water Report'!$S$9,0))</f>
        <v>70</v>
      </c>
      <c r="AP17" s="1300">
        <f>(IF('Water Report'!$S$10&gt;0,'Water Report'!$D$10,0))</f>
        <v>17</v>
      </c>
      <c r="AQ17" s="1300">
        <f>(IF('Water Report'!$S$11&gt;0,'Water Report'!$D$11,0))</f>
        <v>20</v>
      </c>
      <c r="AR17" s="1300">
        <f>(IF('Water Report'!$S$13&gt;0,'Water Report'!$D$13,0))</f>
        <v>28</v>
      </c>
      <c r="AS17" s="1300">
        <f>(IF('Water Report'!$S$14&gt;0,'Water Report'!$D$14,0))</f>
        <v>20</v>
      </c>
      <c r="AT17" s="1300">
        <f>(IF('Water Report'!$S$15&gt;0,'Water Report'!$D$15,0))</f>
        <v>5</v>
      </c>
      <c r="AU17" s="1300">
        <f>(IF('Water Report'!$S$17&gt;0,'Water Report'!$D$17,0))</f>
        <v>8</v>
      </c>
      <c r="AV17" s="1300">
        <f>(IF('Water Report'!$S$18&gt;0,'Water Report'!$D$18,0))</f>
        <v>5</v>
      </c>
      <c r="AW17" s="1300">
        <f>(IF('Water Report'!$S$19&gt;0,'Water Report'!$D$19,0))</f>
        <v>5</v>
      </c>
      <c r="AX17" s="1379">
        <f>(IF('Water Report'!$S$21&gt;0,'Water Report'!$D$21,0))</f>
        <v>87</v>
      </c>
      <c r="AY17" s="1379">
        <f>(IF('Water Report'!$S$22&gt;0,'Water Report'!$D$22,0))</f>
        <v>30</v>
      </c>
      <c r="AZ17" s="1379">
        <f>(IF('Water Report'!$S$23&gt;0,'Water Report'!$D$23,0))</f>
        <v>21</v>
      </c>
      <c r="BA17" s="1379">
        <f>(IF('Water Report'!$S$14&gt;0,'Water Report'!$D$14,0))</f>
        <v>20</v>
      </c>
      <c r="BB17" s="1379">
        <f>(IF('Water Report'!$S$15&gt;0,'Water Report'!$D$15,0))</f>
        <v>5</v>
      </c>
      <c r="BC17" s="1379">
        <f>(IF('Water Report'!$S$13&gt;0,'Water Report'!$D$13,0))</f>
        <v>28</v>
      </c>
      <c r="BD17" s="1379">
        <f>(IF('Water Report'!$S$24&gt;0,'Water Report'!$D$24,0))</f>
        <v>193</v>
      </c>
      <c r="BE17" s="1379">
        <f>(IF('Water Report'!$S$25&gt;0,'Water Report'!$D$25,0))</f>
        <v>139</v>
      </c>
      <c r="BF17" s="1379">
        <f>(IF('Water Report'!$S$27&gt;0,'Water Report'!$D$27,0))</f>
        <v>136</v>
      </c>
      <c r="BG17" s="1301">
        <f>(IF('Section Load'!AN20&gt;0,'Section Load'!AN20,0))</f>
        <v>832.25</v>
      </c>
      <c r="BH17" s="1301">
        <f>(IF('Section Load'!AO20&gt;0,'Section Load'!AO20,0))</f>
        <v>242</v>
      </c>
      <c r="BI17" s="1301">
        <f>(IF('Section Load'!AP20&gt;0,'Section Load'!AP20,0))</f>
        <v>0</v>
      </c>
      <c r="BJ17" s="1301">
        <f>(IF('Section Load'!AQ20&gt;0,'Section Load'!AQ20,0))</f>
        <v>82</v>
      </c>
      <c r="BK17" s="1301">
        <f>(IF('Section Load'!AR20&gt;0,'Section Load'!AR20,0))</f>
        <v>0</v>
      </c>
      <c r="BL17" s="1301">
        <f>(IF('Section Load'!AS20&gt;0,'Section Load'!AS20,0))</f>
        <v>0</v>
      </c>
      <c r="BM17" s="1301">
        <f>(IF('Section Load'!AT20&gt;0,'Section Load'!AT20,0))</f>
        <v>508.25</v>
      </c>
    </row>
    <row r="18" spans="1:65">
      <c r="A18" s="1283" t="s">
        <v>301</v>
      </c>
      <c r="B18" s="1284">
        <f t="shared" si="0"/>
        <v>17</v>
      </c>
      <c r="C18" s="1284">
        <v>4</v>
      </c>
      <c r="D18" s="1284">
        <v>2021</v>
      </c>
      <c r="E18" s="1299">
        <f>(IF('Section Load'!F21&gt;0,'Section Load'!F21,0))</f>
        <v>2618</v>
      </c>
      <c r="F18" s="1299">
        <f>(IF('Section Load'!G21&gt;0,'Section Load'!G21,0))</f>
        <v>1372</v>
      </c>
      <c r="G18" s="1299">
        <f>(IF('Section Load'!H21&gt;0,'Section Load'!H21,0))</f>
        <v>1629</v>
      </c>
      <c r="H18" s="1299">
        <f>(IF('Section Load'!I21&gt;0,'Section Load'!I21,0))</f>
        <v>2947</v>
      </c>
      <c r="I18" s="1299">
        <f>(IF('Section Load'!J21&gt;0,'Section Load'!J21,0))</f>
        <v>6183</v>
      </c>
      <c r="J18" s="1299">
        <f>(IF('Section Load'!K21&gt;0,'Section Load'!K21,0))</f>
        <v>2341</v>
      </c>
      <c r="K18" s="1299">
        <f>(IF('Section Load'!L21&gt;0,'Section Load'!L21,0))</f>
        <v>984</v>
      </c>
      <c r="L18" s="1299">
        <f>(IF('Section Load'!M21&gt;0,'Section Load'!M21,0))</f>
        <v>1090</v>
      </c>
      <c r="M18" s="1299">
        <f>(IF('Section Load'!N21&gt;0,'Section Load'!N21,0))</f>
        <v>71</v>
      </c>
      <c r="N18" s="1299">
        <f>(IF('Section Load'!O21&gt;0,'Section Load'!O21,0))</f>
        <v>2</v>
      </c>
      <c r="O18" s="1299">
        <f>(IF('Section Load'!P21&gt;0,'Section Load'!P21,0))</f>
        <v>30</v>
      </c>
      <c r="P18" s="1299">
        <f>(IF('Section Load'!Q21&gt;0,'Section Load'!Q21,0))</f>
        <v>63</v>
      </c>
      <c r="Q18" s="1299">
        <f>(IF('Section Load'!R21&gt;0,'Section Load'!R21,0))</f>
        <v>55</v>
      </c>
      <c r="R18" s="1299">
        <f>(IF('Section Load'!S21&gt;0,'Section Load'!S21,0))</f>
        <v>47</v>
      </c>
      <c r="S18" s="1299">
        <f>(IF('Section Load'!T21&gt;0,'Section Load'!T21,0))</f>
        <v>82</v>
      </c>
      <c r="T18" s="1299">
        <f>(IF('Section Load'!U21&gt;0,'Section Load'!U21,0))</f>
        <v>184</v>
      </c>
      <c r="U18" s="1299">
        <f>(IF('Section Load'!V21&gt;0,'Section Load'!V21,0))</f>
        <v>384</v>
      </c>
      <c r="V18" s="1299">
        <f>(IF('Section Load'!W21&gt;0,'Section Load'!W21,0))</f>
        <v>214</v>
      </c>
      <c r="W18" s="1299">
        <f>(IF('Section Load'!X21&gt;0,'Section Load'!X21,0))</f>
        <v>25</v>
      </c>
      <c r="X18" s="1299">
        <f>(IF('Section Load'!Y21&gt;0,'Section Load'!Y21,0))</f>
        <v>188</v>
      </c>
      <c r="Y18" s="1299">
        <f>(IF('Section Load'!Z21&gt;0,'Section Load'!Z21,0))</f>
        <v>312</v>
      </c>
      <c r="Z18" s="1299">
        <f>(IF('Section Load'!AA21&gt;0,'Section Load'!AA21,0))</f>
        <v>34</v>
      </c>
      <c r="AA18" s="1299">
        <f>(IF('Section Load'!AB21&gt;0,'Section Load'!AB21,0))</f>
        <v>29</v>
      </c>
      <c r="AB18" s="1299">
        <f>(IF('Section Load'!AC21&gt;0,'Section Load'!AC21,0))</f>
        <v>25</v>
      </c>
      <c r="AC18" s="1299">
        <f>(IF('Section Load'!AD21&gt;0,'Section Load'!AD21,0))</f>
        <v>28.900000000000091</v>
      </c>
      <c r="AD18" s="1299">
        <f>(IF('Section Load'!AE21&gt;0,'Section Load'!AE21,0))</f>
        <v>0</v>
      </c>
      <c r="AE18" s="1299">
        <f>(IF('Section Load'!AF21&gt;0,'Section Load'!AF21,0))</f>
        <v>9.5900000000001455</v>
      </c>
      <c r="AF18" s="1299">
        <f>(IF('Section Load'!AG21&gt;0,'Section Load'!AG21,0))</f>
        <v>498</v>
      </c>
      <c r="AG18" s="1299">
        <f>(IF('Section Load'!AH21&gt;0,'Section Load'!AH21,0))</f>
        <v>369</v>
      </c>
      <c r="AH18" s="1299">
        <f>(IF('Section Load'!AI21&gt;0,'Section Load'!AI21,0))</f>
        <v>402</v>
      </c>
      <c r="AI18" s="1299">
        <f>(IF('Section Load'!AJ21&gt;0,'Section Load'!AJ21,0))</f>
        <v>475</v>
      </c>
      <c r="AJ18" s="1299">
        <f>(IF('Section Load'!AK21&gt;0,'Section Load'!AK21,0))</f>
        <v>0</v>
      </c>
      <c r="AK18" s="1299">
        <f>(IF('Section Load'!AL21&gt;0,'Section Load'!AL21,0))</f>
        <v>39</v>
      </c>
      <c r="AL18" s="1299">
        <f>(IF('Section Load'!AM21&gt;0,'Section Load'!AM21,0))</f>
        <v>659</v>
      </c>
      <c r="AM18" s="1300">
        <f>(IF('Water Report'!$T$7&gt;0,'Water Report'!$T$7,0))</f>
        <v>48</v>
      </c>
      <c r="AN18" s="1300">
        <f>(IF('Water Report'!$T$8&gt;0,'Water Report'!$T$8,0))</f>
        <v>169</v>
      </c>
      <c r="AO18" s="1300">
        <f>(IF('Water Report'!$T$9&gt;0,'Water Report'!$T$9,0))</f>
        <v>61</v>
      </c>
      <c r="AP18" s="1300">
        <f>(IF('Water Report'!$T$10&gt;0,'Water Report'!$T$10,0))</f>
        <v>19</v>
      </c>
      <c r="AQ18" s="1300">
        <f>(IF('Water Report'!$T$11&gt;0,'Water Report'!$T$11,0))</f>
        <v>20</v>
      </c>
      <c r="AR18" s="1300">
        <f>(IF('Water Report'!$T$13&gt;0,'Water Report'!$T$13,0))</f>
        <v>9</v>
      </c>
      <c r="AS18" s="1300">
        <f>(IF('Water Report'!$T$14&gt;0,'Water Report'!$T$14,0))</f>
        <v>12</v>
      </c>
      <c r="AT18" s="1300">
        <f>(IF('Water Report'!$T$15&gt;0,'Water Report'!$T$15,0))</f>
        <v>5</v>
      </c>
      <c r="AU18" s="1300">
        <f>(IF('Water Report'!$T$17&gt;0,'Water Report'!$T$17,0))</f>
        <v>5</v>
      </c>
      <c r="AV18" s="1300">
        <f>(IF('Water Report'!$T$18&gt;0,'Water Report'!$T$18,0))</f>
        <v>4</v>
      </c>
      <c r="AW18" s="1300">
        <f>(IF('Water Report'!$T$19&gt;0,'Water Report'!$T$19,0))</f>
        <v>8</v>
      </c>
      <c r="AX18" s="1379">
        <f>(IF('Water Report'!$T$21&gt;0,'Water Report'!$T$21,0))</f>
        <v>62</v>
      </c>
      <c r="AY18" s="1379">
        <f>(IF('Water Report'!$T$22&gt;0,'Water Report'!$T$22,0))</f>
        <v>20</v>
      </c>
      <c r="AZ18" s="1379">
        <f>(IF('Water Report'!$T$23&gt;0,'Water Report'!$T$23,0))</f>
        <v>0</v>
      </c>
      <c r="BA18" s="1379">
        <f>(IF('Water Report'!$T$14&gt;0,'Water Report'!$T$14,0))</f>
        <v>12</v>
      </c>
      <c r="BB18" s="1379">
        <f>(IF('Water Report'!$T$15&gt;0,'Water Report'!$T$15,0))</f>
        <v>5</v>
      </c>
      <c r="BC18" s="1379">
        <f>(IF('Water Report'!$T$13&gt;0,'Water Report'!$T$13,0))</f>
        <v>9</v>
      </c>
      <c r="BD18" s="1379">
        <f>(IF('Water Report'!$T$24&gt;0,'Water Report'!$T$24,0))</f>
        <v>138</v>
      </c>
      <c r="BE18" s="1379">
        <f>(IF('Water Report'!$T$25&gt;0,'Water Report'!$T$25,0))</f>
        <v>117</v>
      </c>
      <c r="BF18" s="1379">
        <f>(IF('Water Report'!$T$27&gt;0,'Water Report'!$T$27,0))</f>
        <v>71</v>
      </c>
      <c r="BG18" s="1301">
        <f>(IF('Section Load'!AN21&gt;0,'Section Load'!AN21,0))</f>
        <v>799</v>
      </c>
      <c r="BH18" s="1301">
        <f>(IF('Section Load'!AO21&gt;0,'Section Load'!AO21,0))</f>
        <v>225</v>
      </c>
      <c r="BI18" s="1301">
        <f>(IF('Section Load'!AP21&gt;0,'Section Load'!AP21,0))</f>
        <v>0</v>
      </c>
      <c r="BJ18" s="1301">
        <f>(IF('Section Load'!AQ21&gt;0,'Section Load'!AQ21,0))</f>
        <v>88</v>
      </c>
      <c r="BK18" s="1301">
        <f>(IF('Section Load'!AR21&gt;0,'Section Load'!AR21,0))</f>
        <v>0</v>
      </c>
      <c r="BL18" s="1301">
        <f>(IF('Section Load'!AS21&gt;0,'Section Load'!AS21,0))</f>
        <v>1</v>
      </c>
      <c r="BM18" s="1301">
        <f>(IF('Section Load'!AT21&gt;0,'Section Load'!AT21,0))</f>
        <v>485</v>
      </c>
    </row>
    <row r="19" spans="1:65">
      <c r="A19" s="1283" t="s">
        <v>301</v>
      </c>
      <c r="B19" s="1284">
        <f t="shared" si="0"/>
        <v>18</v>
      </c>
      <c r="C19" s="1284">
        <v>4</v>
      </c>
      <c r="D19" s="1284">
        <v>2021</v>
      </c>
      <c r="E19" s="1299">
        <f>(IF('Section Load'!F22&gt;0,'Section Load'!F22,0))</f>
        <v>2568</v>
      </c>
      <c r="F19" s="1299">
        <f>(IF('Section Load'!G22&gt;0,'Section Load'!G22,0))</f>
        <v>1290</v>
      </c>
      <c r="G19" s="1299">
        <f>(IF('Section Load'!H22&gt;0,'Section Load'!H22,0))</f>
        <v>1664</v>
      </c>
      <c r="H19" s="1299">
        <f>(IF('Section Load'!I22&gt;0,'Section Load'!I22,0))</f>
        <v>2785</v>
      </c>
      <c r="I19" s="1299">
        <f>(IF('Section Load'!J22&gt;0,'Section Load'!J22,0))</f>
        <v>6326</v>
      </c>
      <c r="J19" s="1299">
        <f>(IF('Section Load'!K22&gt;0,'Section Load'!K22,0))</f>
        <v>2310</v>
      </c>
      <c r="K19" s="1299">
        <f>(IF('Section Load'!L22&gt;0,'Section Load'!L22,0))</f>
        <v>1011</v>
      </c>
      <c r="L19" s="1299">
        <f>(IF('Section Load'!M22&gt;0,'Section Load'!M22,0))</f>
        <v>945</v>
      </c>
      <c r="M19" s="1299">
        <f>(IF('Section Load'!N22&gt;0,'Section Load'!N22,0))</f>
        <v>71</v>
      </c>
      <c r="N19" s="1299">
        <f>(IF('Section Load'!O22&gt;0,'Section Load'!O22,0))</f>
        <v>1</v>
      </c>
      <c r="O19" s="1299">
        <f>(IF('Section Load'!P22&gt;0,'Section Load'!P22,0))</f>
        <v>31</v>
      </c>
      <c r="P19" s="1299">
        <f>(IF('Section Load'!Q22&gt;0,'Section Load'!Q22,0))</f>
        <v>61</v>
      </c>
      <c r="Q19" s="1299">
        <f>(IF('Section Load'!R22&gt;0,'Section Load'!R22,0))</f>
        <v>54</v>
      </c>
      <c r="R19" s="1299">
        <f>(IF('Section Load'!S22&gt;0,'Section Load'!S22,0))</f>
        <v>44</v>
      </c>
      <c r="S19" s="1299">
        <f>(IF('Section Load'!T22&gt;0,'Section Load'!T22,0))</f>
        <v>71</v>
      </c>
      <c r="T19" s="1299">
        <f>(IF('Section Load'!U22&gt;0,'Section Load'!U22,0))</f>
        <v>168</v>
      </c>
      <c r="U19" s="1299">
        <f>(IF('Section Load'!V22&gt;0,'Section Load'!V22,0))</f>
        <v>375</v>
      </c>
      <c r="V19" s="1299">
        <f>(IF('Section Load'!W22&gt;0,'Section Load'!W22,0))</f>
        <v>189</v>
      </c>
      <c r="W19" s="1299">
        <f>(IF('Section Load'!X22&gt;0,'Section Load'!X22,0))</f>
        <v>25</v>
      </c>
      <c r="X19" s="1299">
        <f>(IF('Section Load'!Y22&gt;0,'Section Load'!Y22,0))</f>
        <v>167</v>
      </c>
      <c r="Y19" s="1299">
        <f>(IF('Section Load'!Z22&gt;0,'Section Load'!Z22,0))</f>
        <v>303</v>
      </c>
      <c r="Z19" s="1299">
        <f>(IF('Section Load'!AA22&gt;0,'Section Load'!AA22,0))</f>
        <v>43</v>
      </c>
      <c r="AA19" s="1299">
        <f>(IF('Section Load'!AB22&gt;0,'Section Load'!AB22,0))</f>
        <v>34</v>
      </c>
      <c r="AB19" s="1299">
        <f>(IF('Section Load'!AC22&gt;0,'Section Load'!AC22,0))</f>
        <v>22</v>
      </c>
      <c r="AC19" s="1299">
        <f>(IF('Section Load'!AD22&gt;0,'Section Load'!AD22,0))</f>
        <v>34.099999999999909</v>
      </c>
      <c r="AD19" s="1299">
        <f>(IF('Section Load'!AE22&gt;0,'Section Load'!AE22,0))</f>
        <v>0.18000000000029104</v>
      </c>
      <c r="AE19" s="1299">
        <f>(IF('Section Load'!AF22&gt;0,'Section Load'!AF22,0))</f>
        <v>6</v>
      </c>
      <c r="AF19" s="1299">
        <f>(IF('Section Load'!AG22&gt;0,'Section Load'!AG22,0))</f>
        <v>529</v>
      </c>
      <c r="AG19" s="1299">
        <f>(IF('Section Load'!AH22&gt;0,'Section Load'!AH22,0))</f>
        <v>357</v>
      </c>
      <c r="AH19" s="1299">
        <f>(IF('Section Load'!AI22&gt;0,'Section Load'!AI22,0))</f>
        <v>375</v>
      </c>
      <c r="AI19" s="1299">
        <f>(IF('Section Load'!AJ22&gt;0,'Section Load'!AJ22,0))</f>
        <v>379</v>
      </c>
      <c r="AJ19" s="1299">
        <f>(IF('Section Load'!AK22&gt;0,'Section Load'!AK22,0))</f>
        <v>0</v>
      </c>
      <c r="AK19" s="1299">
        <f>(IF('Section Load'!AL22&gt;0,'Section Load'!AL22,0))</f>
        <v>39</v>
      </c>
      <c r="AL19" s="1299">
        <f>(IF('Section Load'!AM22&gt;0,'Section Load'!AM22,0))</f>
        <v>629</v>
      </c>
      <c r="AM19" s="1300">
        <f>(IF('Water Report'!$U$7&gt;0,'Water Report'!$U$7,0))</f>
        <v>66</v>
      </c>
      <c r="AN19" s="1300">
        <f>(IF('Water Report'!$U$8&gt;0,'Water Report'!$U$8,0))</f>
        <v>144</v>
      </c>
      <c r="AO19" s="1300">
        <f>(IF('Water Report'!$U$9&gt;0,'Water Report'!$U$9,0))</f>
        <v>63</v>
      </c>
      <c r="AP19" s="1300">
        <f>(IF('Water Report'!$U$10&gt;0,'Water Report'!$U$10,0))</f>
        <v>21</v>
      </c>
      <c r="AQ19" s="1300">
        <f>(IF('Water Report'!$U$11&gt;0,'Water Report'!$U$11,0))</f>
        <v>16</v>
      </c>
      <c r="AR19" s="1300">
        <f>(IF('Water Report'!$U$13&gt;0,'Water Report'!$U$13,0))</f>
        <v>7</v>
      </c>
      <c r="AS19" s="1300">
        <f>(IF('Water Report'!$U$14&gt;0,'Water Report'!$U$14,0))</f>
        <v>11</v>
      </c>
      <c r="AT19" s="1300">
        <f>(IF('Water Report'!$U$15&gt;0,'Water Report'!$U$15,0))</f>
        <v>4</v>
      </c>
      <c r="AU19" s="1300">
        <f>(IF('Water Report'!$U$17&gt;0,'Water Report'!$U$17,0))</f>
        <v>4</v>
      </c>
      <c r="AV19" s="1300">
        <f>(IF('Water Report'!$U$18&gt;0,'Water Report'!$U$18,0))</f>
        <v>7</v>
      </c>
      <c r="AW19" s="1300">
        <f>(IF('Water Report'!$U$19&gt;0,'Water Report'!$U$19,0))</f>
        <v>8</v>
      </c>
      <c r="AX19" s="1379">
        <f>(IF('Water Report'!$U$21&gt;0,'Water Report'!$U$21,0))</f>
        <v>73</v>
      </c>
      <c r="AY19" s="1379">
        <f>(IF('Water Report'!$U$22&gt;0,'Water Report'!$U$22,0))</f>
        <v>5</v>
      </c>
      <c r="AZ19" s="1379">
        <f>(IF('Water Report'!$U$23&gt;0,'Water Report'!$U$23,0))</f>
        <v>0</v>
      </c>
      <c r="BA19" s="1379">
        <f>(IF('Water Report'!$U$14&gt;0,'Water Report'!$U$14,0))</f>
        <v>11</v>
      </c>
      <c r="BB19" s="1379">
        <f>(IF('Water Report'!$U$15&gt;0,'Water Report'!$U$15,0))</f>
        <v>4</v>
      </c>
      <c r="BC19" s="1379">
        <f>(IF('Water Report'!$U$13&gt;0,'Water Report'!$U$13,0))</f>
        <v>7</v>
      </c>
      <c r="BD19" s="1379">
        <f>(IF('Water Report'!$U$24&gt;0,'Water Report'!$U$24,0))</f>
        <v>157</v>
      </c>
      <c r="BE19" s="1379">
        <f>(IF('Water Report'!$U$25&gt;0,'Water Report'!$U$25,0))</f>
        <v>115</v>
      </c>
      <c r="BF19" s="1379">
        <f>(IF('Water Report'!$U$27&gt;0,'Water Report'!$U$27,0))</f>
        <v>80</v>
      </c>
      <c r="BG19" s="1301">
        <f>(IF('Section Load'!AN22&gt;0,'Section Load'!AN22,0))</f>
        <v>776</v>
      </c>
      <c r="BH19" s="1301">
        <f>(IF('Section Load'!AO22&gt;0,'Section Load'!AO22,0))</f>
        <v>260</v>
      </c>
      <c r="BI19" s="1301">
        <f>(IF('Section Load'!AP22&gt;0,'Section Load'!AP22,0))</f>
        <v>0</v>
      </c>
      <c r="BJ19" s="1301">
        <f>(IF('Section Load'!AQ22&gt;0,'Section Load'!AQ22,0))</f>
        <v>68</v>
      </c>
      <c r="BK19" s="1301">
        <f>(IF('Section Load'!AR22&gt;0,'Section Load'!AR22,0))</f>
        <v>0</v>
      </c>
      <c r="BL19" s="1301">
        <f>(IF('Section Load'!AS22&gt;0,'Section Load'!AS22,0))</f>
        <v>0</v>
      </c>
      <c r="BM19" s="1301">
        <f>(IF('Section Load'!AT22&gt;0,'Section Load'!AT22,0))</f>
        <v>448</v>
      </c>
    </row>
    <row r="20" spans="1:65">
      <c r="A20" s="1283" t="s">
        <v>301</v>
      </c>
      <c r="B20" s="1284">
        <f t="shared" si="0"/>
        <v>19</v>
      </c>
      <c r="C20" s="1284">
        <v>4</v>
      </c>
      <c r="D20" s="1284">
        <v>2021</v>
      </c>
      <c r="E20" s="1299">
        <f>(IF('Section Load'!F23&gt;0,'Section Load'!F23,0))</f>
        <v>2734.8699999999953</v>
      </c>
      <c r="F20" s="1299">
        <f>(IF('Section Load'!G23&gt;0,'Section Load'!G23,0))</f>
        <v>1352</v>
      </c>
      <c r="G20" s="1299">
        <f>(IF('Section Load'!H23&gt;0,'Section Load'!H23,0))</f>
        <v>1554</v>
      </c>
      <c r="H20" s="1299">
        <f>(IF('Section Load'!I23&gt;0,'Section Load'!I23,0))</f>
        <v>3327</v>
      </c>
      <c r="I20" s="1299">
        <f>(IF('Section Load'!J23&gt;0,'Section Load'!J23,0))</f>
        <v>6208</v>
      </c>
      <c r="J20" s="1299">
        <f>(IF('Section Load'!K23&gt;0,'Section Load'!K23,0))</f>
        <v>2287.67</v>
      </c>
      <c r="K20" s="1299">
        <f>(IF('Section Load'!L23&gt;0,'Section Load'!L23,0))</f>
        <v>1197</v>
      </c>
      <c r="L20" s="1299">
        <f>(IF('Section Load'!M23&gt;0,'Section Load'!M23,0))</f>
        <v>1000</v>
      </c>
      <c r="M20" s="1299">
        <f>(IF('Section Load'!N23&gt;0,'Section Load'!N23,0))</f>
        <v>27</v>
      </c>
      <c r="N20" s="1299">
        <f>(IF('Section Load'!O23&gt;0,'Section Load'!O23,0))</f>
        <v>2</v>
      </c>
      <c r="O20" s="1299">
        <f>(IF('Section Load'!P23&gt;0,'Section Load'!P23,0))</f>
        <v>31</v>
      </c>
      <c r="P20" s="1299">
        <f>(IF('Section Load'!Q23&gt;0,'Section Load'!Q23,0))</f>
        <v>61</v>
      </c>
      <c r="Q20" s="1299">
        <f>(IF('Section Load'!R23&gt;0,'Section Load'!R23,0))</f>
        <v>54</v>
      </c>
      <c r="R20" s="1299">
        <f>(IF('Section Load'!S23&gt;0,'Section Load'!S23,0))</f>
        <v>44</v>
      </c>
      <c r="S20" s="1299">
        <f>(IF('Section Load'!T23&gt;0,'Section Load'!T23,0))</f>
        <v>0</v>
      </c>
      <c r="T20" s="1299">
        <f>(IF('Section Load'!U23&gt;0,'Section Load'!U23,0))</f>
        <v>207</v>
      </c>
      <c r="U20" s="1299">
        <f>(IF('Section Load'!V23&gt;0,'Section Load'!V23,0))</f>
        <v>377</v>
      </c>
      <c r="V20" s="1299">
        <f>(IF('Section Load'!W23&gt;0,'Section Load'!W23,0))</f>
        <v>206</v>
      </c>
      <c r="W20" s="1299">
        <f>(IF('Section Load'!X23&gt;0,'Section Load'!X23,0))</f>
        <v>28</v>
      </c>
      <c r="X20" s="1299">
        <f>(IF('Section Load'!Y23&gt;0,'Section Load'!Y23,0))</f>
        <v>165</v>
      </c>
      <c r="Y20" s="1299">
        <f>(IF('Section Load'!Z23&gt;0,'Section Load'!Z23,0))</f>
        <v>346</v>
      </c>
      <c r="Z20" s="1299">
        <f>(IF('Section Load'!AA23&gt;0,'Section Load'!AA23,0))</f>
        <v>205</v>
      </c>
      <c r="AA20" s="1299">
        <f>(IF('Section Load'!AB23&gt;0,'Section Load'!AB23,0))</f>
        <v>27</v>
      </c>
      <c r="AB20" s="1299">
        <f>(IF('Section Load'!AC23&gt;0,'Section Load'!AC23,0))</f>
        <v>114</v>
      </c>
      <c r="AC20" s="1299">
        <f>(IF('Section Load'!AD23&gt;0,'Section Load'!AD23,0))</f>
        <v>27</v>
      </c>
      <c r="AD20" s="1299">
        <f>(IF('Section Load'!AE23&gt;0,'Section Load'!AE23,0))</f>
        <v>2.0000000000436557E-2</v>
      </c>
      <c r="AE20" s="1299">
        <f>(IF('Section Load'!AF23&gt;0,'Section Load'!AF23,0))</f>
        <v>8</v>
      </c>
      <c r="AF20" s="1299">
        <f>(IF('Section Load'!AG23&gt;0,'Section Load'!AG23,0))</f>
        <v>511</v>
      </c>
      <c r="AG20" s="1299">
        <f>(IF('Section Load'!AH23&gt;0,'Section Load'!AH23,0))</f>
        <v>356</v>
      </c>
      <c r="AH20" s="1299">
        <f>(IF('Section Load'!AI23&gt;0,'Section Load'!AI23,0))</f>
        <v>372</v>
      </c>
      <c r="AI20" s="1299">
        <f>(IF('Section Load'!AJ23&gt;0,'Section Load'!AJ23,0))</f>
        <v>390</v>
      </c>
      <c r="AJ20" s="1299">
        <f>(IF('Section Load'!AK23&gt;0,'Section Load'!AK23,0))</f>
        <v>0</v>
      </c>
      <c r="AK20" s="1299">
        <f>(IF('Section Load'!AL23&gt;0,'Section Load'!AL23,0))</f>
        <v>39</v>
      </c>
      <c r="AL20" s="1299">
        <f>(IF('Section Load'!AM23&gt;0,'Section Load'!AM23,0))</f>
        <v>797</v>
      </c>
      <c r="AM20" s="1300">
        <f>(IF('Water Report'!$V$7&gt;0,'Water Report'!$V$7,0))</f>
        <v>64</v>
      </c>
      <c r="AN20" s="1300">
        <f>(IF('Water Report'!$V$8&gt;0,'Water Report'!$V$8,0))</f>
        <v>96</v>
      </c>
      <c r="AO20" s="1300">
        <f>(IF('Water Report'!$V$9&gt;0,'Water Report'!$V$9,0))</f>
        <v>70</v>
      </c>
      <c r="AP20" s="1300">
        <f>(IF('Water Report'!$V$10&gt;0,'Water Report'!$V$10,0))</f>
        <v>16</v>
      </c>
      <c r="AQ20" s="1300">
        <f>(IF('Water Report'!$V$11&gt;0,'Water Report'!$V$11,0))</f>
        <v>20</v>
      </c>
      <c r="AR20" s="1300">
        <f>(IF('Water Report'!$V$13&gt;0,'Water Report'!$V$13,0))</f>
        <v>12</v>
      </c>
      <c r="AS20" s="1300">
        <f>(IF('Water Report'!$V$14&gt;0,'Water Report'!$V$14,0))</f>
        <v>16</v>
      </c>
      <c r="AT20" s="1300">
        <f>(IF('Water Report'!$V$15&gt;0,'Water Report'!$V$15,0))</f>
        <v>4</v>
      </c>
      <c r="AU20" s="1300">
        <f>(IF('Water Report'!$V$17&gt;0,'Water Report'!$V$17,0))</f>
        <v>9</v>
      </c>
      <c r="AV20" s="1300">
        <f>(IF('Water Report'!$V$18&gt;0,'Water Report'!$V$18,0))</f>
        <v>6</v>
      </c>
      <c r="AW20" s="1300">
        <f>(IF('Water Report'!$V$19&gt;0,'Water Report'!$V$19,0))</f>
        <v>7</v>
      </c>
      <c r="AX20" s="1379">
        <f>(IF('Water Report'!$V$21&gt;0,'Water Report'!$V$21,0))</f>
        <v>71</v>
      </c>
      <c r="AY20" s="1379">
        <f>(IF('Water Report'!$V$22&gt;0,'Water Report'!$V$22,0))</f>
        <v>0</v>
      </c>
      <c r="AZ20" s="1379">
        <f>(IF('Water Report'!$V$23&gt;0,'Water Report'!$V$23,0))</f>
        <v>17</v>
      </c>
      <c r="BA20" s="1379">
        <f>(IF('Water Report'!$V$14&gt;0,'Water Report'!$V$14,0))</f>
        <v>16</v>
      </c>
      <c r="BB20" s="1379">
        <f>(IF('Water Report'!$V$15&gt;0,'Water Report'!$V$15,0))</f>
        <v>4</v>
      </c>
      <c r="BC20" s="1379">
        <f>(IF('Water Report'!$V$13&gt;0,'Water Report'!$V$13,0))</f>
        <v>12</v>
      </c>
      <c r="BD20" s="1379">
        <f>(IF('Water Report'!$V$24&gt;0,'Water Report'!$V$24,0))</f>
        <v>151</v>
      </c>
      <c r="BE20" s="1379">
        <f>(IF('Water Report'!$V$25&gt;0,'Water Report'!$V$25,0))</f>
        <v>126</v>
      </c>
      <c r="BF20" s="1379">
        <f>(IF('Water Report'!$V$27&gt;0,'Water Report'!$V$27,0))</f>
        <v>100</v>
      </c>
      <c r="BG20" s="1301">
        <f>(IF('Section Load'!AN23&gt;0,'Section Load'!AN23,0))</f>
        <v>733</v>
      </c>
      <c r="BH20" s="1301">
        <f>(IF('Section Load'!AO23&gt;0,'Section Load'!AO23,0))</f>
        <v>251</v>
      </c>
      <c r="BI20" s="1301">
        <f>(IF('Section Load'!AP23&gt;0,'Section Load'!AP23,0))</f>
        <v>0</v>
      </c>
      <c r="BJ20" s="1301">
        <f>(IF('Section Load'!AQ23&gt;0,'Section Load'!AQ23,0))</f>
        <v>91</v>
      </c>
      <c r="BK20" s="1301">
        <f>(IF('Section Load'!AR23&gt;0,'Section Load'!AR23,0))</f>
        <v>0</v>
      </c>
      <c r="BL20" s="1301">
        <f>(IF('Section Load'!AS23&gt;0,'Section Load'!AS23,0))</f>
        <v>0</v>
      </c>
      <c r="BM20" s="1301">
        <f>(IF('Section Load'!AT23&gt;0,'Section Load'!AT23,0))</f>
        <v>391.39999999999418</v>
      </c>
    </row>
    <row r="21" spans="1:65">
      <c r="A21" s="1283" t="s">
        <v>301</v>
      </c>
      <c r="B21" s="1284">
        <f t="shared" si="0"/>
        <v>20</v>
      </c>
      <c r="C21" s="1284">
        <v>4</v>
      </c>
      <c r="D21" s="1284">
        <v>2021</v>
      </c>
      <c r="E21" s="1299">
        <f>(IF('Section Load'!F24&gt;0,'Section Load'!F24,0))</f>
        <v>2817.1300000000047</v>
      </c>
      <c r="F21" s="1299">
        <f>(IF('Section Load'!G24&gt;0,'Section Load'!G24,0))</f>
        <v>1368</v>
      </c>
      <c r="G21" s="1299">
        <f>(IF('Section Load'!H24&gt;0,'Section Load'!H24,0))</f>
        <v>1488</v>
      </c>
      <c r="H21" s="1299">
        <f>(IF('Section Load'!I24&gt;0,'Section Load'!I24,0))</f>
        <v>3410</v>
      </c>
      <c r="I21" s="1299">
        <f>(IF('Section Load'!J24&gt;0,'Section Load'!J24,0))</f>
        <v>5991</v>
      </c>
      <c r="J21" s="1299">
        <f>(IF('Section Load'!K24&gt;0,'Section Load'!K24,0))</f>
        <v>2277</v>
      </c>
      <c r="K21" s="1299">
        <f>(IF('Section Load'!L24&gt;0,'Section Load'!L24,0))</f>
        <v>1139</v>
      </c>
      <c r="L21" s="1299">
        <f>(IF('Section Load'!M24&gt;0,'Section Load'!M24,0))</f>
        <v>1068</v>
      </c>
      <c r="M21" s="1299">
        <f>(IF('Section Load'!N24&gt;0,'Section Load'!N24,0))</f>
        <v>100</v>
      </c>
      <c r="N21" s="1299">
        <f>(IF('Section Load'!O24&gt;0,'Section Load'!O24,0))</f>
        <v>1</v>
      </c>
      <c r="O21" s="1299">
        <f>(IF('Section Load'!P24&gt;0,'Section Load'!P24,0))</f>
        <v>30</v>
      </c>
      <c r="P21" s="1299">
        <f>(IF('Section Load'!Q24&gt;0,'Section Load'!Q24,0))</f>
        <v>58</v>
      </c>
      <c r="Q21" s="1299">
        <f>(IF('Section Load'!R24&gt;0,'Section Load'!R24,0))</f>
        <v>50</v>
      </c>
      <c r="R21" s="1299">
        <f>(IF('Section Load'!S24&gt;0,'Section Load'!S24,0))</f>
        <v>44</v>
      </c>
      <c r="S21" s="1299">
        <f>(IF('Section Load'!T24&gt;0,'Section Load'!T24,0))</f>
        <v>22</v>
      </c>
      <c r="T21" s="1299">
        <f>(IF('Section Load'!U24&gt;0,'Section Load'!U24,0))</f>
        <v>193</v>
      </c>
      <c r="U21" s="1299">
        <f>(IF('Section Load'!V24&gt;0,'Section Load'!V24,0))</f>
        <v>396</v>
      </c>
      <c r="V21" s="1299">
        <f>(IF('Section Load'!W24&gt;0,'Section Load'!W24,0))</f>
        <v>211</v>
      </c>
      <c r="W21" s="1299">
        <f>(IF('Section Load'!X24&gt;0,'Section Load'!X24,0))</f>
        <v>22</v>
      </c>
      <c r="X21" s="1299">
        <f>(IF('Section Load'!Y24&gt;0,'Section Load'!Y24,0))</f>
        <v>177</v>
      </c>
      <c r="Y21" s="1299">
        <f>(IF('Section Load'!Z24&gt;0,'Section Load'!Z24,0))</f>
        <v>291</v>
      </c>
      <c r="Z21" s="1299">
        <f>(IF('Section Load'!AA24&gt;0,'Section Load'!AA24,0))</f>
        <v>207</v>
      </c>
      <c r="AA21" s="1299">
        <f>(IF('Section Load'!AB24&gt;0,'Section Load'!AB24,0))</f>
        <v>17</v>
      </c>
      <c r="AB21" s="1299">
        <f>(IF('Section Load'!AC24&gt;0,'Section Load'!AC24,0))</f>
        <v>23</v>
      </c>
      <c r="AC21" s="1299">
        <f>(IF('Section Load'!AD24&gt;0,'Section Load'!AD24,0))</f>
        <v>17</v>
      </c>
      <c r="AD21" s="1299">
        <f>(IF('Section Load'!AE24&gt;0,'Section Load'!AE24,0))</f>
        <v>0</v>
      </c>
      <c r="AE21" s="1299">
        <f>(IF('Section Load'!AF24&gt;0,'Section Load'!AF24,0))</f>
        <v>6</v>
      </c>
      <c r="AF21" s="1299">
        <f>(IF('Section Load'!AG24&gt;0,'Section Load'!AG24,0))</f>
        <v>517</v>
      </c>
      <c r="AG21" s="1299">
        <f>(IF('Section Load'!AH24&gt;0,'Section Load'!AH24,0))</f>
        <v>359</v>
      </c>
      <c r="AH21" s="1299">
        <f>(IF('Section Load'!AI24&gt;0,'Section Load'!AI24,0))</f>
        <v>395</v>
      </c>
      <c r="AI21" s="1299">
        <f>(IF('Section Load'!AJ24&gt;0,'Section Load'!AJ24,0))</f>
        <v>389</v>
      </c>
      <c r="AJ21" s="1299">
        <f>(IF('Section Load'!AK24&gt;0,'Section Load'!AK24,0))</f>
        <v>0</v>
      </c>
      <c r="AK21" s="1299">
        <f>(IF('Section Load'!AL24&gt;0,'Section Load'!AL24,0))</f>
        <v>47</v>
      </c>
      <c r="AL21" s="1299">
        <f>(IF('Section Load'!AM24&gt;0,'Section Load'!AM24,0))</f>
        <v>805</v>
      </c>
      <c r="AM21" s="1300">
        <f>(IF('Water Report'!$W$7&gt;0,'Water Report'!$W$7,0))</f>
        <v>61</v>
      </c>
      <c r="AN21" s="1300">
        <f>(IF('Water Report'!$W$8&gt;0,'Water Report'!$W$8,0))</f>
        <v>161</v>
      </c>
      <c r="AO21" s="1300">
        <f>(IF('Water Report'!$W$9&gt;0,'Water Report'!$W$9,0))</f>
        <v>77</v>
      </c>
      <c r="AP21" s="1300">
        <f>(IF('Water Report'!$W$10&gt;0,'Water Report'!$W$10,0))</f>
        <v>19</v>
      </c>
      <c r="AQ21" s="1300">
        <f>(IF('Water Report'!$W$11&gt;0,'Water Report'!$W$11,0))</f>
        <v>20</v>
      </c>
      <c r="AR21" s="1300">
        <f>(IF('Water Report'!$W$13&gt;0,'Water Report'!$W$13,0))</f>
        <v>14</v>
      </c>
      <c r="AS21" s="1300">
        <f>(IF('Water Report'!$W$14&gt;0,'Water Report'!$W$14,0))</f>
        <v>14</v>
      </c>
      <c r="AT21" s="1300">
        <f>(IF('Water Report'!$W$15&gt;0,'Water Report'!$W$15,0))</f>
        <v>6</v>
      </c>
      <c r="AU21" s="1300">
        <f>(IF('Water Report'!$W$17&gt;0,'Water Report'!$W$17,0))</f>
        <v>0</v>
      </c>
      <c r="AV21" s="1300">
        <f>(IF('Water Report'!$W$18&gt;0,'Water Report'!$W$18,0))</f>
        <v>6</v>
      </c>
      <c r="AW21" s="1300">
        <f>(IF('Water Report'!$W$19&gt;0,'Water Report'!$W$19,0))</f>
        <v>10</v>
      </c>
      <c r="AX21" s="1379">
        <f>(IF('Water Report'!$W$21&gt;0,'Water Report'!$W$21,0))</f>
        <v>62</v>
      </c>
      <c r="AY21" s="1379">
        <f>(IF('Water Report'!$W$22&gt;0,'Water Report'!$W$22,0))</f>
        <v>46</v>
      </c>
      <c r="AZ21" s="1379">
        <f>(IF('Water Report'!$W$23&gt;0,'Water Report'!$W$23,0))</f>
        <v>0</v>
      </c>
      <c r="BA21" s="1379">
        <f>(IF('Water Report'!$W$14&gt;0,'Water Report'!$W$14,0))</f>
        <v>14</v>
      </c>
      <c r="BB21" s="1379">
        <f>(IF('Water Report'!$W$15&gt;0,'Water Report'!$W$15,0))</f>
        <v>6</v>
      </c>
      <c r="BC21" s="1379">
        <f>(IF('Water Report'!$W$13&gt;0,'Water Report'!$W$13,0))</f>
        <v>14</v>
      </c>
      <c r="BD21" s="1379">
        <f>(IF('Water Report'!$W$24&gt;0,'Water Report'!$W$24,0))</f>
        <v>141</v>
      </c>
      <c r="BE21" s="1379">
        <f>(IF('Water Report'!$W$25&gt;0,'Water Report'!$W$25,0))</f>
        <v>136</v>
      </c>
      <c r="BF21" s="1379">
        <f>(IF('Water Report'!$W$27&gt;0,'Water Report'!$W$27,0))</f>
        <v>76</v>
      </c>
      <c r="BG21" s="1301">
        <f>(IF('Section Load'!AN24&gt;0,'Section Load'!AN24,0))</f>
        <v>772</v>
      </c>
      <c r="BH21" s="1301">
        <f>(IF('Section Load'!AO24&gt;0,'Section Load'!AO24,0))</f>
        <v>252</v>
      </c>
      <c r="BI21" s="1301">
        <f>(IF('Section Load'!AP24&gt;0,'Section Load'!AP24,0))</f>
        <v>0</v>
      </c>
      <c r="BJ21" s="1301">
        <f>(IF('Section Load'!AQ24&gt;0,'Section Load'!AQ24,0))</f>
        <v>78</v>
      </c>
      <c r="BK21" s="1301">
        <f>(IF('Section Load'!AR24&gt;0,'Section Load'!AR24,0))</f>
        <v>0</v>
      </c>
      <c r="BL21" s="1301">
        <f>(IF('Section Load'!AS24&gt;0,'Section Load'!AS24,0))</f>
        <v>0</v>
      </c>
      <c r="BM21" s="1301">
        <f>(IF('Section Load'!AT24&gt;0,'Section Load'!AT24,0))</f>
        <v>471.60000000000036</v>
      </c>
    </row>
    <row r="22" spans="1:65">
      <c r="A22" s="1283" t="s">
        <v>301</v>
      </c>
      <c r="B22" s="1284">
        <f t="shared" si="0"/>
        <v>21</v>
      </c>
      <c r="C22" s="1284">
        <v>4</v>
      </c>
      <c r="D22" s="1284">
        <v>2021</v>
      </c>
      <c r="E22" s="1299">
        <f>(IF('Section Load'!F25&gt;0,'Section Load'!F25,0))</f>
        <v>2824</v>
      </c>
      <c r="F22" s="1299">
        <f>(IF('Section Load'!G25&gt;0,'Section Load'!G25,0))</f>
        <v>1328</v>
      </c>
      <c r="G22" s="1299">
        <f>(IF('Section Load'!H25&gt;0,'Section Load'!H25,0))</f>
        <v>1434.0699999999488</v>
      </c>
      <c r="H22" s="1299">
        <f>(IF('Section Load'!I25&gt;0,'Section Load'!I25,0))</f>
        <v>3354</v>
      </c>
      <c r="I22" s="1299">
        <f>(IF('Section Load'!J25&gt;0,'Section Load'!J25,0))</f>
        <v>5862</v>
      </c>
      <c r="J22" s="1299">
        <f>(IF('Section Load'!K25&gt;0,'Section Load'!K25,0))</f>
        <v>2286</v>
      </c>
      <c r="K22" s="1299">
        <f>(IF('Section Load'!L25&gt;0,'Section Load'!L25,0))</f>
        <v>1022</v>
      </c>
      <c r="L22" s="1299">
        <f>(IF('Section Load'!M25&gt;0,'Section Load'!M25,0))</f>
        <v>968</v>
      </c>
      <c r="M22" s="1299">
        <f>(IF('Section Load'!N25&gt;0,'Section Load'!N25,0))</f>
        <v>59</v>
      </c>
      <c r="N22" s="1299">
        <f>(IF('Section Load'!O25&gt;0,'Section Load'!O25,0))</f>
        <v>1</v>
      </c>
      <c r="O22" s="1299">
        <f>(IF('Section Load'!P25&gt;0,'Section Load'!P25,0))</f>
        <v>32</v>
      </c>
      <c r="P22" s="1299">
        <f>(IF('Section Load'!Q25&gt;0,'Section Load'!Q25,0))</f>
        <v>60</v>
      </c>
      <c r="Q22" s="1299">
        <f>(IF('Section Load'!R25&gt;0,'Section Load'!R25,0))</f>
        <v>38</v>
      </c>
      <c r="R22" s="1299">
        <f>(IF('Section Load'!S25&gt;0,'Section Load'!S25,0))</f>
        <v>39</v>
      </c>
      <c r="S22" s="1299">
        <f>(IF('Section Load'!T25&gt;0,'Section Load'!T25,0))</f>
        <v>48</v>
      </c>
      <c r="T22" s="1299">
        <f>(IF('Section Load'!U25&gt;0,'Section Load'!U25,0))</f>
        <v>182</v>
      </c>
      <c r="U22" s="1299">
        <f>(IF('Section Load'!V25&gt;0,'Section Load'!V25,0))</f>
        <v>352</v>
      </c>
      <c r="V22" s="1299">
        <f>(IF('Section Load'!W25&gt;0,'Section Load'!W25,0))</f>
        <v>180</v>
      </c>
      <c r="W22" s="1299">
        <f>(IF('Section Load'!X25&gt;0,'Section Load'!X25,0))</f>
        <v>24</v>
      </c>
      <c r="X22" s="1299">
        <f>(IF('Section Load'!Y25&gt;0,'Section Load'!Y25,0))</f>
        <v>159</v>
      </c>
      <c r="Y22" s="1299">
        <f>(IF('Section Load'!Z25&gt;0,'Section Load'!Z25,0))</f>
        <v>215</v>
      </c>
      <c r="Z22" s="1299">
        <f>(IF('Section Load'!AA25&gt;0,'Section Load'!AA25,0))</f>
        <v>87</v>
      </c>
      <c r="AA22" s="1299">
        <f>(IF('Section Load'!AB25&gt;0,'Section Load'!AB25,0))</f>
        <v>13</v>
      </c>
      <c r="AB22" s="1299">
        <f>(IF('Section Load'!AC25&gt;0,'Section Load'!AC25,0))</f>
        <v>23</v>
      </c>
      <c r="AC22" s="1299">
        <f>(IF('Section Load'!AD25&gt;0,'Section Load'!AD25,0))</f>
        <v>13</v>
      </c>
      <c r="AD22" s="1299">
        <f>(IF('Section Load'!AE25&gt;0,'Section Load'!AE25,0))</f>
        <v>0</v>
      </c>
      <c r="AE22" s="1299">
        <f>(IF('Section Load'!AF25&gt;0,'Section Load'!AF25,0))</f>
        <v>5</v>
      </c>
      <c r="AF22" s="1299">
        <f>(IF('Section Load'!AG25&gt;0,'Section Load'!AG25,0))</f>
        <v>504</v>
      </c>
      <c r="AG22" s="1299">
        <f>(IF('Section Load'!AH25&gt;0,'Section Load'!AH25,0))</f>
        <v>346</v>
      </c>
      <c r="AH22" s="1299">
        <f>(IF('Section Load'!AI25&gt;0,'Section Load'!AI25,0))</f>
        <v>380</v>
      </c>
      <c r="AI22" s="1299">
        <f>(IF('Section Load'!AJ25&gt;0,'Section Load'!AJ25,0))</f>
        <v>387</v>
      </c>
      <c r="AJ22" s="1299">
        <f>(IF('Section Load'!AK25&gt;0,'Section Load'!AK25,0))</f>
        <v>0</v>
      </c>
      <c r="AK22" s="1299">
        <f>(IF('Section Load'!AL25&gt;0,'Section Load'!AL25,0))</f>
        <v>51</v>
      </c>
      <c r="AL22" s="1299">
        <f>(IF('Section Load'!AM25&gt;0,'Section Load'!AM25,0))</f>
        <v>798</v>
      </c>
      <c r="AM22" s="1300">
        <f>(IF('Water Report'!$X$7&gt;0,'Water Report'!$X$7,0))</f>
        <v>73</v>
      </c>
      <c r="AN22" s="1300">
        <f>(IF('Water Report'!$X$8&gt;0,'Water Report'!$X$8,0))</f>
        <v>134</v>
      </c>
      <c r="AO22" s="1300">
        <f>(IF('Water Report'!$X$9&gt;0,'Water Report'!$X$9,0))</f>
        <v>79</v>
      </c>
      <c r="AP22" s="1300">
        <f>(IF('Water Report'!$X$10&gt;0,'Water Report'!$X$10,0))</f>
        <v>19</v>
      </c>
      <c r="AQ22" s="1300">
        <f>(IF('Water Report'!$X$11&gt;0,'Water Report'!$X$11,0))</f>
        <v>15</v>
      </c>
      <c r="AR22" s="1300">
        <f>(IF('Water Report'!$X$13&gt;0,'Water Report'!$X$13,0))</f>
        <v>8</v>
      </c>
      <c r="AS22" s="1300">
        <f>(IF('Water Report'!$X$14&gt;0,'Water Report'!$X$14,0))</f>
        <v>16</v>
      </c>
      <c r="AT22" s="1300">
        <f>(IF('Water Report'!$X$15&gt;0,'Water Report'!$X$15,0))</f>
        <v>5</v>
      </c>
      <c r="AU22" s="1300">
        <f>(IF('Water Report'!$X$17&gt;0,'Water Report'!$X$17,0))</f>
        <v>9</v>
      </c>
      <c r="AV22" s="1300">
        <f>(IF('Water Report'!$X$18&gt;0,'Water Report'!$X$18,0))</f>
        <v>4</v>
      </c>
      <c r="AW22" s="1300">
        <f>(IF('Water Report'!$X$19&gt;0,'Water Report'!$X$19,0))</f>
        <v>7</v>
      </c>
      <c r="AX22" s="1379">
        <f>(IF('Water Report'!$X$21&gt;0,'Water Report'!$X$21,0))</f>
        <v>82</v>
      </c>
      <c r="AY22" s="1379">
        <f>(IF('Water Report'!$X$22&gt;0,'Water Report'!$X$22,0))</f>
        <v>0</v>
      </c>
      <c r="AZ22" s="1379">
        <f>(IF('Water Report'!$X$23&gt;0,'Water Report'!$X$23,0))</f>
        <v>17</v>
      </c>
      <c r="BA22" s="1379">
        <f>(IF('Water Report'!$X$14&gt;0,'Water Report'!$X$14,0))</f>
        <v>16</v>
      </c>
      <c r="BB22" s="1379">
        <f>(IF('Water Report'!$X$15&gt;0,'Water Report'!$X$15,0))</f>
        <v>5</v>
      </c>
      <c r="BC22" s="1379">
        <f>(IF('Water Report'!$X$13&gt;0,'Water Report'!$X$13,0))</f>
        <v>8</v>
      </c>
      <c r="BD22" s="1379">
        <f>(IF('Water Report'!$X$24&gt;0,'Water Report'!$X$24,0))</f>
        <v>158</v>
      </c>
      <c r="BE22" s="1379">
        <f>(IF('Water Report'!$X$25&gt;0,'Water Report'!$X$25,0))</f>
        <v>134</v>
      </c>
      <c r="BF22" s="1379">
        <f>(IF('Water Report'!$X$27&gt;0,'Water Report'!$X$27,0))</f>
        <v>107</v>
      </c>
      <c r="BG22" s="1301">
        <f>(IF('Section Load'!AN25&gt;0,'Section Load'!AN25,0))</f>
        <v>700</v>
      </c>
      <c r="BH22" s="1301">
        <f>(IF('Section Load'!AO25&gt;0,'Section Load'!AO25,0))</f>
        <v>246</v>
      </c>
      <c r="BI22" s="1301">
        <f>(IF('Section Load'!AP25&gt;0,'Section Load'!AP25,0))</f>
        <v>0</v>
      </c>
      <c r="BJ22" s="1301">
        <f>(IF('Section Load'!AQ25&gt;0,'Section Load'!AQ25,0))</f>
        <v>87</v>
      </c>
      <c r="BK22" s="1301">
        <f>(IF('Section Load'!AR25&gt;0,'Section Load'!AR25,0))</f>
        <v>0</v>
      </c>
      <c r="BL22" s="1301">
        <f>(IF('Section Load'!AS25&gt;0,'Section Load'!AS25,0))</f>
        <v>0</v>
      </c>
      <c r="BM22" s="1301">
        <f>(IF('Section Load'!AT25&gt;0,'Section Load'!AT25,0))</f>
        <v>367</v>
      </c>
    </row>
    <row r="23" spans="1:65">
      <c r="A23" s="1283" t="s">
        <v>301</v>
      </c>
      <c r="B23" s="1284">
        <f t="shared" si="0"/>
        <v>22</v>
      </c>
      <c r="C23" s="1284">
        <v>4</v>
      </c>
      <c r="D23" s="1284">
        <v>2021</v>
      </c>
      <c r="E23" s="1299">
        <f>(IF('Section Load'!F26&gt;0,'Section Load'!F26,0))</f>
        <v>2785</v>
      </c>
      <c r="F23" s="1299">
        <f>(IF('Section Load'!G26&gt;0,'Section Load'!G26,0))</f>
        <v>1343</v>
      </c>
      <c r="G23" s="1299">
        <f>(IF('Section Load'!H26&gt;0,'Section Load'!H26,0))</f>
        <v>1462</v>
      </c>
      <c r="H23" s="1299">
        <f>(IF('Section Load'!I26&gt;0,'Section Load'!I26,0))</f>
        <v>3364</v>
      </c>
      <c r="I23" s="1299">
        <f>(IF('Section Load'!J26&gt;0,'Section Load'!J26,0))</f>
        <v>5930</v>
      </c>
      <c r="J23" s="1299">
        <f>(IF('Section Load'!K26&gt;0,'Section Load'!K26,0))</f>
        <v>2328</v>
      </c>
      <c r="K23" s="1299">
        <f>(IF('Section Load'!L26&gt;0,'Section Load'!L26,0))</f>
        <v>955</v>
      </c>
      <c r="L23" s="1299">
        <f>(IF('Section Load'!M26&gt;0,'Section Load'!M26,0))</f>
        <v>1061</v>
      </c>
      <c r="M23" s="1299">
        <f>(IF('Section Load'!N26&gt;0,'Section Load'!N26,0))</f>
        <v>56</v>
      </c>
      <c r="N23" s="1299">
        <f>(IF('Section Load'!O26&gt;0,'Section Load'!O26,0))</f>
        <v>1</v>
      </c>
      <c r="O23" s="1299">
        <f>(IF('Section Load'!P26&gt;0,'Section Load'!P26,0))</f>
        <v>28</v>
      </c>
      <c r="P23" s="1299">
        <f>(IF('Section Load'!Q26&gt;0,'Section Load'!Q26,0))</f>
        <v>76</v>
      </c>
      <c r="Q23" s="1299">
        <f>(IF('Section Load'!R26&gt;0,'Section Load'!R26,0))</f>
        <v>41</v>
      </c>
      <c r="R23" s="1299">
        <f>(IF('Section Load'!S26&gt;0,'Section Load'!S26,0))</f>
        <v>35</v>
      </c>
      <c r="S23" s="1299">
        <f>(IF('Section Load'!T26&gt;0,'Section Load'!T26,0))</f>
        <v>47</v>
      </c>
      <c r="T23" s="1299">
        <f>(IF('Section Load'!U26&gt;0,'Section Load'!U26,0))</f>
        <v>179</v>
      </c>
      <c r="U23" s="1299">
        <f>(IF('Section Load'!V26&gt;0,'Section Load'!V26,0))</f>
        <v>365</v>
      </c>
      <c r="V23" s="1299">
        <f>(IF('Section Load'!W26&gt;0,'Section Load'!W26,0))</f>
        <v>199</v>
      </c>
      <c r="W23" s="1299">
        <f>(IF('Section Load'!X26&gt;0,'Section Load'!X26,0))</f>
        <v>27</v>
      </c>
      <c r="X23" s="1299">
        <f>(IF('Section Load'!Y26&gt;0,'Section Load'!Y26,0))</f>
        <v>161</v>
      </c>
      <c r="Y23" s="1299">
        <f>(IF('Section Load'!Z26&gt;0,'Section Load'!Z26,0))</f>
        <v>213</v>
      </c>
      <c r="Z23" s="1299">
        <f>(IF('Section Load'!AA26&gt;0,'Section Load'!AA26,0))</f>
        <v>24</v>
      </c>
      <c r="AA23" s="1299">
        <f>(IF('Section Load'!AB26&gt;0,'Section Load'!AB26,0))</f>
        <v>11</v>
      </c>
      <c r="AB23" s="1299">
        <f>(IF('Section Load'!AC26&gt;0,'Section Load'!AC26,0))</f>
        <v>22</v>
      </c>
      <c r="AC23" s="1299">
        <f>(IF('Section Load'!AD26&gt;0,'Section Load'!AD26,0))</f>
        <v>11</v>
      </c>
      <c r="AD23" s="1299">
        <f>(IF('Section Load'!AE26&gt;0,'Section Load'!AE26,0))</f>
        <v>0</v>
      </c>
      <c r="AE23" s="1299">
        <f>(IF('Section Load'!AF26&gt;0,'Section Load'!AF26,0))</f>
        <v>5</v>
      </c>
      <c r="AF23" s="1299">
        <f>(IF('Section Load'!AG26&gt;0,'Section Load'!AG26,0))</f>
        <v>504</v>
      </c>
      <c r="AG23" s="1299">
        <f>(IF('Section Load'!AH26&gt;0,'Section Load'!AH26,0))</f>
        <v>363</v>
      </c>
      <c r="AH23" s="1299">
        <f>(IF('Section Load'!AI26&gt;0,'Section Load'!AI26,0))</f>
        <v>383</v>
      </c>
      <c r="AI23" s="1299">
        <f>(IF('Section Load'!AJ26&gt;0,'Section Load'!AJ26,0))</f>
        <v>396</v>
      </c>
      <c r="AJ23" s="1299">
        <f>(IF('Section Load'!AK26&gt;0,'Section Load'!AK26,0))</f>
        <v>0</v>
      </c>
      <c r="AK23" s="1299">
        <f>(IF('Section Load'!AL26&gt;0,'Section Load'!AL26,0))</f>
        <v>43</v>
      </c>
      <c r="AL23" s="1299">
        <f>(IF('Section Load'!AM26&gt;0,'Section Load'!AM26,0))</f>
        <v>782</v>
      </c>
      <c r="AM23" s="1300">
        <f>(IF('Water Report'!$Y$7&gt;0,'Water Report'!$Y$7,0))</f>
        <v>61</v>
      </c>
      <c r="AN23" s="1300">
        <f>(IF('Water Report'!$Y$8&gt;0,'Water Report'!$Y$8,0))</f>
        <v>81</v>
      </c>
      <c r="AO23" s="1300">
        <f>(IF('Water Report'!$Y$9&gt;0,'Water Report'!$Y$9,0))</f>
        <v>64</v>
      </c>
      <c r="AP23" s="1300">
        <f>(IF('Water Report'!$Y$10&gt;0,'Water Report'!$Y$10,0))</f>
        <v>17</v>
      </c>
      <c r="AQ23" s="1300">
        <f>(IF('Water Report'!$Y$11&gt;0,'Water Report'!$Y$11,0))</f>
        <v>19</v>
      </c>
      <c r="AR23" s="1300">
        <f>(IF('Water Report'!$Y$13&gt;0,'Water Report'!$Y$13,0))</f>
        <v>7</v>
      </c>
      <c r="AS23" s="1300">
        <f>(IF('Water Report'!$Y$14&gt;0,'Water Report'!$Y$14,0))</f>
        <v>14</v>
      </c>
      <c r="AT23" s="1300">
        <f>(IF('Water Report'!$Y$15&gt;0,'Water Report'!$Y$15,0))</f>
        <v>4</v>
      </c>
      <c r="AU23" s="1300">
        <f>(IF('Water Report'!$Y$17&gt;0,'Water Report'!$Y$17,0))</f>
        <v>5</v>
      </c>
      <c r="AV23" s="1300">
        <f>(IF('Water Report'!$Y$18&gt;0,'Water Report'!$Y$18,0))</f>
        <v>5</v>
      </c>
      <c r="AW23" s="1300">
        <f>(IF('Water Report'!$Y$19&gt;0,'Water Report'!$Y$19,0))</f>
        <v>7</v>
      </c>
      <c r="AX23" s="1379">
        <f>(IF('Water Report'!$Y$21&gt;0,'Water Report'!$Y$21,0))</f>
        <v>83</v>
      </c>
      <c r="AY23" s="1379">
        <f>(IF('Water Report'!$Y$22&gt;0,'Water Report'!$Y$22,0))</f>
        <v>0</v>
      </c>
      <c r="AZ23" s="1379">
        <f>(IF('Water Report'!$Y$23&gt;0,'Water Report'!$Y$23,0))</f>
        <v>0</v>
      </c>
      <c r="BA23" s="1379">
        <f>(IF('Water Report'!$Y$14&gt;0,'Water Report'!$Y$14,0))</f>
        <v>14</v>
      </c>
      <c r="BB23" s="1379">
        <f>(IF('Water Report'!$Y$15&gt;0,'Water Report'!$Y$15,0))</f>
        <v>4</v>
      </c>
      <c r="BC23" s="1379">
        <f>(IF('Water Report'!$Y$13&gt;0,'Water Report'!$Y$13,0))</f>
        <v>7</v>
      </c>
      <c r="BD23" s="1379">
        <f>(IF('Water Report'!$Y$24&gt;0,'Water Report'!$Y$24,0))</f>
        <v>159</v>
      </c>
      <c r="BE23" s="1379">
        <f>(IF('Water Report'!$Y$25&gt;0,'Water Report'!$Y$25,0))</f>
        <v>118</v>
      </c>
      <c r="BF23" s="1379">
        <f>(IF('Water Report'!$Y$27&gt;0,'Water Report'!$Y$27,0))</f>
        <v>90</v>
      </c>
      <c r="BG23" s="1301">
        <f>(IF('Section Load'!AN26&gt;0,'Section Load'!AN26,0))</f>
        <v>767</v>
      </c>
      <c r="BH23" s="1301">
        <f>(IF('Section Load'!AO26&gt;0,'Section Load'!AO26,0))</f>
        <v>238</v>
      </c>
      <c r="BI23" s="1301">
        <f>(IF('Section Load'!AP26&gt;0,'Section Load'!AP26,0))</f>
        <v>0</v>
      </c>
      <c r="BJ23" s="1301">
        <f>(IF('Section Load'!AQ26&gt;0,'Section Load'!AQ26,0))</f>
        <v>94</v>
      </c>
      <c r="BK23" s="1301">
        <f>(IF('Section Load'!AR26&gt;0,'Section Load'!AR26,0))</f>
        <v>0</v>
      </c>
      <c r="BL23" s="1301">
        <f>(IF('Section Load'!AS26&gt;0,'Section Load'!AS26,0))</f>
        <v>0</v>
      </c>
      <c r="BM23" s="1301">
        <f>(IF('Section Load'!AT26&gt;0,'Section Load'!AT26,0))</f>
        <v>435</v>
      </c>
    </row>
    <row r="24" spans="1:65">
      <c r="A24" s="1283" t="s">
        <v>301</v>
      </c>
      <c r="B24" s="1284">
        <f t="shared" si="0"/>
        <v>23</v>
      </c>
      <c r="C24" s="1284">
        <v>4</v>
      </c>
      <c r="D24" s="1284">
        <v>2021</v>
      </c>
      <c r="E24" s="1299">
        <f>(IF('Section Load'!F27&gt;0,'Section Load'!F27,0))</f>
        <v>2814.390000000014</v>
      </c>
      <c r="F24" s="1299">
        <f>(IF('Section Load'!G27&gt;0,'Section Load'!G27,0))</f>
        <v>1398.7599999999948</v>
      </c>
      <c r="G24" s="1299">
        <f>(IF('Section Load'!H27&gt;0,'Section Load'!H27,0))</f>
        <v>1433.2400000000052</v>
      </c>
      <c r="H24" s="1299">
        <f>(IF('Section Load'!I27&gt;0,'Section Load'!I27,0))</f>
        <v>3567.1199999999953</v>
      </c>
      <c r="I24" s="1299">
        <f>(IF('Section Load'!J27&gt;0,'Section Load'!J27,0))</f>
        <v>5802.1230000000505</v>
      </c>
      <c r="J24" s="1299">
        <f>(IF('Section Load'!K27&gt;0,'Section Load'!K27,0))</f>
        <v>2355.4300000000512</v>
      </c>
      <c r="K24" s="1299">
        <f>(IF('Section Load'!L27&gt;0,'Section Load'!L27,0))</f>
        <v>1104.2700000000186</v>
      </c>
      <c r="L24" s="1299">
        <f>(IF('Section Load'!M27&gt;0,'Section Load'!M27,0))</f>
        <v>1122.9500000000116</v>
      </c>
      <c r="M24" s="1299">
        <f>(IF('Section Load'!N27&gt;0,'Section Load'!N27,0))</f>
        <v>65</v>
      </c>
      <c r="N24" s="1299">
        <f>(IF('Section Load'!O27&gt;0,'Section Load'!O27,0))</f>
        <v>2</v>
      </c>
      <c r="O24" s="1299">
        <f>(IF('Section Load'!P27&gt;0,'Section Load'!P27,0))</f>
        <v>32.980000000000018</v>
      </c>
      <c r="P24" s="1299">
        <f>(IF('Section Load'!Q27&gt;0,'Section Load'!Q27,0))</f>
        <v>57.049999999999272</v>
      </c>
      <c r="Q24" s="1299">
        <f>(IF('Section Load'!R27&gt;0,'Section Load'!R27,0))</f>
        <v>37.800000000000182</v>
      </c>
      <c r="R24" s="1299">
        <f>(IF('Section Load'!S27&gt;0,'Section Load'!S27,0))</f>
        <v>40</v>
      </c>
      <c r="S24" s="1299">
        <f>(IF('Section Load'!T27&gt;0,'Section Load'!T27,0))</f>
        <v>89</v>
      </c>
      <c r="T24" s="1299">
        <f>(IF('Section Load'!U27&gt;0,'Section Load'!U27,0))</f>
        <v>180</v>
      </c>
      <c r="U24" s="1299">
        <f>(IF('Section Load'!V27&gt;0,'Section Load'!V27,0))</f>
        <v>379.76000000000931</v>
      </c>
      <c r="V24" s="1299">
        <f>(IF('Section Load'!W27&gt;0,'Section Load'!W27,0))</f>
        <v>202.28000000002794</v>
      </c>
      <c r="W24" s="1299">
        <f>(IF('Section Load'!X27&gt;0,'Section Load'!X27,0))</f>
        <v>20.30000000000291</v>
      </c>
      <c r="X24" s="1299">
        <f>(IF('Section Load'!Y27&gt;0,'Section Load'!Y27,0))</f>
        <v>182.16999999999825</v>
      </c>
      <c r="Y24" s="1299">
        <f>(IF('Section Load'!Z27&gt;0,'Section Load'!Z27,0))</f>
        <v>174</v>
      </c>
      <c r="Z24" s="1299">
        <f>(IF('Section Load'!AA27&gt;0,'Section Load'!AA27,0))</f>
        <v>31.35999999998603</v>
      </c>
      <c r="AA24" s="1299">
        <f>(IF('Section Load'!AB27&gt;0,'Section Load'!AB27,0))</f>
        <v>10</v>
      </c>
      <c r="AB24" s="1299">
        <f>(IF('Section Load'!AC27&gt;0,'Section Load'!AC27,0))</f>
        <v>24.200000000011642</v>
      </c>
      <c r="AC24" s="1299">
        <f>(IF('Section Load'!AD27&gt;0,'Section Load'!AD27,0))</f>
        <v>10.699999999999818</v>
      </c>
      <c r="AD24" s="1299">
        <f>(IF('Section Load'!AE27&gt;0,'Section Load'!AE27,0))</f>
        <v>0</v>
      </c>
      <c r="AE24" s="1299">
        <f>(IF('Section Load'!AF27&gt;0,'Section Load'!AF27,0))</f>
        <v>4</v>
      </c>
      <c r="AF24" s="1299">
        <f>(IF('Section Load'!AG27&gt;0,'Section Load'!AG27,0))</f>
        <v>505.51999999998952</v>
      </c>
      <c r="AG24" s="1299">
        <f>(IF('Section Load'!AH27&gt;0,'Section Load'!AH27,0))</f>
        <v>382.07000000000698</v>
      </c>
      <c r="AH24" s="1299">
        <f>(IF('Section Load'!AI27&gt;0,'Section Load'!AI27,0))</f>
        <v>429.52999999999884</v>
      </c>
      <c r="AI24" s="1299">
        <f>(IF('Section Load'!AJ27&gt;0,'Section Load'!AJ27,0))</f>
        <v>453.32999999998719</v>
      </c>
      <c r="AJ24" s="1299">
        <f>(IF('Section Load'!AK27&gt;0,'Section Load'!AK27,0))</f>
        <v>0</v>
      </c>
      <c r="AK24" s="1299">
        <f>(IF('Section Load'!AL27&gt;0,'Section Load'!AL27,0))</f>
        <v>41.30000000000291</v>
      </c>
      <c r="AL24" s="1299">
        <f>(IF('Section Load'!AM27&gt;0,'Section Load'!AM27,0))</f>
        <v>788</v>
      </c>
      <c r="AM24" s="1300">
        <f>(IF('Water Report'!$Z$7&gt;0,'Water Report'!$Z$7,0))</f>
        <v>66</v>
      </c>
      <c r="AN24" s="1300">
        <f>(IF('Water Report'!$Z$8&gt;0,'Water Report'!$Z$8,0))</f>
        <v>78</v>
      </c>
      <c r="AO24" s="1300">
        <f>(IF('Water Report'!$Z$9&gt;0,'Water Report'!$Z$9,0))</f>
        <v>65</v>
      </c>
      <c r="AP24" s="1300">
        <f>(IF('Water Report'!$Z$10&gt;0,'Water Report'!$Z$10,0))</f>
        <v>19</v>
      </c>
      <c r="AQ24" s="1300">
        <f>(IF('Water Report'!$Z$11&gt;0,'Water Report'!$Z$11,0))</f>
        <v>21</v>
      </c>
      <c r="AR24" s="1300">
        <f>(IF('Water Report'!$Z$13&gt;0,'Water Report'!$Z$13,0))</f>
        <v>6</v>
      </c>
      <c r="AS24" s="1300">
        <f>(IF('Water Report'!$Z$14&gt;0,'Water Report'!$Z$14,0))</f>
        <v>17</v>
      </c>
      <c r="AT24" s="1300">
        <f>(IF('Water Report'!$Z$15&gt;0,'Water Report'!$Z$15,0))</f>
        <v>4</v>
      </c>
      <c r="AU24" s="1300">
        <f>(IF('Water Report'!$Z$17&gt;0,'Water Report'!$Z$17,0))</f>
        <v>4</v>
      </c>
      <c r="AV24" s="1300">
        <f>(IF('Water Report'!$Z$18&gt;0,'Water Report'!$Z$18,0))</f>
        <v>9</v>
      </c>
      <c r="AW24" s="1300">
        <f>(IF('Water Report'!$Z$19&gt;0,'Water Report'!$Z$19,0))</f>
        <v>6</v>
      </c>
      <c r="AX24" s="1379">
        <f>(IF('Water Report'!$Z$21&gt;0,'Water Report'!$Z$21,0))</f>
        <v>61</v>
      </c>
      <c r="AY24" s="1379">
        <f>(IF('Water Report'!$Z$22&gt;0,'Water Report'!$Z$22,0))</f>
        <v>9</v>
      </c>
      <c r="AZ24" s="1379">
        <f>(IF('Water Report'!$Z$23&gt;0,'Water Report'!$Z$23,0))</f>
        <v>20</v>
      </c>
      <c r="BA24" s="1379">
        <f>(IF('Water Report'!$Z$14&gt;0,'Water Report'!$Z$14,0))</f>
        <v>17</v>
      </c>
      <c r="BB24" s="1379">
        <f>(IF('Water Report'!$Z$15&gt;0,'Water Report'!$Z$15,0))</f>
        <v>4</v>
      </c>
      <c r="BC24" s="1379">
        <f>(IF('Water Report'!$Z$13&gt;0,'Water Report'!$Z$13,0))</f>
        <v>6</v>
      </c>
      <c r="BD24" s="1379">
        <f>(IF('Water Report'!$Z$24&gt;0,'Water Report'!$Z$24,0))</f>
        <v>138</v>
      </c>
      <c r="BE24" s="1379">
        <f>(IF('Water Report'!$Z$25&gt;0,'Water Report'!$Z$25,0))</f>
        <v>126</v>
      </c>
      <c r="BF24" s="1379">
        <f>(IF('Water Report'!$Z$27&gt;0,'Water Report'!$Z$27,0))</f>
        <v>87</v>
      </c>
      <c r="BG24" s="1301">
        <f>(IF('Section Load'!AN27&gt;0,'Section Load'!AN27,0))</f>
        <v>824.37599999993108</v>
      </c>
      <c r="BH24" s="1301">
        <f>(IF('Section Load'!AO27&gt;0,'Section Load'!AO27,0))</f>
        <v>259.4100000000326</v>
      </c>
      <c r="BI24" s="1301">
        <f>(IF('Section Load'!AP27&gt;0,'Section Load'!AP27,0))</f>
        <v>0.39999999999417923</v>
      </c>
      <c r="BJ24" s="1301">
        <f>(IF('Section Load'!AQ27&gt;0,'Section Load'!AQ27,0))</f>
        <v>89.070000000006985</v>
      </c>
      <c r="BK24" s="1301">
        <f>(IF('Section Load'!AR27&gt;0,'Section Load'!AR27,0))</f>
        <v>0.2000000000007276</v>
      </c>
      <c r="BL24" s="1301">
        <f>(IF('Section Load'!AS27&gt;0,'Section Load'!AS27,0))</f>
        <v>30.899999999999636</v>
      </c>
      <c r="BM24" s="1301">
        <f>(IF('Section Load'!AT27&gt;0,'Section Load'!AT27,0))</f>
        <v>444.39599999989696</v>
      </c>
    </row>
    <row r="25" spans="1:65">
      <c r="A25" s="1283" t="s">
        <v>301</v>
      </c>
      <c r="B25" s="1284">
        <f t="shared" si="0"/>
        <v>24</v>
      </c>
      <c r="C25" s="1284">
        <v>4</v>
      </c>
      <c r="D25" s="1284">
        <v>2021</v>
      </c>
      <c r="E25" s="1299">
        <f>(IF('Section Load'!F28&gt;0,'Section Load'!F28,0))</f>
        <v>2831.2299999999814</v>
      </c>
      <c r="F25" s="1299">
        <f>(IF('Section Load'!G28&gt;0,'Section Load'!G28,0))</f>
        <v>1337.4499999999971</v>
      </c>
      <c r="G25" s="1299">
        <f>(IF('Section Load'!H28&gt;0,'Section Load'!H28,0))</f>
        <v>1505.5000000000437</v>
      </c>
      <c r="H25" s="1299">
        <f>(IF('Section Load'!I28&gt;0,'Section Load'!I28,0))</f>
        <v>3515.9199999999837</v>
      </c>
      <c r="I25" s="1299">
        <f>(IF('Section Load'!J28&gt;0,'Section Load'!J28,0))</f>
        <v>5836.2600000000093</v>
      </c>
      <c r="J25" s="1299">
        <f>(IF('Section Load'!K28&gt;0,'Section Load'!K28,0))</f>
        <v>2344.4199999999255</v>
      </c>
      <c r="K25" s="1299">
        <f>(IF('Section Load'!L28&gt;0,'Section Load'!L28,0))</f>
        <v>897.59999999997672</v>
      </c>
      <c r="L25" s="1299">
        <f>(IF('Section Load'!M28&gt;0,'Section Load'!M28,0))</f>
        <v>978.39999999996508</v>
      </c>
      <c r="M25" s="1299">
        <f>(IF('Section Load'!N28&gt;0,'Section Load'!N28,0))</f>
        <v>56</v>
      </c>
      <c r="N25" s="1299">
        <f>(IF('Section Load'!O28&gt;0,'Section Load'!O28,0))</f>
        <v>3</v>
      </c>
      <c r="O25" s="1299">
        <f>(IF('Section Load'!P28&gt;0,'Section Load'!P28,0))</f>
        <v>35.579999999999927</v>
      </c>
      <c r="P25" s="1299">
        <f>(IF('Section Load'!Q28&gt;0,'Section Load'!Q28,0))</f>
        <v>61.940000000000509</v>
      </c>
      <c r="Q25" s="1299">
        <f>(IF('Section Load'!R28&gt;0,'Section Load'!R28,0))</f>
        <v>38.199999999999818</v>
      </c>
      <c r="R25" s="1299">
        <f>(IF('Section Load'!S28&gt;0,'Section Load'!S28,0))</f>
        <v>44</v>
      </c>
      <c r="S25" s="1299">
        <f>(IF('Section Load'!T28&gt;0,'Section Load'!T28,0))</f>
        <v>104</v>
      </c>
      <c r="T25" s="1299">
        <f>(IF('Section Load'!U28&gt;0,'Section Load'!U28,0))</f>
        <v>186</v>
      </c>
      <c r="U25" s="1299">
        <f>(IF('Section Load'!V28&gt;0,'Section Load'!V28,0))</f>
        <v>373.11999999999534</v>
      </c>
      <c r="V25" s="1299">
        <f>(IF('Section Load'!W28&gt;0,'Section Load'!W28,0))</f>
        <v>168.47999999998137</v>
      </c>
      <c r="W25" s="1299">
        <f>(IF('Section Load'!X28&gt;0,'Section Load'!X28,0))</f>
        <v>25.029999999998836</v>
      </c>
      <c r="X25" s="1299">
        <f>(IF('Section Load'!Y28&gt;0,'Section Load'!Y28,0))</f>
        <v>182.58099999999831</v>
      </c>
      <c r="Y25" s="1299">
        <f>(IF('Section Load'!Z28&gt;0,'Section Load'!Z28,0))</f>
        <v>245</v>
      </c>
      <c r="Z25" s="1299">
        <f>(IF('Section Load'!AA28&gt;0,'Section Load'!AA28,0))</f>
        <v>29.64000000001397</v>
      </c>
      <c r="AA25" s="1299">
        <f>(IF('Section Load'!AB28&gt;0,'Section Load'!AB28,0))</f>
        <v>12.399999999994179</v>
      </c>
      <c r="AB25" s="1299">
        <f>(IF('Section Load'!AC28&gt;0,'Section Load'!AC28,0))</f>
        <v>22.629999999975553</v>
      </c>
      <c r="AC25" s="1299">
        <f>(IF('Section Load'!AD28&gt;0,'Section Load'!AD28,0))</f>
        <v>11.999999999994543</v>
      </c>
      <c r="AD25" s="1299">
        <f>(IF('Section Load'!AE28&gt;0,'Section Load'!AE28,0))</f>
        <v>0</v>
      </c>
      <c r="AE25" s="1299">
        <f>(IF('Section Load'!AF28&gt;0,'Section Load'!AF28,0))</f>
        <v>5.1959000000001652</v>
      </c>
      <c r="AF25" s="1299">
        <f>(IF('Section Load'!AG28&gt;0,'Section Load'!AG28,0))</f>
        <v>508.20000000001164</v>
      </c>
      <c r="AG25" s="1299">
        <f>(IF('Section Load'!AH28&gt;0,'Section Load'!AH28,0))</f>
        <v>353.60000000000582</v>
      </c>
      <c r="AH25" s="1299">
        <f>(IF('Section Load'!AI28&gt;0,'Section Load'!AI28,0))</f>
        <v>399.70999999999913</v>
      </c>
      <c r="AI25" s="1299">
        <f>(IF('Section Load'!AJ28&gt;0,'Section Load'!AJ28,0))</f>
        <v>437.27999999999884</v>
      </c>
      <c r="AJ25" s="1299">
        <f>(IF('Section Load'!AK28&gt;0,'Section Load'!AK28,0))</f>
        <v>0</v>
      </c>
      <c r="AK25" s="1299">
        <f>(IF('Section Load'!AL28&gt;0,'Section Load'!AL28,0))</f>
        <v>50.5</v>
      </c>
      <c r="AL25" s="1299">
        <f>(IF('Section Load'!AM28&gt;0,'Section Load'!AM28,0))</f>
        <v>787</v>
      </c>
      <c r="AM25" s="1300">
        <f>(IF('Water Report'!$AA$7&gt;0,'Water Report'!$AA$7,0))</f>
        <v>86</v>
      </c>
      <c r="AN25" s="1300">
        <f>(IF('Water Report'!$AA$8&gt;0,'Water Report'!$AA$8,0))</f>
        <v>133</v>
      </c>
      <c r="AO25" s="1300">
        <f>(IF('Water Report'!$AA$9&gt;0,'Water Report'!$AA$9,0))</f>
        <v>96</v>
      </c>
      <c r="AP25" s="1300">
        <f>(IF('Water Report'!$AA$10&gt;0,'Water Report'!$AA$10,0))</f>
        <v>21</v>
      </c>
      <c r="AQ25" s="1300">
        <f>(IF('Water Report'!$AA$11&gt;0,'Water Report'!$AA$11,0))</f>
        <v>17</v>
      </c>
      <c r="AR25" s="1300">
        <f>(IF('Water Report'!$AA$13&gt;0,'Water Report'!$AA$13,0))</f>
        <v>5</v>
      </c>
      <c r="AS25" s="1300">
        <f>(IF('Water Report'!$AA$14&gt;0,'Water Report'!$AA$14,0))</f>
        <v>11</v>
      </c>
      <c r="AT25" s="1300">
        <f>(IF('Water Report'!$AA$15&gt;0,'Water Report'!$AA$15,0))</f>
        <v>4</v>
      </c>
      <c r="AU25" s="1300">
        <f>(IF('Water Report'!$AA$17&gt;0,'Water Report'!$AA$17,0))</f>
        <v>1</v>
      </c>
      <c r="AV25" s="1300">
        <f>(IF('Water Report'!$AA$18&gt;0,'Water Report'!$AA$18,0))</f>
        <v>13</v>
      </c>
      <c r="AW25" s="1300">
        <f>(IF('Water Report'!$AA$19&gt;0,'Water Report'!$AA$19,0))</f>
        <v>9</v>
      </c>
      <c r="AX25" s="1379">
        <f>(IF('Water Report'!$AA$21&gt;0,'Water Report'!$AA$21,0))</f>
        <v>61</v>
      </c>
      <c r="AY25" s="1379">
        <f>(IF('Water Report'!$AA$22&gt;0,'Water Report'!$AA$22,0))</f>
        <v>11</v>
      </c>
      <c r="AZ25" s="1379">
        <f>(IF('Water Report'!$AA$23&gt;0,'Water Report'!$AA$23,0))</f>
        <v>0</v>
      </c>
      <c r="BA25" s="1379">
        <f>(IF('Water Report'!$AA$14&gt;0,'Water Report'!$AA$14,0))</f>
        <v>11</v>
      </c>
      <c r="BB25" s="1379">
        <f>(IF('Water Report'!$AA$15&gt;0,'Water Report'!$AA$15,0))</f>
        <v>4</v>
      </c>
      <c r="BC25" s="1379">
        <f>(IF('Water Report'!$AA$13&gt;0,'Water Report'!$AA$13,0))</f>
        <v>5</v>
      </c>
      <c r="BD25" s="1379">
        <f>(IF('Water Report'!$AA$24&gt;0,'Water Report'!$AA$24,0))</f>
        <v>158</v>
      </c>
      <c r="BE25" s="1379">
        <f>(IF('Water Report'!$AA$25&gt;0,'Water Report'!$AA$25,0))</f>
        <v>149</v>
      </c>
      <c r="BF25" s="1379">
        <f>(IF('Water Report'!$AA$27&gt;0,'Water Report'!$AA$27,0))</f>
        <v>66</v>
      </c>
      <c r="BG25" s="1301">
        <f>(IF('Section Load'!AN28&gt;0,'Section Load'!AN28,0))</f>
        <v>817.29200000013225</v>
      </c>
      <c r="BH25" s="1301">
        <f>(IF('Section Load'!AO28&gt;0,'Section Load'!AO28,0))</f>
        <v>235.02999999991152</v>
      </c>
      <c r="BI25" s="1301">
        <f>(IF('Section Load'!AP28&gt;0,'Section Load'!AP28,0))</f>
        <v>0</v>
      </c>
      <c r="BJ25" s="1301">
        <f>(IF('Section Load'!AQ28&gt;0,'Section Load'!AQ28,0))</f>
        <v>91.979999999981374</v>
      </c>
      <c r="BK25" s="1301">
        <f>(IF('Section Load'!AR28&gt;0,'Section Load'!AR28,0))</f>
        <v>0</v>
      </c>
      <c r="BL25" s="1301">
        <f>(IF('Section Load'!AS28&gt;0,'Section Load'!AS28,0))</f>
        <v>0.1000000000003638</v>
      </c>
      <c r="BM25" s="1301">
        <f>(IF('Section Load'!AT28&gt;0,'Section Load'!AT28,0))</f>
        <v>490.58200000023317</v>
      </c>
    </row>
    <row r="26" spans="1:65">
      <c r="A26" s="1283" t="s">
        <v>301</v>
      </c>
      <c r="B26" s="1284">
        <f>B25+1</f>
        <v>25</v>
      </c>
      <c r="C26" s="1284">
        <v>4</v>
      </c>
      <c r="D26" s="1284">
        <v>2021</v>
      </c>
      <c r="E26" s="1299">
        <f>(IF('Section Load'!F29&gt;0,'Section Load'!F29,0))</f>
        <v>3053.3800000000047</v>
      </c>
      <c r="F26" s="1299">
        <f>(IF('Section Load'!G29&gt;0,'Section Load'!G29,0))</f>
        <v>1346.3300000000017</v>
      </c>
      <c r="G26" s="1299">
        <f>(IF('Section Load'!H29&gt;0,'Section Load'!H29,0))</f>
        <v>1455.6799999999494</v>
      </c>
      <c r="H26" s="1299">
        <f>(IF('Section Load'!I29&gt;0,'Section Load'!I29,0))</f>
        <v>3630.5200000000186</v>
      </c>
      <c r="I26" s="1299">
        <f>(IF('Section Load'!J29&gt;0,'Section Load'!J29,0))</f>
        <v>7229.7499999999709</v>
      </c>
      <c r="J26" s="1299">
        <f>(IF('Section Load'!K29&gt;0,'Section Load'!K29,0))</f>
        <v>2595.2199999999721</v>
      </c>
      <c r="K26" s="1299">
        <f>(IF('Section Load'!L29&gt;0,'Section Load'!L29,0))</f>
        <v>1368.2399999999907</v>
      </c>
      <c r="L26" s="1299">
        <f>(IF('Section Load'!M29&gt;0,'Section Load'!M29,0))</f>
        <v>1014.9200000000419</v>
      </c>
      <c r="M26" s="1299">
        <f>(IF('Section Load'!N29&gt;0,'Section Load'!N29,0))</f>
        <v>58</v>
      </c>
      <c r="N26" s="1299">
        <f>(IF('Section Load'!O29&gt;0,'Section Load'!O29,0))</f>
        <v>29</v>
      </c>
      <c r="O26" s="1299">
        <f>(IF('Section Load'!P29&gt;0,'Section Load'!P29,0))</f>
        <v>34.240000000000236</v>
      </c>
      <c r="P26" s="1299">
        <f>(IF('Section Load'!Q29&gt;0,'Section Load'!Q29,0))</f>
        <v>64.630000000001019</v>
      </c>
      <c r="Q26" s="1299">
        <f>(IF('Section Load'!R29&gt;0,'Section Load'!R29,0))</f>
        <v>31.880000000000109</v>
      </c>
      <c r="R26" s="1299">
        <f>(IF('Section Load'!S29&gt;0,'Section Load'!S29,0))</f>
        <v>45</v>
      </c>
      <c r="S26" s="1299">
        <f>(IF('Section Load'!T29&gt;0,'Section Load'!T29,0))</f>
        <v>42</v>
      </c>
      <c r="T26" s="1299">
        <f>(IF('Section Load'!U29&gt;0,'Section Load'!U29,0))</f>
        <v>171</v>
      </c>
      <c r="U26" s="1299">
        <f>(IF('Section Load'!V29&gt;0,'Section Load'!V29,0))</f>
        <v>418.76000000000931</v>
      </c>
      <c r="V26" s="1299">
        <f>(IF('Section Load'!W29&gt;0,'Section Load'!W29,0))</f>
        <v>197.88000000000466</v>
      </c>
      <c r="W26" s="1299">
        <f>(IF('Section Load'!X29&gt;0,'Section Load'!X29,0))</f>
        <v>24.580000000001746</v>
      </c>
      <c r="X26" s="1299">
        <f>(IF('Section Load'!Y29&gt;0,'Section Load'!Y29,0))</f>
        <v>153.89900000000489</v>
      </c>
      <c r="Y26" s="1299">
        <f>(IF('Section Load'!Z29&gt;0,'Section Load'!Z29,0))</f>
        <v>187</v>
      </c>
      <c r="Z26" s="1299">
        <f>(IF('Section Load'!AA29&gt;0,'Section Load'!AA29,0))</f>
        <v>32.440000000002328</v>
      </c>
      <c r="AA26" s="1299">
        <f>(IF('Section Load'!AB29&gt;0,'Section Load'!AB29,0))</f>
        <v>11.900000000008731</v>
      </c>
      <c r="AB26" s="1299">
        <f>(IF('Section Load'!AC29&gt;0,'Section Load'!AC29,0))</f>
        <v>24.670000000012806</v>
      </c>
      <c r="AC26" s="1299">
        <f>(IF('Section Load'!AD29&gt;0,'Section Load'!AD29,0))</f>
        <v>11.900000000008731</v>
      </c>
      <c r="AD26" s="1299">
        <f>(IF('Section Load'!AE29&gt;0,'Section Load'!AE29,0))</f>
        <v>0</v>
      </c>
      <c r="AE26" s="1299">
        <f>(IF('Section Load'!AF29&gt;0,'Section Load'!AF29,0))</f>
        <v>6.1440999999999804</v>
      </c>
      <c r="AF26" s="1299">
        <f>(IF('Section Load'!AG29&gt;0,'Section Load'!AG29,0))</f>
        <v>509.97000000000116</v>
      </c>
      <c r="AG26" s="1299">
        <f>(IF('Section Load'!AH29&gt;0,'Section Load'!AH29,0))</f>
        <v>362.50999999998021</v>
      </c>
      <c r="AH26" s="1299">
        <f>(IF('Section Load'!AI29&gt;0,'Section Load'!AI29,0))</f>
        <v>388.16000000000349</v>
      </c>
      <c r="AI26" s="1299">
        <f>(IF('Section Load'!AJ29&gt;0,'Section Load'!AJ29,0))</f>
        <v>382.5</v>
      </c>
      <c r="AJ26" s="1299">
        <f>(IF('Section Load'!AK29&gt;0,'Section Load'!AK29,0))</f>
        <v>0</v>
      </c>
      <c r="AK26" s="1299">
        <f>(IF('Section Load'!AL29&gt;0,'Section Load'!AL29,0))</f>
        <v>133</v>
      </c>
      <c r="AL26" s="1299">
        <f>(IF('Section Load'!AM29&gt;0,'Section Load'!AM29,0))</f>
        <v>890</v>
      </c>
      <c r="AM26" s="1300">
        <f>(IF('Water Report'!$AB$7&gt;0,'Water Report'!$AB$7,0))</f>
        <v>70</v>
      </c>
      <c r="AN26" s="1300">
        <f>(IF('Water Report'!$AB$8&gt;0,'Water Report'!$AB$8,0))</f>
        <v>100</v>
      </c>
      <c r="AO26" s="1300">
        <f>(IF('Water Report'!$AB$9&gt;0,'Water Report'!$AB$9,0))</f>
        <v>56</v>
      </c>
      <c r="AP26" s="1300">
        <f>(IF('Water Report'!$AB$10&gt;0,'Water Report'!$AB$10,0))</f>
        <v>27</v>
      </c>
      <c r="AQ26" s="1300">
        <f>(IF('Water Report'!$AB$11&gt;0,'Water Report'!$AB$11,0))</f>
        <v>17</v>
      </c>
      <c r="AR26" s="1300">
        <f>(IF('Water Report'!$AB$13&gt;0,'Water Report'!$AB$13,0))</f>
        <v>5</v>
      </c>
      <c r="AS26" s="1300">
        <f>(IF('Water Report'!$AB$14&gt;0,'Water Report'!$AB$14,0))</f>
        <v>7</v>
      </c>
      <c r="AT26" s="1300">
        <f>(IF('Water Report'!$AB$15&gt;0,'Water Report'!$AB$15,0))</f>
        <v>12</v>
      </c>
      <c r="AU26" s="1300">
        <f>(IF('Water Report'!$AB$17&gt;0,'Water Report'!$AB$17,0))</f>
        <v>13</v>
      </c>
      <c r="AV26" s="1300">
        <f>(IF('Water Report'!$AB$18&gt;0,'Water Report'!$AB$18,0))</f>
        <v>5</v>
      </c>
      <c r="AW26" s="1300">
        <f>(IF('Water Report'!$AB$19&gt;0,'Water Report'!$AB$19,0))</f>
        <v>7</v>
      </c>
      <c r="AX26" s="1379">
        <f>(IF('Water Report'!$AB$21&gt;0,'Water Report'!$AB$21,0))</f>
        <v>86</v>
      </c>
      <c r="AY26" s="1379">
        <f>(IF('Water Report'!$AB$22&gt;0,'Water Report'!$AB$22,0))</f>
        <v>0</v>
      </c>
      <c r="AZ26" s="1379">
        <f>(IF('Water Report'!$AB$23&gt;0,'Water Report'!$AB$23,0))</f>
        <v>0</v>
      </c>
      <c r="BA26" s="1379">
        <f>(IF('Water Report'!$AB$14&gt;0,'Water Report'!$AB$14,0))</f>
        <v>7</v>
      </c>
      <c r="BB26" s="1379">
        <f>(IF('Water Report'!$AB$15&gt;0,'Water Report'!$AB$15,0))</f>
        <v>12</v>
      </c>
      <c r="BC26" s="1379">
        <f>(IF('Water Report'!$AB$13&gt;0,'Water Report'!$AB$13,0))</f>
        <v>5</v>
      </c>
      <c r="BD26" s="1379">
        <f>(IF('Water Report'!$AB$24&gt;0,'Water Report'!$AB$24,0))</f>
        <v>133</v>
      </c>
      <c r="BE26" s="1379">
        <f>(IF('Water Report'!$AB$25&gt;0,'Water Report'!$AB$25,0))</f>
        <v>119</v>
      </c>
      <c r="BF26" s="1379">
        <f>(IF('Water Report'!$AB$27&gt;0,'Water Report'!$AB$27,0))</f>
        <v>91</v>
      </c>
      <c r="BG26" s="1301">
        <f>(IF('Section Load'!AN29&gt;0,'Section Load'!AN29,0))</f>
        <v>698.87399999983609</v>
      </c>
      <c r="BH26" s="1301">
        <f>(IF('Section Load'!AO29&gt;0,'Section Load'!AO29,0))</f>
        <v>257.38000000000466</v>
      </c>
      <c r="BI26" s="1301">
        <f>(IF('Section Load'!AP29&gt;0,'Section Load'!AP29,0))</f>
        <v>0.39999999999417923</v>
      </c>
      <c r="BJ26" s="1301">
        <f>(IF('Section Load'!AQ29&gt;0,'Section Load'!AQ29,0))</f>
        <v>82.75</v>
      </c>
      <c r="BK26" s="1301">
        <f>(IF('Section Load'!AR29&gt;0,'Section Load'!AR29,0))</f>
        <v>0</v>
      </c>
      <c r="BL26" s="1301">
        <f>(IF('Section Load'!AS29&gt;0,'Section Load'!AS29,0))</f>
        <v>0.2000000000007276</v>
      </c>
      <c r="BM26" s="1301">
        <f>(IF('Section Load'!AT29&gt;0,'Section Load'!AT29,0))</f>
        <v>358.14399999983652</v>
      </c>
    </row>
    <row r="27" spans="1:65">
      <c r="A27" s="1283" t="s">
        <v>301</v>
      </c>
      <c r="B27" s="1284">
        <f t="shared" si="0"/>
        <v>26</v>
      </c>
      <c r="C27" s="1284">
        <v>4</v>
      </c>
      <c r="D27" s="1284">
        <v>2021</v>
      </c>
      <c r="E27" s="1299">
        <f>(IF('Section Load'!F30&gt;0,'Section Load'!F30,0))</f>
        <v>3075.9499999999534</v>
      </c>
      <c r="F27" s="1299">
        <f>(IF('Section Load'!G30&gt;0,'Section Load'!G30,0))</f>
        <v>1331.4199999999983</v>
      </c>
      <c r="G27" s="1299">
        <f>(IF('Section Load'!H30&gt;0,'Section Load'!H30,0))</f>
        <v>1433.6900000000023</v>
      </c>
      <c r="H27" s="1299">
        <f>(IF('Section Load'!I30&gt;0,'Section Load'!I30,0))</f>
        <v>3523.5</v>
      </c>
      <c r="I27" s="1299">
        <f>(IF('Section Load'!J30&gt;0,'Section Load'!J30,0))</f>
        <v>6105.3299999999581</v>
      </c>
      <c r="J27" s="1299">
        <f>(IF('Section Load'!K30&gt;0,'Section Load'!K30,0))</f>
        <v>2549.2400000001071</v>
      </c>
      <c r="K27" s="1299">
        <f>(IF('Section Load'!L30&gt;0,'Section Load'!L30,0))</f>
        <v>1194.0400000000373</v>
      </c>
      <c r="L27" s="1299">
        <f>(IF('Section Load'!M30&gt;0,'Section Load'!M30,0))</f>
        <v>766.79999999998836</v>
      </c>
      <c r="M27" s="1299">
        <f>(IF('Section Load'!N30&gt;0,'Section Load'!N30,0))</f>
        <v>57</v>
      </c>
      <c r="N27" s="1299">
        <f>(IF('Section Load'!O30&gt;0,'Section Load'!O30,0))</f>
        <v>1</v>
      </c>
      <c r="O27" s="1299">
        <f>(IF('Section Load'!P30&gt;0,'Section Load'!P30,0))</f>
        <v>31.698999999999614</v>
      </c>
      <c r="P27" s="1299">
        <f>(IF('Section Load'!Q30&gt;0,'Section Load'!Q30,0))</f>
        <v>63.199999999998909</v>
      </c>
      <c r="Q27" s="1299">
        <f>(IF('Section Load'!R30&gt;0,'Section Load'!R30,0))</f>
        <v>44.920000000000073</v>
      </c>
      <c r="R27" s="1299">
        <f>(IF('Section Load'!S30&gt;0,'Section Load'!S30,0))</f>
        <v>44</v>
      </c>
      <c r="S27" s="1299">
        <f>(IF('Section Load'!T30&gt;0,'Section Load'!T30,0))</f>
        <v>57</v>
      </c>
      <c r="T27" s="1299">
        <f>(IF('Section Load'!U30&gt;0,'Section Load'!U30,0))</f>
        <v>203</v>
      </c>
      <c r="U27" s="1299">
        <f>(IF('Section Load'!V30&gt;0,'Section Load'!V30,0))</f>
        <v>353.39999999996508</v>
      </c>
      <c r="V27" s="1299">
        <f>(IF('Section Load'!W30&gt;0,'Section Load'!W30,0))</f>
        <v>133.47999999998137</v>
      </c>
      <c r="W27" s="1299">
        <f>(IF('Section Load'!X30&gt;0,'Section Load'!X30,0))</f>
        <v>17.360000000000582</v>
      </c>
      <c r="X27" s="1299">
        <f>(IF('Section Load'!Y30&gt;0,'Section Load'!Y30,0))</f>
        <v>153.16100000000006</v>
      </c>
      <c r="Y27" s="1299">
        <f>(IF('Section Load'!Z30&gt;0,'Section Load'!Z30,0))</f>
        <v>277</v>
      </c>
      <c r="Z27" s="1299">
        <f>(IF('Section Load'!AA30&gt;0,'Section Load'!AA30,0))</f>
        <v>191.59999999997672</v>
      </c>
      <c r="AA27" s="1299">
        <f>(IF('Section Load'!AB30&gt;0,'Section Load'!AB30,0))</f>
        <v>15.099999999991269</v>
      </c>
      <c r="AB27" s="1299">
        <f>(IF('Section Load'!AC30&gt;0,'Section Load'!AC30,0))</f>
        <v>123.20999999999185</v>
      </c>
      <c r="AC27" s="1299">
        <f>(IF('Section Load'!AD30&gt;0,'Section Load'!AD30,0))</f>
        <v>15.099999999991269</v>
      </c>
      <c r="AD27" s="1299">
        <f>(IF('Section Load'!AE30&gt;0,'Section Load'!AE30,0))</f>
        <v>0</v>
      </c>
      <c r="AE27" s="1299">
        <f>(IF('Section Load'!AF30&gt;0,'Section Load'!AF30,0))</f>
        <v>5.75</v>
      </c>
      <c r="AF27" s="1299">
        <f>(IF('Section Load'!AG30&gt;0,'Section Load'!AG30,0))</f>
        <v>495.32999999998719</v>
      </c>
      <c r="AG27" s="1299">
        <f>(IF('Section Load'!AH30&gt;0,'Section Load'!AH30,0))</f>
        <v>368.30000000001746</v>
      </c>
      <c r="AH27" s="1299">
        <f>(IF('Section Load'!AI30&gt;0,'Section Load'!AI30,0))</f>
        <v>378.51000000000204</v>
      </c>
      <c r="AI27" s="1299">
        <f>(IF('Section Load'!AJ30&gt;0,'Section Load'!AJ30,0))</f>
        <v>389.02000000001863</v>
      </c>
      <c r="AJ27" s="1299">
        <f>(IF('Section Load'!AK30&gt;0,'Section Load'!AK30,0))</f>
        <v>0</v>
      </c>
      <c r="AK27" s="1299">
        <f>(IF('Section Load'!AL30&gt;0,'Section Load'!AL30,0))</f>
        <v>120.47000000000116</v>
      </c>
      <c r="AL27" s="1299">
        <f>(IF('Section Load'!AM30&gt;0,'Section Load'!AM30,0))</f>
        <v>981</v>
      </c>
      <c r="AM27" s="1300">
        <f>(IF('Water Report'!$AC$7&gt;0,'Water Report'!$AC$7,0))</f>
        <v>57</v>
      </c>
      <c r="AN27" s="1300">
        <f>(IF('Water Report'!$AC$8&gt;0,'Water Report'!$AC$8,0))</f>
        <v>119</v>
      </c>
      <c r="AO27" s="1300">
        <f>(IF('Water Report'!$AC$9&gt;0,'Water Report'!$AC$9,0))</f>
        <v>80</v>
      </c>
      <c r="AP27" s="1300">
        <f>(IF('Water Report'!$AC$10&gt;0,'Water Report'!$AC$10,0))</f>
        <v>21</v>
      </c>
      <c r="AQ27" s="1300">
        <f>(IF('Water Report'!$AC$11&gt;0,'Water Report'!$AC$11,0))</f>
        <v>14</v>
      </c>
      <c r="AR27" s="1300">
        <f>(IF('Water Report'!$AC$13&gt;0,'Water Report'!$AC$13,0))</f>
        <v>10</v>
      </c>
      <c r="AS27" s="1300">
        <f>(IF('Water Report'!$AC$14&gt;0,'Water Report'!$AC$14,0))</f>
        <v>10</v>
      </c>
      <c r="AT27" s="1300">
        <f>(IF('Water Report'!$AC$15&gt;0,'Water Report'!$AC$15,0))</f>
        <v>5</v>
      </c>
      <c r="AU27" s="1300">
        <f>(IF('Water Report'!$AC$17&gt;0,'Water Report'!$AC$17,0))</f>
        <v>0</v>
      </c>
      <c r="AV27" s="1300">
        <f>(IF('Water Report'!$AC$18&gt;0,'Water Report'!$AC$18,0))</f>
        <v>8</v>
      </c>
      <c r="AW27" s="1300">
        <f>(IF('Water Report'!$AC$19&gt;0,'Water Report'!$AC$19,0))</f>
        <v>5</v>
      </c>
      <c r="AX27" s="1379">
        <f>(IF('Water Report'!$AC$21&gt;0,'Water Report'!$AC$21,0))</f>
        <v>64</v>
      </c>
      <c r="AY27" s="1379">
        <f>(IF('Water Report'!$AC$22&gt;0,'Water Report'!$AC$22,0))</f>
        <v>18</v>
      </c>
      <c r="AZ27" s="1379">
        <f>(IF('Water Report'!$AC$23&gt;0,'Water Report'!$AC$23,0))</f>
        <v>17</v>
      </c>
      <c r="BA27" s="1379">
        <f>(IF('Water Report'!$AC$14&gt;0,'Water Report'!$AC$14,0))</f>
        <v>10</v>
      </c>
      <c r="BB27" s="1379">
        <f>(IF('Water Report'!$AC$15&gt;0,'Water Report'!$AC$15,0))</f>
        <v>5</v>
      </c>
      <c r="BC27" s="1379">
        <f>(IF('Water Report'!$AC$13&gt;0,'Water Report'!$AC$13,0))</f>
        <v>10</v>
      </c>
      <c r="BD27" s="1379">
        <f>(IF('Water Report'!$AC$24&gt;0,'Water Report'!$AC$24,0))</f>
        <v>159</v>
      </c>
      <c r="BE27" s="1379">
        <f>(IF('Water Report'!$AC$25&gt;0,'Water Report'!$AC$25,0))</f>
        <v>130</v>
      </c>
      <c r="BF27" s="1379">
        <f>(IF('Water Report'!$AC$27&gt;0,'Water Report'!$AC$27,0))</f>
        <v>91</v>
      </c>
      <c r="BG27" s="1301">
        <f>(IF('Section Load'!AN30&gt;0,'Section Load'!AN30,0))</f>
        <v>688.53800000017509</v>
      </c>
      <c r="BH27" s="1301">
        <f>(IF('Section Load'!AO30&gt;0,'Section Load'!AO30,0))</f>
        <v>228.63000000000466</v>
      </c>
      <c r="BI27" s="1301">
        <f>(IF('Section Load'!AP30&gt;0,'Section Load'!AP30,0))</f>
        <v>0</v>
      </c>
      <c r="BJ27" s="1301">
        <f>(IF('Section Load'!AQ30&gt;0,'Section Load'!AQ30,0))</f>
        <v>66.420000000012806</v>
      </c>
      <c r="BK27" s="1301">
        <f>(IF('Section Load'!AR30&gt;0,'Section Load'!AR30,0))</f>
        <v>0</v>
      </c>
      <c r="BL27" s="1301">
        <f>(IF('Section Load'!AS30&gt;0,'Section Load'!AS30,0))</f>
        <v>0</v>
      </c>
      <c r="BM27" s="1301">
        <f>(IF('Section Load'!AT30&gt;0,'Section Load'!AT30,0))</f>
        <v>393.78800000014598</v>
      </c>
    </row>
    <row r="28" spans="1:65">
      <c r="A28" s="1283" t="s">
        <v>301</v>
      </c>
      <c r="B28" s="1284">
        <f t="shared" si="0"/>
        <v>27</v>
      </c>
      <c r="C28" s="1284">
        <v>4</v>
      </c>
      <c r="D28" s="1284">
        <v>2021</v>
      </c>
      <c r="E28" s="1299">
        <f>(IF('Section Load'!F31&gt;0,'Section Load'!F31,0))</f>
        <v>2619.3600000001024</v>
      </c>
      <c r="F28" s="1299">
        <f>(IF('Section Load'!G31&gt;0,'Section Load'!G31,0))</f>
        <v>1174.25</v>
      </c>
      <c r="G28" s="1299">
        <f>(IF('Section Load'!H31&gt;0,'Section Load'!H31,0))</f>
        <v>1256</v>
      </c>
      <c r="H28" s="1299">
        <f>(IF('Section Load'!I31&gt;0,'Section Load'!I31,0))</f>
        <v>3319.6199999999953</v>
      </c>
      <c r="I28" s="1299">
        <f>(IF('Section Load'!J31&gt;0,'Section Load'!J31,0))</f>
        <v>5057.4740000000165</v>
      </c>
      <c r="J28" s="1299">
        <f>(IF('Section Load'!K31&gt;0,'Section Load'!K31,0))</f>
        <v>2417.7599999998929</v>
      </c>
      <c r="K28" s="1299">
        <f>(IF('Section Load'!L31&gt;0,'Section Load'!L31,0))</f>
        <v>949.11999999999534</v>
      </c>
      <c r="L28" s="1299">
        <f>(IF('Section Load'!M31&gt;0,'Section Load'!M31,0))</f>
        <v>390.47999999998137</v>
      </c>
      <c r="M28" s="1299">
        <f>(IF('Section Load'!N31&gt;0,'Section Load'!N31,0))</f>
        <v>61</v>
      </c>
      <c r="N28" s="1299">
        <f>(IF('Section Load'!O31&gt;0,'Section Load'!O31,0))</f>
        <v>1</v>
      </c>
      <c r="O28" s="1299">
        <f>(IF('Section Load'!P31&gt;0,'Section Load'!P31,0))</f>
        <v>29.46100000000024</v>
      </c>
      <c r="P28" s="1299">
        <f>(IF('Section Load'!Q31&gt;0,'Section Load'!Q31,0))</f>
        <v>54.100000000000364</v>
      </c>
      <c r="Q28" s="1299">
        <f>(IF('Section Load'!R31&gt;0,'Section Load'!R31,0))</f>
        <v>47.849999999999454</v>
      </c>
      <c r="R28" s="1299">
        <f>(IF('Section Load'!S31&gt;0,'Section Load'!S31,0))</f>
        <v>44</v>
      </c>
      <c r="S28" s="1299">
        <f>(IF('Section Load'!T31&gt;0,'Section Load'!T31,0))</f>
        <v>45</v>
      </c>
      <c r="T28" s="1299">
        <f>(IF('Section Load'!U31&gt;0,'Section Load'!U31,0))</f>
        <v>190</v>
      </c>
      <c r="U28" s="1299">
        <f>(IF('Section Load'!V31&gt;0,'Section Load'!V31,0))</f>
        <v>337.20000000001164</v>
      </c>
      <c r="V28" s="1299">
        <f>(IF('Section Load'!W31&gt;0,'Section Load'!W31,0))</f>
        <v>29.440000000060536</v>
      </c>
      <c r="W28" s="1299">
        <f>(IF('Section Load'!X31&gt;0,'Section Load'!X31,0))</f>
        <v>20.899999999994179</v>
      </c>
      <c r="X28" s="1299">
        <f>(IF('Section Load'!Y31&gt;0,'Section Load'!Y31,0))</f>
        <v>161.54899999999907</v>
      </c>
      <c r="Y28" s="1299">
        <f>(IF('Section Load'!Z31&gt;0,'Section Load'!Z31,0))</f>
        <v>143</v>
      </c>
      <c r="Z28" s="1299">
        <f>(IF('Section Load'!AA31&gt;0,'Section Load'!AA31,0))</f>
        <v>178.72000000003027</v>
      </c>
      <c r="AA28" s="1299">
        <f>(IF('Section Load'!AB31&gt;0,'Section Load'!AB31,0))</f>
        <v>12.100000000005821</v>
      </c>
      <c r="AB28" s="1299">
        <f>(IF('Section Load'!AC31&gt;0,'Section Load'!AC31,0))</f>
        <v>22.480000000010477</v>
      </c>
      <c r="AC28" s="1299">
        <f>(IF('Section Load'!AD31&gt;0,'Section Load'!AD31,0))</f>
        <v>12.100000000005821</v>
      </c>
      <c r="AD28" s="1299">
        <f>(IF('Section Load'!AE31&gt;0,'Section Load'!AE31,0))</f>
        <v>0</v>
      </c>
      <c r="AE28" s="1299">
        <f>(IF('Section Load'!AF31&gt;0,'Section Load'!AF31,0))</f>
        <v>5.1999999999998181</v>
      </c>
      <c r="AF28" s="1299">
        <f>(IF('Section Load'!AG31&gt;0,'Section Load'!AG31,0))</f>
        <v>477.18000000002212</v>
      </c>
      <c r="AG28" s="1299">
        <f>(IF('Section Load'!AH31&gt;0,'Section Load'!AH31,0))</f>
        <v>348.55999999999767</v>
      </c>
      <c r="AH28" s="1299">
        <f>(IF('Section Load'!AI31&gt;0,'Section Load'!AI31,0))</f>
        <v>363.73999999999796</v>
      </c>
      <c r="AI28" s="1299">
        <f>(IF('Section Load'!AJ31&gt;0,'Section Load'!AJ31,0))</f>
        <v>382.39999999999418</v>
      </c>
      <c r="AJ28" s="1299">
        <f>(IF('Section Load'!AK31&gt;0,'Section Load'!AK31,0))</f>
        <v>0</v>
      </c>
      <c r="AK28" s="1299">
        <f>(IF('Section Load'!AL31&gt;0,'Section Load'!AL31,0))</f>
        <v>36.080000000001746</v>
      </c>
      <c r="AL28" s="1299">
        <f>(IF('Section Load'!AM31&gt;0,'Section Load'!AM31,0))</f>
        <v>821</v>
      </c>
      <c r="AM28" s="1300">
        <f>(IF('Water Report'!$AD$7&gt;0,'Water Report'!$AD$7,0))</f>
        <v>34</v>
      </c>
      <c r="AN28" s="1300">
        <f>(IF('Water Report'!$AD$8&gt;0,'Water Report'!$AD$8,0))</f>
        <v>48</v>
      </c>
      <c r="AO28" s="1300">
        <f>(IF('Water Report'!$AD$9&gt;0,'Water Report'!$AD$9,0))</f>
        <v>61</v>
      </c>
      <c r="AP28" s="1300">
        <f>(IF('Water Report'!$AD$10&gt;0,'Water Report'!AD$10,0))</f>
        <v>15</v>
      </c>
      <c r="AQ28" s="1300">
        <f>(IF('Water Report'!$AD$11&gt;0,'Water Report'!AE$11,0))</f>
        <v>8</v>
      </c>
      <c r="AR28" s="1300">
        <f>(IF('Water Report'!$AD$13&gt;0,'Water Report'!AF$13,0))</f>
        <v>6</v>
      </c>
      <c r="AS28" s="1300">
        <f>(IF('Water Report'!$AD$14&gt;0,'Water Report'!AG$14,0))</f>
        <v>5</v>
      </c>
      <c r="AT28" s="1300">
        <f>(IF('Water Report'!$AD$15&gt;0,'Water Report'!AH$15,0))</f>
        <v>0</v>
      </c>
      <c r="AU28" s="1300">
        <f>(IF('Water Report'!$AD$17&gt;0,'Water Report'!AI$17,0))</f>
        <v>0</v>
      </c>
      <c r="AV28" s="1300">
        <f>(IF('Water Report'!$AD$18&gt;0,'Water Report'!AJ$18,0))</f>
        <v>0</v>
      </c>
      <c r="AW28" s="1300">
        <f>(IF('Water Report'!$AD$19&gt;0,'Water Report'!AK$19,0))</f>
        <v>0</v>
      </c>
      <c r="AX28" s="1379">
        <f>(IF('Water Report'!$AD$21&gt;0,'Water Report'!AL$21,0))</f>
        <v>0</v>
      </c>
      <c r="AY28" s="1379">
        <f>(IF('Water Report'!$AD$22&gt;0,'Water Report'!AM$22,0))</f>
        <v>0</v>
      </c>
      <c r="AZ28" s="1379">
        <f>(IF('Water Report'!$AD$23&gt;0,'Water Report'!AN$23,0))</f>
        <v>0</v>
      </c>
      <c r="BA28" s="1379">
        <f>(IF('Water Report'!$AD$14&gt;0,'Water Report'!AO$14,0))</f>
        <v>0</v>
      </c>
      <c r="BB28" s="1379">
        <f>(IF('Water Report'!$AD$15&gt;0,'Water Report'!AP$15,0))</f>
        <v>0</v>
      </c>
      <c r="BC28" s="1379">
        <f>(IF('Water Report'!$AD$13&gt;0,'Water Report'!AQ$13,0))</f>
        <v>0</v>
      </c>
      <c r="BD28" s="1379">
        <f>(IF('Water Report'!$AD$24&gt;0,'Water Report'!AR$24,0))</f>
        <v>0</v>
      </c>
      <c r="BE28" s="1379">
        <f>(IF('Water Report'!$AD$25&gt;0,'Water Report'!AS$25,0))</f>
        <v>0</v>
      </c>
      <c r="BF28" s="1379">
        <f>(IF('Water Report'!$AD$27&gt;0,'Water Report'!AT$27,0))</f>
        <v>0</v>
      </c>
      <c r="BG28" s="1301">
        <f>(IF('Section Load'!AN31&gt;0,'Section Load'!AN31,0))</f>
        <v>627.37899999995716</v>
      </c>
      <c r="BH28" s="1301">
        <f>(IF('Section Load'!AO31&gt;0,'Section Load'!AO31,0))</f>
        <v>207.28000000002794</v>
      </c>
      <c r="BI28" s="1301">
        <f>(IF('Section Load'!AP31&gt;0,'Section Load'!AP31,0))</f>
        <v>0.29999999998835847</v>
      </c>
      <c r="BJ28" s="1301">
        <f>(IF('Section Load'!AQ31&gt;0,'Section Load'!AQ31,0))</f>
        <v>54</v>
      </c>
      <c r="BK28" s="1301">
        <f>(IF('Section Load'!AR31&gt;0,'Section Load'!AR31,0))</f>
        <v>0</v>
      </c>
      <c r="BL28" s="1301">
        <f>(IF('Section Load'!AS31&gt;0,'Section Load'!AS31,0))</f>
        <v>0.1000000000003638</v>
      </c>
      <c r="BM28" s="1301">
        <f>(IF('Section Load'!AT31&gt;0,'Section Load'!AT31,0))</f>
        <v>365.6989999999405</v>
      </c>
    </row>
    <row r="29" spans="1:65">
      <c r="A29" s="1283" t="s">
        <v>301</v>
      </c>
      <c r="B29" s="1284">
        <f t="shared" si="0"/>
        <v>28</v>
      </c>
      <c r="C29" s="1284">
        <v>4</v>
      </c>
      <c r="D29" s="1284">
        <v>2021</v>
      </c>
      <c r="E29" s="1299">
        <f>(IF('Section Load'!F32&gt;0,'Section Load'!F32,0))</f>
        <v>2189.6799999999348</v>
      </c>
      <c r="F29" s="1299">
        <f>(IF('Section Load'!G32&gt;0,'Section Load'!G32,0))</f>
        <v>1197.9000000000087</v>
      </c>
      <c r="G29" s="1299">
        <f>(IF('Section Load'!H32&gt;0,'Section Load'!H32,0))</f>
        <v>1391.2400000000052</v>
      </c>
      <c r="H29" s="1299">
        <f>(IF('Section Load'!I32&gt;0,'Section Load'!I32,0))</f>
        <v>3434.7400000000198</v>
      </c>
      <c r="I29" s="1299">
        <f>(IF('Section Load'!J32&gt;0,'Section Load'!J32,0))</f>
        <v>5618.8030000000144</v>
      </c>
      <c r="J29" s="1299">
        <f>(IF('Section Load'!K32&gt;0,'Section Load'!K32,0))</f>
        <v>2386.2500000000418</v>
      </c>
      <c r="K29" s="1299">
        <f>(IF('Section Load'!L32&gt;0,'Section Load'!L32,0))</f>
        <v>977.15999999997439</v>
      </c>
      <c r="L29" s="1299">
        <f>(IF('Section Load'!M32&gt;0,'Section Load'!M32,0))</f>
        <v>384.40000000002328</v>
      </c>
      <c r="M29" s="1299">
        <f>(IF('Section Load'!N32&gt;0,'Section Load'!N32,0))</f>
        <v>57</v>
      </c>
      <c r="N29" s="1299">
        <f>(IF('Section Load'!O32&gt;0,'Section Load'!O32,0))</f>
        <v>2</v>
      </c>
      <c r="O29" s="1299">
        <f>(IF('Section Load'!P32&gt;0,'Section Load'!P32,0))</f>
        <v>31.949999999999818</v>
      </c>
      <c r="P29" s="1299">
        <f>(IF('Section Load'!Q32&gt;0,'Section Load'!Q32,0))</f>
        <v>55.1200000000008</v>
      </c>
      <c r="Q29" s="1299">
        <f>(IF('Section Load'!R32&gt;0,'Section Load'!R32,0))</f>
        <v>49.0600000000004</v>
      </c>
      <c r="R29" s="1299">
        <f>(IF('Section Load'!S32&gt;0,'Section Load'!S32,0))</f>
        <v>43</v>
      </c>
      <c r="S29" s="1299">
        <f>(IF('Section Load'!T32&gt;0,'Section Load'!T32,0))</f>
        <v>45</v>
      </c>
      <c r="T29" s="1299">
        <f>(IF('Section Load'!U32&gt;0,'Section Load'!U32,0))</f>
        <v>183</v>
      </c>
      <c r="U29" s="1299">
        <f>(IF('Section Load'!V32&gt;0,'Section Load'!V32,0))</f>
        <v>360.88000000000466</v>
      </c>
      <c r="V29" s="1299">
        <f>(IF('Section Load'!W32&gt;0,'Section Load'!W32,0))</f>
        <v>112.43999999994412</v>
      </c>
      <c r="W29" s="1299">
        <f>(IF('Section Load'!X32&gt;0,'Section Load'!X32,0))</f>
        <v>20.400000000008731</v>
      </c>
      <c r="X29" s="1299">
        <f>(IF('Section Load'!Y32&gt;0,'Section Load'!Y32,0))</f>
        <v>105.41999999999825</v>
      </c>
      <c r="Y29" s="1299">
        <f>(IF('Section Load'!Z32&gt;0,'Section Load'!Z32,0))</f>
        <v>324</v>
      </c>
      <c r="Z29" s="1299">
        <f>(IF('Section Load'!AA32&gt;0,'Section Load'!AA32,0))</f>
        <v>149.11999999999534</v>
      </c>
      <c r="AA29" s="1299">
        <f>(IF('Section Load'!AB32&gt;0,'Section Load'!AB32,0))</f>
        <v>15.69999999999709</v>
      </c>
      <c r="AB29" s="1299">
        <f>(IF('Section Load'!AC32&gt;0,'Section Load'!AC32,0))</f>
        <v>23.139999999984866</v>
      </c>
      <c r="AC29" s="1299">
        <f>(IF('Section Load'!AD32&gt;0,'Section Load'!AD32,0))</f>
        <v>15.799999999996999</v>
      </c>
      <c r="AD29" s="1299">
        <f>(IF('Section Load'!AE32&gt;0,'Section Load'!AE32,0))</f>
        <v>0</v>
      </c>
      <c r="AE29" s="1299">
        <f>(IF('Section Load'!AF32&gt;0,'Section Load'!AF32,0))</f>
        <v>6.0100000000002183</v>
      </c>
      <c r="AF29" s="1299">
        <f>(IF('Section Load'!AG32&gt;0,'Section Load'!AG32,0))</f>
        <v>433.54999999998836</v>
      </c>
      <c r="AG29" s="1299">
        <f>(IF('Section Load'!AH32&gt;0,'Section Load'!AH32,0))</f>
        <v>260.02999999999884</v>
      </c>
      <c r="AH29" s="1299">
        <f>(IF('Section Load'!AI32&gt;0,'Section Load'!AI32,0))</f>
        <v>315.72000000000116</v>
      </c>
      <c r="AI29" s="1299">
        <f>(IF('Section Load'!AJ32&gt;0,'Section Load'!AJ32,0))</f>
        <v>333.42000000001281</v>
      </c>
      <c r="AJ29" s="1299">
        <f>(IF('Section Load'!AK32&gt;0,'Section Load'!AK32,0))</f>
        <v>0</v>
      </c>
      <c r="AK29" s="1299">
        <f>(IF('Section Load'!AL32&gt;0,'Section Load'!AL32,0))</f>
        <v>48.619999999995343</v>
      </c>
      <c r="AL29" s="1299">
        <f>(IF('Section Load'!AM32&gt;0,'Section Load'!AM32,0))</f>
        <v>574</v>
      </c>
      <c r="AM29" s="1300">
        <f>(IF('Water Report'!$AE$7&gt;0,'Water Report'!$AE$7,0))</f>
        <v>0</v>
      </c>
      <c r="AN29" s="1300">
        <f>(IF('Water Report'!$AE$8&gt;0,'Water Report'!$AE$8,0))</f>
        <v>120</v>
      </c>
      <c r="AO29" s="1300">
        <f>(IF('Water Report'!$AE$9&gt;0,'Water Report'!$AE$9,0))</f>
        <v>38</v>
      </c>
      <c r="AP29" s="1300">
        <f>(IF('Water Report'!$AE$10&gt;0,'Water Report'!$AE$10,0))</f>
        <v>9</v>
      </c>
      <c r="AQ29" s="1300">
        <f>(IF('Water Report'!$AE$11&gt;0,'Water Report'!$AE$11,0))</f>
        <v>8</v>
      </c>
      <c r="AR29" s="1300">
        <f>(IF('Water Report'!$AE$13&gt;0,'Water Report'!$AE$13,0))</f>
        <v>3</v>
      </c>
      <c r="AS29" s="1300">
        <f>(IF('Water Report'!$AE$14&gt;0,'Water Report'!$AE$14,0))</f>
        <v>4</v>
      </c>
      <c r="AT29" s="1300">
        <f>(IF('Water Report'!$AE$15&gt;0,'Water Report'!$AE$15,0))</f>
        <v>2</v>
      </c>
      <c r="AU29" s="1300">
        <f>(IF('Water Report'!$AE$17&gt;0,'Water Report'!$AE$17,0))</f>
        <v>8</v>
      </c>
      <c r="AV29" s="1300">
        <f>(IF('Water Report'!$AE$18&gt;0,'Water Report'!$AE$18,0))</f>
        <v>0</v>
      </c>
      <c r="AW29" s="1300">
        <f>(IF('Water Report'!$AE$19&gt;0,'Water Report'!$AE$19,0))</f>
        <v>3</v>
      </c>
      <c r="AX29" s="1379">
        <f>(IF('Water Report'!$AE$21&gt;0,'Water Report'!$AE$21,0))</f>
        <v>100</v>
      </c>
      <c r="AY29" s="1379">
        <f>(IF('Water Report'!$AE$22&gt;0,'Water Report'!$AE$22,0))</f>
        <v>0</v>
      </c>
      <c r="AZ29" s="1379">
        <f>(IF('Water Report'!$AE$23&gt;0,'Water Report'!$AE$23,0))</f>
        <v>0</v>
      </c>
      <c r="BA29" s="1379">
        <f>(IF('Water Report'!$AE$14&gt;0,'Water Report'!$AE$14,0))</f>
        <v>4</v>
      </c>
      <c r="BB29" s="1379">
        <f>(IF('Water Report'!$AE$15&gt;0,'Water Report'!$AE$15,0))</f>
        <v>2</v>
      </c>
      <c r="BC29" s="1379">
        <f>(IF('Water Report'!$AE$13&gt;0,'Water Report'!$AE$13,0))</f>
        <v>3</v>
      </c>
      <c r="BD29" s="1379">
        <f>(IF('Water Report'!$AE$24&gt;0,'Water Report'!$AE$24,0))</f>
        <v>116</v>
      </c>
      <c r="BE29" s="1379">
        <f>(IF('Water Report'!$AE$25&gt;0,'Water Report'!$AE$25,0))</f>
        <v>61</v>
      </c>
      <c r="BF29" s="1379">
        <f>(IF('Water Report'!$AE$27&gt;0,'Water Report'!$AE$27,0))</f>
        <v>103</v>
      </c>
      <c r="BG29" s="1301">
        <f>(IF('Section Load'!AN32&gt;0,'Section Load'!AN32,0))</f>
        <v>461.80099999997765</v>
      </c>
      <c r="BH29" s="1301">
        <f>(IF('Section Load'!AO32&gt;0,'Section Load'!AO32,0))</f>
        <v>212.75</v>
      </c>
      <c r="BI29" s="1301">
        <f>(IF('Section Load'!AP32&gt;0,'Section Load'!AP32,0))</f>
        <v>0</v>
      </c>
      <c r="BJ29" s="1301">
        <f>(IF('Section Load'!AQ32&gt;0,'Section Load'!AQ32,0))</f>
        <v>74.779999999998836</v>
      </c>
      <c r="BK29" s="1301">
        <f>(IF('Section Load'!AR32&gt;0,'Section Load'!AR32,0))</f>
        <v>0</v>
      </c>
      <c r="BL29" s="1301">
        <f>(IF('Section Load'!AS32&gt;0,'Section Load'!AS32,0))</f>
        <v>0.2999999999992724</v>
      </c>
      <c r="BM29" s="1301">
        <f>(IF('Section Load'!AT32&gt;0,'Section Load'!AT32,0))</f>
        <v>174.17099999998027</v>
      </c>
    </row>
    <row r="30" spans="1:65">
      <c r="A30" s="1283" t="s">
        <v>301</v>
      </c>
      <c r="B30" s="1284">
        <f t="shared" si="0"/>
        <v>29</v>
      </c>
      <c r="C30" s="1284">
        <v>4</v>
      </c>
      <c r="D30" s="1284">
        <v>2021</v>
      </c>
      <c r="E30" s="1299">
        <f>(IF('Section Load'!F33&gt;0,'Section Load'!F33,0))</f>
        <v>2054.0400000000373</v>
      </c>
      <c r="F30" s="1299">
        <f>(IF('Section Load'!G33&gt;0,'Section Load'!G33,0))</f>
        <v>1200.7099999999919</v>
      </c>
      <c r="G30" s="1299">
        <f>(IF('Section Load'!H33&gt;0,'Section Load'!H33,0))</f>
        <v>1247.8899999999994</v>
      </c>
      <c r="H30" s="1299">
        <f>(IF('Section Load'!I33&gt;0,'Section Load'!I33,0))</f>
        <v>2488.8199999999779</v>
      </c>
      <c r="I30" s="1299">
        <f>(IF('Section Load'!J33&gt;0,'Section Load'!J33,0))</f>
        <v>4925.2000000000116</v>
      </c>
      <c r="J30" s="1299">
        <f>(IF('Section Load'!K33&gt;0,'Section Load'!K33,0))</f>
        <v>2073.1900000000187</v>
      </c>
      <c r="K30" s="1299">
        <f>(IF('Section Load'!L33&gt;0,'Section Load'!L33,0))</f>
        <v>1009.8400000000256</v>
      </c>
      <c r="L30" s="1299">
        <f>(IF('Section Load'!M33&gt;0,'Section Load'!M33,0))</f>
        <v>449.71999999997206</v>
      </c>
      <c r="M30" s="1299">
        <f>(IF('Section Load'!N33&gt;0,'Section Load'!N33,0))</f>
        <v>29</v>
      </c>
      <c r="N30" s="1299">
        <f>(IF('Section Load'!O33&gt;0,'Section Load'!O33,0))</f>
        <v>1</v>
      </c>
      <c r="O30" s="1299">
        <f>(IF('Section Load'!P33&gt;0,'Section Load'!P33,0))</f>
        <v>30.570000000000164</v>
      </c>
      <c r="P30" s="1299">
        <f>(IF('Section Load'!Q33&gt;0,'Section Load'!Q33,0))</f>
        <v>52.389999999999418</v>
      </c>
      <c r="Q30" s="1299">
        <f>(IF('Section Load'!R33&gt;0,'Section Load'!R33,0))</f>
        <v>50.649999999999636</v>
      </c>
      <c r="R30" s="1299">
        <f>(IF('Section Load'!S33&gt;0,'Section Load'!S33,0))</f>
        <v>50</v>
      </c>
      <c r="S30" s="1299">
        <f>(IF('Section Load'!T33&gt;0,'Section Load'!T33,0))</f>
        <v>70</v>
      </c>
      <c r="T30" s="1299">
        <f>(IF('Section Load'!U33&gt;0,'Section Load'!U33,0))</f>
        <v>177</v>
      </c>
      <c r="U30" s="1299">
        <f>(IF('Section Load'!V33&gt;0,'Section Load'!V33,0))</f>
        <v>385.11999999999534</v>
      </c>
      <c r="V30" s="1299">
        <f>(IF('Section Load'!W33&gt;0,'Section Load'!W33,0))</f>
        <v>74.119999999995343</v>
      </c>
      <c r="W30" s="1299">
        <f>(IF('Section Load'!X33&gt;0,'Section Load'!X33,0))</f>
        <v>11.029999999998836</v>
      </c>
      <c r="X30" s="1299">
        <f>(IF('Section Load'!Y33&gt;0,'Section Load'!Y33,0))</f>
        <v>189.02999999999884</v>
      </c>
      <c r="Y30" s="1299">
        <f>(IF('Section Load'!Z33&gt;0,'Section Load'!Z33,0))</f>
        <v>197</v>
      </c>
      <c r="Z30" s="1299">
        <f>(IF('Section Load'!AA33&gt;0,'Section Load'!AA33,0))</f>
        <v>158.88000000000466</v>
      </c>
      <c r="AA30" s="1299">
        <f>(IF('Section Load'!AB33&gt;0,'Section Load'!AB33,0))</f>
        <v>14.80000000000291</v>
      </c>
      <c r="AB30" s="1299">
        <f>(IF('Section Load'!AC33&gt;0,'Section Load'!AC33,0))</f>
        <v>22.670000000012806</v>
      </c>
      <c r="AC30" s="1299">
        <f>(IF('Section Load'!AD33&gt;0,'Section Load'!AD33,0))</f>
        <v>14.80000000000291</v>
      </c>
      <c r="AD30" s="1299">
        <f>(IF('Section Load'!AE33&gt;0,'Section Load'!AE33,0))</f>
        <v>0</v>
      </c>
      <c r="AE30" s="1299">
        <f>(IF('Section Load'!AF33&gt;0,'Section Load'!AF33,0))</f>
        <v>5.4099999999998545</v>
      </c>
      <c r="AF30" s="1299">
        <f>(IF('Section Load'!AG33&gt;0,'Section Load'!AG33,0))</f>
        <v>324.98000000001048</v>
      </c>
      <c r="AG30" s="1299">
        <f>(IF('Section Load'!AH33&gt;0,'Section Load'!AH33,0))</f>
        <v>187.22999999998137</v>
      </c>
      <c r="AH30" s="1299">
        <f>(IF('Section Load'!AI33&gt;0,'Section Load'!AI33,0))</f>
        <v>273.20999999999913</v>
      </c>
      <c r="AI30" s="1299">
        <f>(IF('Section Load'!AJ33&gt;0,'Section Load'!AJ33,0))</f>
        <v>205.31999999997788</v>
      </c>
      <c r="AJ30" s="1299">
        <f>(IF('Section Load'!AK33&gt;0,'Section Load'!AK33,0))</f>
        <v>0</v>
      </c>
      <c r="AK30" s="1299">
        <f>(IF('Section Load'!AL33&gt;0,'Section Load'!AL33,0))</f>
        <v>59.899999999994179</v>
      </c>
      <c r="AL30" s="1299">
        <f>(IF('Section Load'!AM33&gt;0,'Section Load'!AM33,0))</f>
        <v>669</v>
      </c>
      <c r="AM30" s="1300">
        <f>(IF('Water Report'!$AF$7&gt;0,'Water Report'!$AF$7,0))</f>
        <v>17</v>
      </c>
      <c r="AN30" s="1300">
        <f>(IF('Water Report'!$AF$8&gt;0,'Water Report'!$AF$8,0))</f>
        <v>52</v>
      </c>
      <c r="AO30" s="1300">
        <f>(IF('Water Report'!$AF$9&gt;0,'Water Report'!$AF$9,0))</f>
        <v>59</v>
      </c>
      <c r="AP30" s="1300">
        <f>(IF('Water Report'!$AF$10&gt;0,'Water Report'!$AF$10,0))</f>
        <v>6</v>
      </c>
      <c r="AQ30" s="1300">
        <f>(IF('Water Report'!$AF$11&gt;0,'Water Report'!$AF$11,0))</f>
        <v>14</v>
      </c>
      <c r="AR30" s="1300">
        <f>(IF('Water Report'!$AF$13&gt;0,'Water Report'!$AF$13,0))</f>
        <v>6</v>
      </c>
      <c r="AS30" s="1300">
        <f>(IF('Water Report'!$AF$14&gt;0,'Water Report'!$AF$14,0))</f>
        <v>5</v>
      </c>
      <c r="AT30" s="1300">
        <f>(IF('Water Report'!$AF$15&gt;0,'Water Report'!$AF$15,0))</f>
        <v>2</v>
      </c>
      <c r="AU30" s="1300">
        <f>(IF('Water Report'!$AF$17&gt;0,'Water Report'!$AF$17,0))</f>
        <v>0</v>
      </c>
      <c r="AV30" s="1300">
        <f>(IF('Water Report'!$AF$18&gt;0,'Water Report'!$AF$18,0))</f>
        <v>9</v>
      </c>
      <c r="AW30" s="1300">
        <f>(IF('Water Report'!$AF$19&gt;0,'Water Report'!$AF$19,0))</f>
        <v>7</v>
      </c>
      <c r="AX30" s="1379">
        <f>(IF('Water Report'!$AF$21&gt;0,'Water Report'!$AF$21,0))</f>
        <v>83</v>
      </c>
      <c r="AY30" s="1379">
        <f>(IF('Water Report'!$AF$22&gt;0,'Water Report'!$AF$22,0))</f>
        <v>22</v>
      </c>
      <c r="AZ30" s="1379">
        <f>(IF('Water Report'!$AF$23&gt;0,'Water Report'!$AF$23,0))</f>
        <v>5</v>
      </c>
      <c r="BA30" s="1379">
        <f>(IF('Water Report'!$AF$14&gt;0,'Water Report'!$AF$14,0))</f>
        <v>5</v>
      </c>
      <c r="BB30" s="1379">
        <f>(IF('Water Report'!$AF$15&gt;0,'Water Report'!$AF$15,0))</f>
        <v>2</v>
      </c>
      <c r="BC30" s="1379">
        <f>(IF('Water Report'!$AF$13&gt;0,'Water Report'!$AF$13,0))</f>
        <v>6</v>
      </c>
      <c r="BD30" s="1379">
        <f>(IF('Water Report'!$AF$24&gt;0,'Water Report'!$AF$24,0))</f>
        <v>75</v>
      </c>
      <c r="BE30" s="1379">
        <f>(IF('Water Report'!$AF$25&gt;0,'Water Report'!$AF$25,0))</f>
        <v>86</v>
      </c>
      <c r="BF30" s="1379">
        <f>(IF('Water Report'!$AF$27&gt;0,'Water Report'!$AF$27,0))</f>
        <v>94</v>
      </c>
      <c r="BG30" s="1301">
        <f>(IF('Section Load'!AN33&gt;0,'Section Load'!AN33,0))</f>
        <v>643.03000000002794</v>
      </c>
      <c r="BH30" s="1301">
        <f>(IF('Section Load'!AO33&gt;0,'Section Load'!AO33,0))</f>
        <v>202.56000000005588</v>
      </c>
      <c r="BI30" s="1301">
        <f>(IF('Section Load'!AP33&gt;0,'Section Load'!AP33,0))</f>
        <v>0</v>
      </c>
      <c r="BJ30" s="1301">
        <f>(IF('Section Load'!AQ33&gt;0,'Section Load'!AQ33,0))</f>
        <v>68</v>
      </c>
      <c r="BK30" s="1301">
        <f>(IF('Section Load'!AR33&gt;0,'Section Load'!AR33,0))</f>
        <v>0</v>
      </c>
      <c r="BL30" s="1301">
        <f>(IF('Section Load'!AS33&gt;0,'Section Load'!AS33,0))</f>
        <v>0</v>
      </c>
      <c r="BM30" s="1301">
        <f>(IF('Section Load'!AT33&gt;0,'Section Load'!AT33,0))</f>
        <v>373.16999999996551</v>
      </c>
    </row>
    <row r="31" spans="1:65">
      <c r="A31" s="1283" t="s">
        <v>301</v>
      </c>
      <c r="B31" s="1284">
        <f t="shared" si="0"/>
        <v>30</v>
      </c>
      <c r="C31" s="1284">
        <v>4</v>
      </c>
      <c r="D31" s="1284">
        <v>2021</v>
      </c>
      <c r="E31" s="1299">
        <f>(IF('Section Load'!F34&gt;0,'Section Load'!F34,0))</f>
        <v>2432.9699999999721</v>
      </c>
      <c r="F31" s="1299">
        <f>(IF('Section Load'!G34&gt;0,'Section Load'!G34,0))</f>
        <v>1371.1800000000076</v>
      </c>
      <c r="G31" s="1299">
        <f>(IF('Section Load'!H34&gt;0,'Section Load'!H34,0))</f>
        <v>1456.690000000046</v>
      </c>
      <c r="H31" s="1299">
        <f>(IF('Section Load'!I34&gt;0,'Section Load'!I34,0))</f>
        <v>1150.4200000000419</v>
      </c>
      <c r="I31" s="1299">
        <f>(IF('Section Load'!J34&gt;0,'Section Load'!J34,0))</f>
        <v>5778.3299999999872</v>
      </c>
      <c r="J31" s="1299">
        <f>(IF('Section Load'!K34&gt;0,'Section Load'!K34,0))</f>
        <v>2438.4899999999907</v>
      </c>
      <c r="K31" s="1299">
        <f>(IF('Section Load'!L34&gt;0,'Section Load'!L34,0))</f>
        <v>1382.7299999999814</v>
      </c>
      <c r="L31" s="1299">
        <f>(IF('Section Load'!M34&gt;0,'Section Load'!M34,0))</f>
        <v>715.3300000000163</v>
      </c>
      <c r="M31" s="1299">
        <f>(IF('Section Load'!N34&gt;0,'Section Load'!N34,0))</f>
        <v>17</v>
      </c>
      <c r="N31" s="1299">
        <f>(IF('Section Load'!O34&gt;0,'Section Load'!O34,0))</f>
        <v>5</v>
      </c>
      <c r="O31" s="1299">
        <f>(IF('Section Load'!P34&gt;0,'Section Load'!P34,0))</f>
        <v>30.519999999999982</v>
      </c>
      <c r="P31" s="1299">
        <f>(IF('Section Load'!Q34&gt;0,'Section Load'!Q34,0))</f>
        <v>58.569999999999709</v>
      </c>
      <c r="Q31" s="1299">
        <f>(IF('Section Load'!R34&gt;0,'Section Load'!R34,0))</f>
        <v>49.640000000000327</v>
      </c>
      <c r="R31" s="1299">
        <f>(IF('Section Load'!S34&gt;0,'Section Load'!S34,0))</f>
        <v>49</v>
      </c>
      <c r="S31" s="1299">
        <f>(IF('Section Load'!T34&gt;0,'Section Load'!T34,0))</f>
        <v>227</v>
      </c>
      <c r="T31" s="1299">
        <f>(IF('Section Load'!U34&gt;0,'Section Load'!U34,0))</f>
        <v>194</v>
      </c>
      <c r="U31" s="1299">
        <f>(IF('Section Load'!V34&gt;0,'Section Load'!V34,0))</f>
        <v>380.76000000000931</v>
      </c>
      <c r="V31" s="1299">
        <f>(IF('Section Load'!W34&gt;0,'Section Load'!W34,0))</f>
        <v>73.880000000004657</v>
      </c>
      <c r="W31" s="1299">
        <f>(IF('Section Load'!X34&gt;0,'Section Load'!X34,0))</f>
        <v>42.399999999994179</v>
      </c>
      <c r="X31" s="1299">
        <f>(IF('Section Load'!Y34&gt;0,'Section Load'!Y34,0))</f>
        <v>1.1900000000023283</v>
      </c>
      <c r="Y31" s="1299">
        <f>(IF('Section Load'!Z34&gt;0,'Section Load'!Z34,0))</f>
        <v>249</v>
      </c>
      <c r="Z31" s="1299">
        <f>(IF('Section Load'!AA34&gt;0,'Section Load'!AA34,0))</f>
        <v>170.23999999999069</v>
      </c>
      <c r="AA31" s="1299">
        <f>(IF('Section Load'!AB34&gt;0,'Section Load'!AB34,0))</f>
        <v>14</v>
      </c>
      <c r="AB31" s="1299">
        <f>(IF('Section Load'!AC34&gt;0,'Section Load'!AC34,0))</f>
        <v>24</v>
      </c>
      <c r="AC31" s="1299">
        <f>(IF('Section Load'!AD34&gt;0,'Section Load'!AD34,0))</f>
        <v>13.599999999999909</v>
      </c>
      <c r="AD31" s="1299">
        <f>(IF('Section Load'!AE34&gt;0,'Section Load'!AE34,0))</f>
        <v>0</v>
      </c>
      <c r="AE31" s="1299">
        <f>(IF('Section Load'!AF34&gt;0,'Section Load'!AF34,0))</f>
        <v>3.2899999999999636</v>
      </c>
      <c r="AF31" s="1299">
        <f>(IF('Section Load'!AG34&gt;0,'Section Load'!AG34,0))</f>
        <v>235.26999999998952</v>
      </c>
      <c r="AG31" s="1299">
        <f>(IF('Section Load'!AH34&gt;0,'Section Load'!AH34,0))</f>
        <v>208.70000000001164</v>
      </c>
      <c r="AH31" s="1299">
        <f>(IF('Section Load'!AI34&gt;0,'Section Load'!AI34,0))</f>
        <v>265.41999999999825</v>
      </c>
      <c r="AI31" s="1299">
        <f>(IF('Section Load'!AJ34&gt;0,'Section Load'!AJ34,0))</f>
        <v>280.73000000001048</v>
      </c>
      <c r="AJ31" s="1299">
        <f>(IF('Section Load'!AK34&gt;0,'Section Load'!AK34,0))</f>
        <v>0</v>
      </c>
      <c r="AK31" s="1299">
        <f>(IF('Section Load'!AL34&gt;0,'Section Load'!AL34,0))</f>
        <v>119.13000000000466</v>
      </c>
      <c r="AL31" s="1299">
        <f>(IF('Section Load'!AM34&gt;0,'Section Load'!AM34,0))</f>
        <v>770</v>
      </c>
      <c r="AM31" s="1300">
        <f>(IF('Water Report'!$AG$7&gt;0,'Water Report'!$AG$7,0))</f>
        <v>56</v>
      </c>
      <c r="AN31" s="1300">
        <f>(IF('Water Report'!$AG$8&gt;0,'Water Report'!$AG$8,0))</f>
        <v>85</v>
      </c>
      <c r="AO31" s="1300">
        <f>(IF('Water Report'!$AG$9&gt;0,'Water Report'!$AG$9,0))</f>
        <v>74</v>
      </c>
      <c r="AP31" s="1300">
        <f>(IF('Water Report'!$AG$10&gt;0,'Water Report'!$DAG$10,0))</f>
        <v>0</v>
      </c>
      <c r="AQ31" s="1300">
        <f>(IF('Water Report'!$AG$11&gt;0,'Water Report'!$DAG$11,0))</f>
        <v>0</v>
      </c>
      <c r="AR31" s="1300">
        <f>(IF('Water Report'!$AG$13&gt;0,'Water Report'!$DAG$13,0))</f>
        <v>0</v>
      </c>
      <c r="AS31" s="1300">
        <f>(IF('Water Report'!$AG$14&gt;0,'Water Report'!$DAG$14,0))</f>
        <v>0</v>
      </c>
      <c r="AT31" s="1300">
        <f>(IF('Water Report'!$AG$15&gt;0,'Water Report'!$DAG$15,0))</f>
        <v>0</v>
      </c>
      <c r="AU31" s="1300">
        <f>(IF('Water Report'!$AG$17&gt;0,'Water Report'!$DAG$17,0))</f>
        <v>0</v>
      </c>
      <c r="AV31" s="1300">
        <f>(IF('Water Report'!$AG$18&gt;0,'Water Report'!$DAG$18,0))</f>
        <v>0</v>
      </c>
      <c r="AW31" s="1300">
        <f>(IF('Water Report'!$AG$19&gt;0,'Water Report'!$DAG$19,0))</f>
        <v>0</v>
      </c>
      <c r="AX31" s="1379">
        <f>(IF('Water Report'!$AG$21&gt;0,'Water Report'!$DAG$21,0))</f>
        <v>0</v>
      </c>
      <c r="AY31" s="1379">
        <f>(IF('Water Report'!$AG$22&gt;0,'Water Report'!$DAG$22,0))</f>
        <v>0</v>
      </c>
      <c r="AZ31" s="1379">
        <f>(IF('Water Report'!$AG$23&gt;0,'Water Report'!$DAG$23,0))</f>
        <v>0</v>
      </c>
      <c r="BA31" s="1379">
        <f>(IF('Water Report'!$AG$14&gt;0,'Water Report'!$DAG$14,0))</f>
        <v>0</v>
      </c>
      <c r="BB31" s="1379">
        <f>(IF('Water Report'!$AG$15&gt;0,'Water Report'!$DAG$15,0))</f>
        <v>0</v>
      </c>
      <c r="BC31" s="1379">
        <f>(IF('Water Report'!$AG$13&gt;0,'Water Report'!$DAG$13,0))</f>
        <v>0</v>
      </c>
      <c r="BD31" s="1379">
        <f>(IF('Water Report'!$AG$24&gt;0,'Water Report'!$DAG$24,0))</f>
        <v>0</v>
      </c>
      <c r="BE31" s="1379">
        <f>(IF('Water Report'!$AG$25&gt;0,'Water Report'!$DAG$25,0))</f>
        <v>0</v>
      </c>
      <c r="BF31" s="1379">
        <f>(IF('Water Report'!$AG$27&gt;0,'Water Report'!$DAG$27,0))</f>
        <v>0</v>
      </c>
      <c r="BG31" s="1301">
        <f>(IF('Section Load'!AN34&gt;0,'Section Load'!AN34,0))</f>
        <v>476.70999999996275</v>
      </c>
      <c r="BH31" s="1301">
        <f>(IF('Section Load'!AO34&gt;0,'Section Load'!AO34,0))</f>
        <v>192.41999999992549</v>
      </c>
      <c r="BI31" s="1301">
        <f>(IF('Section Load'!AP34&gt;0,'Section Load'!AP34,0))</f>
        <v>0.39999999999417923</v>
      </c>
      <c r="BJ31" s="1301">
        <f>(IF('Section Load'!AQ34&gt;0,'Section Load'!AQ34,0))</f>
        <v>77.440000000002328</v>
      </c>
      <c r="BK31" s="1301">
        <f>(IF('Section Load'!AR34&gt;0,'Section Load'!AR34,0))</f>
        <v>0</v>
      </c>
      <c r="BL31" s="1301">
        <f>(IF('Section Load'!AS34&gt;0,'Section Load'!AS34,0))</f>
        <v>0</v>
      </c>
      <c r="BM31" s="1301">
        <f>(IF('Section Load'!AT34&gt;0,'Section Load'!AT34,0))</f>
        <v>206.45000000004075</v>
      </c>
    </row>
    <row r="32" spans="1:65">
      <c r="A32" s="1283" t="s">
        <v>301</v>
      </c>
      <c r="B32" s="1284">
        <f t="shared" si="0"/>
        <v>31</v>
      </c>
      <c r="C32" s="1284">
        <v>4</v>
      </c>
      <c r="D32" s="1284">
        <v>2021</v>
      </c>
      <c r="E32" s="1299">
        <f>(IF('Section Load'!F35&gt;0,'Section Load'!F35,0))</f>
        <v>0</v>
      </c>
      <c r="F32" s="1299">
        <f>(IF('Section Load'!G35&gt;0,'Section Load'!G35,0))</f>
        <v>0</v>
      </c>
      <c r="G32" s="1299">
        <f>(IF('Section Load'!H35&gt;0,'Section Load'!H35,0))</f>
        <v>0</v>
      </c>
      <c r="H32" s="1299">
        <f>(IF('Section Load'!I35&gt;0,'Section Load'!I35,0))</f>
        <v>0</v>
      </c>
      <c r="I32" s="1299">
        <f>(IF('Section Load'!J35&gt;0,'Section Load'!J35,0))</f>
        <v>0</v>
      </c>
      <c r="J32" s="1299">
        <f>(IF('Section Load'!K35&gt;0,'Section Load'!K35,0))</f>
        <v>0</v>
      </c>
      <c r="K32" s="1299">
        <f>(IF('Section Load'!L35&gt;0,'Section Load'!L35,0))</f>
        <v>0</v>
      </c>
      <c r="L32" s="1299">
        <f>(IF('Section Load'!M35&gt;0,'Section Load'!M35,0))</f>
        <v>0</v>
      </c>
      <c r="M32" s="1299">
        <f>(IF('Section Load'!N35&gt;0,'Section Load'!N35,0))</f>
        <v>0</v>
      </c>
      <c r="N32" s="1299">
        <f>(IF('Section Load'!O35&gt;0,'Section Load'!O35,0))</f>
        <v>0</v>
      </c>
      <c r="O32" s="1299">
        <f>(IF('Section Load'!P35&gt;0,'Section Load'!P35,0))</f>
        <v>0</v>
      </c>
      <c r="P32" s="1299">
        <f>(IF('Section Load'!Q35&gt;0,'Section Load'!Q35,0))</f>
        <v>0</v>
      </c>
      <c r="Q32" s="1299">
        <f>(IF('Section Load'!R35&gt;0,'Section Load'!R35,0))</f>
        <v>0</v>
      </c>
      <c r="R32" s="1299">
        <f>(IF('Section Load'!S35&gt;0,'Section Load'!S35,0))</f>
        <v>0</v>
      </c>
      <c r="S32" s="1299">
        <f>(IF('Section Load'!T35&gt;0,'Section Load'!T35,0))</f>
        <v>0</v>
      </c>
      <c r="T32" s="1299">
        <f>(IF('Section Load'!U35&gt;0,'Section Load'!U35,0))</f>
        <v>0</v>
      </c>
      <c r="U32" s="1299">
        <f>(IF('Section Load'!V35&gt;0,'Section Load'!V35,0))</f>
        <v>0</v>
      </c>
      <c r="V32" s="1299">
        <f>(IF('Section Load'!W35&gt;0,'Section Load'!W35,0))</f>
        <v>0</v>
      </c>
      <c r="W32" s="1299">
        <f>(IF('Section Load'!X35&gt;0,'Section Load'!X35,0))</f>
        <v>0</v>
      </c>
      <c r="X32" s="1299">
        <f>(IF('Section Load'!Y35&gt;0,'Section Load'!Y35,0))</f>
        <v>0</v>
      </c>
      <c r="Y32" s="1299">
        <f>(IF('Section Load'!Z35&gt;0,'Section Load'!Z35,0))</f>
        <v>0</v>
      </c>
      <c r="Z32" s="1299">
        <f>(IF('Section Load'!AA35&gt;0,'Section Load'!AA35,0))</f>
        <v>0</v>
      </c>
      <c r="AA32" s="1299">
        <f>(IF('Section Load'!AB35&gt;0,'Section Load'!AB35,0))</f>
        <v>0</v>
      </c>
      <c r="AB32" s="1299">
        <f>(IF('Section Load'!AC35&gt;0,'Section Load'!AC35,0))</f>
        <v>0</v>
      </c>
      <c r="AC32" s="1299">
        <f>(IF('Section Load'!AD35&gt;0,'Section Load'!AD35,0))</f>
        <v>0</v>
      </c>
      <c r="AD32" s="1299">
        <f>(IF('Section Load'!AE35&gt;0,'Section Load'!AE35,0))</f>
        <v>0</v>
      </c>
      <c r="AE32" s="1299">
        <f>(IF('Section Load'!AF35&gt;0,'Section Load'!AF35,0))</f>
        <v>0</v>
      </c>
      <c r="AF32" s="1299">
        <f>(IF('Section Load'!AG35&gt;0,'Section Load'!AG35,0))</f>
        <v>0</v>
      </c>
      <c r="AG32" s="1299">
        <f>(IF('Section Load'!AH35&gt;0,'Section Load'!AH35,0))</f>
        <v>0</v>
      </c>
      <c r="AH32" s="1299">
        <f>(IF('Section Load'!AI35&gt;0,'Section Load'!AI35,0))</f>
        <v>0</v>
      </c>
      <c r="AI32" s="1299">
        <f>(IF('Section Load'!AJ35&gt;0,'Section Load'!AJ35,0))</f>
        <v>0</v>
      </c>
      <c r="AJ32" s="1299">
        <f>(IF('Section Load'!AK35&gt;0,'Section Load'!AK35,0))</f>
        <v>0</v>
      </c>
      <c r="AK32" s="1299">
        <f>(IF('Section Load'!AL35&gt;0,'Section Load'!AL35,0))</f>
        <v>0</v>
      </c>
      <c r="AL32" s="1299">
        <f>(IF('Section Load'!AM35&gt;0,'Section Load'!AM35,0))</f>
        <v>0</v>
      </c>
      <c r="AM32" s="1300">
        <f>(IF('Water Report'!$AH$7&gt;0,'Water Report'!$AH$7,0))</f>
        <v>0</v>
      </c>
      <c r="AN32" s="1300">
        <f>(IF('Water Report'!$AH$8&gt;0,'Water Report'!$AH$8,0))</f>
        <v>0</v>
      </c>
      <c r="AO32" s="1300">
        <f>(IF('Water Report'!$AH$9&gt;0,'Water Report'!$AH$9,0))</f>
        <v>0</v>
      </c>
      <c r="AP32" s="1300">
        <f>(IF('Water Report'!$AH$10&gt;0,'Water Report'!$DAH$10,0))</f>
        <v>0</v>
      </c>
      <c r="AQ32" s="1300">
        <f>(IF('Water Report'!$AH$11&gt;0,'Water Report'!$DAH$11,0))</f>
        <v>0</v>
      </c>
      <c r="AR32" s="1300">
        <f>(IF('Water Report'!$AH$13&gt;0,'Water Report'!$DAH$13,0))</f>
        <v>0</v>
      </c>
      <c r="AS32" s="1300">
        <f>(IF('Water Report'!$AH$14&gt;0,'Water Report'!$DAH$14,0))</f>
        <v>0</v>
      </c>
      <c r="AT32" s="1300">
        <f>(IF('Water Report'!$AH$15&gt;0,'Water Report'!$DAH$15,0))</f>
        <v>0</v>
      </c>
      <c r="AU32" s="1300">
        <f>(IF('Water Report'!$AH$17&gt;0,'Water Report'!$DAH$17,0))</f>
        <v>0</v>
      </c>
      <c r="AV32" s="1300">
        <f>(IF('Water Report'!$AH$18&gt;0,'Water Report'!$DAH$18,0))</f>
        <v>0</v>
      </c>
      <c r="AW32" s="1300">
        <f>(IF('Water Report'!$AH$19&gt;0,'Water Report'!$DAH$19,0))</f>
        <v>0</v>
      </c>
      <c r="AX32" s="1379">
        <f>(IF('Water Report'!$AH$21&gt;0,'Water Report'!$DAH$21,0))</f>
        <v>0</v>
      </c>
      <c r="AY32" s="1379">
        <f>(IF('Water Report'!$AH$22&gt;0,'Water Report'!$DAH$22,0))</f>
        <v>0</v>
      </c>
      <c r="AZ32" s="1379">
        <f>(IF('Water Report'!$AH$23&gt;0,'Water Report'!$DAH$23,0))</f>
        <v>0</v>
      </c>
      <c r="BA32" s="1379">
        <f>(IF('Water Report'!$AH$14&gt;0,'Water Report'!$DAH$14,0))</f>
        <v>0</v>
      </c>
      <c r="BB32" s="1379">
        <f>(IF('Water Report'!$AH$15&gt;0,'Water Report'!$DAH$15,0))</f>
        <v>0</v>
      </c>
      <c r="BC32" s="1379">
        <f>(IF('Water Report'!$AH$13&gt;0,'Water Report'!$DAH$13,0))</f>
        <v>0</v>
      </c>
      <c r="BD32" s="1379">
        <f>(IF('Water Report'!$AH$24&gt;0,'Water Report'!$DAH$24,0))</f>
        <v>0</v>
      </c>
      <c r="BE32" s="1379">
        <f>(IF('Water Report'!$AH$25&gt;0,'Water Report'!$DAH$25,0))</f>
        <v>0</v>
      </c>
      <c r="BF32" s="1379">
        <f>(IF('Water Report'!$AH$27&gt;0,'Water Report'!$DAH$27,0))</f>
        <v>0</v>
      </c>
      <c r="BG32" s="1301">
        <f>(IF('Section Load'!AN35&gt;0,'Section Load'!AN35,0))</f>
        <v>0</v>
      </c>
      <c r="BH32" s="1301">
        <f>(IF('Section Load'!AO35&gt;0,'Section Load'!AO35,0))</f>
        <v>0</v>
      </c>
      <c r="BI32" s="1301">
        <f>(IF('Section Load'!AP35&gt;0,'Section Load'!AP35,0))</f>
        <v>0</v>
      </c>
      <c r="BJ32" s="1301">
        <f>(IF('Section Load'!AQ35&gt;0,'Section Load'!AQ35,0))</f>
        <v>0</v>
      </c>
      <c r="BK32" s="1301">
        <f>(IF('Section Load'!AR35&gt;0,'Section Load'!AR35,0))</f>
        <v>0</v>
      </c>
      <c r="BL32" s="1301">
        <f>(IF('Section Load'!AS35&gt;0,'Section Load'!AS35,0))</f>
        <v>0</v>
      </c>
      <c r="BM32" s="1301">
        <f>(IF('Section Load'!AT35&gt;0,'Section Load'!AT35,0))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5" zoomScaleNormal="55" workbookViewId="0">
      <pane xSplit="1" topLeftCell="B1" activePane="topRight" state="frozen"/>
      <selection activeCell="F104" sqref="F104"/>
      <selection pane="topRight" activeCell="J38" sqref="J38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476"/>
      <c r="B1" s="1476"/>
      <c r="C1" s="1476"/>
      <c r="D1" s="1476"/>
      <c r="E1" s="1476"/>
      <c r="F1" s="1476"/>
      <c r="G1" s="1476"/>
      <c r="H1" s="1476"/>
      <c r="I1" s="1476"/>
      <c r="J1" s="1476"/>
      <c r="K1" s="1476"/>
      <c r="L1" s="1476"/>
      <c r="M1" s="1476"/>
      <c r="N1" s="1476"/>
      <c r="O1" s="1476"/>
      <c r="P1" s="1476"/>
      <c r="Q1" s="1476"/>
      <c r="R1" s="1476"/>
      <c r="S1" s="1476"/>
      <c r="T1" s="1476"/>
      <c r="U1" s="1476"/>
      <c r="V1" s="1476"/>
      <c r="W1" s="1476"/>
      <c r="X1" s="1476"/>
      <c r="Y1" s="1476"/>
      <c r="Z1" s="1476"/>
      <c r="AA1" s="1476"/>
      <c r="AB1" s="1476"/>
      <c r="AC1" s="1476"/>
      <c r="AD1" s="1476"/>
      <c r="AE1" s="1476"/>
      <c r="AF1" s="1476"/>
      <c r="AG1" s="1476"/>
      <c r="AH1" s="1476"/>
      <c r="AI1" s="1476"/>
      <c r="AJ1" s="1476"/>
      <c r="AK1" s="1476"/>
      <c r="AL1" s="1476"/>
      <c r="AM1" s="1476"/>
      <c r="AN1" s="1476"/>
      <c r="AO1" s="1476"/>
      <c r="AP1" s="1476"/>
      <c r="AQ1" s="1476"/>
      <c r="AR1" s="1476"/>
      <c r="AS1" s="1476"/>
      <c r="AT1" s="1476"/>
      <c r="AU1" s="1476"/>
      <c r="AV1" s="1476"/>
      <c r="AW1" s="1476"/>
      <c r="AX1" s="1476"/>
      <c r="AY1" s="1476"/>
      <c r="AZ1" s="1476"/>
      <c r="BA1" s="1476"/>
      <c r="BB1" s="1476"/>
      <c r="BC1" s="1476"/>
      <c r="BD1" s="1476"/>
      <c r="BE1" s="1476"/>
      <c r="BF1" s="1476"/>
      <c r="BG1" s="1476"/>
      <c r="BH1" s="1476"/>
      <c r="BI1" s="1476"/>
      <c r="BJ1" s="1476"/>
      <c r="BK1" s="1476"/>
      <c r="BL1" s="1476"/>
      <c r="BM1" s="1476"/>
      <c r="BN1" s="1476"/>
      <c r="BO1" s="1476"/>
    </row>
    <row r="2" spans="1:70" ht="28.5" customHeight="1">
      <c r="A2" s="1" t="s">
        <v>0</v>
      </c>
      <c r="B2" s="1" t="s">
        <v>0</v>
      </c>
      <c r="C2" s="1118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477" t="s">
        <v>6</v>
      </c>
      <c r="J2" s="1477"/>
      <c r="K2" s="1477"/>
      <c r="L2" s="237"/>
      <c r="M2" s="1478" t="s">
        <v>7</v>
      </c>
      <c r="N2" s="1478"/>
      <c r="O2" s="1478"/>
      <c r="P2" s="1479" t="s">
        <v>8</v>
      </c>
      <c r="Q2" s="1479"/>
      <c r="R2" s="1479"/>
      <c r="S2" s="237" t="s">
        <v>9</v>
      </c>
      <c r="T2" s="1480" t="s">
        <v>10</v>
      </c>
      <c r="U2" s="1480"/>
      <c r="V2" s="1480"/>
      <c r="W2" s="1481" t="s">
        <v>11</v>
      </c>
      <c r="X2" s="1482"/>
      <c r="Y2" s="1483"/>
      <c r="Z2" s="1117"/>
      <c r="AA2" s="1484" t="s">
        <v>12</v>
      </c>
      <c r="AB2" s="1484"/>
      <c r="AC2" s="1484"/>
      <c r="AD2" s="1484"/>
      <c r="AE2" s="1118"/>
      <c r="AF2" s="1118" t="s">
        <v>13</v>
      </c>
      <c r="AG2" s="1118" t="s">
        <v>14</v>
      </c>
      <c r="AH2" s="1484" t="s">
        <v>15</v>
      </c>
      <c r="AI2" s="1484"/>
      <c r="AJ2" s="1484"/>
      <c r="AK2" s="1118" t="s">
        <v>16</v>
      </c>
      <c r="AL2" s="1484" t="s">
        <v>17</v>
      </c>
      <c r="AM2" s="1484"/>
      <c r="AN2" s="1484"/>
      <c r="AO2" s="1118" t="s">
        <v>18</v>
      </c>
      <c r="AP2" s="5" t="s">
        <v>19</v>
      </c>
      <c r="AQ2" s="1485" t="s">
        <v>20</v>
      </c>
      <c r="AR2" s="1486"/>
      <c r="AS2" s="1486"/>
      <c r="AT2" s="1486"/>
      <c r="AU2" s="1486"/>
      <c r="AV2" s="1486"/>
      <c r="AW2" s="1486"/>
      <c r="AX2" s="1486"/>
      <c r="AY2" s="1486"/>
      <c r="AZ2" s="1487"/>
      <c r="BA2" s="1485" t="s">
        <v>21</v>
      </c>
      <c r="BB2" s="1486"/>
      <c r="BC2" s="1486"/>
      <c r="BD2" s="1486"/>
      <c r="BE2" s="1486"/>
      <c r="BF2" s="1486"/>
      <c r="BG2" s="1486"/>
      <c r="BH2" s="1486"/>
      <c r="BI2" s="1486"/>
      <c r="BJ2" s="438"/>
      <c r="BK2" s="420"/>
      <c r="BL2" s="232"/>
      <c r="BM2" s="232"/>
      <c r="BN2" s="232"/>
      <c r="BO2" s="1118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19" t="s">
        <v>62</v>
      </c>
      <c r="BJ3" s="419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33</v>
      </c>
      <c r="E4" s="256">
        <f>'1'!D4</f>
        <v>0.8</v>
      </c>
      <c r="F4" s="256">
        <f>'1'!D2</f>
        <v>0.65</v>
      </c>
      <c r="G4" s="19">
        <f>'1'!G8</f>
        <v>23784</v>
      </c>
      <c r="H4" s="19">
        <f>'1'!G8</f>
        <v>23784</v>
      </c>
      <c r="I4" s="19">
        <f>'1'!G7</f>
        <v>23696</v>
      </c>
      <c r="J4" s="19">
        <f>'1'!F27</f>
        <v>9</v>
      </c>
      <c r="K4" s="242">
        <f>H4*J4</f>
        <v>214056</v>
      </c>
      <c r="L4" s="238">
        <f>I4/202</f>
        <v>117.3069306930693</v>
      </c>
      <c r="M4" s="19">
        <f>'1'!G15</f>
        <v>969</v>
      </c>
      <c r="N4" s="19">
        <v>35</v>
      </c>
      <c r="O4" s="238">
        <f>M4*N4</f>
        <v>33915</v>
      </c>
      <c r="P4" s="19">
        <f>'1'!G20</f>
        <v>193</v>
      </c>
      <c r="Q4" s="19">
        <v>134</v>
      </c>
      <c r="R4" s="239">
        <f t="shared" ref="R4:R34" si="0">P4*Q4</f>
        <v>25862</v>
      </c>
      <c r="S4" s="240">
        <f t="shared" ref="S4:S34" si="1">P4/(F4*202/100)</f>
        <v>146.99162223914698</v>
      </c>
      <c r="T4" s="19">
        <f>'1'!G24</f>
        <v>0</v>
      </c>
      <c r="U4" s="19">
        <v>69</v>
      </c>
      <c r="V4" s="241">
        <f>T4*U4</f>
        <v>0</v>
      </c>
      <c r="W4" s="22">
        <f>'1'!G95</f>
        <v>77</v>
      </c>
      <c r="X4" s="22">
        <f>'1'!G96</f>
        <v>17</v>
      </c>
      <c r="Y4" s="22">
        <f>'1'!G97</f>
        <v>20</v>
      </c>
      <c r="Z4" s="22">
        <f>W4+X4+Y4</f>
        <v>114</v>
      </c>
      <c r="AA4" s="19">
        <f>'1'!G132</f>
        <v>24</v>
      </c>
      <c r="AB4" s="19">
        <f>'1'!G133</f>
        <v>0</v>
      </c>
      <c r="AC4" s="19">
        <f>'1'!G134</f>
        <v>7</v>
      </c>
      <c r="AD4" s="19">
        <f>'1'!G135</f>
        <v>0</v>
      </c>
      <c r="AE4" s="19">
        <f>AA4+AB4+AC4+AD4</f>
        <v>31</v>
      </c>
      <c r="AF4" s="23">
        <f t="shared" ref="AF4:AF34" si="2">AV4+AW4+BF4+BG4</f>
        <v>6956.8399999999965</v>
      </c>
      <c r="AG4" s="23">
        <f>AF4/AE4</f>
        <v>224.41419354838698</v>
      </c>
      <c r="AH4" s="19">
        <f>'1'!G136</f>
        <v>10.239999999997963</v>
      </c>
      <c r="AI4" s="19">
        <f>'1'!G137</f>
        <v>0.18000000000029104</v>
      </c>
      <c r="AJ4" s="19">
        <f>'1'!G138</f>
        <v>2.5400000000081491</v>
      </c>
      <c r="AK4" s="19">
        <f>AH4+AI4+AJ4</f>
        <v>12.960000000006403</v>
      </c>
      <c r="AL4" s="19">
        <f>'1'!G139</f>
        <v>0</v>
      </c>
      <c r="AM4" s="19">
        <f>'1'!G140</f>
        <v>8.3599999999996726</v>
      </c>
      <c r="AN4" s="19"/>
      <c r="AO4" s="19">
        <f>AL4+AM4</f>
        <v>8.3599999999996726</v>
      </c>
      <c r="AP4" s="258">
        <f>'1'!G123</f>
        <v>257</v>
      </c>
      <c r="AQ4" s="261">
        <f>'1'!G35</f>
        <v>3430</v>
      </c>
      <c r="AR4" s="19">
        <f>'1'!G37</f>
        <v>1448</v>
      </c>
      <c r="AS4" s="19">
        <f>'1'!G38</f>
        <v>1779</v>
      </c>
      <c r="AT4" s="19">
        <f>'1'!G39</f>
        <v>4092</v>
      </c>
      <c r="AU4" s="19">
        <f>'1'!G40</f>
        <v>0</v>
      </c>
      <c r="AV4" s="19">
        <f>'1'!G41</f>
        <v>5511</v>
      </c>
      <c r="AW4" s="19">
        <f>'1'!G42</f>
        <v>-0.16000000000349246</v>
      </c>
      <c r="AX4" s="19">
        <f>'1'!G43</f>
        <v>2596</v>
      </c>
      <c r="AY4" s="19">
        <f>'1'!G44</f>
        <v>0</v>
      </c>
      <c r="AZ4" s="262">
        <f>'1'!G36</f>
        <v>1016</v>
      </c>
      <c r="BA4" s="261">
        <f>'1'!G49</f>
        <v>0</v>
      </c>
      <c r="BB4" s="19">
        <f>'1'!G51</f>
        <v>0</v>
      </c>
      <c r="BC4" s="19">
        <f>'1'!G52</f>
        <v>0</v>
      </c>
      <c r="BD4" s="19">
        <f>'1'!G53</f>
        <v>521</v>
      </c>
      <c r="BE4" s="19">
        <f>'1'!G54</f>
        <v>66</v>
      </c>
      <c r="BF4" s="19">
        <f>'1'!G55</f>
        <v>1428</v>
      </c>
      <c r="BG4" s="19">
        <f>'1'!G56</f>
        <v>18</v>
      </c>
      <c r="BH4" s="19">
        <f>'1'!G57</f>
        <v>0</v>
      </c>
      <c r="BI4" s="262">
        <f>'1'!G50</f>
        <v>1486</v>
      </c>
      <c r="BJ4" s="370">
        <f>SUM(AV4,AW4,BF4,BG4)</f>
        <v>6956.8399999999965</v>
      </c>
      <c r="BK4" s="370">
        <f>'1'!G84</f>
        <v>915</v>
      </c>
      <c r="BL4" s="23">
        <f>SUM(AQ4,AV4,AW4,AX4,BA4,BF4,BG4,BH4)/I4%</f>
        <v>54.789162727886549</v>
      </c>
      <c r="BM4" s="23">
        <f>SUM(AT4,BD4)/I4%</f>
        <v>19.467420661715057</v>
      </c>
      <c r="BN4" s="24">
        <f>(AS4+BC4)/I4</f>
        <v>7.5075962187711009E-2</v>
      </c>
      <c r="BO4" s="25">
        <f>K4+O4+R4+V4</f>
        <v>273833</v>
      </c>
      <c r="BP4" s="213">
        <f>SUM(AV4,AW4,AX4,BF4,BG4,BH4,BK4)</f>
        <v>10467.839999999997</v>
      </c>
      <c r="BQ4">
        <f>BP4/(AE4*280)</f>
        <v>1.2059723502304143</v>
      </c>
      <c r="BR4" s="213">
        <f>SUM(AV4,AW4,BF4,BG4)/(AE4*400)</f>
        <v>0.56103548387096747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56">
        <f>'2'!D4</f>
        <v>0.8</v>
      </c>
      <c r="F5" s="256">
        <f>'2'!D2</f>
        <v>0.97</v>
      </c>
      <c r="G5" s="19">
        <f>'2'!G8</f>
        <v>22270</v>
      </c>
      <c r="H5" s="19">
        <f>'2'!G8</f>
        <v>22270</v>
      </c>
      <c r="I5" s="19">
        <f>'2'!G7</f>
        <v>22156</v>
      </c>
      <c r="J5" s="19">
        <v>10</v>
      </c>
      <c r="K5" s="242">
        <f t="shared" ref="K5:K34" si="3">H5*J5</f>
        <v>222700</v>
      </c>
      <c r="L5" s="238">
        <f t="shared" ref="L5:L34" si="4">I5/202</f>
        <v>109.68316831683168</v>
      </c>
      <c r="M5" s="19">
        <f>'2'!G15</f>
        <v>982</v>
      </c>
      <c r="N5" s="19">
        <v>35</v>
      </c>
      <c r="O5" s="238">
        <f t="shared" ref="O5:O34" si="5">M5*N5</f>
        <v>34370</v>
      </c>
      <c r="P5" s="19">
        <f>'2'!G20</f>
        <v>173</v>
      </c>
      <c r="Q5" s="19">
        <v>134</v>
      </c>
      <c r="R5" s="239">
        <f t="shared" si="0"/>
        <v>23182</v>
      </c>
      <c r="S5" s="240">
        <f t="shared" si="1"/>
        <v>88.292334388077975</v>
      </c>
      <c r="T5" s="19">
        <f>'2'!G24</f>
        <v>0</v>
      </c>
      <c r="U5" s="19">
        <v>69</v>
      </c>
      <c r="V5" s="241">
        <f t="shared" ref="V5:V34" si="6">T5*U5</f>
        <v>0</v>
      </c>
      <c r="W5" s="22">
        <f>'2'!G95</f>
        <v>87</v>
      </c>
      <c r="X5" s="22">
        <f>'2'!G96</f>
        <v>19</v>
      </c>
      <c r="Y5" s="22">
        <f>'2'!G97</f>
        <v>14</v>
      </c>
      <c r="Z5" s="22">
        <f t="shared" ref="Z5:Z34" si="7">W5+X5+Y5</f>
        <v>120</v>
      </c>
      <c r="AA5" s="19">
        <f>'2'!G132</f>
        <v>24.25</v>
      </c>
      <c r="AB5" s="19">
        <f>'2'!G133</f>
        <v>0</v>
      </c>
      <c r="AC5" s="19">
        <f>'2'!G134</f>
        <v>7.3700000000026193</v>
      </c>
      <c r="AD5" s="19">
        <f>'2'!G135</f>
        <v>0</v>
      </c>
      <c r="AE5" s="19">
        <f t="shared" ref="AE5:AE34" si="8">AA5+AB5+AC5+AD5</f>
        <v>31.620000000002619</v>
      </c>
      <c r="AF5" s="23">
        <f t="shared" si="2"/>
        <v>6251</v>
      </c>
      <c r="AG5" s="23">
        <f t="shared" ref="AG5:AG34" si="9">AF5/AE5</f>
        <v>197.6913345983391</v>
      </c>
      <c r="AH5" s="19">
        <f>'2'!G136</f>
        <v>10.479999999999563</v>
      </c>
      <c r="AI5" s="19">
        <f>'2'!G137</f>
        <v>0</v>
      </c>
      <c r="AJ5" s="19">
        <f>'2'!G138</f>
        <v>6.0899999999965075</v>
      </c>
      <c r="AK5" s="19">
        <f t="shared" ref="AK5:AK34" si="10">AH5+AI5+AJ5</f>
        <v>16.569999999996071</v>
      </c>
      <c r="AL5" s="19">
        <f>'2'!G139</f>
        <v>0</v>
      </c>
      <c r="AM5" s="19">
        <f>'2'!G140</f>
        <v>7.5399999999999636</v>
      </c>
      <c r="AN5" s="19"/>
      <c r="AO5" s="19">
        <f t="shared" ref="AO5:AO34" si="11">AL5+AM5</f>
        <v>7.5399999999999636</v>
      </c>
      <c r="AP5" s="258">
        <f>'2'!G123</f>
        <v>231</v>
      </c>
      <c r="AQ5" s="261">
        <f>'2'!G35</f>
        <v>3377</v>
      </c>
      <c r="AR5" s="19">
        <f>'2'!G37</f>
        <v>1445</v>
      </c>
      <c r="AS5" s="19">
        <f>'2'!G38</f>
        <v>1823</v>
      </c>
      <c r="AT5" s="19">
        <f>'2'!G39</f>
        <v>3883</v>
      </c>
      <c r="AU5" s="19">
        <f>'2'!G40</f>
        <v>0</v>
      </c>
      <c r="AV5" s="19">
        <f>'2'!G41</f>
        <v>5066</v>
      </c>
      <c r="AW5" s="19">
        <f>'2'!G42</f>
        <v>0</v>
      </c>
      <c r="AX5" s="19">
        <f>'2'!G43</f>
        <v>2688</v>
      </c>
      <c r="AY5" s="19">
        <f>'2'!G44</f>
        <v>0</v>
      </c>
      <c r="AZ5" s="262">
        <f>'2'!G36</f>
        <v>922</v>
      </c>
      <c r="BA5" s="261">
        <f>'2'!G49</f>
        <v>0.13000000000465661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75</v>
      </c>
      <c r="BF5" s="19">
        <f>'2'!G55</f>
        <v>1185</v>
      </c>
      <c r="BG5" s="19">
        <f>'2'!G56</f>
        <v>0</v>
      </c>
      <c r="BH5" s="19">
        <f>'2'!G57</f>
        <v>0</v>
      </c>
      <c r="BI5" s="262">
        <f>'2'!G50</f>
        <v>1086</v>
      </c>
      <c r="BJ5" s="370">
        <f t="shared" ref="BJ5:BJ32" si="12">SUM(AV5,AW5,BF5,BG5)</f>
        <v>6251</v>
      </c>
      <c r="BK5" s="370">
        <f>'2'!G84</f>
        <v>920</v>
      </c>
      <c r="BL5" s="23">
        <f t="shared" ref="BL5:BL34" si="13">SUM(AQ5,AV5,AW5,AX5,BA5,BF5,BG5,BH5)/I5%</f>
        <v>55.588237949088303</v>
      </c>
      <c r="BM5" s="23">
        <f t="shared" ref="BM5:BM34" si="14">SUM(AT5,BD5)/I5%</f>
        <v>17.525726665463079</v>
      </c>
      <c r="BN5" s="24">
        <f t="shared" ref="BN5:BN34" si="15">(AS5+BC5)/I5</f>
        <v>8.2280194981043511E-2</v>
      </c>
      <c r="BO5" s="25">
        <f t="shared" ref="BO5:BO34" si="16">K5+O5+R5+V5</f>
        <v>280252</v>
      </c>
      <c r="BP5" s="213">
        <f t="shared" ref="BP5:BP35" si="17">SUM(AV5,AW5,AX5,BF5,BG5,BH5,BK5)</f>
        <v>9859</v>
      </c>
      <c r="BQ5">
        <f t="shared" ref="BQ5:BQ35" si="18">BP5/(AE5*280)</f>
        <v>1.1135583265563367</v>
      </c>
    </row>
    <row r="6" spans="1:70">
      <c r="A6" s="16">
        <v>3</v>
      </c>
      <c r="B6" s="26">
        <v>3</v>
      </c>
      <c r="C6" s="26"/>
      <c r="D6" s="19">
        <f>'3'!D3</f>
        <v>29</v>
      </c>
      <c r="E6" s="256">
        <f>'3'!D4</f>
        <v>0.78</v>
      </c>
      <c r="F6" s="256">
        <f>'3'!D2</f>
        <v>1</v>
      </c>
      <c r="G6" s="19">
        <f>'3'!G8</f>
        <v>21169</v>
      </c>
      <c r="H6" s="19">
        <f>'3'!G8</f>
        <v>21169</v>
      </c>
      <c r="I6" s="19">
        <f>'3'!G7</f>
        <v>21071</v>
      </c>
      <c r="J6" s="19">
        <v>10</v>
      </c>
      <c r="K6" s="242">
        <f t="shared" si="3"/>
        <v>211690</v>
      </c>
      <c r="L6" s="238">
        <f t="shared" si="4"/>
        <v>104.31188118811882</v>
      </c>
      <c r="M6" s="19">
        <f>'3'!G15</f>
        <v>1003</v>
      </c>
      <c r="N6" s="19">
        <v>35</v>
      </c>
      <c r="O6" s="238">
        <f t="shared" si="5"/>
        <v>35105</v>
      </c>
      <c r="P6" s="19">
        <f>'3'!G20</f>
        <v>153</v>
      </c>
      <c r="Q6" s="19">
        <v>134</v>
      </c>
      <c r="R6" s="239">
        <f t="shared" si="0"/>
        <v>20502</v>
      </c>
      <c r="S6" s="240">
        <f t="shared" si="1"/>
        <v>75.742574257425744</v>
      </c>
      <c r="T6" s="19">
        <f>'3'!G24</f>
        <v>0</v>
      </c>
      <c r="U6" s="19">
        <v>69</v>
      </c>
      <c r="V6" s="241">
        <f t="shared" si="6"/>
        <v>0</v>
      </c>
      <c r="W6" s="22">
        <f>'3'!G95</f>
        <v>72</v>
      </c>
      <c r="X6" s="22">
        <f>'3'!G96</f>
        <v>20</v>
      </c>
      <c r="Y6" s="22">
        <f>'3'!G97</f>
        <v>18</v>
      </c>
      <c r="Z6" s="22">
        <f>W6+X6+Y6</f>
        <v>110</v>
      </c>
      <c r="AA6" s="19">
        <f>'3'!G132</f>
        <v>23.94999999999709</v>
      </c>
      <c r="AB6" s="19">
        <f>'3'!G133</f>
        <v>0</v>
      </c>
      <c r="AC6" s="19">
        <f>'3'!G134</f>
        <v>0</v>
      </c>
      <c r="AD6" s="19">
        <f>'3'!G135</f>
        <v>0</v>
      </c>
      <c r="AE6" s="19">
        <f t="shared" si="8"/>
        <v>23.94999999999709</v>
      </c>
      <c r="AF6" s="23">
        <f t="shared" si="2"/>
        <v>5680</v>
      </c>
      <c r="AG6" s="23">
        <f t="shared" si="9"/>
        <v>237.16075156579083</v>
      </c>
      <c r="AH6" s="19">
        <f>'3'!G136</f>
        <v>10.159999999999854</v>
      </c>
      <c r="AI6" s="19">
        <f>'3'!G137</f>
        <v>0</v>
      </c>
      <c r="AJ6" s="19">
        <f>'3'!G138</f>
        <v>4.2399999999906868</v>
      </c>
      <c r="AK6" s="19">
        <f t="shared" si="10"/>
        <v>14.399999999990541</v>
      </c>
      <c r="AL6" s="19">
        <f>'3'!G139</f>
        <v>0</v>
      </c>
      <c r="AM6" s="19">
        <f>'3'!G140</f>
        <v>8.8100000000004002</v>
      </c>
      <c r="AN6" s="19"/>
      <c r="AO6" s="19">
        <f t="shared" si="11"/>
        <v>8.8100000000004002</v>
      </c>
      <c r="AP6" s="258">
        <f>'3'!G123</f>
        <v>272</v>
      </c>
      <c r="AQ6" s="261">
        <f>'3'!G35</f>
        <v>3065</v>
      </c>
      <c r="AR6" s="19">
        <f>'3'!G37</f>
        <v>1432</v>
      </c>
      <c r="AS6" s="19">
        <f>'3'!G38</f>
        <v>1736</v>
      </c>
      <c r="AT6" s="19">
        <f>'3'!G39</f>
        <v>3855</v>
      </c>
      <c r="AU6" s="19">
        <f>'3'!G40</f>
        <v>0</v>
      </c>
      <c r="AV6" s="19">
        <f>'3'!G41</f>
        <v>5680</v>
      </c>
      <c r="AW6" s="19">
        <f>'3'!G42</f>
        <v>0</v>
      </c>
      <c r="AX6" s="19">
        <f>'3'!G43</f>
        <v>2426</v>
      </c>
      <c r="AY6" s="19">
        <f>'3'!G44</f>
        <v>0</v>
      </c>
      <c r="AZ6" s="262">
        <f>'3'!G36</f>
        <v>975</v>
      </c>
      <c r="BA6" s="261">
        <f>'3'!G49</f>
        <v>0</v>
      </c>
      <c r="BB6" s="19">
        <f>'3'!G51</f>
        <v>0</v>
      </c>
      <c r="BC6" s="19">
        <f>'3'!G52</f>
        <v>0</v>
      </c>
      <c r="BD6" s="19">
        <f>'3'!G53</f>
        <v>0</v>
      </c>
      <c r="BE6" s="19">
        <f>'3'!G54</f>
        <v>77</v>
      </c>
      <c r="BF6" s="19">
        <f>'3'!G55</f>
        <v>0</v>
      </c>
      <c r="BG6" s="19">
        <f>'3'!G56</f>
        <v>0</v>
      </c>
      <c r="BH6" s="19">
        <f>'3'!G57</f>
        <v>0.32999999999992724</v>
      </c>
      <c r="BI6" s="262">
        <f>'3'!G50</f>
        <v>1064</v>
      </c>
      <c r="BJ6" s="370">
        <f t="shared" si="12"/>
        <v>5680</v>
      </c>
      <c r="BK6" s="370">
        <f>'3'!G84</f>
        <v>814</v>
      </c>
      <c r="BL6" s="23">
        <f t="shared" si="13"/>
        <v>53.017559679179911</v>
      </c>
      <c r="BM6" s="23">
        <f t="shared" si="14"/>
        <v>18.29528736177685</v>
      </c>
      <c r="BN6" s="24">
        <f t="shared" si="15"/>
        <v>8.2388116368468517E-2</v>
      </c>
      <c r="BO6" s="25">
        <f t="shared" si="16"/>
        <v>267297</v>
      </c>
      <c r="BP6" s="213">
        <f t="shared" si="17"/>
        <v>8920.33</v>
      </c>
      <c r="BQ6">
        <f t="shared" si="18"/>
        <v>1.3302013122578413</v>
      </c>
    </row>
    <row r="7" spans="1:70">
      <c r="A7" s="16">
        <v>4</v>
      </c>
      <c r="B7" s="27">
        <v>4</v>
      </c>
      <c r="C7" s="27"/>
      <c r="D7" s="19">
        <f>'4'!D3</f>
        <v>28</v>
      </c>
      <c r="E7" s="256">
        <f>'4'!D4</f>
        <v>0.78</v>
      </c>
      <c r="F7" s="256">
        <f>'4'!D2</f>
        <v>0.8</v>
      </c>
      <c r="G7" s="19">
        <f>'4'!G8</f>
        <v>21837</v>
      </c>
      <c r="H7" s="19">
        <f>'4'!G8</f>
        <v>21837</v>
      </c>
      <c r="I7" s="19">
        <f>'4'!G7</f>
        <v>21717</v>
      </c>
      <c r="J7" s="19">
        <v>10</v>
      </c>
      <c r="K7" s="242">
        <f t="shared" si="3"/>
        <v>218370</v>
      </c>
      <c r="L7" s="238">
        <f t="shared" si="4"/>
        <v>107.50990099009901</v>
      </c>
      <c r="M7" s="19">
        <f>'4'!G15</f>
        <v>978</v>
      </c>
      <c r="N7" s="19">
        <v>35</v>
      </c>
      <c r="O7" s="238">
        <f t="shared" si="5"/>
        <v>34230</v>
      </c>
      <c r="P7" s="19">
        <f>'4'!G20</f>
        <v>174</v>
      </c>
      <c r="Q7" s="19">
        <v>134</v>
      </c>
      <c r="R7" s="239">
        <f t="shared" si="0"/>
        <v>23316</v>
      </c>
      <c r="S7" s="240">
        <f t="shared" si="1"/>
        <v>107.67326732673266</v>
      </c>
      <c r="T7" s="19">
        <f>'4'!G24</f>
        <v>0</v>
      </c>
      <c r="U7" s="19">
        <v>69</v>
      </c>
      <c r="V7" s="241">
        <f t="shared" si="6"/>
        <v>0</v>
      </c>
      <c r="W7" s="22">
        <f>'4'!G95</f>
        <v>71</v>
      </c>
      <c r="X7" s="22">
        <f>'4'!G96</f>
        <v>19</v>
      </c>
      <c r="Y7" s="22">
        <f>'4'!G97</f>
        <v>18</v>
      </c>
      <c r="Z7" s="22">
        <f t="shared" si="7"/>
        <v>108</v>
      </c>
      <c r="AA7" s="19">
        <f>'4'!G132</f>
        <v>23.80000000000291</v>
      </c>
      <c r="AB7" s="19">
        <f>'4'!G133</f>
        <v>0</v>
      </c>
      <c r="AC7" s="19">
        <f>'4'!G134</f>
        <v>1.6299999999973807</v>
      </c>
      <c r="AD7" s="19">
        <f>'4'!G135</f>
        <v>0</v>
      </c>
      <c r="AE7" s="19">
        <f t="shared" si="8"/>
        <v>25.430000000000291</v>
      </c>
      <c r="AF7" s="23">
        <f t="shared" si="2"/>
        <v>6033</v>
      </c>
      <c r="AG7" s="23">
        <f t="shared" si="9"/>
        <v>237.23948092803502</v>
      </c>
      <c r="AH7" s="19">
        <f>'4'!G136</f>
        <v>10.159999999999854</v>
      </c>
      <c r="AI7" s="19">
        <f>'4'!G137</f>
        <v>0</v>
      </c>
      <c r="AJ7" s="19">
        <f>'4'!G138</f>
        <v>3.25</v>
      </c>
      <c r="AK7" s="19">
        <f t="shared" si="10"/>
        <v>13.409999999999854</v>
      </c>
      <c r="AL7" s="19">
        <f>'4'!G139</f>
        <v>0</v>
      </c>
      <c r="AM7" s="19">
        <f>'4'!G140</f>
        <v>8.6000000000003638</v>
      </c>
      <c r="AN7" s="19"/>
      <c r="AO7" s="19">
        <f t="shared" si="11"/>
        <v>8.6000000000003638</v>
      </c>
      <c r="AP7" s="258">
        <f>'4'!G123</f>
        <v>264</v>
      </c>
      <c r="AQ7" s="261">
        <f>'4'!G35</f>
        <v>3476</v>
      </c>
      <c r="AR7" s="19">
        <f>'4'!G37</f>
        <v>1390</v>
      </c>
      <c r="AS7" s="19">
        <f>'4'!G38</f>
        <v>1683.6999999999971</v>
      </c>
      <c r="AT7" s="19">
        <f>'4'!G39</f>
        <v>3932</v>
      </c>
      <c r="AU7" s="19">
        <f>'4'!G40</f>
        <v>0</v>
      </c>
      <c r="AV7" s="19">
        <f>'4'!G41</f>
        <v>5776</v>
      </c>
      <c r="AW7" s="19">
        <f>'4'!G42</f>
        <v>0</v>
      </c>
      <c r="AX7" s="19">
        <f>'4'!G43</f>
        <v>2476</v>
      </c>
      <c r="AY7" s="19">
        <f>'4'!G44</f>
        <v>0</v>
      </c>
      <c r="AZ7" s="262">
        <f>'4'!G36</f>
        <v>857</v>
      </c>
      <c r="BA7" s="261">
        <f>'4'!G49</f>
        <v>-0.13000000000465661</v>
      </c>
      <c r="BB7" s="19">
        <f>'4'!G51</f>
        <v>0</v>
      </c>
      <c r="BC7" s="19">
        <f>'4'!G52</f>
        <v>0</v>
      </c>
      <c r="BD7" s="19">
        <f>'4'!G53</f>
        <v>339</v>
      </c>
      <c r="BE7" s="19">
        <f>'4'!G54</f>
        <v>67</v>
      </c>
      <c r="BF7" s="19">
        <f>'4'!G55</f>
        <v>229</v>
      </c>
      <c r="BG7" s="19">
        <f>'4'!G56</f>
        <v>28</v>
      </c>
      <c r="BH7" s="19">
        <f>'4'!G57</f>
        <v>-0.32999999999992724</v>
      </c>
      <c r="BI7" s="262">
        <f>'4'!G50</f>
        <v>1054</v>
      </c>
      <c r="BJ7" s="370">
        <f t="shared" si="12"/>
        <v>6033</v>
      </c>
      <c r="BK7" s="370">
        <f>'3'!G84</f>
        <v>814</v>
      </c>
      <c r="BL7" s="23">
        <f t="shared" si="13"/>
        <v>55.185062393516581</v>
      </c>
      <c r="BM7" s="23">
        <f t="shared" si="14"/>
        <v>19.666620619790947</v>
      </c>
      <c r="BN7" s="24">
        <f t="shared" si="15"/>
        <v>7.7529124648892445E-2</v>
      </c>
      <c r="BO7" s="25">
        <f t="shared" si="16"/>
        <v>275916</v>
      </c>
      <c r="BP7" s="213">
        <f t="shared" si="17"/>
        <v>9322.67</v>
      </c>
      <c r="BQ7">
        <f t="shared" si="18"/>
        <v>1.3092902084152427</v>
      </c>
    </row>
    <row r="8" spans="1:70">
      <c r="A8" s="16">
        <v>5</v>
      </c>
      <c r="B8" s="27">
        <v>5</v>
      </c>
      <c r="C8" s="27"/>
      <c r="D8" s="19">
        <f>'5'!D3</f>
        <v>32</v>
      </c>
      <c r="E8" s="256">
        <f>'5'!D4</f>
        <v>0.78</v>
      </c>
      <c r="F8" s="256">
        <f>'5'!D2</f>
        <v>0.85</v>
      </c>
      <c r="G8" s="19">
        <f>'5'!G8</f>
        <v>21683</v>
      </c>
      <c r="H8" s="19">
        <f>'5'!G8</f>
        <v>21683</v>
      </c>
      <c r="I8" s="19">
        <f>'5'!G7</f>
        <v>21598</v>
      </c>
      <c r="J8" s="19">
        <v>10</v>
      </c>
      <c r="K8" s="242">
        <f t="shared" si="3"/>
        <v>216830</v>
      </c>
      <c r="L8" s="238">
        <f t="shared" si="4"/>
        <v>106.92079207920793</v>
      </c>
      <c r="M8" s="19">
        <f>'5'!G15</f>
        <v>935</v>
      </c>
      <c r="N8" s="19">
        <v>35</v>
      </c>
      <c r="O8" s="238">
        <f t="shared" si="5"/>
        <v>32725</v>
      </c>
      <c r="P8" s="19">
        <f>'5'!G20</f>
        <v>178</v>
      </c>
      <c r="Q8" s="19">
        <v>134</v>
      </c>
      <c r="R8" s="239">
        <f t="shared" si="0"/>
        <v>23852</v>
      </c>
      <c r="S8" s="240">
        <f t="shared" si="1"/>
        <v>103.66919044845662</v>
      </c>
      <c r="T8" s="19">
        <f>'5'!G24</f>
        <v>0</v>
      </c>
      <c r="U8" s="19">
        <v>69</v>
      </c>
      <c r="V8" s="241">
        <f t="shared" si="6"/>
        <v>0</v>
      </c>
      <c r="W8" s="22">
        <f>'5'!G95</f>
        <v>68</v>
      </c>
      <c r="X8" s="22">
        <f>'5'!G96</f>
        <v>15</v>
      </c>
      <c r="Y8" s="22">
        <f>'5'!G97</f>
        <v>22</v>
      </c>
      <c r="Z8" s="22">
        <f t="shared" si="7"/>
        <v>105</v>
      </c>
      <c r="AA8" s="19">
        <f>'5'!G132</f>
        <v>18</v>
      </c>
      <c r="AB8" s="19">
        <f>'5'!G133</f>
        <v>0</v>
      </c>
      <c r="AC8" s="19">
        <f>'5'!G134</f>
        <v>6</v>
      </c>
      <c r="AD8" s="19">
        <f>'5'!G135</f>
        <v>0</v>
      </c>
      <c r="AE8" s="19">
        <f t="shared" si="8"/>
        <v>24</v>
      </c>
      <c r="AF8" s="23">
        <f t="shared" si="2"/>
        <v>5790</v>
      </c>
      <c r="AG8" s="23">
        <f t="shared" si="9"/>
        <v>241.25</v>
      </c>
      <c r="AH8" s="19">
        <f>'5'!G136</f>
        <v>10.400000000001455</v>
      </c>
      <c r="AI8" s="19">
        <f>'5'!G137</f>
        <v>0</v>
      </c>
      <c r="AJ8" s="19">
        <f>'5'!G138</f>
        <v>1.3700000000098953</v>
      </c>
      <c r="AK8" s="19">
        <f t="shared" si="10"/>
        <v>11.77000000001135</v>
      </c>
      <c r="AL8" s="19">
        <f>'5'!G139</f>
        <v>0</v>
      </c>
      <c r="AM8" s="19">
        <f>'5'!G140</f>
        <v>8.1199999999998909</v>
      </c>
      <c r="AN8" s="19"/>
      <c r="AO8" s="19">
        <f t="shared" si="11"/>
        <v>8.1199999999998909</v>
      </c>
      <c r="AP8" s="258">
        <f>'5'!G123</f>
        <v>244</v>
      </c>
      <c r="AQ8" s="261">
        <f>'5'!G35</f>
        <v>3595</v>
      </c>
      <c r="AR8" s="19">
        <f>'5'!G37</f>
        <v>1361</v>
      </c>
      <c r="AS8" s="19">
        <f>'5'!G38</f>
        <v>1731.3000000000029</v>
      </c>
      <c r="AT8" s="19">
        <f>'5'!G39</f>
        <v>3871</v>
      </c>
      <c r="AU8" s="19">
        <f>'5'!G40</f>
        <v>0</v>
      </c>
      <c r="AV8" s="19">
        <f>'5'!G41</f>
        <v>4300</v>
      </c>
      <c r="AW8" s="19">
        <f>'5'!G42</f>
        <v>0</v>
      </c>
      <c r="AX8" s="19">
        <f>'5'!G43</f>
        <v>2428</v>
      </c>
      <c r="AY8" s="19">
        <f>'5'!G44</f>
        <v>0</v>
      </c>
      <c r="AZ8" s="262">
        <f>'5'!G36</f>
        <v>869</v>
      </c>
      <c r="BA8" s="261">
        <f>'5'!G49</f>
        <v>0</v>
      </c>
      <c r="BB8" s="19">
        <f>'5'!G51</f>
        <v>0</v>
      </c>
      <c r="BC8" s="19">
        <f>'5'!G52</f>
        <v>0</v>
      </c>
      <c r="BD8" s="19">
        <f>'5'!G53</f>
        <v>215</v>
      </c>
      <c r="BE8" s="19">
        <f>'5'!G54</f>
        <v>76</v>
      </c>
      <c r="BF8" s="19">
        <f>'5'!G55</f>
        <v>1481</v>
      </c>
      <c r="BG8" s="19">
        <f>'5'!G56</f>
        <v>9</v>
      </c>
      <c r="BH8" s="19">
        <f>'5'!G57</f>
        <v>0</v>
      </c>
      <c r="BI8" s="262">
        <f>'5'!G50</f>
        <v>1047</v>
      </c>
      <c r="BJ8" s="370">
        <f t="shared" si="12"/>
        <v>5790</v>
      </c>
      <c r="BK8" s="370">
        <f>'5'!G84</f>
        <v>1005</v>
      </c>
      <c r="BL8" s="23">
        <f t="shared" si="13"/>
        <v>54.694879155477359</v>
      </c>
      <c r="BM8" s="23">
        <f t="shared" si="14"/>
        <v>18.918418372071489</v>
      </c>
      <c r="BN8" s="24">
        <f t="shared" si="15"/>
        <v>8.0160200018520367E-2</v>
      </c>
      <c r="BO8" s="25">
        <f t="shared" si="16"/>
        <v>273407</v>
      </c>
      <c r="BP8" s="213">
        <f t="shared" si="17"/>
        <v>9223</v>
      </c>
      <c r="BQ8">
        <f t="shared" si="18"/>
        <v>1.372470238095238</v>
      </c>
    </row>
    <row r="9" spans="1:70">
      <c r="A9" s="16">
        <v>6</v>
      </c>
      <c r="B9" s="17">
        <v>6</v>
      </c>
      <c r="C9" s="26"/>
      <c r="D9" s="19">
        <f>'6'!D3</f>
        <v>33</v>
      </c>
      <c r="E9" s="256">
        <f>'6'!D4</f>
        <v>0.8</v>
      </c>
      <c r="F9" s="256">
        <f>'6'!D2</f>
        <v>0.8</v>
      </c>
      <c r="G9" s="19">
        <f>'6'!G8</f>
        <v>20841</v>
      </c>
      <c r="H9" s="19">
        <f>'6'!G8</f>
        <v>20841</v>
      </c>
      <c r="I9" s="19">
        <f>'6'!G7</f>
        <v>20745</v>
      </c>
      <c r="J9" s="19">
        <v>10</v>
      </c>
      <c r="K9" s="242">
        <f t="shared" si="3"/>
        <v>208410</v>
      </c>
      <c r="L9" s="238">
        <f t="shared" si="4"/>
        <v>102.69801980198019</v>
      </c>
      <c r="M9" s="19">
        <f>'6'!G15</f>
        <v>883</v>
      </c>
      <c r="N9" s="19">
        <v>35</v>
      </c>
      <c r="O9" s="238">
        <f t="shared" si="5"/>
        <v>30905</v>
      </c>
      <c r="P9" s="19">
        <f>'6'!G20</f>
        <v>156</v>
      </c>
      <c r="Q9" s="19">
        <v>134</v>
      </c>
      <c r="R9" s="239">
        <f t="shared" si="0"/>
        <v>20904</v>
      </c>
      <c r="S9" s="240">
        <f t="shared" si="1"/>
        <v>96.534653465346508</v>
      </c>
      <c r="T9" s="19">
        <f>'6'!G24</f>
        <v>0</v>
      </c>
      <c r="U9" s="19">
        <v>69</v>
      </c>
      <c r="V9" s="241">
        <f t="shared" si="6"/>
        <v>0</v>
      </c>
      <c r="W9" s="22">
        <f>'6'!G95</f>
        <v>68</v>
      </c>
      <c r="X9" s="22">
        <f>'6'!G96</f>
        <v>17</v>
      </c>
      <c r="Y9" s="22">
        <f>'6'!G97</f>
        <v>19</v>
      </c>
      <c r="Z9" s="22">
        <f t="shared" si="7"/>
        <v>104</v>
      </c>
      <c r="AA9" s="19">
        <f>'6'!G132</f>
        <v>2</v>
      </c>
      <c r="AB9" s="19">
        <f>'6'!G133</f>
        <v>0</v>
      </c>
      <c r="AC9" s="19">
        <f>'6'!G134</f>
        <v>24</v>
      </c>
      <c r="AD9" s="19">
        <f>'6'!G135</f>
        <v>-0.43999999999869033</v>
      </c>
      <c r="AE9" s="19">
        <f t="shared" si="8"/>
        <v>25.56000000000131</v>
      </c>
      <c r="AF9" s="23">
        <f t="shared" si="2"/>
        <v>5482</v>
      </c>
      <c r="AG9" s="23">
        <f t="shared" si="9"/>
        <v>214.4757433489718</v>
      </c>
      <c r="AH9" s="19">
        <f>'6'!G136</f>
        <v>9.6100000000005821</v>
      </c>
      <c r="AI9" s="19">
        <f>'6'!G137</f>
        <v>0</v>
      </c>
      <c r="AJ9" s="19">
        <f>'6'!G138</f>
        <v>2.4199999999982538</v>
      </c>
      <c r="AK9" s="19">
        <f t="shared" si="10"/>
        <v>12.029999999998836</v>
      </c>
      <c r="AL9" s="19">
        <f>'6'!G139</f>
        <v>0</v>
      </c>
      <c r="AM9" s="19">
        <f>'6'!G140</f>
        <v>8.1300000000001091</v>
      </c>
      <c r="AN9" s="19"/>
      <c r="AO9" s="19">
        <f t="shared" si="11"/>
        <v>8.1300000000001091</v>
      </c>
      <c r="AP9" s="258">
        <f>'6'!G123</f>
        <v>254</v>
      </c>
      <c r="AQ9" s="261">
        <f>'6'!G35</f>
        <v>3323</v>
      </c>
      <c r="AR9" s="19">
        <f>'6'!G37</f>
        <v>1356</v>
      </c>
      <c r="AS9" s="19">
        <f>'6'!G38</f>
        <v>1685</v>
      </c>
      <c r="AT9" s="19">
        <f>'6'!G39</f>
        <v>3819</v>
      </c>
      <c r="AU9" s="19">
        <f>'6'!G40</f>
        <v>0</v>
      </c>
      <c r="AV9" s="19">
        <f>'6'!G41</f>
        <v>311</v>
      </c>
      <c r="AW9" s="19">
        <f>'6'!G42</f>
        <v>0</v>
      </c>
      <c r="AX9" s="19">
        <f>'6'!G43</f>
        <v>2432</v>
      </c>
      <c r="AY9" s="19">
        <f>'6'!G44</f>
        <v>0</v>
      </c>
      <c r="AZ9" s="262">
        <f>'6'!G36</f>
        <v>700</v>
      </c>
      <c r="BA9" s="261">
        <f>'6'!G49</f>
        <v>0</v>
      </c>
      <c r="BB9" s="19">
        <f>'6'!G51</f>
        <v>0</v>
      </c>
      <c r="BC9" s="19">
        <f>'6'!G52</f>
        <v>0</v>
      </c>
      <c r="BD9" s="19">
        <f>'6'!G53</f>
        <v>212</v>
      </c>
      <c r="BE9" s="19">
        <f>'6'!G54</f>
        <v>72</v>
      </c>
      <c r="BF9" s="19">
        <f>'6'!G55</f>
        <v>5162</v>
      </c>
      <c r="BG9" s="19">
        <f>'6'!G56</f>
        <v>9</v>
      </c>
      <c r="BH9" s="19">
        <f>'6'!G57</f>
        <v>0</v>
      </c>
      <c r="BI9" s="262">
        <f>'6'!G50</f>
        <v>1085</v>
      </c>
      <c r="BJ9" s="370">
        <f t="shared" si="12"/>
        <v>5482</v>
      </c>
      <c r="BK9" s="370">
        <f>'6'!G84</f>
        <v>982</v>
      </c>
      <c r="BL9" s="23">
        <f t="shared" si="13"/>
        <v>54.167269221499161</v>
      </c>
      <c r="BM9" s="23">
        <f t="shared" si="14"/>
        <v>19.431188238129671</v>
      </c>
      <c r="BN9" s="24">
        <f t="shared" si="15"/>
        <v>8.122439141961918E-2</v>
      </c>
      <c r="BO9" s="25">
        <f t="shared" si="16"/>
        <v>260219</v>
      </c>
      <c r="BP9" s="213">
        <f t="shared" si="17"/>
        <v>8896</v>
      </c>
      <c r="BQ9">
        <f t="shared" si="18"/>
        <v>1.2430136373797709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256">
        <f>'7'!D4</f>
        <v>0.8</v>
      </c>
      <c r="F10" s="256">
        <f>'7'!D2</f>
        <v>0.81</v>
      </c>
      <c r="G10" s="19">
        <f>'7'!G8</f>
        <v>22052</v>
      </c>
      <c r="H10" s="19">
        <f>'7'!G8</f>
        <v>22052</v>
      </c>
      <c r="I10" s="19">
        <f>'7'!G7</f>
        <v>21932</v>
      </c>
      <c r="J10" s="19">
        <v>10</v>
      </c>
      <c r="K10" s="242">
        <f t="shared" si="3"/>
        <v>220520</v>
      </c>
      <c r="L10" s="238">
        <f t="shared" si="4"/>
        <v>108.57425742574257</v>
      </c>
      <c r="M10" s="19">
        <f>'7'!G15</f>
        <v>898</v>
      </c>
      <c r="N10" s="19">
        <v>35</v>
      </c>
      <c r="O10" s="238">
        <f t="shared" si="5"/>
        <v>31430</v>
      </c>
      <c r="P10" s="19">
        <f>'7'!G20</f>
        <v>157</v>
      </c>
      <c r="Q10" s="19">
        <v>134</v>
      </c>
      <c r="R10" s="239">
        <f t="shared" si="0"/>
        <v>21038</v>
      </c>
      <c r="S10" s="240">
        <f t="shared" si="1"/>
        <v>95.954039848429275</v>
      </c>
      <c r="T10" s="19">
        <f>'7'!G24</f>
        <v>0</v>
      </c>
      <c r="U10" s="19">
        <v>69</v>
      </c>
      <c r="V10" s="241">
        <f t="shared" si="6"/>
        <v>0</v>
      </c>
      <c r="W10" s="22">
        <f>'7'!G95</f>
        <v>79</v>
      </c>
      <c r="X10" s="22">
        <f>'7'!G96</f>
        <v>18</v>
      </c>
      <c r="Y10" s="22">
        <f>'7'!G97</f>
        <v>18</v>
      </c>
      <c r="Z10" s="22">
        <f t="shared" si="7"/>
        <v>115</v>
      </c>
      <c r="AA10" s="19">
        <f>'7'!G132</f>
        <v>2</v>
      </c>
      <c r="AB10" s="19">
        <f>'7'!G133</f>
        <v>0</v>
      </c>
      <c r="AC10" s="19">
        <f>'7'!G134</f>
        <v>24</v>
      </c>
      <c r="AD10" s="19">
        <f>'7'!G135</f>
        <v>0</v>
      </c>
      <c r="AE10" s="19">
        <f t="shared" si="8"/>
        <v>26</v>
      </c>
      <c r="AF10" s="23">
        <f t="shared" si="2"/>
        <v>6293</v>
      </c>
      <c r="AG10" s="23">
        <f t="shared" si="9"/>
        <v>242.03846153846155</v>
      </c>
      <c r="AH10" s="19">
        <f>'7'!G136</f>
        <v>10.880000000001019</v>
      </c>
      <c r="AI10" s="19">
        <f>'7'!G137</f>
        <v>0</v>
      </c>
      <c r="AJ10" s="19">
        <f>'7'!G138</f>
        <v>0</v>
      </c>
      <c r="AK10" s="19">
        <f t="shared" si="10"/>
        <v>10.880000000001019</v>
      </c>
      <c r="AL10" s="19">
        <f>'7'!G139</f>
        <v>0</v>
      </c>
      <c r="AM10" s="19">
        <f>'7'!G140</f>
        <v>7.8999999999996362</v>
      </c>
      <c r="AN10" s="19"/>
      <c r="AO10" s="19">
        <f t="shared" si="11"/>
        <v>7.8999999999996362</v>
      </c>
      <c r="AP10" s="258">
        <f>'7'!G123</f>
        <v>244</v>
      </c>
      <c r="AQ10" s="261">
        <f>'7'!G35</f>
        <v>3389</v>
      </c>
      <c r="AR10" s="19">
        <f>'7'!G37</f>
        <v>1397</v>
      </c>
      <c r="AS10" s="19">
        <f>'7'!G38</f>
        <v>1757</v>
      </c>
      <c r="AT10" s="19">
        <f>'7'!G39</f>
        <v>3506</v>
      </c>
      <c r="AU10" s="19">
        <f>'7'!G40</f>
        <v>0</v>
      </c>
      <c r="AV10" s="19">
        <f>'7'!G41</f>
        <v>456</v>
      </c>
      <c r="AW10" s="19">
        <f>'7'!G42</f>
        <v>0</v>
      </c>
      <c r="AX10" s="19">
        <f>'7'!G43</f>
        <v>2494</v>
      </c>
      <c r="AY10" s="19">
        <f>'7'!G44</f>
        <v>0</v>
      </c>
      <c r="AZ10" s="262">
        <f>'7'!G36</f>
        <v>797</v>
      </c>
      <c r="BA10" s="261">
        <f>'7'!G49</f>
        <v>0</v>
      </c>
      <c r="BB10" s="19">
        <f>'7'!G51</f>
        <v>0</v>
      </c>
      <c r="BC10" s="19">
        <f>'7'!G52</f>
        <v>0</v>
      </c>
      <c r="BD10" s="19">
        <f>'7'!G53</f>
        <v>563</v>
      </c>
      <c r="BE10" s="19">
        <f>'7'!G54</f>
        <v>69</v>
      </c>
      <c r="BF10" s="19">
        <f>'7'!G55</f>
        <v>5837</v>
      </c>
      <c r="BG10" s="19">
        <f>'7'!G56</f>
        <v>0</v>
      </c>
      <c r="BH10" s="19">
        <f>'7'!G57</f>
        <v>0</v>
      </c>
      <c r="BI10" s="262">
        <f>'7'!G50</f>
        <v>1163</v>
      </c>
      <c r="BJ10" s="370">
        <f t="shared" si="12"/>
        <v>6293</v>
      </c>
      <c r="BK10" s="370">
        <f>'7'!G84</f>
        <v>910</v>
      </c>
      <c r="BL10" s="23">
        <f t="shared" si="13"/>
        <v>55.517052708371331</v>
      </c>
      <c r="BM10" s="23">
        <f t="shared" si="14"/>
        <v>18.552799562283422</v>
      </c>
      <c r="BN10" s="24">
        <f t="shared" si="15"/>
        <v>8.0111252963705998E-2</v>
      </c>
      <c r="BO10" s="25">
        <f t="shared" si="16"/>
        <v>272988</v>
      </c>
      <c r="BP10" s="213">
        <f t="shared" si="17"/>
        <v>9697</v>
      </c>
      <c r="BQ10">
        <f t="shared" si="18"/>
        <v>1.3320054945054944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0.41</v>
      </c>
      <c r="G11" s="19">
        <f>'8'!G8</f>
        <v>21696</v>
      </c>
      <c r="H11" s="19">
        <f>'8'!G8</f>
        <v>21696</v>
      </c>
      <c r="I11" s="19">
        <f>'8'!G7</f>
        <v>21591</v>
      </c>
      <c r="J11" s="19">
        <v>10</v>
      </c>
      <c r="K11" s="242">
        <f t="shared" si="3"/>
        <v>216960</v>
      </c>
      <c r="L11" s="238">
        <f t="shared" si="4"/>
        <v>106.88613861386139</v>
      </c>
      <c r="M11" s="19">
        <f>'8'!G15</f>
        <v>952.0319999998901</v>
      </c>
      <c r="N11" s="19">
        <v>35</v>
      </c>
      <c r="O11" s="238">
        <f t="shared" si="5"/>
        <v>33321.119999996154</v>
      </c>
      <c r="P11" s="19">
        <f>'8'!G20</f>
        <v>156</v>
      </c>
      <c r="Q11" s="19">
        <v>134</v>
      </c>
      <c r="R11" s="239">
        <f t="shared" si="0"/>
        <v>20904</v>
      </c>
      <c r="S11" s="240">
        <f t="shared" si="1"/>
        <v>188.36029944457863</v>
      </c>
      <c r="T11" s="19">
        <f>'8'!G24</f>
        <v>0</v>
      </c>
      <c r="U11" s="19">
        <v>69</v>
      </c>
      <c r="V11" s="241">
        <f t="shared" si="6"/>
        <v>0</v>
      </c>
      <c r="W11" s="22">
        <f>'8'!G95</f>
        <v>78</v>
      </c>
      <c r="X11" s="22">
        <f>'8'!G96</f>
        <v>17</v>
      </c>
      <c r="Y11" s="22">
        <f>'8'!G97</f>
        <v>18</v>
      </c>
      <c r="Z11" s="22">
        <f t="shared" si="7"/>
        <v>113</v>
      </c>
      <c r="AA11" s="19">
        <f>'8'!G132</f>
        <v>0</v>
      </c>
      <c r="AB11" s="19">
        <f>'8'!G133</f>
        <v>0</v>
      </c>
      <c r="AC11" s="19">
        <f>'8'!G134</f>
        <v>24</v>
      </c>
      <c r="AD11" s="19">
        <f>'8'!G135</f>
        <v>0</v>
      </c>
      <c r="AE11" s="19">
        <f t="shared" si="8"/>
        <v>24</v>
      </c>
      <c r="AF11" s="23">
        <f t="shared" si="2"/>
        <v>6203.3729999999632</v>
      </c>
      <c r="AG11" s="23">
        <f t="shared" si="9"/>
        <v>258.47387499999849</v>
      </c>
      <c r="AH11" s="19">
        <f>'8'!G136</f>
        <v>9.8799999999973807</v>
      </c>
      <c r="AI11" s="19">
        <f>'8'!G137</f>
        <v>0</v>
      </c>
      <c r="AJ11" s="19">
        <f>'8'!G138</f>
        <v>3.2399999999906868</v>
      </c>
      <c r="AK11" s="19">
        <f t="shared" si="10"/>
        <v>13.119999999988067</v>
      </c>
      <c r="AL11" s="19">
        <f>'8'!G139</f>
        <v>0</v>
      </c>
      <c r="AM11" s="19">
        <f>'8'!G140</f>
        <v>8.2299999999995634</v>
      </c>
      <c r="AN11" s="19"/>
      <c r="AO11" s="19">
        <f t="shared" si="11"/>
        <v>8.2299999999995634</v>
      </c>
      <c r="AP11" s="258">
        <f>'8'!G123</f>
        <v>247.19999999995343</v>
      </c>
      <c r="AQ11" s="261">
        <f>'8'!G35</f>
        <v>3315.109999999986</v>
      </c>
      <c r="AR11" s="19">
        <f>'8'!G37</f>
        <v>1388.3629999999976</v>
      </c>
      <c r="AS11" s="19">
        <f>'8'!G38</f>
        <v>1689.4100000000035</v>
      </c>
      <c r="AT11" s="19">
        <f>'8'!G39</f>
        <v>3493.2900000000081</v>
      </c>
      <c r="AU11" s="19">
        <f>'8'!G40</f>
        <v>0.17</v>
      </c>
      <c r="AV11" s="19">
        <f>'8'!G41</f>
        <v>236.20999999999185</v>
      </c>
      <c r="AW11" s="19">
        <f>'8'!G42</f>
        <v>0.16300000000046566</v>
      </c>
      <c r="AX11" s="19">
        <f>'8'!G43</f>
        <v>2486.2299999999814</v>
      </c>
      <c r="AY11" s="23">
        <f>'8'!G44</f>
        <v>0</v>
      </c>
      <c r="AZ11" s="262">
        <f>'8'!G36</f>
        <v>833.46999999997206</v>
      </c>
      <c r="BA11" s="261">
        <f>'8'!G49</f>
        <v>0.13000000000465661</v>
      </c>
      <c r="BB11" s="19">
        <f>'8'!G51</f>
        <v>-0.13000000000465661</v>
      </c>
      <c r="BC11" s="19">
        <f>'8'!G52</f>
        <v>0</v>
      </c>
      <c r="BD11" s="19">
        <f>'8'!G53</f>
        <v>630.34999999997672</v>
      </c>
      <c r="BE11" s="19">
        <f>'8'!G54</f>
        <v>1541.0400000000009</v>
      </c>
      <c r="BF11" s="19">
        <f>'8'!G55</f>
        <v>5948.4100000000035</v>
      </c>
      <c r="BG11" s="19">
        <f>'8'!G56</f>
        <v>18.589999999967404</v>
      </c>
      <c r="BH11" s="19">
        <f>'8'!G57</f>
        <v>0</v>
      </c>
      <c r="BI11" s="262">
        <f>'8'!G50</f>
        <v>1108.75</v>
      </c>
      <c r="BJ11" s="370">
        <f t="shared" si="12"/>
        <v>6203.3729999999632</v>
      </c>
      <c r="BK11" s="370">
        <f>'8'!G84</f>
        <v>1021</v>
      </c>
      <c r="BL11" s="23">
        <f t="shared" si="13"/>
        <v>55.601143995182881</v>
      </c>
      <c r="BM11" s="23">
        <f t="shared" si="14"/>
        <v>19.098883794173428</v>
      </c>
      <c r="BN11" s="24">
        <f t="shared" si="15"/>
        <v>7.8246028437775159E-2</v>
      </c>
      <c r="BO11" s="25">
        <f t="shared" si="16"/>
        <v>271185.11999999615</v>
      </c>
      <c r="BP11" s="213">
        <f t="shared" si="17"/>
        <v>9710.6029999999446</v>
      </c>
      <c r="BQ11">
        <f t="shared" si="18"/>
        <v>1.4450302083333251</v>
      </c>
    </row>
    <row r="12" spans="1:70">
      <c r="A12" s="16">
        <v>9</v>
      </c>
      <c r="B12" s="27">
        <v>9</v>
      </c>
      <c r="C12" s="26"/>
      <c r="D12" s="19">
        <f>'9'!D3</f>
        <v>29</v>
      </c>
      <c r="E12" s="256">
        <f>'9'!D4</f>
        <v>0.78</v>
      </c>
      <c r="F12" s="256">
        <f>'9'!D2</f>
        <v>0.45</v>
      </c>
      <c r="G12" s="19">
        <f>'9'!G8</f>
        <v>22090</v>
      </c>
      <c r="H12" s="19">
        <f>'9'!G8</f>
        <v>22090</v>
      </c>
      <c r="I12" s="19">
        <f>'9'!G7</f>
        <v>21971</v>
      </c>
      <c r="J12" s="19">
        <v>10</v>
      </c>
      <c r="K12" s="242">
        <f t="shared" si="3"/>
        <v>220900</v>
      </c>
      <c r="L12" s="238">
        <f t="shared" si="4"/>
        <v>108.76732673267327</v>
      </c>
      <c r="M12" s="19">
        <f>'9'!G15</f>
        <v>903.46000000019558</v>
      </c>
      <c r="N12" s="19">
        <v>35</v>
      </c>
      <c r="O12" s="238">
        <f t="shared" si="5"/>
        <v>31621.100000006845</v>
      </c>
      <c r="P12" s="19">
        <f>'9'!G20</f>
        <v>143</v>
      </c>
      <c r="Q12" s="19">
        <v>134</v>
      </c>
      <c r="R12" s="239">
        <f t="shared" si="0"/>
        <v>19162</v>
      </c>
      <c r="S12" s="240">
        <f t="shared" si="1"/>
        <v>157.31573157315731</v>
      </c>
      <c r="T12" s="19">
        <f>'9'!G24</f>
        <v>0</v>
      </c>
      <c r="U12" s="19">
        <v>69</v>
      </c>
      <c r="V12" s="241">
        <f t="shared" si="6"/>
        <v>0</v>
      </c>
      <c r="W12" s="22">
        <f>'9'!G95</f>
        <v>75</v>
      </c>
      <c r="X12" s="22">
        <f>'9'!G96</f>
        <v>15</v>
      </c>
      <c r="Y12" s="22">
        <f>'9'!G97</f>
        <v>16</v>
      </c>
      <c r="Z12" s="22">
        <f t="shared" si="7"/>
        <v>106</v>
      </c>
      <c r="AA12" s="19">
        <f>'9'!G132</f>
        <v>0</v>
      </c>
      <c r="AB12" s="19">
        <f>'9'!G133</f>
        <v>0</v>
      </c>
      <c r="AC12" s="19">
        <f>'9'!G134</f>
        <v>23.510000000002037</v>
      </c>
      <c r="AD12" s="19">
        <f>'9'!G135</f>
        <v>0</v>
      </c>
      <c r="AE12" s="19">
        <f t="shared" si="8"/>
        <v>23.510000000002037</v>
      </c>
      <c r="AF12" s="23">
        <f t="shared" si="2"/>
        <v>6545.3870000000461</v>
      </c>
      <c r="AG12" s="23">
        <f t="shared" si="9"/>
        <v>278.4086346235423</v>
      </c>
      <c r="AH12" s="19">
        <f>'9'!G136</f>
        <v>10.900000000001455</v>
      </c>
      <c r="AI12" s="19">
        <f>'9'!G137</f>
        <v>0</v>
      </c>
      <c r="AJ12" s="19">
        <f>'9'!G138</f>
        <v>1.8700000000098953</v>
      </c>
      <c r="AK12" s="19">
        <f t="shared" si="10"/>
        <v>12.77000000001135</v>
      </c>
      <c r="AL12" s="19">
        <f>'9'!G139</f>
        <v>0</v>
      </c>
      <c r="AM12" s="19">
        <f>'9'!G140</f>
        <v>8.7800000000006548</v>
      </c>
      <c r="AN12" s="19"/>
      <c r="AO12" s="19">
        <f t="shared" si="11"/>
        <v>8.7800000000006548</v>
      </c>
      <c r="AP12" s="258">
        <f>'9'!G123</f>
        <v>270.06000000005588</v>
      </c>
      <c r="AQ12" s="261">
        <f>'9'!G35</f>
        <v>3370.5600000000559</v>
      </c>
      <c r="AR12" s="19">
        <f>'9'!G37</f>
        <v>1354.226999999999</v>
      </c>
      <c r="AS12" s="19">
        <f>'9'!G38</f>
        <v>1595.1199999999953</v>
      </c>
      <c r="AT12" s="19">
        <f>'9'!G39</f>
        <v>3332.679999999993</v>
      </c>
      <c r="AU12" s="19">
        <f>'9'!G40</f>
        <v>0</v>
      </c>
      <c r="AV12" s="19">
        <f>'9'!G41</f>
        <v>781.95000000001164</v>
      </c>
      <c r="AW12" s="19">
        <f>'9'!G42</f>
        <v>-2.9999999969732016E-3</v>
      </c>
      <c r="AX12" s="19">
        <f>'9'!G43</f>
        <v>2478.9599999999627</v>
      </c>
      <c r="AY12" s="23">
        <f>'9'!G44</f>
        <v>0</v>
      </c>
      <c r="AZ12" s="262">
        <f>'9'!G36</f>
        <v>996.70000000001164</v>
      </c>
      <c r="BA12" s="261">
        <f>'9'!G49</f>
        <v>0</v>
      </c>
      <c r="BB12" s="19">
        <f>'9'!G51</f>
        <v>0</v>
      </c>
      <c r="BC12" s="19">
        <f>'9'!G52</f>
        <v>-1.9300000000512227</v>
      </c>
      <c r="BD12" s="19">
        <f>'9'!G53</f>
        <v>636.80000000004657</v>
      </c>
      <c r="BE12" s="19">
        <f>'9'!G54</f>
        <v>1612.58</v>
      </c>
      <c r="BF12" s="19">
        <f>'9'!G55</f>
        <v>5754.5199999999895</v>
      </c>
      <c r="BG12" s="19">
        <f>'9'!G56</f>
        <v>8.9200000000419095</v>
      </c>
      <c r="BH12" s="19">
        <f>'9'!G57</f>
        <v>0</v>
      </c>
      <c r="BI12" s="262">
        <f>'9'!G50</f>
        <v>1043.1599999999744</v>
      </c>
      <c r="BJ12" s="370">
        <f t="shared" si="12"/>
        <v>6545.3870000000461</v>
      </c>
      <c r="BK12" s="370">
        <f>'8'!G84</f>
        <v>1021</v>
      </c>
      <c r="BL12" s="23">
        <f t="shared" si="13"/>
        <v>56.414851395021003</v>
      </c>
      <c r="BM12" s="23">
        <f t="shared" si="14"/>
        <v>18.0669063765875</v>
      </c>
      <c r="BN12" s="24">
        <f t="shared" si="15"/>
        <v>7.251331300350207E-2</v>
      </c>
      <c r="BO12" s="25">
        <f t="shared" si="16"/>
        <v>271683.10000000685</v>
      </c>
      <c r="BP12" s="213">
        <f t="shared" si="17"/>
        <v>10045.347000000009</v>
      </c>
      <c r="BQ12">
        <f t="shared" si="18"/>
        <v>1.525999118915832</v>
      </c>
    </row>
    <row r="13" spans="1:70">
      <c r="A13" s="16">
        <v>10</v>
      </c>
      <c r="B13" s="27">
        <v>10</v>
      </c>
      <c r="C13" s="26"/>
      <c r="D13" s="19">
        <f>'10'!D3</f>
        <v>28</v>
      </c>
      <c r="E13" s="256">
        <f>'10'!D4</f>
        <v>0.78</v>
      </c>
      <c r="F13" s="256">
        <f>'10'!D2</f>
        <v>0.42</v>
      </c>
      <c r="G13" s="19">
        <f>'10'!G8</f>
        <v>20904</v>
      </c>
      <c r="H13" s="19">
        <f>'10'!G8</f>
        <v>20904</v>
      </c>
      <c r="I13" s="19">
        <f>'10'!G7</f>
        <v>20828</v>
      </c>
      <c r="J13" s="19">
        <v>10</v>
      </c>
      <c r="K13" s="242">
        <f t="shared" si="3"/>
        <v>209040</v>
      </c>
      <c r="L13" s="238">
        <f t="shared" si="4"/>
        <v>103.10891089108911</v>
      </c>
      <c r="M13" s="19">
        <f>'10'!G15</f>
        <v>791.61999999987893</v>
      </c>
      <c r="N13" s="19">
        <v>35</v>
      </c>
      <c r="O13" s="238">
        <f t="shared" si="5"/>
        <v>27706.699999995762</v>
      </c>
      <c r="P13" s="19">
        <f>'10'!G20</f>
        <v>143</v>
      </c>
      <c r="Q13" s="19">
        <v>134</v>
      </c>
      <c r="R13" s="239">
        <f t="shared" si="0"/>
        <v>19162</v>
      </c>
      <c r="S13" s="240">
        <f t="shared" si="1"/>
        <v>168.55256954266855</v>
      </c>
      <c r="T13" s="19">
        <f>'10'!G24</f>
        <v>0</v>
      </c>
      <c r="U13" s="19">
        <v>69</v>
      </c>
      <c r="V13" s="241">
        <f t="shared" si="6"/>
        <v>0</v>
      </c>
      <c r="W13" s="22">
        <f>'10'!G95</f>
        <v>69</v>
      </c>
      <c r="X13" s="22">
        <f>'10'!G96</f>
        <v>15</v>
      </c>
      <c r="Y13" s="22">
        <f>'10'!G97</f>
        <v>13</v>
      </c>
      <c r="Z13" s="22">
        <f t="shared" si="7"/>
        <v>97</v>
      </c>
      <c r="AA13" s="19">
        <f>'10'!G132</f>
        <v>8.2300000000032014</v>
      </c>
      <c r="AB13" s="19">
        <f>'10'!G133</f>
        <v>0</v>
      </c>
      <c r="AC13" s="19">
        <f>'10'!G134</f>
        <v>23.939999999995052</v>
      </c>
      <c r="AD13" s="19">
        <f>'10'!G135</f>
        <v>0</v>
      </c>
      <c r="AE13" s="19">
        <f t="shared" si="8"/>
        <v>32.169999999998254</v>
      </c>
      <c r="AF13" s="23">
        <f t="shared" si="2"/>
        <v>6016.4600000000501</v>
      </c>
      <c r="AG13" s="23">
        <f t="shared" si="9"/>
        <v>187.0208268573322</v>
      </c>
      <c r="AH13" s="19">
        <f>'10'!G136</f>
        <v>8.8099999999976717</v>
      </c>
      <c r="AI13" s="19">
        <f>'10'!G137</f>
        <v>0</v>
      </c>
      <c r="AJ13" s="19">
        <f>'10'!G138</f>
        <v>0</v>
      </c>
      <c r="AK13" s="19">
        <f t="shared" si="10"/>
        <v>8.8099999999976717</v>
      </c>
      <c r="AL13" s="19">
        <f>'10'!G139</f>
        <v>0</v>
      </c>
      <c r="AM13" s="19">
        <f>'10'!G140</f>
        <v>8.569999999999709</v>
      </c>
      <c r="AN13" s="19"/>
      <c r="AO13" s="19">
        <f t="shared" si="11"/>
        <v>8.569999999999709</v>
      </c>
      <c r="AP13" s="258">
        <f>'10'!G123</f>
        <v>260.5</v>
      </c>
      <c r="AQ13" s="261">
        <f>'10'!G35</f>
        <v>3180.7199999999721</v>
      </c>
      <c r="AR13" s="19">
        <f>'10'!G37</f>
        <v>1303.25</v>
      </c>
      <c r="AS13" s="19">
        <f>'10'!G38</f>
        <v>1608.7700000000041</v>
      </c>
      <c r="AT13" s="19">
        <f>'10'!G39</f>
        <v>3233.5</v>
      </c>
      <c r="AU13" s="19">
        <f>'10'!G40</f>
        <v>0</v>
      </c>
      <c r="AV13" s="19">
        <f>'10'!G41</f>
        <v>651.26000000000931</v>
      </c>
      <c r="AW13" s="19">
        <f>'10'!G42</f>
        <v>-0.16000000000349246</v>
      </c>
      <c r="AX13" s="19">
        <f>'10'!G43</f>
        <v>2479.8600000001024</v>
      </c>
      <c r="AY13" s="23">
        <f>'10'!G44</f>
        <v>0</v>
      </c>
      <c r="AZ13" s="262">
        <f>'10'!G36</f>
        <v>870.52000000001863</v>
      </c>
      <c r="BA13" s="261">
        <f>'10'!G49</f>
        <v>0</v>
      </c>
      <c r="BB13" s="19">
        <f>'10'!G51</f>
        <v>0</v>
      </c>
      <c r="BC13" s="19">
        <f>'10'!G52</f>
        <v>0</v>
      </c>
      <c r="BD13" s="19">
        <f>'10'!G53</f>
        <v>569.79999999998836</v>
      </c>
      <c r="BE13" s="19">
        <f>'10'!G54</f>
        <v>68.010000000000218</v>
      </c>
      <c r="BF13" s="19">
        <f>'10'!G55</f>
        <v>5356.2000000000116</v>
      </c>
      <c r="BG13" s="19">
        <f>'10'!G56</f>
        <v>9.1600000000325963</v>
      </c>
      <c r="BH13" s="19">
        <f>'10'!G57</f>
        <v>0</v>
      </c>
      <c r="BI13" s="262">
        <f>'10'!G50</f>
        <v>1042.0400000000373</v>
      </c>
      <c r="BJ13" s="370">
        <f t="shared" si="12"/>
        <v>6016.4600000000501</v>
      </c>
      <c r="BK13" s="370">
        <f>'8'!G84</f>
        <v>1021</v>
      </c>
      <c r="BL13" s="23">
        <f t="shared" si="13"/>
        <v>56.064144420972369</v>
      </c>
      <c r="BM13" s="23">
        <f t="shared" si="14"/>
        <v>18.260514691761035</v>
      </c>
      <c r="BN13" s="24">
        <f t="shared" si="15"/>
        <v>7.7240733627808908E-2</v>
      </c>
      <c r="BO13" s="25">
        <f t="shared" si="16"/>
        <v>255908.69999999576</v>
      </c>
      <c r="BP13" s="213">
        <f t="shared" si="17"/>
        <v>9517.3200000001525</v>
      </c>
      <c r="BQ13">
        <f t="shared" si="18"/>
        <v>1.0565877703273534</v>
      </c>
    </row>
    <row r="14" spans="1:70">
      <c r="A14" s="16">
        <v>11</v>
      </c>
      <c r="B14" s="17">
        <v>11</v>
      </c>
      <c r="C14" s="27"/>
      <c r="D14" s="19">
        <f>'11'!D3</f>
        <v>24</v>
      </c>
      <c r="E14" s="256">
        <f>'11'!D4</f>
        <v>0.8</v>
      </c>
      <c r="F14" s="256">
        <f>'11'!D2</f>
        <v>0.37</v>
      </c>
      <c r="G14" s="19">
        <f>'11'!G8</f>
        <v>20965</v>
      </c>
      <c r="H14" s="19">
        <f>'11'!G8</f>
        <v>20965</v>
      </c>
      <c r="I14" s="19">
        <f>'11'!G7</f>
        <v>20879</v>
      </c>
      <c r="J14" s="19">
        <v>10</v>
      </c>
      <c r="K14" s="242">
        <f t="shared" si="3"/>
        <v>209650</v>
      </c>
      <c r="L14" s="238">
        <f t="shared" si="4"/>
        <v>103.36138613861387</v>
      </c>
      <c r="M14" s="19">
        <f>'11'!G15</f>
        <v>846.82799999997951</v>
      </c>
      <c r="N14" s="19">
        <v>35</v>
      </c>
      <c r="O14" s="238">
        <f t="shared" si="5"/>
        <v>29638.979999999283</v>
      </c>
      <c r="P14" s="19">
        <f>'11'!G20</f>
        <v>137</v>
      </c>
      <c r="Q14" s="19">
        <v>134</v>
      </c>
      <c r="R14" s="239">
        <f t="shared" si="0"/>
        <v>18358</v>
      </c>
      <c r="S14" s="240">
        <f t="shared" si="1"/>
        <v>183.3021139951833</v>
      </c>
      <c r="T14" s="19">
        <f>'11'!G24</f>
        <v>0</v>
      </c>
      <c r="U14" s="19">
        <v>69</v>
      </c>
      <c r="V14" s="241">
        <f t="shared" si="6"/>
        <v>0</v>
      </c>
      <c r="W14" s="22">
        <f>'11'!G95</f>
        <v>73</v>
      </c>
      <c r="X14" s="22">
        <f>'11'!G96</f>
        <v>15</v>
      </c>
      <c r="Y14" s="22">
        <f>'11'!G97</f>
        <v>17</v>
      </c>
      <c r="Z14" s="22">
        <f t="shared" si="7"/>
        <v>105</v>
      </c>
      <c r="AA14" s="19">
        <f>'11'!G132</f>
        <v>0</v>
      </c>
      <c r="AB14" s="19">
        <f>'11'!G133</f>
        <v>0</v>
      </c>
      <c r="AC14" s="19">
        <f>'11'!G134</f>
        <v>23.810000000004948</v>
      </c>
      <c r="AD14" s="19">
        <f>'11'!G135</f>
        <v>0</v>
      </c>
      <c r="AE14" s="19">
        <f t="shared" si="8"/>
        <v>23.810000000004948</v>
      </c>
      <c r="AF14" s="23">
        <f t="shared" si="2"/>
        <v>5752.1999999999825</v>
      </c>
      <c r="AG14" s="23">
        <f t="shared" si="9"/>
        <v>241.58756824858409</v>
      </c>
      <c r="AH14" s="19">
        <f>'11'!G136</f>
        <v>9.680000000000291</v>
      </c>
      <c r="AI14" s="19">
        <f>'11'!G137</f>
        <v>1</v>
      </c>
      <c r="AJ14" s="19">
        <f>'11'!G138</f>
        <v>0</v>
      </c>
      <c r="AK14" s="19">
        <f t="shared" si="10"/>
        <v>10.680000000000291</v>
      </c>
      <c r="AL14" s="19">
        <f>'11'!G139</f>
        <v>0</v>
      </c>
      <c r="AM14" s="19">
        <f>'11'!G140</f>
        <v>8.2100000000000364</v>
      </c>
      <c r="AN14" s="19"/>
      <c r="AO14" s="19">
        <f t="shared" si="11"/>
        <v>8.2100000000000364</v>
      </c>
      <c r="AP14" s="258">
        <f>'11'!G123</f>
        <v>248.04000000003725</v>
      </c>
      <c r="AQ14" s="261">
        <f>'11'!G35</f>
        <v>3122.7199999999721</v>
      </c>
      <c r="AR14" s="19">
        <f>'11'!G37</f>
        <v>1355.6100000000006</v>
      </c>
      <c r="AS14" s="19">
        <f>'11'!G38</f>
        <v>1611.0099999999948</v>
      </c>
      <c r="AT14" s="19">
        <f>'11'!G39</f>
        <v>3367.2030000000086</v>
      </c>
      <c r="AU14" s="19">
        <f>'11'!G40</f>
        <v>0</v>
      </c>
      <c r="AV14" s="19">
        <f>'11'!G41</f>
        <v>0</v>
      </c>
      <c r="AW14" s="19">
        <f>'11'!G42</f>
        <v>0</v>
      </c>
      <c r="AX14" s="19">
        <f>'11'!G43</f>
        <v>2398.2999999999302</v>
      </c>
      <c r="AY14" s="23">
        <f>'11'!G44</f>
        <v>0</v>
      </c>
      <c r="AZ14" s="262">
        <f>'11'!G36</f>
        <v>1033.640000000014</v>
      </c>
      <c r="BA14" s="261">
        <f>'11'!G49</f>
        <v>-0.13000000000465661</v>
      </c>
      <c r="BB14" s="19">
        <f>'11'!G51</f>
        <v>0</v>
      </c>
      <c r="BC14" s="19">
        <f>'11'!G52</f>
        <v>0</v>
      </c>
      <c r="BD14" s="19">
        <f>'11'!G53</f>
        <v>534.20000000001164</v>
      </c>
      <c r="BE14" s="19">
        <f>'11'!G54</f>
        <v>69.709999999999127</v>
      </c>
      <c r="BF14" s="19">
        <f>'11'!G55</f>
        <v>5742.9599999999919</v>
      </c>
      <c r="BG14" s="19">
        <f>'11'!G56</f>
        <v>9.2399999999906868</v>
      </c>
      <c r="BH14" s="19">
        <f>'11'!G57</f>
        <v>0</v>
      </c>
      <c r="BI14" s="262">
        <f>'11'!G50</f>
        <v>1125.0800000000163</v>
      </c>
      <c r="BJ14" s="370">
        <f t="shared" si="12"/>
        <v>5752.1999999999825</v>
      </c>
      <c r="BK14" s="370">
        <f>'11'!G84</f>
        <v>1020</v>
      </c>
      <c r="BL14" s="23">
        <f t="shared" si="13"/>
        <v>53.992480482781168</v>
      </c>
      <c r="BM14" s="23">
        <f t="shared" si="14"/>
        <v>18.685775180803777</v>
      </c>
      <c r="BN14" s="24">
        <f t="shared" si="15"/>
        <v>7.7159346712007026E-2</v>
      </c>
      <c r="BO14" s="25">
        <f t="shared" si="16"/>
        <v>257646.97999999928</v>
      </c>
      <c r="BP14" s="213">
        <f t="shared" si="17"/>
        <v>9170.4999999999127</v>
      </c>
      <c r="BQ14">
        <f t="shared" si="18"/>
        <v>1.37554748904992</v>
      </c>
    </row>
    <row r="15" spans="1:70">
      <c r="A15" s="16">
        <v>12</v>
      </c>
      <c r="B15" s="26">
        <v>12</v>
      </c>
      <c r="C15" s="27"/>
      <c r="D15" s="19">
        <f>'12'!D3</f>
        <v>32</v>
      </c>
      <c r="E15" s="256">
        <f>'12'!D4</f>
        <v>0.8</v>
      </c>
      <c r="F15" s="256">
        <f>'12'!D2</f>
        <v>0.63</v>
      </c>
      <c r="G15" s="19">
        <f>'12'!G8</f>
        <v>20554</v>
      </c>
      <c r="H15" s="19">
        <f>'12'!G8</f>
        <v>20554</v>
      </c>
      <c r="I15" s="19">
        <f>'12'!G7</f>
        <v>20466</v>
      </c>
      <c r="J15" s="19">
        <v>10</v>
      </c>
      <c r="K15" s="242">
        <f t="shared" si="3"/>
        <v>205540</v>
      </c>
      <c r="L15" s="238">
        <f t="shared" si="4"/>
        <v>101.31683168316832</v>
      </c>
      <c r="M15" s="19">
        <f>'12'!G15</f>
        <v>774.06000000005588</v>
      </c>
      <c r="N15" s="19">
        <v>35</v>
      </c>
      <c r="O15" s="234">
        <f t="shared" si="5"/>
        <v>27092.100000001956</v>
      </c>
      <c r="P15" s="19">
        <f>'12'!G20</f>
        <v>141</v>
      </c>
      <c r="Q15" s="19">
        <v>134</v>
      </c>
      <c r="R15" s="239">
        <f t="shared" si="0"/>
        <v>18894</v>
      </c>
      <c r="S15" s="240">
        <f t="shared" si="1"/>
        <v>110.79679396511079</v>
      </c>
      <c r="T15" s="19">
        <f>'12'!G24</f>
        <v>0</v>
      </c>
      <c r="U15" s="19">
        <v>69</v>
      </c>
      <c r="V15" s="241">
        <f t="shared" si="6"/>
        <v>0</v>
      </c>
      <c r="W15" s="22">
        <f>'12'!G95</f>
        <v>68</v>
      </c>
      <c r="X15" s="22">
        <f>'12'!G96</f>
        <v>19</v>
      </c>
      <c r="Y15" s="22">
        <f>'12'!G97</f>
        <v>15</v>
      </c>
      <c r="Z15" s="22">
        <f t="shared" si="7"/>
        <v>102</v>
      </c>
      <c r="AA15" s="19">
        <f>'12'!G132</f>
        <v>0</v>
      </c>
      <c r="AB15" s="19">
        <f>'12'!G133</f>
        <v>0</v>
      </c>
      <c r="AC15" s="19">
        <f>'12'!G134</f>
        <v>23.739999999997963</v>
      </c>
      <c r="AD15" s="19">
        <f>'12'!G135</f>
        <v>0</v>
      </c>
      <c r="AE15" s="19">
        <f t="shared" si="8"/>
        <v>23.739999999997963</v>
      </c>
      <c r="AF15" s="23">
        <f t="shared" si="2"/>
        <v>5662.5799999999581</v>
      </c>
      <c r="AG15" s="23">
        <f t="shared" si="9"/>
        <v>238.52485256952164</v>
      </c>
      <c r="AH15" s="19">
        <f>'12'!G136</f>
        <v>9.3100000000013097</v>
      </c>
      <c r="AI15" s="19">
        <f>'12'!G137</f>
        <v>0</v>
      </c>
      <c r="AJ15" s="19">
        <f>'12'!G138</f>
        <v>0</v>
      </c>
      <c r="AK15" s="19">
        <f t="shared" si="10"/>
        <v>9.3100000000013097</v>
      </c>
      <c r="AL15" s="19">
        <f>'12'!G139</f>
        <v>9.9999999999909051E-2</v>
      </c>
      <c r="AM15" s="19">
        <f>'12'!G140</f>
        <v>7.9899999999997817</v>
      </c>
      <c r="AN15" s="19"/>
      <c r="AO15" s="19">
        <f t="shared" si="11"/>
        <v>8.0899999999996908</v>
      </c>
      <c r="AP15" s="258">
        <f>'12'!G123</f>
        <v>245.19999999995343</v>
      </c>
      <c r="AQ15" s="261">
        <f>'12'!G35</f>
        <v>2973.890000000014</v>
      </c>
      <c r="AR15" s="19">
        <f>'12'!G37</f>
        <v>1326.5500000000029</v>
      </c>
      <c r="AS15" s="19">
        <f>'12'!G38</f>
        <v>1617.6900000000023</v>
      </c>
      <c r="AT15" s="19">
        <f>'12'!G39</f>
        <v>3173.3269999999902</v>
      </c>
      <c r="AU15" s="19">
        <f>'12'!G40</f>
        <v>0</v>
      </c>
      <c r="AV15" s="19">
        <f>'12'!G41</f>
        <v>-0.42000000001280569</v>
      </c>
      <c r="AW15" s="19">
        <f>'12'!G42</f>
        <v>0</v>
      </c>
      <c r="AX15" s="19">
        <f>'12'!G43</f>
        <v>2314.6500000000233</v>
      </c>
      <c r="AY15" s="23">
        <f>'12'!G44</f>
        <v>0</v>
      </c>
      <c r="AZ15" s="262">
        <f>'12'!G36</f>
        <v>973.6699999999837</v>
      </c>
      <c r="BA15" s="261">
        <f>'12'!G49</f>
        <v>0</v>
      </c>
      <c r="BB15" s="19">
        <f>'12'!G51</f>
        <v>0.13000000000465661</v>
      </c>
      <c r="BC15" s="19">
        <f>'12'!G52</f>
        <v>-6.9999999948777258E-2</v>
      </c>
      <c r="BD15" s="19">
        <f>'12'!G53</f>
        <v>561.84999999997672</v>
      </c>
      <c r="BE15" s="19">
        <f>'12'!G54</f>
        <v>70.700000000000728</v>
      </c>
      <c r="BF15" s="19">
        <f>'12'!G55</f>
        <v>5653.9100000000035</v>
      </c>
      <c r="BG15" s="19">
        <f>'12'!G56</f>
        <v>9.0899999999674037</v>
      </c>
      <c r="BH15" s="19">
        <f>'12'!G57</f>
        <v>0</v>
      </c>
      <c r="BI15" s="262">
        <f>'12'!G50</f>
        <v>1196.9699999999721</v>
      </c>
      <c r="BJ15" s="370">
        <f t="shared" si="12"/>
        <v>5662.5799999999581</v>
      </c>
      <c r="BK15" s="370">
        <f>'12'!G84</f>
        <v>982</v>
      </c>
      <c r="BL15" s="23">
        <f t="shared" si="13"/>
        <v>53.508843936284549</v>
      </c>
      <c r="BM15" s="23">
        <f t="shared" si="14"/>
        <v>18.25064497214877</v>
      </c>
      <c r="BN15" s="24">
        <f t="shared" si="15"/>
        <v>7.9039382390308485E-2</v>
      </c>
      <c r="BO15" s="25">
        <f t="shared" si="16"/>
        <v>251526.10000000196</v>
      </c>
      <c r="BP15" s="213">
        <f t="shared" si="17"/>
        <v>8959.2299999999814</v>
      </c>
      <c r="BQ15">
        <f t="shared" si="18"/>
        <v>1.3478201347937102</v>
      </c>
    </row>
    <row r="16" spans="1:70">
      <c r="A16" s="16">
        <v>13</v>
      </c>
      <c r="B16" s="26">
        <v>13</v>
      </c>
      <c r="C16" s="26"/>
      <c r="D16" s="19">
        <f>'13'!D3</f>
        <v>29</v>
      </c>
      <c r="E16" s="256">
        <f>'13'!D4</f>
        <v>0.78</v>
      </c>
      <c r="F16" s="256">
        <f>'13'!D2</f>
        <v>0.65</v>
      </c>
      <c r="G16" s="19">
        <f>'13'!G8</f>
        <v>20221</v>
      </c>
      <c r="H16" s="19">
        <f>'13'!G8</f>
        <v>20221</v>
      </c>
      <c r="I16" s="19">
        <f>'13'!G7</f>
        <v>20135</v>
      </c>
      <c r="J16" s="19">
        <v>10</v>
      </c>
      <c r="K16" s="242">
        <f t="shared" si="3"/>
        <v>202210</v>
      </c>
      <c r="L16" s="238">
        <f t="shared" si="4"/>
        <v>99.678217821782184</v>
      </c>
      <c r="M16" s="19">
        <f>'13'!G15</f>
        <v>805.97999999998137</v>
      </c>
      <c r="N16" s="19">
        <v>35</v>
      </c>
      <c r="O16" s="234">
        <f t="shared" si="5"/>
        <v>28209.299999999348</v>
      </c>
      <c r="P16" s="19">
        <f>'13'!G20</f>
        <v>142</v>
      </c>
      <c r="Q16" s="19">
        <v>134</v>
      </c>
      <c r="R16" s="239">
        <f t="shared" si="0"/>
        <v>19028</v>
      </c>
      <c r="S16" s="240">
        <f t="shared" si="1"/>
        <v>108.14927646610813</v>
      </c>
      <c r="T16" s="19">
        <f>'13'!G24</f>
        <v>0</v>
      </c>
      <c r="U16" s="19">
        <v>69</v>
      </c>
      <c r="V16" s="241">
        <f t="shared" si="6"/>
        <v>0</v>
      </c>
      <c r="W16" s="22">
        <f>'13'!G95</f>
        <v>66</v>
      </c>
      <c r="X16" s="22">
        <f>'13'!G96</f>
        <v>16</v>
      </c>
      <c r="Y16" s="22">
        <f>'13'!G97</f>
        <v>18</v>
      </c>
      <c r="Z16" s="22">
        <f t="shared" si="7"/>
        <v>100</v>
      </c>
      <c r="AA16" s="19">
        <f>'13'!G132</f>
        <v>0</v>
      </c>
      <c r="AB16" s="19">
        <f>'13'!G133</f>
        <v>0</v>
      </c>
      <c r="AC16" s="19">
        <f>'13'!G134</f>
        <v>24.309999999997672</v>
      </c>
      <c r="AD16" s="19">
        <f>'13'!G135</f>
        <v>0</v>
      </c>
      <c r="AE16" s="19">
        <f t="shared" si="8"/>
        <v>24.309999999997672</v>
      </c>
      <c r="AF16" s="23">
        <f t="shared" si="2"/>
        <v>5812</v>
      </c>
      <c r="AG16" s="23">
        <f t="shared" si="9"/>
        <v>239.0785684903561</v>
      </c>
      <c r="AH16" s="19">
        <f>'13'!G136</f>
        <v>9.4200000000018917</v>
      </c>
      <c r="AI16" s="19">
        <f>'13'!G137</f>
        <v>0</v>
      </c>
      <c r="AJ16" s="19">
        <f>'13'!G138</f>
        <v>2.4299999999930151</v>
      </c>
      <c r="AK16" s="19">
        <f t="shared" si="10"/>
        <v>11.849999999994907</v>
      </c>
      <c r="AL16" s="19">
        <f>'13'!G139</f>
        <v>0</v>
      </c>
      <c r="AM16" s="19">
        <f>'13'!G140</f>
        <v>7.9800000000004729</v>
      </c>
      <c r="AN16" s="19"/>
      <c r="AO16" s="19">
        <f t="shared" si="11"/>
        <v>7.9800000000004729</v>
      </c>
      <c r="AP16" s="258">
        <f>'13'!G123</f>
        <v>241</v>
      </c>
      <c r="AQ16" s="261">
        <f>'13'!G35</f>
        <v>2879</v>
      </c>
      <c r="AR16" s="19">
        <f>'13'!G37</f>
        <v>1352</v>
      </c>
      <c r="AS16" s="19">
        <f>'13'!G38</f>
        <v>1644</v>
      </c>
      <c r="AT16" s="19">
        <f>'13'!G39</f>
        <v>2995</v>
      </c>
      <c r="AU16" s="19">
        <f>'13'!G40</f>
        <v>0</v>
      </c>
      <c r="AV16" s="19">
        <f>'13'!G41</f>
        <v>0</v>
      </c>
      <c r="AW16" s="19">
        <f>'13'!G42</f>
        <v>0</v>
      </c>
      <c r="AX16" s="19">
        <f>'13'!G43</f>
        <v>2305</v>
      </c>
      <c r="AY16" s="23">
        <f>'13'!G44</f>
        <v>0</v>
      </c>
      <c r="AZ16" s="262">
        <f>'13'!G36</f>
        <v>1048</v>
      </c>
      <c r="BA16" s="261">
        <f>'13'!G49</f>
        <v>0</v>
      </c>
      <c r="BB16" s="19">
        <f>'13'!G51</f>
        <v>0</v>
      </c>
      <c r="BC16" s="19">
        <f>'13'!G52</f>
        <v>0</v>
      </c>
      <c r="BD16" s="19">
        <f>'13'!G53</f>
        <v>551</v>
      </c>
      <c r="BE16" s="19">
        <f>'13'!G54</f>
        <v>78</v>
      </c>
      <c r="BF16" s="19">
        <f>'13'!G55</f>
        <v>5812</v>
      </c>
      <c r="BG16" s="19">
        <f>'13'!G56</f>
        <v>0</v>
      </c>
      <c r="BH16" s="19">
        <f>'13'!G57</f>
        <v>0.32999999999992724</v>
      </c>
      <c r="BI16" s="262">
        <f>'13'!G50</f>
        <v>1083</v>
      </c>
      <c r="BJ16" s="370">
        <f t="shared" si="12"/>
        <v>5812</v>
      </c>
      <c r="BK16" s="370">
        <f>'13'!G84</f>
        <v>908</v>
      </c>
      <c r="BL16" s="23">
        <f t="shared" si="13"/>
        <v>54.613012167866898</v>
      </c>
      <c r="BM16" s="23">
        <f t="shared" si="14"/>
        <v>17.611124906878569</v>
      </c>
      <c r="BN16" s="24">
        <f t="shared" si="15"/>
        <v>8.1648870126645151E-2</v>
      </c>
      <c r="BO16" s="25">
        <f t="shared" si="16"/>
        <v>249447.29999999935</v>
      </c>
      <c r="BP16" s="213">
        <f t="shared" si="17"/>
        <v>9025.33</v>
      </c>
      <c r="BQ16">
        <f t="shared" si="18"/>
        <v>1.3259284832815514</v>
      </c>
    </row>
    <row r="17" spans="1:69">
      <c r="A17" s="16">
        <v>14</v>
      </c>
      <c r="B17" s="17">
        <v>14</v>
      </c>
      <c r="C17" s="27"/>
      <c r="D17" s="19">
        <f>'14'!D3</f>
        <v>32</v>
      </c>
      <c r="E17" s="256">
        <f>'14'!D4</f>
        <v>0.79</v>
      </c>
      <c r="F17" s="256">
        <f>'14'!D2</f>
        <v>0.63</v>
      </c>
      <c r="G17" s="19">
        <f>'14'!G8</f>
        <v>20974</v>
      </c>
      <c r="H17" s="19">
        <f>'14'!G8</f>
        <v>20974</v>
      </c>
      <c r="I17" s="19">
        <f>'14'!G7</f>
        <v>20889</v>
      </c>
      <c r="J17" s="19">
        <v>10</v>
      </c>
      <c r="K17" s="242">
        <f t="shared" si="3"/>
        <v>209740</v>
      </c>
      <c r="L17" s="238">
        <f t="shared" si="4"/>
        <v>103.41089108910892</v>
      </c>
      <c r="M17" s="19">
        <f>'14'!G15</f>
        <v>821.02000000001863</v>
      </c>
      <c r="N17" s="19">
        <v>35</v>
      </c>
      <c r="O17" s="234">
        <f t="shared" si="5"/>
        <v>28735.700000000652</v>
      </c>
      <c r="P17" s="19">
        <f>'14'!G20</f>
        <v>133</v>
      </c>
      <c r="Q17" s="19">
        <v>134</v>
      </c>
      <c r="R17" s="239">
        <f t="shared" si="0"/>
        <v>17822</v>
      </c>
      <c r="S17" s="240">
        <f t="shared" si="1"/>
        <v>104.51045104510452</v>
      </c>
      <c r="T17" s="19">
        <f>'14'!G24</f>
        <v>0</v>
      </c>
      <c r="U17" s="19">
        <v>69</v>
      </c>
      <c r="V17" s="241">
        <f t="shared" si="6"/>
        <v>0</v>
      </c>
      <c r="W17" s="22">
        <f>'14'!G95</f>
        <v>76</v>
      </c>
      <c r="X17" s="22">
        <f>'14'!G96</f>
        <v>18</v>
      </c>
      <c r="Y17" s="22">
        <f>'14'!G97</f>
        <v>15</v>
      </c>
      <c r="Z17" s="22">
        <f>W17+X17+Y17</f>
        <v>109</v>
      </c>
      <c r="AA17" s="19">
        <f>'14'!G132</f>
        <v>0</v>
      </c>
      <c r="AB17" s="19">
        <f>'14'!G133</f>
        <v>0</v>
      </c>
      <c r="AC17" s="19">
        <f>'14'!G134</f>
        <v>23.690000000002328</v>
      </c>
      <c r="AD17" s="19">
        <f>'14'!G135</f>
        <v>0.41999999999825377</v>
      </c>
      <c r="AE17" s="19">
        <f t="shared" si="8"/>
        <v>24.110000000000582</v>
      </c>
      <c r="AF17" s="23">
        <f t="shared" si="2"/>
        <v>6215</v>
      </c>
      <c r="AG17" s="23">
        <f t="shared" si="9"/>
        <v>257.77685607631065</v>
      </c>
      <c r="AH17" s="19">
        <f>'14'!G136</f>
        <v>9.3599999999969441</v>
      </c>
      <c r="AI17" s="19">
        <f>'14'!G137</f>
        <v>0</v>
      </c>
      <c r="AJ17" s="19">
        <f>'14'!G138</f>
        <v>0.84000000001105946</v>
      </c>
      <c r="AK17" s="19">
        <f t="shared" si="10"/>
        <v>10.200000000008004</v>
      </c>
      <c r="AL17" s="19">
        <f>'14'!G139</f>
        <v>0</v>
      </c>
      <c r="AM17" s="19">
        <f>'14'!G140</f>
        <v>7.6199999999998909</v>
      </c>
      <c r="AN17" s="19"/>
      <c r="AO17" s="19">
        <f t="shared" si="11"/>
        <v>7.6199999999998909</v>
      </c>
      <c r="AP17" s="258">
        <f>'14'!G123</f>
        <v>231</v>
      </c>
      <c r="AQ17" s="261">
        <f>'14'!G35</f>
        <v>2806</v>
      </c>
      <c r="AR17" s="19">
        <f>'14'!G37</f>
        <v>1384</v>
      </c>
      <c r="AS17" s="19">
        <f>'14'!G38</f>
        <v>1681</v>
      </c>
      <c r="AT17" s="19">
        <f>'14'!G39</f>
        <v>2960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2300</v>
      </c>
      <c r="AY17" s="23">
        <f>'14'!G44</f>
        <v>0</v>
      </c>
      <c r="AZ17" s="262">
        <f>'14'!G36</f>
        <v>1106</v>
      </c>
      <c r="BA17" s="261">
        <f>'14'!G49</f>
        <v>0</v>
      </c>
      <c r="BB17" s="19">
        <f>'14'!G51</f>
        <v>0</v>
      </c>
      <c r="BC17" s="19">
        <f>'14'!G52</f>
        <v>0</v>
      </c>
      <c r="BD17" s="19">
        <f>'14'!G53</f>
        <v>579</v>
      </c>
      <c r="BE17" s="19">
        <f>'14'!G54</f>
        <v>78</v>
      </c>
      <c r="BF17" s="19">
        <f>'14'!G55</f>
        <v>6215</v>
      </c>
      <c r="BG17" s="19">
        <f>'14'!G56</f>
        <v>0</v>
      </c>
      <c r="BH17" s="19">
        <f>'14'!G57</f>
        <v>0</v>
      </c>
      <c r="BI17" s="262">
        <f>'14'!G50</f>
        <v>1182</v>
      </c>
      <c r="BJ17" s="370">
        <f t="shared" si="12"/>
        <v>6215</v>
      </c>
      <c r="BK17" s="370">
        <f>'14'!G84</f>
        <v>802</v>
      </c>
      <c r="BL17" s="23">
        <f t="shared" si="13"/>
        <v>54.195988319211068</v>
      </c>
      <c r="BM17" s="23">
        <f t="shared" si="14"/>
        <v>16.941931159940641</v>
      </c>
      <c r="BN17" s="24">
        <f t="shared" si="15"/>
        <v>8.0472976207573363E-2</v>
      </c>
      <c r="BO17" s="25">
        <f t="shared" si="16"/>
        <v>256297.70000000065</v>
      </c>
      <c r="BP17" s="213">
        <f t="shared" si="17"/>
        <v>9317</v>
      </c>
      <c r="BQ17">
        <f t="shared" si="18"/>
        <v>1.3801327250103359</v>
      </c>
    </row>
    <row r="18" spans="1:69">
      <c r="A18" s="16">
        <v>15</v>
      </c>
      <c r="B18" s="26">
        <v>15</v>
      </c>
      <c r="C18" s="18"/>
      <c r="D18" s="19">
        <f>'15'!D3</f>
        <v>31</v>
      </c>
      <c r="E18" s="256">
        <f>'15'!D4</f>
        <v>0.78</v>
      </c>
      <c r="F18" s="256">
        <f>'15'!D2</f>
        <v>0.89</v>
      </c>
      <c r="G18" s="19">
        <f>'15'!G8</f>
        <v>20226</v>
      </c>
      <c r="H18" s="19">
        <f>'15'!G8</f>
        <v>20226</v>
      </c>
      <c r="I18" s="19">
        <f>'15'!G7</f>
        <v>20167</v>
      </c>
      <c r="J18" s="19">
        <v>10</v>
      </c>
      <c r="K18" s="242">
        <f t="shared" si="3"/>
        <v>202260</v>
      </c>
      <c r="L18" s="238">
        <f t="shared" si="4"/>
        <v>99.836633663366342</v>
      </c>
      <c r="M18" s="19">
        <f>'15'!G15</f>
        <v>807.75</v>
      </c>
      <c r="N18" s="19">
        <v>35</v>
      </c>
      <c r="O18" s="234">
        <f t="shared" si="5"/>
        <v>28271.25</v>
      </c>
      <c r="P18" s="19">
        <f>'15'!G20</f>
        <v>138</v>
      </c>
      <c r="Q18" s="19">
        <v>134</v>
      </c>
      <c r="R18" s="239">
        <f t="shared" si="0"/>
        <v>18492</v>
      </c>
      <c r="S18" s="240">
        <f t="shared" si="1"/>
        <v>76.76048503726777</v>
      </c>
      <c r="T18" s="19">
        <f>'15'!G24</f>
        <v>0</v>
      </c>
      <c r="U18" s="19">
        <v>69</v>
      </c>
      <c r="V18" s="241">
        <f t="shared" si="6"/>
        <v>0</v>
      </c>
      <c r="W18" s="22">
        <f>'15'!G95</f>
        <v>61</v>
      </c>
      <c r="X18" s="22">
        <f>'15'!G96</f>
        <v>14</v>
      </c>
      <c r="Y18" s="22">
        <f>'15'!G97</f>
        <v>15</v>
      </c>
      <c r="Z18" s="22">
        <f t="shared" si="7"/>
        <v>90</v>
      </c>
      <c r="AA18" s="19">
        <f>'15'!G132</f>
        <v>0</v>
      </c>
      <c r="AB18" s="19">
        <f>'15'!G133</f>
        <v>0</v>
      </c>
      <c r="AC18" s="19">
        <f>'15'!G134</f>
        <v>23.980000000003201</v>
      </c>
      <c r="AD18" s="19">
        <f>'15'!G135</f>
        <v>0</v>
      </c>
      <c r="AE18" s="19">
        <f t="shared" si="8"/>
        <v>23.980000000003201</v>
      </c>
      <c r="AF18" s="23">
        <f t="shared" si="2"/>
        <v>6050</v>
      </c>
      <c r="AG18" s="23">
        <f t="shared" si="9"/>
        <v>252.29357798161769</v>
      </c>
      <c r="AH18" s="19">
        <f>'15'!G136</f>
        <v>8.8800000000010186</v>
      </c>
      <c r="AI18" s="19">
        <f>'15'!G137</f>
        <v>0</v>
      </c>
      <c r="AJ18" s="19">
        <f>'15'!G138</f>
        <v>0.46999999998661224</v>
      </c>
      <c r="AK18" s="19">
        <f t="shared" si="10"/>
        <v>9.3499999999876309</v>
      </c>
      <c r="AL18" s="19">
        <f>'15'!G139</f>
        <v>0</v>
      </c>
      <c r="AM18" s="19">
        <f>'15'!G140</f>
        <v>8.6199999999998909</v>
      </c>
      <c r="AN18" s="19"/>
      <c r="AO18" s="19">
        <f t="shared" si="11"/>
        <v>8.6199999999998909</v>
      </c>
      <c r="AP18" s="258">
        <f>'15'!G123</f>
        <v>260</v>
      </c>
      <c r="AQ18" s="261">
        <f>'15'!G35</f>
        <v>2727</v>
      </c>
      <c r="AR18" s="19">
        <f>'15'!G37</f>
        <v>1350</v>
      </c>
      <c r="AS18" s="19">
        <f>'15'!G38</f>
        <v>1581</v>
      </c>
      <c r="AT18" s="19">
        <f>'15'!G39</f>
        <v>2830</v>
      </c>
      <c r="AU18" s="19">
        <f>'15'!G40</f>
        <v>0</v>
      </c>
      <c r="AV18" s="19">
        <f>'15'!G41</f>
        <v>0</v>
      </c>
      <c r="AW18" s="19">
        <f>'15'!G42</f>
        <v>0</v>
      </c>
      <c r="AX18" s="19">
        <f>'15'!G43</f>
        <v>2310</v>
      </c>
      <c r="AY18" s="23">
        <f>'15'!G44</f>
        <v>0</v>
      </c>
      <c r="AZ18" s="262">
        <f>'15'!G36</f>
        <v>1201</v>
      </c>
      <c r="BA18" s="261">
        <f>'15'!G49</f>
        <v>0</v>
      </c>
      <c r="BB18" s="19">
        <f>'15'!G51</f>
        <v>0</v>
      </c>
      <c r="BC18" s="19">
        <f>'15'!G52</f>
        <v>0</v>
      </c>
      <c r="BD18" s="19">
        <f>'15'!G53</f>
        <v>0</v>
      </c>
      <c r="BE18" s="19">
        <f>'15'!G54</f>
        <v>78</v>
      </c>
      <c r="BF18" s="19">
        <f>'15'!G55</f>
        <v>6050</v>
      </c>
      <c r="BG18" s="19">
        <f>'15'!G56</f>
        <v>0</v>
      </c>
      <c r="BH18" s="19">
        <f>'15'!G57</f>
        <v>0</v>
      </c>
      <c r="BI18" s="262">
        <f>'15'!G50</f>
        <v>1164</v>
      </c>
      <c r="BJ18" s="370">
        <f t="shared" si="12"/>
        <v>6050</v>
      </c>
      <c r="BK18" s="370">
        <f>'15'!G84</f>
        <v>754</v>
      </c>
      <c r="BL18" s="23">
        <f t="shared" si="13"/>
        <v>54.975950810730403</v>
      </c>
      <c r="BM18" s="23">
        <f t="shared" si="14"/>
        <v>14.032825903704072</v>
      </c>
      <c r="BN18" s="24">
        <f t="shared" si="15"/>
        <v>7.8395398423166562E-2</v>
      </c>
      <c r="BO18" s="25">
        <f t="shared" si="16"/>
        <v>249023.25</v>
      </c>
      <c r="BP18" s="213">
        <f t="shared" si="17"/>
        <v>9114</v>
      </c>
      <c r="BQ18">
        <f t="shared" si="18"/>
        <v>1.3573811509589513</v>
      </c>
    </row>
    <row r="19" spans="1:69">
      <c r="A19" s="16">
        <v>16</v>
      </c>
      <c r="B19" s="26">
        <v>16</v>
      </c>
      <c r="C19" s="26"/>
      <c r="D19" s="19">
        <f>'16'!D3</f>
        <v>29</v>
      </c>
      <c r="E19" s="256">
        <f>'16'!D4</f>
        <v>0.78</v>
      </c>
      <c r="F19" s="256">
        <f>'16'!D2</f>
        <v>0.92</v>
      </c>
      <c r="G19" s="19">
        <f>'16'!G8</f>
        <v>20214</v>
      </c>
      <c r="H19" s="19">
        <f>'16'!G8</f>
        <v>20214</v>
      </c>
      <c r="I19" s="19">
        <f>'16'!G7</f>
        <v>20156</v>
      </c>
      <c r="J19" s="19">
        <v>10</v>
      </c>
      <c r="K19" s="242">
        <f t="shared" si="3"/>
        <v>202140</v>
      </c>
      <c r="L19" s="238">
        <f t="shared" si="4"/>
        <v>99.78217821782178</v>
      </c>
      <c r="M19" s="19">
        <f>'16'!G15</f>
        <v>832.25</v>
      </c>
      <c r="N19" s="19">
        <v>35</v>
      </c>
      <c r="O19" s="234">
        <f t="shared" si="5"/>
        <v>29128.75</v>
      </c>
      <c r="P19" s="19">
        <f>'16'!G20</f>
        <v>136</v>
      </c>
      <c r="Q19" s="19">
        <v>134</v>
      </c>
      <c r="R19" s="239">
        <f t="shared" si="0"/>
        <v>18224</v>
      </c>
      <c r="S19" s="240">
        <f t="shared" si="1"/>
        <v>73.181231166594912</v>
      </c>
      <c r="T19" s="19">
        <f>'16'!G24</f>
        <v>0</v>
      </c>
      <c r="U19" s="19">
        <v>69</v>
      </c>
      <c r="V19" s="241">
        <f t="shared" si="6"/>
        <v>0</v>
      </c>
      <c r="W19" s="22">
        <f>'16'!G95</f>
        <v>70</v>
      </c>
      <c r="X19" s="22">
        <f>'16'!G96</f>
        <v>19</v>
      </c>
      <c r="Y19" s="22">
        <f>'16'!G97</f>
        <v>18</v>
      </c>
      <c r="Z19" s="22">
        <f t="shared" si="7"/>
        <v>107</v>
      </c>
      <c r="AA19" s="19">
        <f>'16'!G132</f>
        <v>0</v>
      </c>
      <c r="AB19" s="19">
        <f>'16'!G133</f>
        <v>0</v>
      </c>
      <c r="AC19" s="19">
        <f>'16'!G134</f>
        <v>23.940000000002328</v>
      </c>
      <c r="AD19" s="19">
        <f>'16'!G135</f>
        <v>0</v>
      </c>
      <c r="AE19" s="19">
        <f t="shared" si="8"/>
        <v>23.940000000002328</v>
      </c>
      <c r="AF19" s="23">
        <f t="shared" si="2"/>
        <v>6004</v>
      </c>
      <c r="AG19" s="23">
        <f t="shared" si="9"/>
        <v>250.7936507936264</v>
      </c>
      <c r="AH19" s="19">
        <f>'16'!G136</f>
        <v>10.180000000000291</v>
      </c>
      <c r="AI19" s="19">
        <f>'16'!G137</f>
        <v>0</v>
      </c>
      <c r="AJ19" s="19">
        <f>'16'!G138</f>
        <v>0</v>
      </c>
      <c r="AK19" s="19">
        <f t="shared" si="10"/>
        <v>10.180000000000291</v>
      </c>
      <c r="AL19" s="19">
        <f>'16'!G139</f>
        <v>0</v>
      </c>
      <c r="AM19" s="19">
        <f>'16'!G140</f>
        <v>8</v>
      </c>
      <c r="AN19" s="19"/>
      <c r="AO19" s="19">
        <f t="shared" si="11"/>
        <v>8</v>
      </c>
      <c r="AP19" s="258">
        <f>'16'!G123</f>
        <v>242</v>
      </c>
      <c r="AQ19" s="261">
        <f>'16'!G35</f>
        <v>2622</v>
      </c>
      <c r="AR19" s="19">
        <f>'16'!G37</f>
        <v>1374</v>
      </c>
      <c r="AS19" s="19">
        <f>'16'!G38</f>
        <v>1654</v>
      </c>
      <c r="AT19" s="19">
        <f>'16'!G39</f>
        <v>2841</v>
      </c>
      <c r="AU19" s="19">
        <f>'16'!G40</f>
        <v>0</v>
      </c>
      <c r="AV19" s="19">
        <f>'16'!G41</f>
        <v>0</v>
      </c>
      <c r="AW19" s="19">
        <f>'16'!G42</f>
        <v>0</v>
      </c>
      <c r="AX19" s="19">
        <f>'16'!G43</f>
        <v>2307</v>
      </c>
      <c r="AY19" s="23">
        <f>'16'!G44</f>
        <v>0</v>
      </c>
      <c r="AZ19" s="262">
        <f>'16'!G36</f>
        <v>1018</v>
      </c>
      <c r="BA19" s="261">
        <f>'16'!G49</f>
        <v>0.13000000000465661</v>
      </c>
      <c r="BB19" s="19">
        <f>'16'!G51</f>
        <v>0</v>
      </c>
      <c r="BC19" s="19">
        <f>'16'!G52</f>
        <v>0</v>
      </c>
      <c r="BD19" s="19">
        <f>'16'!G53</f>
        <v>0</v>
      </c>
      <c r="BE19" s="19">
        <f>'16'!G54</f>
        <v>76</v>
      </c>
      <c r="BF19" s="19">
        <f>'16'!G55</f>
        <v>6004</v>
      </c>
      <c r="BG19" s="19">
        <f>'16'!G56</f>
        <v>0</v>
      </c>
      <c r="BH19" s="19">
        <f>'16'!G57</f>
        <v>0</v>
      </c>
      <c r="BI19" s="262">
        <f>'16'!G50</f>
        <v>1183</v>
      </c>
      <c r="BJ19" s="370">
        <f t="shared" si="12"/>
        <v>6004</v>
      </c>
      <c r="BK19" s="370">
        <f>'16'!G84</f>
        <v>721</v>
      </c>
      <c r="BL19" s="23">
        <f t="shared" si="13"/>
        <v>54.242558047231618</v>
      </c>
      <c r="BM19" s="23">
        <f t="shared" si="14"/>
        <v>14.095058543361779</v>
      </c>
      <c r="BN19" s="24">
        <f t="shared" si="15"/>
        <v>8.2059932526294899E-2</v>
      </c>
      <c r="BO19" s="25">
        <f t="shared" si="16"/>
        <v>249492.75</v>
      </c>
      <c r="BP19" s="213">
        <f t="shared" si="17"/>
        <v>9032</v>
      </c>
      <c r="BQ19">
        <f t="shared" si="18"/>
        <v>1.3474161594461036</v>
      </c>
    </row>
    <row r="20" spans="1:69">
      <c r="A20" s="16">
        <v>17</v>
      </c>
      <c r="B20" s="27">
        <v>17</v>
      </c>
      <c r="C20" s="26"/>
      <c r="D20" s="19">
        <f>'17'!D3</f>
        <v>28</v>
      </c>
      <c r="E20" s="256">
        <f>'17'!D4</f>
        <v>0.8</v>
      </c>
      <c r="F20" s="256">
        <f>'17'!D2</f>
        <v>0.7</v>
      </c>
      <c r="G20" s="19">
        <f>'17'!G8</f>
        <v>20345</v>
      </c>
      <c r="H20" s="19">
        <f>'17'!G8</f>
        <v>20345</v>
      </c>
      <c r="I20" s="19">
        <f>'17'!G7</f>
        <v>20298</v>
      </c>
      <c r="J20" s="19">
        <v>10</v>
      </c>
      <c r="K20" s="242">
        <f t="shared" si="3"/>
        <v>203450</v>
      </c>
      <c r="L20" s="238">
        <f t="shared" si="4"/>
        <v>100.48514851485149</v>
      </c>
      <c r="M20" s="19">
        <f>'17'!G15</f>
        <v>799</v>
      </c>
      <c r="N20" s="19">
        <v>35</v>
      </c>
      <c r="O20" s="234">
        <f t="shared" si="5"/>
        <v>27965</v>
      </c>
      <c r="P20" s="19">
        <f>'17'!G20</f>
        <v>138</v>
      </c>
      <c r="Q20" s="19">
        <v>134</v>
      </c>
      <c r="R20" s="239">
        <f t="shared" si="0"/>
        <v>18492</v>
      </c>
      <c r="S20" s="240">
        <f t="shared" si="1"/>
        <v>97.595473833097614</v>
      </c>
      <c r="T20" s="19">
        <f>'17'!G24</f>
        <v>0</v>
      </c>
      <c r="U20" s="19">
        <v>69</v>
      </c>
      <c r="V20" s="241">
        <f t="shared" si="6"/>
        <v>0</v>
      </c>
      <c r="W20" s="22">
        <f>'17'!G95</f>
        <v>61</v>
      </c>
      <c r="X20" s="22">
        <f>'17'!G96</f>
        <v>19</v>
      </c>
      <c r="Y20" s="22">
        <f>'17'!G97</f>
        <v>20</v>
      </c>
      <c r="Z20" s="22">
        <f t="shared" si="7"/>
        <v>100</v>
      </c>
      <c r="AA20" s="19">
        <f>'17'!G132</f>
        <v>0</v>
      </c>
      <c r="AB20" s="19">
        <f>'17'!G133</f>
        <v>0</v>
      </c>
      <c r="AC20" s="19">
        <f>'17'!G134</f>
        <v>24.159999999996217</v>
      </c>
      <c r="AD20" s="19">
        <f>'17'!G135</f>
        <v>0</v>
      </c>
      <c r="AE20" s="19">
        <f t="shared" si="8"/>
        <v>24.159999999996217</v>
      </c>
      <c r="AF20" s="23">
        <f t="shared" si="2"/>
        <v>6183</v>
      </c>
      <c r="AG20" s="23">
        <f t="shared" si="9"/>
        <v>255.91887417222551</v>
      </c>
      <c r="AH20" s="19">
        <f>'17'!G136</f>
        <v>10</v>
      </c>
      <c r="AI20" s="19">
        <f>'17'!G137</f>
        <v>2.9999999998835847E-2</v>
      </c>
      <c r="AJ20" s="19">
        <f>'17'!G138</f>
        <v>0</v>
      </c>
      <c r="AK20" s="19">
        <f t="shared" si="10"/>
        <v>10.029999999998836</v>
      </c>
      <c r="AL20" s="19">
        <f>'17'!G139</f>
        <v>0</v>
      </c>
      <c r="AM20" s="19">
        <f>'17'!G140</f>
        <v>7.3299999999999272</v>
      </c>
      <c r="AN20" s="19"/>
      <c r="AO20" s="19">
        <f t="shared" si="11"/>
        <v>7.3299999999999272</v>
      </c>
      <c r="AP20" s="258">
        <f>'17'!G123</f>
        <v>225</v>
      </c>
      <c r="AQ20" s="261">
        <f>'17'!G35</f>
        <v>2618</v>
      </c>
      <c r="AR20" s="19">
        <f>'17'!G37</f>
        <v>1372</v>
      </c>
      <c r="AS20" s="19">
        <f>'17'!G38</f>
        <v>1629</v>
      </c>
      <c r="AT20" s="19">
        <f>'17'!G39</f>
        <v>2947</v>
      </c>
      <c r="AU20" s="19">
        <f>'17'!G40</f>
        <v>0</v>
      </c>
      <c r="AV20" s="19">
        <f>'17'!G41</f>
        <v>0</v>
      </c>
      <c r="AW20" s="19">
        <f>'17'!G42</f>
        <v>0</v>
      </c>
      <c r="AX20" s="19">
        <f>'17'!G43</f>
        <v>2341</v>
      </c>
      <c r="AY20" s="23">
        <f>'17'!G44</f>
        <v>0</v>
      </c>
      <c r="AZ20" s="262">
        <f>'17'!G36</f>
        <v>1090</v>
      </c>
      <c r="BA20" s="261">
        <f>'17'!G49</f>
        <v>0</v>
      </c>
      <c r="BB20" s="19">
        <f>'17'!G51</f>
        <v>0</v>
      </c>
      <c r="BC20" s="19">
        <f>'17'!G52</f>
        <v>0</v>
      </c>
      <c r="BD20" s="19">
        <f>'17'!G53</f>
        <v>0</v>
      </c>
      <c r="BE20" s="19">
        <f>'17'!G54</f>
        <v>75</v>
      </c>
      <c r="BF20" s="19">
        <f>'17'!G55</f>
        <v>6183</v>
      </c>
      <c r="BG20" s="19">
        <f>'17'!G56</f>
        <v>0</v>
      </c>
      <c r="BH20" s="19">
        <f>'17'!G57</f>
        <v>0</v>
      </c>
      <c r="BI20" s="262">
        <f>'17'!G50</f>
        <v>984</v>
      </c>
      <c r="BJ20" s="370">
        <f t="shared" si="12"/>
        <v>6183</v>
      </c>
      <c r="BK20" s="370">
        <f>'17'!G84</f>
        <v>659</v>
      </c>
      <c r="BL20" s="23">
        <f t="shared" si="13"/>
        <v>54.89210759680757</v>
      </c>
      <c r="BM20" s="23">
        <f t="shared" si="14"/>
        <v>14.51867179032417</v>
      </c>
      <c r="BN20" s="24">
        <f t="shared" si="15"/>
        <v>8.0254212237658884E-2</v>
      </c>
      <c r="BO20" s="25">
        <f t="shared" si="16"/>
        <v>249907</v>
      </c>
      <c r="BP20" s="213">
        <f t="shared" si="17"/>
        <v>9183</v>
      </c>
      <c r="BQ20">
        <f t="shared" si="18"/>
        <v>1.3574680700096733</v>
      </c>
    </row>
    <row r="21" spans="1:69">
      <c r="A21" s="16">
        <v>18</v>
      </c>
      <c r="B21" s="27">
        <v>18</v>
      </c>
      <c r="C21" s="27"/>
      <c r="D21" s="19">
        <f>'18'!D3</f>
        <v>30</v>
      </c>
      <c r="E21" s="256">
        <f>'18'!D4</f>
        <v>0.8</v>
      </c>
      <c r="F21" s="256">
        <f>'18'!D2</f>
        <v>0.46</v>
      </c>
      <c r="G21" s="19">
        <f>'18'!G8</f>
        <v>20045</v>
      </c>
      <c r="H21" s="19">
        <f>'18'!G8</f>
        <v>20045</v>
      </c>
      <c r="I21" s="19">
        <f>'18'!G7</f>
        <v>19993</v>
      </c>
      <c r="J21" s="19">
        <v>10</v>
      </c>
      <c r="K21" s="242">
        <f t="shared" si="3"/>
        <v>200450</v>
      </c>
      <c r="L21" s="238">
        <f t="shared" si="4"/>
        <v>98.975247524752476</v>
      </c>
      <c r="M21" s="19">
        <f>'18'!G15</f>
        <v>776</v>
      </c>
      <c r="N21" s="19">
        <v>35</v>
      </c>
      <c r="O21" s="234">
        <f t="shared" si="5"/>
        <v>27160</v>
      </c>
      <c r="P21" s="19">
        <f>'18'!G20</f>
        <v>157</v>
      </c>
      <c r="Q21" s="19">
        <v>134</v>
      </c>
      <c r="R21" s="239">
        <f t="shared" si="0"/>
        <v>21038</v>
      </c>
      <c r="S21" s="240">
        <f t="shared" si="1"/>
        <v>168.96254842875592</v>
      </c>
      <c r="T21" s="19">
        <f>'18'!G24</f>
        <v>0</v>
      </c>
      <c r="U21" s="19">
        <v>69</v>
      </c>
      <c r="V21" s="241">
        <f t="shared" si="6"/>
        <v>0</v>
      </c>
      <c r="W21" s="22">
        <f>'18'!G95</f>
        <v>63</v>
      </c>
      <c r="X21" s="22">
        <f>'18'!G96</f>
        <v>21</v>
      </c>
      <c r="Y21" s="22">
        <f>'18'!G97</f>
        <v>16</v>
      </c>
      <c r="Z21" s="22">
        <f t="shared" si="7"/>
        <v>100</v>
      </c>
      <c r="AA21" s="19">
        <f>'18'!G132</f>
        <v>0</v>
      </c>
      <c r="AB21" s="19">
        <f>'18'!G133</f>
        <v>0</v>
      </c>
      <c r="AC21" s="19">
        <f>'18'!G134</f>
        <v>23.889999999999418</v>
      </c>
      <c r="AD21" s="19">
        <f>'18'!G135</f>
        <v>0</v>
      </c>
      <c r="AE21" s="19">
        <f t="shared" si="8"/>
        <v>23.889999999999418</v>
      </c>
      <c r="AF21" s="23">
        <f t="shared" si="2"/>
        <v>6326</v>
      </c>
      <c r="AG21" s="23">
        <f t="shared" si="9"/>
        <v>264.79698618669545</v>
      </c>
      <c r="AH21" s="19">
        <f>'18'!G136</f>
        <v>8</v>
      </c>
      <c r="AI21" s="19">
        <f>'18'!G137</f>
        <v>0</v>
      </c>
      <c r="AJ21" s="19">
        <f>'18'!G138</f>
        <v>2.2100000000064028</v>
      </c>
      <c r="AK21" s="19">
        <f t="shared" si="10"/>
        <v>10.210000000006403</v>
      </c>
      <c r="AL21" s="19">
        <f>'18'!G139</f>
        <v>0</v>
      </c>
      <c r="AM21" s="19">
        <f>'18'!G140</f>
        <v>8.6099999999996726</v>
      </c>
      <c r="AN21" s="19"/>
      <c r="AO21" s="19">
        <f t="shared" si="11"/>
        <v>8.6099999999996726</v>
      </c>
      <c r="AP21" s="258">
        <f>'18'!G123</f>
        <v>260</v>
      </c>
      <c r="AQ21" s="261">
        <f>'18'!G35</f>
        <v>2568</v>
      </c>
      <c r="AR21" s="19">
        <f>'18'!G37</f>
        <v>1290</v>
      </c>
      <c r="AS21" s="19">
        <f>'18'!G38</f>
        <v>1664</v>
      </c>
      <c r="AT21" s="19">
        <f>'18'!G39</f>
        <v>2785</v>
      </c>
      <c r="AU21" s="19">
        <f>'18'!G40</f>
        <v>0</v>
      </c>
      <c r="AV21" s="19">
        <f>'18'!G41</f>
        <v>0</v>
      </c>
      <c r="AW21" s="19">
        <f>'18'!G42</f>
        <v>0</v>
      </c>
      <c r="AX21" s="19">
        <f>'18'!G43</f>
        <v>2310</v>
      </c>
      <c r="AY21" s="23">
        <f>'18'!G44</f>
        <v>0</v>
      </c>
      <c r="AZ21" s="262">
        <f>'18'!G36</f>
        <v>945</v>
      </c>
      <c r="BA21" s="261">
        <f>'18'!G49</f>
        <v>0</v>
      </c>
      <c r="BB21" s="19">
        <f>'18'!G51</f>
        <v>0</v>
      </c>
      <c r="BC21" s="19">
        <f>'18'!G52</f>
        <v>0</v>
      </c>
      <c r="BD21" s="19">
        <f>'18'!G53</f>
        <v>0</v>
      </c>
      <c r="BE21" s="19">
        <f>'18'!G54</f>
        <v>78</v>
      </c>
      <c r="BF21" s="19">
        <f>'18'!G55</f>
        <v>6326</v>
      </c>
      <c r="BG21" s="19">
        <f>'18'!G56</f>
        <v>0</v>
      </c>
      <c r="BH21" s="19">
        <f>'18'!G57</f>
        <v>0</v>
      </c>
      <c r="BI21" s="262">
        <f>'18'!G50</f>
        <v>1011</v>
      </c>
      <c r="BJ21" s="370">
        <f t="shared" si="12"/>
        <v>6326</v>
      </c>
      <c r="BK21" s="370">
        <f>'18'!G84</f>
        <v>629</v>
      </c>
      <c r="BL21" s="23">
        <f t="shared" si="13"/>
        <v>56.039613864852697</v>
      </c>
      <c r="BM21" s="23">
        <f t="shared" si="14"/>
        <v>13.929875456409743</v>
      </c>
      <c r="BN21" s="24">
        <f t="shared" si="15"/>
        <v>8.3229130195568449E-2</v>
      </c>
      <c r="BO21" s="25">
        <f t="shared" si="16"/>
        <v>248648</v>
      </c>
      <c r="BP21" s="213">
        <f t="shared" si="17"/>
        <v>9265</v>
      </c>
      <c r="BQ21">
        <f t="shared" si="18"/>
        <v>1.3850684685762462</v>
      </c>
    </row>
    <row r="22" spans="1:69">
      <c r="A22" s="16">
        <v>19</v>
      </c>
      <c r="B22" s="17">
        <v>19</v>
      </c>
      <c r="C22" s="27"/>
      <c r="D22" s="19">
        <f>'19'!D3</f>
        <v>33</v>
      </c>
      <c r="E22" s="256">
        <f>'19'!D4</f>
        <v>0.79</v>
      </c>
      <c r="F22" s="256">
        <f>'19'!D2</f>
        <v>0.77</v>
      </c>
      <c r="G22" s="19">
        <f>'19'!G8</f>
        <v>20355</v>
      </c>
      <c r="H22" s="19">
        <f>'19'!G8</f>
        <v>20355</v>
      </c>
      <c r="I22" s="19">
        <f>'19'!G7</f>
        <v>20300</v>
      </c>
      <c r="J22" s="19">
        <v>10</v>
      </c>
      <c r="K22" s="242">
        <f t="shared" si="3"/>
        <v>203550</v>
      </c>
      <c r="L22" s="238">
        <f t="shared" si="4"/>
        <v>100.4950495049505</v>
      </c>
      <c r="M22" s="19">
        <f>'19'!G15</f>
        <v>733</v>
      </c>
      <c r="N22" s="19">
        <v>35</v>
      </c>
      <c r="O22" s="234">
        <f t="shared" si="5"/>
        <v>25655</v>
      </c>
      <c r="P22" s="19">
        <f>'19'!G20</f>
        <v>151</v>
      </c>
      <c r="Q22" s="19">
        <v>134</v>
      </c>
      <c r="R22" s="239">
        <f t="shared" si="0"/>
        <v>20234</v>
      </c>
      <c r="S22" s="240">
        <f t="shared" si="1"/>
        <v>97.081136685097093</v>
      </c>
      <c r="T22" s="19">
        <f>'19'!G24</f>
        <v>0</v>
      </c>
      <c r="U22" s="19">
        <v>69</v>
      </c>
      <c r="V22" s="241">
        <f t="shared" si="6"/>
        <v>0</v>
      </c>
      <c r="W22" s="22">
        <f>'19'!G95</f>
        <v>70</v>
      </c>
      <c r="X22" s="22">
        <f>'19'!G96</f>
        <v>16</v>
      </c>
      <c r="Y22" s="22">
        <f>'19'!G97</f>
        <v>20</v>
      </c>
      <c r="Z22" s="22">
        <f t="shared" si="7"/>
        <v>106</v>
      </c>
      <c r="AA22" s="19">
        <f>'19'!G132</f>
        <v>0</v>
      </c>
      <c r="AB22" s="19">
        <f>'19'!G133</f>
        <v>0</v>
      </c>
      <c r="AC22" s="19">
        <f>'19'!G134</f>
        <v>24.470000000001164</v>
      </c>
      <c r="AD22" s="19">
        <f>'19'!G135</f>
        <v>-6.0000000001309672E-2</v>
      </c>
      <c r="AE22" s="19">
        <f t="shared" si="8"/>
        <v>24.409999999999854</v>
      </c>
      <c r="AF22" s="23">
        <f t="shared" si="2"/>
        <v>6208</v>
      </c>
      <c r="AG22" s="23">
        <f t="shared" si="9"/>
        <v>254.32199918066519</v>
      </c>
      <c r="AH22" s="19">
        <f>'19'!G136</f>
        <v>7</v>
      </c>
      <c r="AI22" s="19">
        <f>'19'!G137</f>
        <v>0</v>
      </c>
      <c r="AJ22" s="19">
        <f>'19'!G138</f>
        <v>1.7200000000011642</v>
      </c>
      <c r="AK22" s="19">
        <f t="shared" si="10"/>
        <v>8.7200000000011642</v>
      </c>
      <c r="AL22" s="19">
        <f>'19'!G139</f>
        <v>-9.9999999999909051E-2</v>
      </c>
      <c r="AM22" s="19">
        <f>'19'!G140</f>
        <v>8.3200000000006185</v>
      </c>
      <c r="AN22" s="19"/>
      <c r="AO22" s="19">
        <f t="shared" si="11"/>
        <v>8.2200000000007094</v>
      </c>
      <c r="AP22" s="258">
        <f>'19'!G123</f>
        <v>251</v>
      </c>
      <c r="AQ22" s="261">
        <f>'19'!G35</f>
        <v>2735</v>
      </c>
      <c r="AR22" s="19">
        <f>'19'!G37</f>
        <v>1352</v>
      </c>
      <c r="AS22" s="19">
        <f>'19'!G38</f>
        <v>1554</v>
      </c>
      <c r="AT22" s="19">
        <f>'19'!G39</f>
        <v>2793</v>
      </c>
      <c r="AU22" s="19">
        <f>'19'!G40</f>
        <v>0</v>
      </c>
      <c r="AV22" s="19">
        <f>'19'!G41</f>
        <v>0</v>
      </c>
      <c r="AW22" s="19">
        <f>'19'!G42</f>
        <v>0</v>
      </c>
      <c r="AX22" s="19">
        <f>'19'!G43</f>
        <v>2288</v>
      </c>
      <c r="AY22" s="23">
        <f>'19'!G44</f>
        <v>0</v>
      </c>
      <c r="AZ22" s="262">
        <f>'19'!G36</f>
        <v>1000</v>
      </c>
      <c r="BA22" s="261">
        <f>'19'!G49</f>
        <v>-0.13000000000465661</v>
      </c>
      <c r="BB22" s="19">
        <f>'19'!G51</f>
        <v>0</v>
      </c>
      <c r="BC22" s="19">
        <f>'19'!G52</f>
        <v>0</v>
      </c>
      <c r="BD22" s="19">
        <f>'19'!G53</f>
        <v>534</v>
      </c>
      <c r="BE22" s="19">
        <f>'19'!G54</f>
        <v>75</v>
      </c>
      <c r="BF22" s="19">
        <f>'19'!G55</f>
        <v>6144</v>
      </c>
      <c r="BG22" s="19">
        <f>'19'!G56</f>
        <v>64</v>
      </c>
      <c r="BH22" s="19">
        <f>'19'!G57</f>
        <v>-0.32999999999992724</v>
      </c>
      <c r="BI22" s="262">
        <f>'19'!G50</f>
        <v>1197</v>
      </c>
      <c r="BJ22" s="370">
        <f t="shared" si="12"/>
        <v>6208</v>
      </c>
      <c r="BK22" s="370">
        <f>'19'!G84</f>
        <v>797</v>
      </c>
      <c r="BL22" s="23">
        <f t="shared" si="13"/>
        <v>55.322857142857117</v>
      </c>
      <c r="BM22" s="23">
        <f t="shared" si="14"/>
        <v>16.389162561576356</v>
      </c>
      <c r="BN22" s="24">
        <f t="shared" si="15"/>
        <v>7.6551724137931029E-2</v>
      </c>
      <c r="BO22" s="25">
        <f t="shared" si="16"/>
        <v>249439</v>
      </c>
      <c r="BP22" s="213">
        <f t="shared" si="17"/>
        <v>9292.67</v>
      </c>
      <c r="BQ22">
        <f t="shared" si="18"/>
        <v>1.3596111078597846</v>
      </c>
    </row>
    <row r="23" spans="1:69">
      <c r="A23" s="16">
        <v>20</v>
      </c>
      <c r="B23" s="26">
        <v>20</v>
      </c>
      <c r="C23" s="26"/>
      <c r="D23" s="19">
        <f>'20'!D3</f>
        <v>33</v>
      </c>
      <c r="E23" s="256">
        <f>'20'!D4</f>
        <v>0.79</v>
      </c>
      <c r="F23" s="256">
        <f>'20'!D2</f>
        <v>0.77</v>
      </c>
      <c r="G23" s="19">
        <f>'20'!G8</f>
        <v>20216</v>
      </c>
      <c r="H23" s="19">
        <f>'20'!G8</f>
        <v>20216</v>
      </c>
      <c r="I23" s="19">
        <f>'20'!G7</f>
        <v>20160</v>
      </c>
      <c r="J23" s="19">
        <v>10</v>
      </c>
      <c r="K23" s="242">
        <f t="shared" si="3"/>
        <v>202160</v>
      </c>
      <c r="L23" s="238">
        <f t="shared" si="4"/>
        <v>99.801980198019805</v>
      </c>
      <c r="M23" s="19">
        <f>'20'!G15</f>
        <v>772</v>
      </c>
      <c r="N23" s="19">
        <v>35</v>
      </c>
      <c r="O23" s="234">
        <f t="shared" si="5"/>
        <v>27020</v>
      </c>
      <c r="P23" s="19">
        <f>'20'!G20</f>
        <v>141</v>
      </c>
      <c r="Q23" s="19">
        <v>134</v>
      </c>
      <c r="R23" s="239">
        <f t="shared" si="0"/>
        <v>18894</v>
      </c>
      <c r="S23" s="240">
        <f t="shared" si="1"/>
        <v>90.65192233509066</v>
      </c>
      <c r="T23" s="19">
        <f>'20'!G24</f>
        <v>0</v>
      </c>
      <c r="U23" s="19">
        <v>69</v>
      </c>
      <c r="V23" s="241">
        <f t="shared" si="6"/>
        <v>0</v>
      </c>
      <c r="W23" s="22">
        <f>'20'!G95</f>
        <v>77</v>
      </c>
      <c r="X23" s="22">
        <f>'20'!G96</f>
        <v>19</v>
      </c>
      <c r="Y23" s="22">
        <f>'20'!G97</f>
        <v>20</v>
      </c>
      <c r="Z23" s="22">
        <f t="shared" si="7"/>
        <v>116</v>
      </c>
      <c r="AA23" s="19">
        <f>'20'!G132</f>
        <v>0</v>
      </c>
      <c r="AB23" s="19">
        <f>'20'!G133</f>
        <v>0</v>
      </c>
      <c r="AC23" s="19">
        <f>'20'!G134</f>
        <v>24</v>
      </c>
      <c r="AD23" s="19">
        <f>'20'!G135</f>
        <v>0</v>
      </c>
      <c r="AE23" s="19">
        <f t="shared" si="8"/>
        <v>24</v>
      </c>
      <c r="AF23" s="23">
        <f t="shared" si="2"/>
        <v>5991</v>
      </c>
      <c r="AG23" s="23">
        <f t="shared" si="9"/>
        <v>249.625</v>
      </c>
      <c r="AH23" s="19">
        <f>'20'!G136</f>
        <v>5.3800000000010186</v>
      </c>
      <c r="AI23" s="19">
        <f>'20'!G137</f>
        <v>0</v>
      </c>
      <c r="AJ23" s="19">
        <f>'20'!G138</f>
        <v>4.319999999992433</v>
      </c>
      <c r="AK23" s="19">
        <f t="shared" si="10"/>
        <v>9.6999999999934516</v>
      </c>
      <c r="AL23" s="19">
        <f>'20'!G139</f>
        <v>0</v>
      </c>
      <c r="AM23" s="19">
        <f>'20'!G140</f>
        <v>8.3400000000001455</v>
      </c>
      <c r="AN23" s="19"/>
      <c r="AO23" s="19">
        <f t="shared" si="11"/>
        <v>8.3400000000001455</v>
      </c>
      <c r="AP23" s="258">
        <f>'20'!G123</f>
        <v>252</v>
      </c>
      <c r="AQ23" s="261">
        <f>'20'!G35</f>
        <v>2817</v>
      </c>
      <c r="AR23" s="19">
        <f>'20'!G37</f>
        <v>1368</v>
      </c>
      <c r="AS23" s="19">
        <f>'20'!G38</f>
        <v>1488</v>
      </c>
      <c r="AT23" s="19">
        <f>'20'!G39</f>
        <v>2847</v>
      </c>
      <c r="AU23" s="19">
        <f>'20'!G40</f>
        <v>0</v>
      </c>
      <c r="AV23" s="19">
        <f>'20'!G41</f>
        <v>0</v>
      </c>
      <c r="AW23" s="19">
        <f>'20'!G42</f>
        <v>0</v>
      </c>
      <c r="AX23" s="19">
        <f>'20'!G43</f>
        <v>2277</v>
      </c>
      <c r="AY23" s="23">
        <f>'20'!G44</f>
        <v>0</v>
      </c>
      <c r="AZ23" s="262">
        <f>'20'!G36</f>
        <v>1068</v>
      </c>
      <c r="BA23" s="261">
        <f>'20'!G49</f>
        <v>0.13000000000465661</v>
      </c>
      <c r="BB23" s="19">
        <f>'20'!G51</f>
        <v>0</v>
      </c>
      <c r="BC23" s="19">
        <f>'20'!G52</f>
        <v>0</v>
      </c>
      <c r="BD23" s="19">
        <f>'20'!G576</f>
        <v>0</v>
      </c>
      <c r="BE23" s="19">
        <f>'20'!G54</f>
        <v>76</v>
      </c>
      <c r="BF23" s="19">
        <f>'20'!G55</f>
        <v>5982</v>
      </c>
      <c r="BG23" s="19">
        <f>'20'!G56</f>
        <v>9</v>
      </c>
      <c r="BH23" s="19">
        <f>'20'!G57</f>
        <v>0</v>
      </c>
      <c r="BI23" s="262">
        <f>'20'!G50</f>
        <v>1139</v>
      </c>
      <c r="BJ23" s="370">
        <f t="shared" si="12"/>
        <v>5991</v>
      </c>
      <c r="BK23" s="370">
        <f>'20'!G84</f>
        <v>805</v>
      </c>
      <c r="BL23" s="23">
        <f t="shared" si="13"/>
        <v>54.985763888888911</v>
      </c>
      <c r="BM23" s="23">
        <f t="shared" si="14"/>
        <v>14.12202380952381</v>
      </c>
      <c r="BN23" s="24">
        <f t="shared" si="15"/>
        <v>7.3809523809523811E-2</v>
      </c>
      <c r="BO23" s="25">
        <f t="shared" si="16"/>
        <v>248074</v>
      </c>
      <c r="BP23" s="213">
        <f t="shared" si="17"/>
        <v>9073</v>
      </c>
      <c r="BQ23">
        <f t="shared" si="18"/>
        <v>1.3501488095238094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</v>
      </c>
      <c r="F24" s="256">
        <f>'21'!D2</f>
        <v>0.76</v>
      </c>
      <c r="G24" s="19">
        <f>'21'!G8</f>
        <v>19654</v>
      </c>
      <c r="H24" s="19">
        <f>'21'!G8</f>
        <v>19654</v>
      </c>
      <c r="I24" s="19">
        <f>'21'!G7</f>
        <v>19605</v>
      </c>
      <c r="J24" s="19">
        <v>10</v>
      </c>
      <c r="K24" s="242">
        <f t="shared" si="3"/>
        <v>196540</v>
      </c>
      <c r="L24" s="238">
        <f t="shared" si="4"/>
        <v>97.054455445544548</v>
      </c>
      <c r="M24" s="19">
        <f>'21'!G15</f>
        <v>700</v>
      </c>
      <c r="N24" s="19">
        <v>35</v>
      </c>
      <c r="O24" s="234">
        <f t="shared" si="5"/>
        <v>24500</v>
      </c>
      <c r="P24" s="19">
        <f>'21'!G20</f>
        <v>158</v>
      </c>
      <c r="Q24" s="19">
        <v>134</v>
      </c>
      <c r="R24" s="239">
        <f t="shared" si="0"/>
        <v>21172</v>
      </c>
      <c r="S24" s="240">
        <f t="shared" si="1"/>
        <v>102.91818655549764</v>
      </c>
      <c r="T24" s="19">
        <f>'21'!G24</f>
        <v>0</v>
      </c>
      <c r="U24" s="19">
        <v>69</v>
      </c>
      <c r="V24" s="241">
        <f t="shared" si="6"/>
        <v>0</v>
      </c>
      <c r="W24" s="22">
        <f>'21'!G95</f>
        <v>79</v>
      </c>
      <c r="X24" s="22">
        <f>'21'!G96</f>
        <v>19</v>
      </c>
      <c r="Y24" s="22">
        <f>'21'!G97</f>
        <v>15</v>
      </c>
      <c r="Z24" s="22">
        <f t="shared" si="7"/>
        <v>113</v>
      </c>
      <c r="AA24" s="19">
        <f>'21'!G132</f>
        <v>0</v>
      </c>
      <c r="AB24" s="19">
        <f>'21'!G133</f>
        <v>0</v>
      </c>
      <c r="AC24" s="19">
        <f>'21'!G134</f>
        <v>24</v>
      </c>
      <c r="AD24" s="19">
        <f>'21'!G135</f>
        <v>0</v>
      </c>
      <c r="AE24" s="19">
        <f t="shared" si="8"/>
        <v>24</v>
      </c>
      <c r="AF24" s="23">
        <f t="shared" si="2"/>
        <v>5862</v>
      </c>
      <c r="AG24" s="23">
        <f t="shared" si="9"/>
        <v>244.25</v>
      </c>
      <c r="AH24" s="19">
        <f>'21'!G136</f>
        <v>5.6199999999989814</v>
      </c>
      <c r="AI24" s="19">
        <f>'21'!G137</f>
        <v>0</v>
      </c>
      <c r="AJ24" s="19">
        <f>'21'!G138</f>
        <v>3.4800000000104774</v>
      </c>
      <c r="AK24" s="19">
        <f t="shared" si="10"/>
        <v>9.1000000000094587</v>
      </c>
      <c r="AL24" s="19">
        <f>'21'!G139</f>
        <v>4.5099999999999909</v>
      </c>
      <c r="AM24" s="19">
        <f>'21'!G140</f>
        <v>4.2599999999993088</v>
      </c>
      <c r="AN24" s="19"/>
      <c r="AO24" s="19">
        <f t="shared" si="11"/>
        <v>8.7699999999992997</v>
      </c>
      <c r="AP24" s="258">
        <f>'21'!G123</f>
        <v>246</v>
      </c>
      <c r="AQ24" s="261">
        <f>'21'!G35</f>
        <v>2824</v>
      </c>
      <c r="AR24" s="19">
        <f>'21'!G37</f>
        <v>1328</v>
      </c>
      <c r="AS24" s="19">
        <f>'21'!G38</f>
        <v>1434</v>
      </c>
      <c r="AT24" s="19">
        <f>'21'!G39</f>
        <v>2797</v>
      </c>
      <c r="AU24" s="19">
        <f>'21'!G40</f>
        <v>0</v>
      </c>
      <c r="AV24" s="19">
        <f>'21'!G41</f>
        <v>0</v>
      </c>
      <c r="AW24" s="19">
        <f>'21'!G42</f>
        <v>0</v>
      </c>
      <c r="AX24" s="19">
        <f>'21'!G43</f>
        <v>2286</v>
      </c>
      <c r="AY24" s="23">
        <f>'21'!G44</f>
        <v>0</v>
      </c>
      <c r="AZ24" s="262">
        <f>'21'!G36</f>
        <v>968</v>
      </c>
      <c r="BA24" s="261">
        <f>'21'!G49</f>
        <v>0</v>
      </c>
      <c r="BB24" s="19">
        <f>'21'!G51</f>
        <v>0</v>
      </c>
      <c r="BC24" s="19">
        <f>'21'!G52</f>
        <v>6.9999999948777258E-2</v>
      </c>
      <c r="BD24" s="19">
        <f>'21'!G53</f>
        <v>557</v>
      </c>
      <c r="BE24" s="19">
        <f>'21'!G54</f>
        <v>77</v>
      </c>
      <c r="BF24" s="19">
        <f>'21'!G55</f>
        <v>5853</v>
      </c>
      <c r="BG24" s="19">
        <f>'21'!G56</f>
        <v>9</v>
      </c>
      <c r="BH24" s="19">
        <f>'21'!G57</f>
        <v>0</v>
      </c>
      <c r="BI24" s="262">
        <f>'21'!G50</f>
        <v>1022</v>
      </c>
      <c r="BJ24" s="370">
        <f t="shared" si="12"/>
        <v>5862</v>
      </c>
      <c r="BK24" s="370">
        <f>'21'!G84</f>
        <v>798</v>
      </c>
      <c r="BL24" s="23">
        <f t="shared" si="13"/>
        <v>55.965314970670747</v>
      </c>
      <c r="BM24" s="23">
        <f t="shared" si="14"/>
        <v>17.107880642693189</v>
      </c>
      <c r="BN24" s="24">
        <f t="shared" si="15"/>
        <v>7.3148176485587801E-2</v>
      </c>
      <c r="BO24" s="25">
        <f t="shared" si="16"/>
        <v>242212</v>
      </c>
      <c r="BP24" s="213">
        <f t="shared" si="17"/>
        <v>8946</v>
      </c>
      <c r="BQ24">
        <f t="shared" si="18"/>
        <v>1.33125</v>
      </c>
    </row>
    <row r="25" spans="1:69">
      <c r="A25" s="16">
        <v>22</v>
      </c>
      <c r="B25" s="27">
        <v>22</v>
      </c>
      <c r="C25" s="28"/>
      <c r="D25" s="19">
        <f>'22'!D3</f>
        <v>33</v>
      </c>
      <c r="E25" s="256">
        <f>'22'!D4</f>
        <v>0.8</v>
      </c>
      <c r="F25" s="256">
        <f>'22'!D2</f>
        <v>0.76</v>
      </c>
      <c r="G25" s="19">
        <f>'22'!G8</f>
        <v>19819</v>
      </c>
      <c r="H25" s="19">
        <f>'22'!G8</f>
        <v>19819</v>
      </c>
      <c r="I25" s="19">
        <f>'22'!G7</f>
        <v>19762</v>
      </c>
      <c r="J25" s="19">
        <v>10</v>
      </c>
      <c r="K25" s="242">
        <f t="shared" si="3"/>
        <v>198190</v>
      </c>
      <c r="L25" s="238">
        <f t="shared" si="4"/>
        <v>97.831683168316829</v>
      </c>
      <c r="M25" s="19">
        <f>'22'!G15</f>
        <v>767</v>
      </c>
      <c r="N25" s="19">
        <v>35</v>
      </c>
      <c r="O25" s="234">
        <f t="shared" si="5"/>
        <v>26845</v>
      </c>
      <c r="P25" s="19">
        <f>'22'!G20</f>
        <v>159</v>
      </c>
      <c r="Q25" s="19">
        <v>134</v>
      </c>
      <c r="R25" s="239">
        <f t="shared" si="0"/>
        <v>21306</v>
      </c>
      <c r="S25" s="240">
        <f t="shared" si="1"/>
        <v>103.56956748306409</v>
      </c>
      <c r="T25" s="19">
        <f>'22'!G24</f>
        <v>0</v>
      </c>
      <c r="U25" s="19">
        <v>69</v>
      </c>
      <c r="V25" s="241">
        <f t="shared" si="6"/>
        <v>0</v>
      </c>
      <c r="W25" s="22">
        <f>'22'!G95</f>
        <v>64</v>
      </c>
      <c r="X25" s="22">
        <f>'22'!G96</f>
        <v>17</v>
      </c>
      <c r="Y25" s="22">
        <f>'22'!G97</f>
        <v>19</v>
      </c>
      <c r="Z25" s="22">
        <f t="shared" si="7"/>
        <v>100</v>
      </c>
      <c r="AA25" s="19">
        <f>'22'!G132</f>
        <v>0</v>
      </c>
      <c r="AB25" s="19">
        <f>'22'!G133</f>
        <v>0</v>
      </c>
      <c r="AC25" s="19">
        <f>'22'!G134</f>
        <v>24</v>
      </c>
      <c r="AD25" s="19">
        <f>'22'!G135</f>
        <v>1.0000000002037268E-2</v>
      </c>
      <c r="AE25" s="19">
        <f t="shared" si="8"/>
        <v>24.010000000002037</v>
      </c>
      <c r="AF25" s="23">
        <f t="shared" si="2"/>
        <v>5930</v>
      </c>
      <c r="AG25" s="23">
        <f t="shared" si="9"/>
        <v>246.98042482296947</v>
      </c>
      <c r="AH25" s="19">
        <f>'22'!G136</f>
        <v>8.8499999999985448</v>
      </c>
      <c r="AI25" s="19">
        <f>'22'!G137</f>
        <v>0</v>
      </c>
      <c r="AJ25" s="19">
        <f>'22'!G138</f>
        <v>0.70999999999185093</v>
      </c>
      <c r="AK25" s="19">
        <f t="shared" si="10"/>
        <v>9.5599999999903957</v>
      </c>
      <c r="AL25" s="19">
        <f>'22'!G139</f>
        <v>8.7999999999999545</v>
      </c>
      <c r="AM25" s="19">
        <f>'22'!G140</f>
        <v>0</v>
      </c>
      <c r="AN25" s="19"/>
      <c r="AO25" s="19">
        <f t="shared" si="11"/>
        <v>8.7999999999999545</v>
      </c>
      <c r="AP25" s="258">
        <f>'22'!G123</f>
        <v>238</v>
      </c>
      <c r="AQ25" s="261">
        <f>'22'!G35</f>
        <v>2785</v>
      </c>
      <c r="AR25" s="19">
        <f>'22'!G37</f>
        <v>1343</v>
      </c>
      <c r="AS25" s="19">
        <f>'22'!G38</f>
        <v>1462</v>
      </c>
      <c r="AT25" s="19">
        <f>'22'!G39</f>
        <v>2834</v>
      </c>
      <c r="AU25" s="19">
        <f>'22'!G40</f>
        <v>0</v>
      </c>
      <c r="AV25" s="19">
        <f>'22'!G41</f>
        <v>0</v>
      </c>
      <c r="AW25" s="19">
        <f>'22'!G42</f>
        <v>0</v>
      </c>
      <c r="AX25" s="19">
        <f>'22'!G43</f>
        <v>2328</v>
      </c>
      <c r="AY25" s="23">
        <f>'22'!G44</f>
        <v>0</v>
      </c>
      <c r="AZ25" s="262">
        <f>'22'!G36</f>
        <v>1061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530</v>
      </c>
      <c r="BE25" s="19">
        <f>'22'!G54</f>
        <v>76</v>
      </c>
      <c r="BF25" s="19">
        <f>'22'!G55</f>
        <v>5920</v>
      </c>
      <c r="BG25" s="19">
        <f>'22'!G56</f>
        <v>10</v>
      </c>
      <c r="BH25" s="19">
        <f>'22'!G57</f>
        <v>0</v>
      </c>
      <c r="BI25" s="262">
        <f>'22'!G50</f>
        <v>955</v>
      </c>
      <c r="BJ25" s="370">
        <f t="shared" si="12"/>
        <v>5930</v>
      </c>
      <c r="BK25" s="370">
        <f>'22'!G84</f>
        <v>782</v>
      </c>
      <c r="BL25" s="23">
        <f t="shared" si="13"/>
        <v>55.879971662787163</v>
      </c>
      <c r="BM25" s="23">
        <f t="shared" si="14"/>
        <v>17.022568565934623</v>
      </c>
      <c r="BN25" s="24">
        <f t="shared" si="15"/>
        <v>7.3980366359680194E-2</v>
      </c>
      <c r="BO25" s="25">
        <f t="shared" si="16"/>
        <v>246341</v>
      </c>
      <c r="BP25" s="213">
        <f t="shared" si="17"/>
        <v>9040</v>
      </c>
      <c r="BQ25">
        <f t="shared" si="18"/>
        <v>1.3446778128159744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19983</v>
      </c>
      <c r="H26" s="19">
        <f>'23'!G8</f>
        <v>19983</v>
      </c>
      <c r="I26" s="19">
        <f>'23'!G7</f>
        <v>19931</v>
      </c>
      <c r="J26" s="19">
        <v>10</v>
      </c>
      <c r="K26" s="242">
        <f t="shared" si="3"/>
        <v>199830</v>
      </c>
      <c r="L26" s="238">
        <f t="shared" si="4"/>
        <v>98.668316831683171</v>
      </c>
      <c r="M26" s="19">
        <f>'23'!G15</f>
        <v>824.37599999993108</v>
      </c>
      <c r="N26" s="19">
        <v>35</v>
      </c>
      <c r="O26" s="234">
        <f t="shared" si="5"/>
        <v>28853.159999997588</v>
      </c>
      <c r="P26" s="19">
        <f>'23'!G20</f>
        <v>138</v>
      </c>
      <c r="Q26" s="19">
        <v>134</v>
      </c>
      <c r="R26" s="239">
        <f t="shared" si="0"/>
        <v>18492</v>
      </c>
      <c r="S26" s="240">
        <f t="shared" si="1"/>
        <v>131.37852246763137</v>
      </c>
      <c r="T26" s="19">
        <f>'23'!G24</f>
        <v>0</v>
      </c>
      <c r="U26" s="19">
        <v>69</v>
      </c>
      <c r="V26" s="241">
        <f t="shared" si="6"/>
        <v>0</v>
      </c>
      <c r="W26" s="22">
        <f>'23'!G95</f>
        <v>65</v>
      </c>
      <c r="X26" s="22">
        <f>'23'!G96</f>
        <v>19</v>
      </c>
      <c r="Y26" s="22">
        <f>'23'!G97</f>
        <v>21</v>
      </c>
      <c r="Z26" s="22">
        <f t="shared" si="7"/>
        <v>105</v>
      </c>
      <c r="AA26" s="19">
        <f>'23'!G132</f>
        <v>-0.23000000000320142</v>
      </c>
      <c r="AB26" s="19">
        <f>'23'!G133</f>
        <v>0</v>
      </c>
      <c r="AC26" s="19">
        <f>'23'!G134</f>
        <v>24</v>
      </c>
      <c r="AD26" s="19">
        <f>'23'!G135</f>
        <v>0</v>
      </c>
      <c r="AE26" s="19">
        <f t="shared" si="8"/>
        <v>23.769999999996799</v>
      </c>
      <c r="AF26" s="23">
        <f t="shared" si="2"/>
        <v>5802.1230000000505</v>
      </c>
      <c r="AG26" s="23">
        <f t="shared" si="9"/>
        <v>244.09436264202068</v>
      </c>
      <c r="AH26" s="19">
        <f>'23'!G136</f>
        <v>9.2100000000027649</v>
      </c>
      <c r="AI26" s="19">
        <f>'23'!G137</f>
        <v>1.4900000000016007</v>
      </c>
      <c r="AJ26" s="19">
        <f>'23'!G138</f>
        <v>0</v>
      </c>
      <c r="AK26" s="19">
        <f t="shared" si="10"/>
        <v>10.700000000004366</v>
      </c>
      <c r="AL26" s="19">
        <f>'23'!G139</f>
        <v>9.5700000000001637</v>
      </c>
      <c r="AM26" s="19">
        <f>'23'!G140</f>
        <v>2.0000000000436557E-2</v>
      </c>
      <c r="AN26" s="19"/>
      <c r="AO26" s="19">
        <f t="shared" si="11"/>
        <v>9.5900000000006003</v>
      </c>
      <c r="AP26" s="258">
        <f>'23'!G123</f>
        <v>259.4100000000326</v>
      </c>
      <c r="AQ26" s="261">
        <f>'23'!G35</f>
        <v>2814.390000000014</v>
      </c>
      <c r="AR26" s="19">
        <f>'23'!G37</f>
        <v>1398.8899999999994</v>
      </c>
      <c r="AS26" s="19">
        <f>'23'!G38</f>
        <v>1433.2400000000052</v>
      </c>
      <c r="AT26" s="19">
        <f>'23'!G39</f>
        <v>2983.890000000014</v>
      </c>
      <c r="AU26" s="19">
        <f>'23'!G40</f>
        <v>0.23</v>
      </c>
      <c r="AV26" s="19">
        <f>'23'!G41</f>
        <v>0.42000000001280569</v>
      </c>
      <c r="AW26" s="19">
        <f>'23'!G42</f>
        <v>0.16300000000046566</v>
      </c>
      <c r="AX26" s="19">
        <f>'23'!G43</f>
        <v>2355.4300000000512</v>
      </c>
      <c r="AY26" s="23">
        <f>'23'!G44</f>
        <v>0</v>
      </c>
      <c r="AZ26" s="262">
        <f>'23'!G36</f>
        <v>1122.9500000000116</v>
      </c>
      <c r="BA26" s="261">
        <f>'23'!G49</f>
        <v>0</v>
      </c>
      <c r="BB26" s="19">
        <f>'23'!G51</f>
        <v>-0.13000000000465661</v>
      </c>
      <c r="BC26" s="19">
        <f>'23'!G52</f>
        <v>0</v>
      </c>
      <c r="BD26" s="19">
        <f>'23'!G53</f>
        <v>583.22999999998137</v>
      </c>
      <c r="BE26" s="19">
        <f>'23'!G54</f>
        <v>74.809999999999491</v>
      </c>
      <c r="BF26" s="19">
        <f>'23'!G55</f>
        <v>5792.1500000000233</v>
      </c>
      <c r="BG26" s="19">
        <f>'23'!G56</f>
        <v>9.3900000000139698</v>
      </c>
      <c r="BH26" s="19">
        <f>'23'!G57</f>
        <v>0</v>
      </c>
      <c r="BI26" s="262">
        <f>'23'!G50</f>
        <v>1104.2700000000186</v>
      </c>
      <c r="BJ26" s="370">
        <f t="shared" si="12"/>
        <v>5802.1230000000505</v>
      </c>
      <c r="BK26" s="370">
        <f>'23'!G84</f>
        <v>788</v>
      </c>
      <c r="BL26" s="23">
        <f t="shared" si="13"/>
        <v>55.049636245045988</v>
      </c>
      <c r="BM26" s="23">
        <f t="shared" si="14"/>
        <v>17.897345843158874</v>
      </c>
      <c r="BN26" s="24">
        <f t="shared" si="15"/>
        <v>7.191008980984423E-2</v>
      </c>
      <c r="BO26" s="25">
        <f t="shared" si="16"/>
        <v>247175.15999999759</v>
      </c>
      <c r="BP26" s="213">
        <f t="shared" si="17"/>
        <v>8945.5530000001017</v>
      </c>
      <c r="BQ26">
        <f t="shared" si="18"/>
        <v>1.3440640964002204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0.63</v>
      </c>
      <c r="G27" s="19">
        <f>'24'!G8</f>
        <v>20016</v>
      </c>
      <c r="H27" s="19">
        <f>'24'!G8</f>
        <v>20016</v>
      </c>
      <c r="I27" s="19">
        <f>'24'!G7</f>
        <v>19964</v>
      </c>
      <c r="J27" s="19">
        <v>10</v>
      </c>
      <c r="K27" s="242">
        <f t="shared" si="3"/>
        <v>200160</v>
      </c>
      <c r="L27" s="238">
        <f t="shared" si="4"/>
        <v>98.831683168316829</v>
      </c>
      <c r="M27" s="19">
        <f>'24'!G15</f>
        <v>817.29200000013225</v>
      </c>
      <c r="N27" s="19">
        <v>35</v>
      </c>
      <c r="O27" s="234">
        <f t="shared" si="5"/>
        <v>28605.220000004629</v>
      </c>
      <c r="P27" s="19">
        <f>'24'!G20</f>
        <v>194</v>
      </c>
      <c r="Q27" s="19">
        <v>134</v>
      </c>
      <c r="R27" s="239">
        <f t="shared" si="0"/>
        <v>25996</v>
      </c>
      <c r="S27" s="240">
        <f t="shared" si="1"/>
        <v>152.44381581015244</v>
      </c>
      <c r="T27" s="19">
        <f>'24'!G24</f>
        <v>1290</v>
      </c>
      <c r="U27" s="19">
        <v>69</v>
      </c>
      <c r="V27" s="241">
        <f t="shared" si="6"/>
        <v>89010</v>
      </c>
      <c r="W27" s="22">
        <f>'24'!G95</f>
        <v>96</v>
      </c>
      <c r="X27" s="22">
        <f>'24'!G96</f>
        <v>21</v>
      </c>
      <c r="Y27" s="22">
        <f>'24'!G97</f>
        <v>17</v>
      </c>
      <c r="Z27" s="22">
        <f t="shared" si="7"/>
        <v>134</v>
      </c>
      <c r="AA27" s="19">
        <f>'24'!G132</f>
        <v>0</v>
      </c>
      <c r="AB27" s="19">
        <f>'24'!G133</f>
        <v>0</v>
      </c>
      <c r="AC27" s="19">
        <f>'24'!G134</f>
        <v>24</v>
      </c>
      <c r="AD27" s="19">
        <f>'24'!G135</f>
        <v>0</v>
      </c>
      <c r="AE27" s="19">
        <f t="shared" si="8"/>
        <v>24</v>
      </c>
      <c r="AF27" s="23">
        <f t="shared" si="2"/>
        <v>5836.2600000000093</v>
      </c>
      <c r="AG27" s="23">
        <f t="shared" si="9"/>
        <v>243.17750000000038</v>
      </c>
      <c r="AH27" s="19">
        <f>'24'!G136</f>
        <v>9.7999999999992724</v>
      </c>
      <c r="AI27" s="19">
        <f>'24'!G137</f>
        <v>0</v>
      </c>
      <c r="AJ27" s="19">
        <f>'24'!G138</f>
        <v>0</v>
      </c>
      <c r="AK27" s="19">
        <f t="shared" si="10"/>
        <v>9.7999999999992724</v>
      </c>
      <c r="AL27" s="19">
        <f>'24'!G139</f>
        <v>8.6799999999998363</v>
      </c>
      <c r="AM27" s="19">
        <f>'24'!G140</f>
        <v>-0.3000000000001819</v>
      </c>
      <c r="AN27" s="19"/>
      <c r="AO27" s="19">
        <f t="shared" si="11"/>
        <v>8.3799999999996544</v>
      </c>
      <c r="AP27" s="258">
        <f>'24'!G123</f>
        <v>235.02999999991152</v>
      </c>
      <c r="AQ27" s="261">
        <f>'24'!G35</f>
        <v>2831.359999999986</v>
      </c>
      <c r="AR27" s="19">
        <f>'24'!G37</f>
        <v>1337.4499999999971</v>
      </c>
      <c r="AS27" s="19">
        <f>'24'!G38</f>
        <v>1505.5699999999924</v>
      </c>
      <c r="AT27" s="19">
        <f>'24'!G39</f>
        <v>2938.1599999999744</v>
      </c>
      <c r="AU27" s="19">
        <f>'24'!G40</f>
        <v>0</v>
      </c>
      <c r="AV27" s="19">
        <f>'24'!G41</f>
        <v>0</v>
      </c>
      <c r="AW27" s="19">
        <f>'24'!G42</f>
        <v>0</v>
      </c>
      <c r="AX27" s="19">
        <f>'24'!G43</f>
        <v>2344.4199999999255</v>
      </c>
      <c r="AY27" s="23">
        <f>'24'!G44</f>
        <v>0</v>
      </c>
      <c r="AZ27" s="262">
        <f>'24'!G36</f>
        <v>978.39999999996508</v>
      </c>
      <c r="BA27" s="261">
        <f>'24'!G49</f>
        <v>-0.13000000000465661</v>
      </c>
      <c r="BB27" s="19">
        <f>'24'!G51</f>
        <v>0</v>
      </c>
      <c r="BC27" s="19">
        <f>'24'!G52</f>
        <v>-6.9999999948777258E-2</v>
      </c>
      <c r="BD27" s="19">
        <f>'24'!G53</f>
        <v>577.76000000000931</v>
      </c>
      <c r="BE27" s="19">
        <f>'24'!G54</f>
        <v>74.796000000000276</v>
      </c>
      <c r="BF27" s="19">
        <f>'24'!G55</f>
        <v>5826.6199999999953</v>
      </c>
      <c r="BG27" s="19">
        <f>'24'!G56</f>
        <v>9.6400000000139698</v>
      </c>
      <c r="BH27" s="19">
        <f>'24'!G57</f>
        <v>0</v>
      </c>
      <c r="BI27" s="262">
        <f>'24'!G50</f>
        <v>897.59999999997672</v>
      </c>
      <c r="BJ27" s="370">
        <f t="shared" si="12"/>
        <v>5836.2600000000093</v>
      </c>
      <c r="BK27" s="370">
        <f>'24'!G84</f>
        <v>787</v>
      </c>
      <c r="BL27" s="23">
        <f t="shared" si="13"/>
        <v>55.158835904627914</v>
      </c>
      <c r="BM27" s="23">
        <f t="shared" si="14"/>
        <v>17.611300340613024</v>
      </c>
      <c r="BN27" s="24">
        <f t="shared" si="15"/>
        <v>7.5410739330797616E-2</v>
      </c>
      <c r="BO27" s="25">
        <f t="shared" si="16"/>
        <v>343771.22000000463</v>
      </c>
      <c r="BP27" s="213">
        <f t="shared" si="17"/>
        <v>8967.6799999999348</v>
      </c>
      <c r="BQ27">
        <f t="shared" si="18"/>
        <v>1.3344761904761808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0.54</v>
      </c>
      <c r="G28" s="19">
        <f>'25'!G8</f>
        <v>22390</v>
      </c>
      <c r="H28" s="19">
        <f>'25'!G8</f>
        <v>22390</v>
      </c>
      <c r="I28" s="19">
        <f>'25'!G7</f>
        <v>22296</v>
      </c>
      <c r="J28" s="19">
        <v>10</v>
      </c>
      <c r="K28" s="242">
        <f t="shared" si="3"/>
        <v>223900</v>
      </c>
      <c r="L28" s="238">
        <f t="shared" si="4"/>
        <v>110.37623762376238</v>
      </c>
      <c r="M28" s="19">
        <f>'25'!G15</f>
        <v>698.87399999983609</v>
      </c>
      <c r="N28" s="19">
        <v>35</v>
      </c>
      <c r="O28" s="234">
        <f t="shared" si="5"/>
        <v>24460.589999994263</v>
      </c>
      <c r="P28" s="19">
        <f>'25'!G20</f>
        <v>133</v>
      </c>
      <c r="Q28" s="19">
        <v>134</v>
      </c>
      <c r="R28" s="239">
        <f t="shared" si="0"/>
        <v>17822</v>
      </c>
      <c r="S28" s="240">
        <f t="shared" si="1"/>
        <v>121.9288595526219</v>
      </c>
      <c r="T28" s="19">
        <f>'25'!G24</f>
        <v>0</v>
      </c>
      <c r="U28" s="19">
        <v>69</v>
      </c>
      <c r="V28" s="241">
        <f t="shared" si="6"/>
        <v>0</v>
      </c>
      <c r="W28" s="22">
        <f>'25'!G95</f>
        <v>56</v>
      </c>
      <c r="X28" s="22">
        <f>'25'!G96</f>
        <v>27</v>
      </c>
      <c r="Y28" s="22">
        <f>'25'!G97</f>
        <v>17</v>
      </c>
      <c r="Z28" s="22">
        <f t="shared" si="7"/>
        <v>100</v>
      </c>
      <c r="AA28" s="19">
        <f>'25'!G132</f>
        <v>11.160000000003492</v>
      </c>
      <c r="AB28" s="19">
        <f>'25'!G133</f>
        <v>0</v>
      </c>
      <c r="AC28" s="19">
        <f>'25'!G134</f>
        <v>18.44999999999709</v>
      </c>
      <c r="AD28" s="19">
        <f>'25'!G135</f>
        <v>0</v>
      </c>
      <c r="AE28" s="19">
        <f t="shared" si="8"/>
        <v>29.610000000000582</v>
      </c>
      <c r="AF28" s="23">
        <f t="shared" si="2"/>
        <v>7229.7499999999709</v>
      </c>
      <c r="AG28" s="23">
        <f t="shared" si="9"/>
        <v>244.16582235730593</v>
      </c>
      <c r="AH28" s="19">
        <f>'24'!G136</f>
        <v>9.7999999999992724</v>
      </c>
      <c r="AI28" s="19">
        <f>'24'!G137</f>
        <v>0</v>
      </c>
      <c r="AJ28" s="19">
        <f>'24'!G138</f>
        <v>0</v>
      </c>
      <c r="AK28" s="19">
        <f t="shared" si="10"/>
        <v>9.7999999999992724</v>
      </c>
      <c r="AL28" s="19">
        <f>'23'!G139</f>
        <v>9.5700000000001637</v>
      </c>
      <c r="AM28" s="19">
        <f>'24'!G140</f>
        <v>-0.3000000000001819</v>
      </c>
      <c r="AN28" s="19"/>
      <c r="AO28" s="19">
        <f t="shared" si="11"/>
        <v>9.2699999999999818</v>
      </c>
      <c r="AP28" s="258">
        <f>'25'!G123</f>
        <v>257.38000000000466</v>
      </c>
      <c r="AQ28" s="261">
        <f>'25'!G35</f>
        <v>3053.25</v>
      </c>
      <c r="AR28" s="19">
        <f>'25'!G37</f>
        <v>1346.3300000000017</v>
      </c>
      <c r="AS28" s="19">
        <f>'25'!G38</f>
        <v>1455.6100000000006</v>
      </c>
      <c r="AT28" s="19">
        <f>'25'!G39</f>
        <v>3062.7000000000116</v>
      </c>
      <c r="AU28" s="19">
        <f>'25'!G40</f>
        <v>0</v>
      </c>
      <c r="AV28" s="19">
        <f>'25'!G41</f>
        <v>2827.1299999999756</v>
      </c>
      <c r="AW28" s="19"/>
      <c r="AX28" s="19">
        <f>'25'!G43</f>
        <v>2595.2199999999721</v>
      </c>
      <c r="AY28" s="23">
        <f>'25'!G44</f>
        <v>0</v>
      </c>
      <c r="AZ28" s="262">
        <f>'25'!G36</f>
        <v>1014.9200000000419</v>
      </c>
      <c r="BA28" s="261">
        <f>'25'!G49</f>
        <v>0.13000000000465661</v>
      </c>
      <c r="BB28" s="19">
        <f>'25'!G51</f>
        <v>0</v>
      </c>
      <c r="BC28" s="19">
        <f>'25'!G52</f>
        <v>6.9999999948777258E-2</v>
      </c>
      <c r="BD28" s="19">
        <f>'25'!G53</f>
        <v>567.82000000000698</v>
      </c>
      <c r="BE28" s="19">
        <f>'24'!G54</f>
        <v>74.796000000000276</v>
      </c>
      <c r="BF28" s="19">
        <f>'25'!G55</f>
        <v>4393.2199999999721</v>
      </c>
      <c r="BG28" s="19">
        <f>'25'!G56</f>
        <v>9.4000000000232831</v>
      </c>
      <c r="BH28" s="19">
        <f>'25'!G57</f>
        <v>0</v>
      </c>
      <c r="BI28" s="262">
        <f>'25'!G50</f>
        <v>1368.2399999999907</v>
      </c>
      <c r="BJ28" s="370">
        <f t="shared" si="12"/>
        <v>7229.7499999999709</v>
      </c>
      <c r="BK28" s="370">
        <f>'25'!G84</f>
        <v>890</v>
      </c>
      <c r="BL28" s="23">
        <f t="shared" si="13"/>
        <v>57.760809113742141</v>
      </c>
      <c r="BM28" s="23">
        <f t="shared" si="14"/>
        <v>16.283279512020176</v>
      </c>
      <c r="BN28" s="24">
        <f t="shared" si="15"/>
        <v>6.5288841047719287E-2</v>
      </c>
      <c r="BO28" s="25">
        <f t="shared" si="16"/>
        <v>266182.58999999426</v>
      </c>
      <c r="BP28" s="213">
        <f t="shared" si="17"/>
        <v>10714.969999999943</v>
      </c>
      <c r="BQ28">
        <f t="shared" si="18"/>
        <v>1.2923927727118893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0.74</v>
      </c>
      <c r="F29" s="256">
        <f>'26'!D2</f>
        <v>0.54</v>
      </c>
      <c r="G29" s="19">
        <f>'26'!G8</f>
        <v>20629</v>
      </c>
      <c r="H29" s="19">
        <f>'26'!G8</f>
        <v>20629</v>
      </c>
      <c r="I29" s="19">
        <f>'26'!G7</f>
        <v>20533</v>
      </c>
      <c r="J29" s="19">
        <v>10</v>
      </c>
      <c r="K29" s="242">
        <f t="shared" si="3"/>
        <v>206290</v>
      </c>
      <c r="L29" s="238">
        <f t="shared" si="4"/>
        <v>101.64851485148515</v>
      </c>
      <c r="M29" s="19">
        <f>'26'!G15</f>
        <v>688.53800000017509</v>
      </c>
      <c r="N29" s="19">
        <v>35</v>
      </c>
      <c r="O29" s="234">
        <f t="shared" si="5"/>
        <v>24098.830000006128</v>
      </c>
      <c r="P29" s="19">
        <f>'26'!G20</f>
        <v>159</v>
      </c>
      <c r="Q29" s="19">
        <v>134</v>
      </c>
      <c r="R29" s="239">
        <f t="shared" si="0"/>
        <v>21306</v>
      </c>
      <c r="S29" s="240">
        <f t="shared" si="1"/>
        <v>145.76457645764575</v>
      </c>
      <c r="T29" s="19">
        <f>'26'!G24</f>
        <v>0</v>
      </c>
      <c r="U29" s="19">
        <v>69</v>
      </c>
      <c r="V29" s="241">
        <f t="shared" si="6"/>
        <v>0</v>
      </c>
      <c r="W29" s="22">
        <f>'26'!G95</f>
        <v>80</v>
      </c>
      <c r="X29" s="22">
        <f>'26'!G96</f>
        <v>21</v>
      </c>
      <c r="Y29" s="22">
        <f>'26'!G97</f>
        <v>14</v>
      </c>
      <c r="Z29" s="22">
        <f t="shared" si="7"/>
        <v>115</v>
      </c>
      <c r="AA29" s="19">
        <f>'26'!G132</f>
        <v>0</v>
      </c>
      <c r="AB29" s="19">
        <f>'26'!G133</f>
        <v>0</v>
      </c>
      <c r="AC29" s="19">
        <f>'26'!G134</f>
        <v>23.80000000000291</v>
      </c>
      <c r="AD29" s="19">
        <f>'26'!G135</f>
        <v>0</v>
      </c>
      <c r="AE29" s="19">
        <f t="shared" si="8"/>
        <v>23.80000000000291</v>
      </c>
      <c r="AF29" s="23">
        <f t="shared" si="2"/>
        <v>6105.3299999999581</v>
      </c>
      <c r="AG29" s="23">
        <f t="shared" si="9"/>
        <v>256.52647058820219</v>
      </c>
      <c r="AH29" s="19">
        <f>'26'!G136</f>
        <v>7.6300000000010186</v>
      </c>
      <c r="AI29" s="19">
        <f>'26'!G137</f>
        <v>0</v>
      </c>
      <c r="AJ29" s="19">
        <f>'26'!G138</f>
        <v>0</v>
      </c>
      <c r="AK29" s="19">
        <f t="shared" si="10"/>
        <v>7.6300000000010186</v>
      </c>
      <c r="AL29" s="19">
        <f>'26'!G139</f>
        <v>8.75</v>
      </c>
      <c r="AM29" s="19">
        <f>'26'!G140</f>
        <v>0</v>
      </c>
      <c r="AN29" s="19"/>
      <c r="AO29" s="19">
        <f t="shared" si="11"/>
        <v>8.75</v>
      </c>
      <c r="AP29" s="258">
        <f>'26'!G123</f>
        <v>228.63000000000466</v>
      </c>
      <c r="AQ29" s="261">
        <f>'26'!G35</f>
        <v>3075.9499999999534</v>
      </c>
      <c r="AR29" s="19">
        <f>'26'!G37</f>
        <v>1331.4199999999983</v>
      </c>
      <c r="AS29" s="19">
        <f>'26'!G38</f>
        <v>1433.6900000000023</v>
      </c>
      <c r="AT29" s="19">
        <f>'26'!G39</f>
        <v>2911.359999999986</v>
      </c>
      <c r="AU29" s="19">
        <f>'26'!G40</f>
        <v>0</v>
      </c>
      <c r="AV29" s="19">
        <f>'26'!G41</f>
        <v>113.3300000000163</v>
      </c>
      <c r="AW29" s="19">
        <f>'26'!G42</f>
        <v>0</v>
      </c>
      <c r="AX29" s="19">
        <f>'26'!G43</f>
        <v>2549.2400000001071</v>
      </c>
      <c r="AY29" s="23">
        <f>'26'!G44</f>
        <v>0</v>
      </c>
      <c r="AZ29" s="262">
        <f>'26'!G36</f>
        <v>766.79999999998836</v>
      </c>
      <c r="BA29" s="261">
        <f>'26'!G49</f>
        <v>0</v>
      </c>
      <c r="BB29" s="19">
        <f>'26'!G51</f>
        <v>0</v>
      </c>
      <c r="BC29" s="19">
        <f>'26'!G52</f>
        <v>0</v>
      </c>
      <c r="BD29" s="19">
        <f>'26'!G53</f>
        <v>612.14000000001397</v>
      </c>
      <c r="BE29" s="19">
        <f>'26'!G54</f>
        <v>77.503000000000611</v>
      </c>
      <c r="BF29" s="19">
        <f>'26'!G55</f>
        <v>5982.679999999993</v>
      </c>
      <c r="BG29" s="19">
        <f>'26'!G56</f>
        <v>9.3199999999487773</v>
      </c>
      <c r="BH29" s="19">
        <f>'26'!G57</f>
        <v>0</v>
      </c>
      <c r="BI29" s="262">
        <f>'26'!G50</f>
        <v>1194.0400000000373</v>
      </c>
      <c r="BJ29" s="370">
        <f t="shared" si="12"/>
        <v>6105.3299999999581</v>
      </c>
      <c r="BK29" s="370">
        <f>'26'!G84</f>
        <v>981</v>
      </c>
      <c r="BL29" s="23">
        <f t="shared" si="13"/>
        <v>57.130083280572826</v>
      </c>
      <c r="BM29" s="23">
        <f t="shared" si="14"/>
        <v>17.160181171772269</v>
      </c>
      <c r="BN29" s="24">
        <f t="shared" si="15"/>
        <v>6.9823698436663043E-2</v>
      </c>
      <c r="BO29" s="25">
        <f t="shared" si="16"/>
        <v>251694.83000000613</v>
      </c>
      <c r="BP29" s="213">
        <f t="shared" si="17"/>
        <v>9635.5700000000652</v>
      </c>
      <c r="BQ29">
        <f t="shared" si="18"/>
        <v>1.4459138655460515</v>
      </c>
    </row>
    <row r="30" spans="1:69">
      <c r="A30" s="16">
        <v>27</v>
      </c>
      <c r="B30" s="17">
        <v>27</v>
      </c>
      <c r="C30" s="28"/>
      <c r="D30" s="19">
        <f>'27'!D3</f>
        <v>22</v>
      </c>
      <c r="E30" s="256">
        <f>'27'!D4</f>
        <v>0.76</v>
      </c>
      <c r="F30" s="256">
        <f>'27'!D2</f>
        <v>0.49</v>
      </c>
      <c r="G30" s="19">
        <f>'27'!G8</f>
        <v>18091</v>
      </c>
      <c r="H30" s="19">
        <f>'27'!G8</f>
        <v>18091</v>
      </c>
      <c r="I30" s="19">
        <f>'27'!G7</f>
        <v>17995</v>
      </c>
      <c r="J30" s="19">
        <v>10</v>
      </c>
      <c r="K30" s="242">
        <f t="shared" si="3"/>
        <v>180910</v>
      </c>
      <c r="L30" s="238">
        <f t="shared" si="4"/>
        <v>89.084158415841586</v>
      </c>
      <c r="M30" s="19">
        <f>'27'!G15</f>
        <v>627.37899999995716</v>
      </c>
      <c r="N30" s="19">
        <v>35</v>
      </c>
      <c r="O30" s="234">
        <f t="shared" si="5"/>
        <v>21958.264999998501</v>
      </c>
      <c r="P30" s="19">
        <f>'27'!G20</f>
        <v>112</v>
      </c>
      <c r="Q30" s="19">
        <v>134</v>
      </c>
      <c r="R30" s="239">
        <f t="shared" si="0"/>
        <v>15008</v>
      </c>
      <c r="S30" s="240">
        <f t="shared" si="1"/>
        <v>113.15417256011315</v>
      </c>
      <c r="T30" s="19">
        <f>'27'!G24</f>
        <v>0</v>
      </c>
      <c r="U30" s="19">
        <v>69</v>
      </c>
      <c r="V30" s="241">
        <f t="shared" si="6"/>
        <v>0</v>
      </c>
      <c r="W30" s="22">
        <f>'27'!G95</f>
        <v>61</v>
      </c>
      <c r="X30" s="22">
        <f>'27'!G96</f>
        <v>15</v>
      </c>
      <c r="Y30" s="22">
        <f>'27'!G97</f>
        <v>8</v>
      </c>
      <c r="Z30" s="22">
        <f t="shared" si="7"/>
        <v>84</v>
      </c>
      <c r="AA30" s="19">
        <f>'27'!G132</f>
        <v>9.3099999999976717</v>
      </c>
      <c r="AB30" s="19">
        <f>'27'!G133</f>
        <v>0</v>
      </c>
      <c r="AC30" s="19">
        <f>'27'!G134</f>
        <v>16.150000000001455</v>
      </c>
      <c r="AD30" s="19">
        <f>'27'!G135</f>
        <v>0</v>
      </c>
      <c r="AE30" s="19">
        <f t="shared" si="8"/>
        <v>25.459999999999127</v>
      </c>
      <c r="AF30" s="23">
        <f t="shared" si="2"/>
        <v>5057.4740000000165</v>
      </c>
      <c r="AG30" s="23">
        <f t="shared" si="9"/>
        <v>198.64391201886056</v>
      </c>
      <c r="AH30" s="19">
        <f>'27'!G136</f>
        <v>7.2999999999992724</v>
      </c>
      <c r="AI30" s="19">
        <f>'27'!G137</f>
        <v>0</v>
      </c>
      <c r="AJ30" s="19">
        <f>'27'!G138</f>
        <v>0</v>
      </c>
      <c r="AK30" s="19">
        <f t="shared" si="10"/>
        <v>7.2999999999992724</v>
      </c>
      <c r="AL30" s="19">
        <f>'27'!G139</f>
        <v>7.5099999999999909</v>
      </c>
      <c r="AM30" s="19">
        <f>'27'!G140</f>
        <v>0</v>
      </c>
      <c r="AN30" s="19"/>
      <c r="AO30" s="19">
        <f t="shared" si="11"/>
        <v>7.5099999999999909</v>
      </c>
      <c r="AP30" s="258">
        <f>'27'!G123</f>
        <v>207.28000000002794</v>
      </c>
      <c r="AQ30" s="261">
        <f>'27'!G35</f>
        <v>2619.3600000001024</v>
      </c>
      <c r="AR30" s="19">
        <f>'27'!G37</f>
        <v>1174.25</v>
      </c>
      <c r="AS30" s="19">
        <f>'27'!G38</f>
        <v>1256</v>
      </c>
      <c r="AT30" s="19">
        <f>'27'!G39</f>
        <v>2737.2600000000093</v>
      </c>
      <c r="AU30" s="19">
        <f>'27'!G40</f>
        <v>0</v>
      </c>
      <c r="AV30" s="19">
        <f>'27'!G41</f>
        <v>2231.0299999999988</v>
      </c>
      <c r="AW30" s="19">
        <f>'27'!G42</f>
        <v>71.923999999999069</v>
      </c>
      <c r="AX30" s="19">
        <f>'27'!G43</f>
        <v>2417.7599999998929</v>
      </c>
      <c r="AY30" s="23">
        <f>'27'!G44</f>
        <v>0</v>
      </c>
      <c r="AZ30" s="262">
        <f>'27'!G36</f>
        <v>390.47999999998137</v>
      </c>
      <c r="BA30" s="261">
        <f>'27'!G49</f>
        <v>0</v>
      </c>
      <c r="BB30" s="19">
        <f>'27'!G51</f>
        <v>0</v>
      </c>
      <c r="BC30" s="19">
        <f>'27'!G52</f>
        <v>0</v>
      </c>
      <c r="BD30" s="19">
        <f>'27'!G53</f>
        <v>582.35999999998603</v>
      </c>
      <c r="BE30" s="19">
        <f>'27'!G54</f>
        <v>73.227000000000771</v>
      </c>
      <c r="BF30" s="19">
        <f>'27'!G55</f>
        <v>2700</v>
      </c>
      <c r="BG30" s="19">
        <f>'27'!G56</f>
        <v>54.520000000018626</v>
      </c>
      <c r="BH30" s="19">
        <f>'27'!G57</f>
        <v>0</v>
      </c>
      <c r="BI30" s="262">
        <f>'27'!G50</f>
        <v>949.11999999999534</v>
      </c>
      <c r="BJ30" s="370">
        <f t="shared" si="12"/>
        <v>5057.4740000000165</v>
      </c>
      <c r="BK30" s="370">
        <f>'27'!G84</f>
        <v>821</v>
      </c>
      <c r="BL30" s="23">
        <f t="shared" si="13"/>
        <v>56.096660183384344</v>
      </c>
      <c r="BM30" s="23">
        <f t="shared" si="14"/>
        <v>18.44745762711862</v>
      </c>
      <c r="BN30" s="24">
        <f t="shared" si="15"/>
        <v>6.9797165879410941E-2</v>
      </c>
      <c r="BO30" s="25">
        <f t="shared" si="16"/>
        <v>217876.2649999985</v>
      </c>
      <c r="BP30" s="213">
        <f t="shared" si="17"/>
        <v>8296.2339999999094</v>
      </c>
      <c r="BQ30">
        <f t="shared" si="18"/>
        <v>1.1637630456739134</v>
      </c>
    </row>
    <row r="31" spans="1:69">
      <c r="A31" s="16">
        <v>28</v>
      </c>
      <c r="B31" s="26">
        <v>28</v>
      </c>
      <c r="C31" s="28"/>
      <c r="D31" s="19">
        <f>'28'!D3</f>
        <v>23</v>
      </c>
      <c r="E31" s="256">
        <f>'28'!D4</f>
        <v>0.77</v>
      </c>
      <c r="F31" s="256">
        <f>'28'!D2</f>
        <v>0.52</v>
      </c>
      <c r="G31" s="19">
        <f>'28'!G8</f>
        <v>18026</v>
      </c>
      <c r="H31" s="19">
        <f>'28'!G8</f>
        <v>18026</v>
      </c>
      <c r="I31" s="19">
        <f>'28'!G7</f>
        <v>17985</v>
      </c>
      <c r="J31" s="19">
        <v>10</v>
      </c>
      <c r="K31" s="242">
        <f t="shared" si="3"/>
        <v>180260</v>
      </c>
      <c r="L31" s="238">
        <f t="shared" si="4"/>
        <v>89.034653465346537</v>
      </c>
      <c r="M31" s="19">
        <f>'28'!G15</f>
        <v>461.80099999997765</v>
      </c>
      <c r="N31" s="19">
        <v>35</v>
      </c>
      <c r="O31" s="234">
        <f t="shared" si="5"/>
        <v>16163.034999999218</v>
      </c>
      <c r="P31" s="19">
        <f>'28'!G20</f>
        <v>116</v>
      </c>
      <c r="Q31" s="19">
        <v>134</v>
      </c>
      <c r="R31" s="239">
        <f t="shared" si="0"/>
        <v>15544</v>
      </c>
      <c r="S31" s="240">
        <f t="shared" si="1"/>
        <v>110.43412033511044</v>
      </c>
      <c r="T31" s="19">
        <f>'28'!G24</f>
        <v>0</v>
      </c>
      <c r="U31" s="19">
        <v>69</v>
      </c>
      <c r="V31" s="241">
        <f t="shared" si="6"/>
        <v>0</v>
      </c>
      <c r="W31" s="22">
        <f>'28'!G95</f>
        <v>38</v>
      </c>
      <c r="X31" s="22">
        <f>'28'!G96</f>
        <v>9</v>
      </c>
      <c r="Y31" s="22">
        <f>'28'!G97</f>
        <v>8</v>
      </c>
      <c r="Z31" s="22">
        <f t="shared" si="7"/>
        <v>55</v>
      </c>
      <c r="AA31" s="19">
        <f>'28'!G132</f>
        <v>24.419999999998254</v>
      </c>
      <c r="AB31" s="19">
        <f>'28'!G133</f>
        <v>0</v>
      </c>
      <c r="AC31" s="19">
        <f>'28'!G134</f>
        <v>-0.40000000000145519</v>
      </c>
      <c r="AD31" s="19">
        <f>'28'!G135</f>
        <v>0.15999999999985448</v>
      </c>
      <c r="AE31" s="19">
        <f t="shared" si="8"/>
        <v>24.179999999996653</v>
      </c>
      <c r="AF31" s="23">
        <f t="shared" si="2"/>
        <v>5618.8030000000144</v>
      </c>
      <c r="AG31" s="23">
        <f t="shared" si="9"/>
        <v>232.37398676595501</v>
      </c>
      <c r="AH31" s="19">
        <f>'28'!G136</f>
        <v>0.46000000000276486</v>
      </c>
      <c r="AI31" s="19">
        <f>'28'!G137</f>
        <v>0</v>
      </c>
      <c r="AJ31" s="19">
        <f>'28'!G138</f>
        <v>7.2999999999883585</v>
      </c>
      <c r="AK31" s="19">
        <f t="shared" si="10"/>
        <v>7.7599999999911233</v>
      </c>
      <c r="AL31" s="19">
        <f>'28'!G139</f>
        <v>8.0199999999999818</v>
      </c>
      <c r="AM31" s="19">
        <f>'28'!G140</f>
        <v>0</v>
      </c>
      <c r="AN31" s="19"/>
      <c r="AO31" s="19">
        <f t="shared" si="11"/>
        <v>8.0199999999999818</v>
      </c>
      <c r="AP31" s="258">
        <f>'28'!G123</f>
        <v>212.75</v>
      </c>
      <c r="AQ31" s="261">
        <f>'28'!G35</f>
        <v>2189.6799999999348</v>
      </c>
      <c r="AR31" s="19">
        <f>'28'!G37</f>
        <v>1197.9000000000087</v>
      </c>
      <c r="AS31" s="19">
        <f>'28'!G38</f>
        <v>1391.2400000000052</v>
      </c>
      <c r="AT31" s="19">
        <f>'28'!G39</f>
        <v>2862.8999999999942</v>
      </c>
      <c r="AU31" s="19">
        <f>'28'!G40</f>
        <v>0</v>
      </c>
      <c r="AV31" s="19">
        <f>'28'!G41</f>
        <v>5609.5599999999977</v>
      </c>
      <c r="AW31" s="19">
        <f>'28'!G42</f>
        <v>-8.6999999999534339E-2</v>
      </c>
      <c r="AX31" s="439">
        <f>'28'!G43</f>
        <v>2385.9200000000419</v>
      </c>
      <c r="AY31" s="23">
        <f>'28'!G44</f>
        <v>0</v>
      </c>
      <c r="AZ31" s="262">
        <f>'28'!G36</f>
        <v>384.40000000002328</v>
      </c>
      <c r="BA31" s="261">
        <f>'28'!G49</f>
        <v>0</v>
      </c>
      <c r="BB31" s="19">
        <f>'28'!G51</f>
        <v>0</v>
      </c>
      <c r="BC31" s="19">
        <f>'28'!G52</f>
        <v>0</v>
      </c>
      <c r="BD31" s="19">
        <f>'28'!G53</f>
        <v>571.84000000002561</v>
      </c>
      <c r="BE31" s="19">
        <f>'28'!G54</f>
        <v>77.590000000000146</v>
      </c>
      <c r="BF31" s="19">
        <f>'28'!G55</f>
        <v>0.33000000001629815</v>
      </c>
      <c r="BG31" s="19">
        <f>'28'!G56</f>
        <v>9</v>
      </c>
      <c r="BH31" s="19">
        <f>'28'!G57</f>
        <v>0.32999999999992724</v>
      </c>
      <c r="BI31" s="262">
        <f>'28'!G50</f>
        <v>977.15999999997439</v>
      </c>
      <c r="BJ31" s="370">
        <f t="shared" si="12"/>
        <v>5618.8030000000144</v>
      </c>
      <c r="BK31" s="370">
        <f>'28'!G84</f>
        <v>574</v>
      </c>
      <c r="BL31" s="23">
        <f>SUM(AQ31,AV31,AW31,AX31,BA31,BF31,BG31,BH31)/I31%</f>
        <v>56.684642757853716</v>
      </c>
      <c r="BM31" s="23">
        <f t="shared" si="14"/>
        <v>19.09780372532677</v>
      </c>
      <c r="BN31" s="24">
        <f t="shared" si="15"/>
        <v>7.7355574089519333E-2</v>
      </c>
      <c r="BO31" s="25">
        <f t="shared" si="16"/>
        <v>211967.03499999922</v>
      </c>
      <c r="BP31" s="213">
        <f t="shared" si="17"/>
        <v>8579.0530000000563</v>
      </c>
      <c r="BQ31">
        <f t="shared" si="18"/>
        <v>1.2671412324236742</v>
      </c>
    </row>
    <row r="32" spans="1:69">
      <c r="A32" s="16">
        <v>29</v>
      </c>
      <c r="B32" s="26">
        <v>29</v>
      </c>
      <c r="C32" s="28"/>
      <c r="D32" s="19">
        <f>'29'!D3</f>
        <v>28</v>
      </c>
      <c r="E32" s="256">
        <f>'29'!D4</f>
        <v>0.78</v>
      </c>
      <c r="F32" s="256">
        <f>'29'!D2</f>
        <v>0.67</v>
      </c>
      <c r="G32" s="19">
        <f>'29'!G8</f>
        <v>16035</v>
      </c>
      <c r="H32" s="19">
        <f>'29'!G8</f>
        <v>16035</v>
      </c>
      <c r="I32" s="19">
        <f>'29'!G7</f>
        <v>15953</v>
      </c>
      <c r="J32" s="19">
        <v>10</v>
      </c>
      <c r="K32" s="242">
        <f t="shared" si="3"/>
        <v>160350</v>
      </c>
      <c r="L32" s="238">
        <f t="shared" si="4"/>
        <v>78.975247524752476</v>
      </c>
      <c r="M32" s="19">
        <f>'29'!G15</f>
        <v>643.03000000002794</v>
      </c>
      <c r="N32" s="19">
        <v>35</v>
      </c>
      <c r="O32" s="234">
        <f t="shared" si="5"/>
        <v>22506.050000000978</v>
      </c>
      <c r="P32" s="19">
        <f>'29'!G20</f>
        <v>75</v>
      </c>
      <c r="Q32" s="19">
        <v>134</v>
      </c>
      <c r="R32" s="239">
        <f t="shared" si="0"/>
        <v>10050</v>
      </c>
      <c r="S32" s="240">
        <f t="shared" si="1"/>
        <v>55.415989360130048</v>
      </c>
      <c r="T32" s="19">
        <f>'29'!G24</f>
        <v>0</v>
      </c>
      <c r="U32" s="19">
        <v>69</v>
      </c>
      <c r="V32" s="241">
        <f t="shared" si="6"/>
        <v>0</v>
      </c>
      <c r="W32" s="22">
        <f>'29'!G95</f>
        <v>59</v>
      </c>
      <c r="X32" s="22">
        <f>'29'!G96</f>
        <v>6</v>
      </c>
      <c r="Y32" s="22">
        <f>'29'!G97</f>
        <v>14</v>
      </c>
      <c r="Z32" s="22">
        <f t="shared" si="7"/>
        <v>79</v>
      </c>
      <c r="AA32" s="19">
        <f>'29'!G132</f>
        <v>24.430000000000291</v>
      </c>
      <c r="AB32" s="19">
        <f>'29'!G133</f>
        <v>0</v>
      </c>
      <c r="AC32" s="19">
        <f>'29'!G134</f>
        <v>0</v>
      </c>
      <c r="AD32" s="19">
        <f>'29'!G135</f>
        <v>-9.0000000000145519E-2</v>
      </c>
      <c r="AE32" s="19">
        <f t="shared" si="8"/>
        <v>24.340000000000146</v>
      </c>
      <c r="AF32" s="23">
        <f t="shared" si="2"/>
        <v>4934.3999999999651</v>
      </c>
      <c r="AG32" s="23">
        <f t="shared" si="9"/>
        <v>202.72801972062183</v>
      </c>
      <c r="AH32" s="19">
        <f>'29'!G136</f>
        <v>7.5299999999988358</v>
      </c>
      <c r="AI32" s="19">
        <f>'29'!G137</f>
        <v>9.9999999998544808E-2</v>
      </c>
      <c r="AJ32" s="19">
        <f>'29'!G138</f>
        <v>0</v>
      </c>
      <c r="AK32" s="19">
        <f t="shared" si="10"/>
        <v>7.6299999999973807</v>
      </c>
      <c r="AL32" s="19">
        <f>'29'!G139</f>
        <v>7.6800000000000637</v>
      </c>
      <c r="AM32" s="19">
        <f>'29'!G140</f>
        <v>0.11999999999989086</v>
      </c>
      <c r="AN32" s="19"/>
      <c r="AO32" s="19">
        <f t="shared" si="11"/>
        <v>7.7999999999999545</v>
      </c>
      <c r="AP32" s="258">
        <f>'29'!G123</f>
        <v>202.56000000005588</v>
      </c>
      <c r="AQ32" s="261">
        <f>'29'!G35</f>
        <v>2054.0400000000373</v>
      </c>
      <c r="AR32" s="19">
        <f>'29'!G37</f>
        <v>1200.7099999999919</v>
      </c>
      <c r="AS32" s="19">
        <f>'29'!G38</f>
        <v>1247.8899999999994</v>
      </c>
      <c r="AT32" s="19">
        <f>'29'!G39</f>
        <v>1955.1800000000221</v>
      </c>
      <c r="AU32" s="19">
        <f>'29'!G40</f>
        <v>0</v>
      </c>
      <c r="AV32" s="19">
        <f>'29'!G41</f>
        <v>4925.2000000000116</v>
      </c>
      <c r="AW32" s="19">
        <f>'29'!G42</f>
        <v>0</v>
      </c>
      <c r="AX32" s="19">
        <f>'29'!G43</f>
        <v>2073.5200000000186</v>
      </c>
      <c r="AY32" s="23">
        <f>'29'!G44</f>
        <v>0</v>
      </c>
      <c r="AZ32" s="262">
        <f>'29'!G36</f>
        <v>449.71999999997206</v>
      </c>
      <c r="BA32" s="261">
        <f>'29'!G49</f>
        <v>0</v>
      </c>
      <c r="BB32" s="19">
        <f>'29'!G51</f>
        <v>0</v>
      </c>
      <c r="BC32" s="19">
        <f>'29'!G52</f>
        <v>0</v>
      </c>
      <c r="BD32" s="19">
        <f>'29'!G53</f>
        <v>533.63999999995576</v>
      </c>
      <c r="BE32" s="19">
        <f>'29'!G54</f>
        <v>71.5</v>
      </c>
      <c r="BF32" s="19">
        <f>'29'!G55</f>
        <v>0</v>
      </c>
      <c r="BG32" s="19">
        <f>'29'!G56</f>
        <v>9.1999999999534339</v>
      </c>
      <c r="BH32" s="19">
        <f>'29'!G57</f>
        <v>-0.32999999999992724</v>
      </c>
      <c r="BI32" s="262">
        <f>'29'!G50</f>
        <v>1009.8400000000256</v>
      </c>
      <c r="BJ32" s="370">
        <f t="shared" si="12"/>
        <v>4934.3999999999651</v>
      </c>
      <c r="BK32" s="370">
        <f>'29'!G84</f>
        <v>669</v>
      </c>
      <c r="BL32" s="23">
        <f t="shared" si="13"/>
        <v>56.802043502789573</v>
      </c>
      <c r="BM32" s="23">
        <f t="shared" si="14"/>
        <v>15.600952798846473</v>
      </c>
      <c r="BN32" s="24">
        <f t="shared" si="15"/>
        <v>7.8222904782799432E-2</v>
      </c>
      <c r="BO32" s="25">
        <f t="shared" si="16"/>
        <v>192906.05000000098</v>
      </c>
      <c r="BP32" s="213">
        <f t="shared" si="17"/>
        <v>7676.5899999999838</v>
      </c>
      <c r="BQ32">
        <f t="shared" si="18"/>
        <v>1.126392475642672</v>
      </c>
    </row>
    <row r="33" spans="1:69">
      <c r="A33" s="16">
        <v>30</v>
      </c>
      <c r="B33" s="27">
        <v>30</v>
      </c>
      <c r="C33" s="28"/>
      <c r="D33" s="19">
        <f>'30'!D3</f>
        <v>30</v>
      </c>
      <c r="E33" s="256">
        <f>'30'!D4</f>
        <v>0.8</v>
      </c>
      <c r="F33" s="256">
        <f>'30'!D2</f>
        <v>0.77</v>
      </c>
      <c r="G33" s="19">
        <f>'30'!G8</f>
        <v>18842</v>
      </c>
      <c r="H33" s="19">
        <f>'30'!G8</f>
        <v>18842</v>
      </c>
      <c r="I33" s="19">
        <f>'[1]31'!G7</f>
        <v>23482</v>
      </c>
      <c r="J33" s="19">
        <v>10</v>
      </c>
      <c r="K33" s="242">
        <f t="shared" si="3"/>
        <v>188420</v>
      </c>
      <c r="L33" s="238">
        <f t="shared" si="4"/>
        <v>116.24752475247524</v>
      </c>
      <c r="M33" s="19">
        <f>'30'!G15</f>
        <v>476.70999999996275</v>
      </c>
      <c r="N33" s="19">
        <v>35</v>
      </c>
      <c r="O33" s="234">
        <f t="shared" si="5"/>
        <v>16684.849999998696</v>
      </c>
      <c r="P33" s="19">
        <f>'30'!G20</f>
        <v>114</v>
      </c>
      <c r="Q33" s="19">
        <v>134</v>
      </c>
      <c r="R33" s="239">
        <f t="shared" si="0"/>
        <v>15276</v>
      </c>
      <c r="S33" s="240">
        <f t="shared" si="1"/>
        <v>73.293043590073296</v>
      </c>
      <c r="T33" s="19">
        <f>'30'!G24</f>
        <v>0</v>
      </c>
      <c r="U33" s="19">
        <v>69</v>
      </c>
      <c r="V33" s="241">
        <f t="shared" si="6"/>
        <v>0</v>
      </c>
      <c r="W33" s="22">
        <f>'[1]30'!G95</f>
        <v>71</v>
      </c>
      <c r="X33" s="22">
        <f>'[1]30'!G96</f>
        <v>15</v>
      </c>
      <c r="Y33" s="22">
        <f>'[1]30'!G97</f>
        <v>19</v>
      </c>
      <c r="Z33" s="22">
        <f t="shared" si="7"/>
        <v>105</v>
      </c>
      <c r="AA33" s="19">
        <f>'30'!G132</f>
        <v>18.160000000003492</v>
      </c>
      <c r="AB33" s="19">
        <f>'30'!G133</f>
        <v>0</v>
      </c>
      <c r="AC33" s="19">
        <f>'30'!G134</f>
        <v>8</v>
      </c>
      <c r="AD33" s="19">
        <f>'30'!G135</f>
        <v>0</v>
      </c>
      <c r="AE33" s="19">
        <f t="shared" si="8"/>
        <v>26.160000000003492</v>
      </c>
      <c r="AF33" s="23">
        <f t="shared" si="2"/>
        <v>5778.3299999999872</v>
      </c>
      <c r="AG33" s="23">
        <f t="shared" si="9"/>
        <v>220.88417431189663</v>
      </c>
      <c r="AH33" s="19">
        <f>'30'!G136</f>
        <v>0</v>
      </c>
      <c r="AI33" s="19">
        <f>'30'!G137</f>
        <v>0</v>
      </c>
      <c r="AJ33" s="19">
        <f>'30'!G138</f>
        <v>9.0500000000029104</v>
      </c>
      <c r="AK33" s="19">
        <f t="shared" si="10"/>
        <v>9.0500000000029104</v>
      </c>
      <c r="AL33" s="19">
        <f>'30'!G139</f>
        <v>7.3099999999999454</v>
      </c>
      <c r="AM33" s="19">
        <f>'30'!G140</f>
        <v>0</v>
      </c>
      <c r="AN33" s="19"/>
      <c r="AO33" s="19">
        <f t="shared" si="11"/>
        <v>7.3099999999999454</v>
      </c>
      <c r="AP33" s="258">
        <f>'[1]30'!G123</f>
        <v>234.59999999997672</v>
      </c>
      <c r="AQ33" s="261">
        <f>'30'!G35</f>
        <v>2432.9699999999721</v>
      </c>
      <c r="AR33" s="19">
        <f>'30'!G37</f>
        <v>1371.0500000000029</v>
      </c>
      <c r="AS33" s="19">
        <f>'30'!G38</f>
        <v>1456.7599999999948</v>
      </c>
      <c r="AT33" s="19">
        <f>'30'!G39</f>
        <v>2192.5499999999884</v>
      </c>
      <c r="AU33" s="19">
        <f>'30'!G40</f>
        <v>0</v>
      </c>
      <c r="AV33" s="19">
        <f>'30'!G41</f>
        <v>3911.3299999999872</v>
      </c>
      <c r="AW33" s="19">
        <f>'30'!G42</f>
        <v>0</v>
      </c>
      <c r="AX33" s="19">
        <f>'30'!G43</f>
        <v>2438.4899999999907</v>
      </c>
      <c r="AY33" s="23">
        <f>'30'!G44</f>
        <v>0</v>
      </c>
      <c r="AZ33" s="262">
        <f>'30'!G36</f>
        <v>715.3300000000163</v>
      </c>
      <c r="BA33" s="261">
        <f>'30'!G49</f>
        <v>0</v>
      </c>
      <c r="BB33" s="19">
        <f>'30'!G51</f>
        <v>0.13000000000465661</v>
      </c>
      <c r="BC33" s="19">
        <f>'30'!G52</f>
        <v>-6.9999999948777258E-2</v>
      </c>
      <c r="BD33" s="19">
        <f>'30'!G53</f>
        <v>575.21000000002095</v>
      </c>
      <c r="BE33" s="19">
        <f>'30'!G54</f>
        <v>70.549999999999272</v>
      </c>
      <c r="BF33" s="19">
        <f>'30'!G55</f>
        <v>1867</v>
      </c>
      <c r="BG33" s="19">
        <f>'30'!G56</f>
        <v>0</v>
      </c>
      <c r="BH33" s="19">
        <f>'30'!G57</f>
        <v>0</v>
      </c>
      <c r="BI33" s="262">
        <f>'30'!G50</f>
        <v>1382.7299999999814</v>
      </c>
      <c r="BJ33" s="370">
        <f t="shared" ref="BJ33:BJ34" si="19">SUM(AV33,AW33,BF33,BG33)</f>
        <v>5778.3299999999872</v>
      </c>
      <c r="BK33" s="370">
        <f>'30'!G84</f>
        <v>770</v>
      </c>
      <c r="BL33" s="23">
        <f t="shared" si="13"/>
        <v>45.352993782471465</v>
      </c>
      <c r="BM33" s="23">
        <f t="shared" si="14"/>
        <v>11.786730261476915</v>
      </c>
      <c r="BN33" s="24">
        <f t="shared" si="15"/>
        <v>6.2034324163190782E-2</v>
      </c>
      <c r="BO33" s="25">
        <f t="shared" si="16"/>
        <v>220380.8499999987</v>
      </c>
      <c r="BP33" s="213">
        <f t="shared" si="17"/>
        <v>8986.8199999999779</v>
      </c>
      <c r="BQ33">
        <f t="shared" si="18"/>
        <v>1.2269031236346082</v>
      </c>
    </row>
    <row r="34" spans="1:69">
      <c r="A34" s="16">
        <v>31</v>
      </c>
      <c r="B34" s="27">
        <v>31</v>
      </c>
      <c r="C34" s="28"/>
      <c r="D34" s="19">
        <f>'31'!D3</f>
        <v>33</v>
      </c>
      <c r="E34" s="256">
        <f>'31'!D4</f>
        <v>0.8</v>
      </c>
      <c r="F34" s="256">
        <f>'31'!D2</f>
        <v>0.66</v>
      </c>
      <c r="G34" s="19">
        <f>'31'!G8</f>
        <v>-615926</v>
      </c>
      <c r="H34" s="19">
        <f>'31'!G8</f>
        <v>-615926</v>
      </c>
      <c r="I34" s="19">
        <f>'[1]31'!G7</f>
        <v>23482</v>
      </c>
      <c r="J34" s="19">
        <v>10</v>
      </c>
      <c r="K34" s="242">
        <f t="shared" si="3"/>
        <v>-6159260</v>
      </c>
      <c r="L34" s="238">
        <f t="shared" si="4"/>
        <v>116.24752475247524</v>
      </c>
      <c r="M34" s="19">
        <f>'31'!G15</f>
        <v>-23968</v>
      </c>
      <c r="N34" s="19">
        <v>35</v>
      </c>
      <c r="O34" s="234">
        <f t="shared" si="5"/>
        <v>-838880</v>
      </c>
      <c r="P34" s="19">
        <f>'31'!G20</f>
        <v>-1572</v>
      </c>
      <c r="Q34" s="19">
        <v>134</v>
      </c>
      <c r="R34" s="239">
        <f t="shared" si="0"/>
        <v>-210648</v>
      </c>
      <c r="S34" s="240">
        <f t="shared" si="1"/>
        <v>-1179.1179117911793</v>
      </c>
      <c r="T34" s="19">
        <f>'31'!G24</f>
        <v>0</v>
      </c>
      <c r="U34" s="19">
        <v>69</v>
      </c>
      <c r="V34" s="241">
        <f t="shared" si="6"/>
        <v>0</v>
      </c>
      <c r="W34" s="22">
        <f>'[1]30'!G95</f>
        <v>71</v>
      </c>
      <c r="X34" s="22">
        <f>'[1]30'!G96</f>
        <v>15</v>
      </c>
      <c r="Y34" s="22">
        <f>'[1]30'!G97</f>
        <v>19</v>
      </c>
      <c r="Z34" s="22">
        <f t="shared" si="7"/>
        <v>105</v>
      </c>
      <c r="AA34" s="19">
        <f>'31'!G132</f>
        <v>-213.4800000000032</v>
      </c>
      <c r="AB34" s="19">
        <f>'31'!G133</f>
        <v>0</v>
      </c>
      <c r="AC34" s="19">
        <f>'31'!G134</f>
        <v>-546</v>
      </c>
      <c r="AD34" s="19">
        <f>'31'!G135</f>
        <v>0</v>
      </c>
      <c r="AE34" s="19">
        <f t="shared" si="8"/>
        <v>-759.4800000000032</v>
      </c>
      <c r="AF34" s="23">
        <f t="shared" si="2"/>
        <v>-179609.30999999997</v>
      </c>
      <c r="AG34" s="23">
        <f t="shared" si="9"/>
        <v>236.48984831726867</v>
      </c>
      <c r="AH34" s="19">
        <f>'31'!G136</f>
        <v>-250.93999999999869</v>
      </c>
      <c r="AI34" s="19">
        <f>'31'!G137</f>
        <v>-2.7999999999992724</v>
      </c>
      <c r="AJ34" s="19">
        <f>'31'!G138</f>
        <v>-61.779999999998836</v>
      </c>
      <c r="AK34" s="19">
        <f t="shared" si="10"/>
        <v>-315.5199999999968</v>
      </c>
      <c r="AL34" s="19">
        <f>'31'!G139</f>
        <v>-80.339999999999918</v>
      </c>
      <c r="AM34" s="19">
        <f>'31'!G140</f>
        <v>-168.46000000000004</v>
      </c>
      <c r="AN34" s="19"/>
      <c r="AO34" s="19">
        <f t="shared" si="11"/>
        <v>-248.79999999999995</v>
      </c>
      <c r="AP34" s="258">
        <f>'[1]31'!G123</f>
        <v>248</v>
      </c>
      <c r="AQ34" s="261">
        <f>'31'!G35</f>
        <v>-88070</v>
      </c>
      <c r="AR34" s="19">
        <f>'31'!G37</f>
        <v>-40428</v>
      </c>
      <c r="AS34" s="19">
        <f>'31'!G38</f>
        <v>1893</v>
      </c>
      <c r="AT34" s="19">
        <f>'31'!G39</f>
        <v>-93831</v>
      </c>
      <c r="AU34" s="19">
        <f>'31'!G40</f>
        <v>0</v>
      </c>
      <c r="AV34" s="19">
        <f>'31'!G41</f>
        <v>-48387</v>
      </c>
      <c r="AW34" s="19">
        <f>'31'!G42</f>
        <v>-71.839999999996508</v>
      </c>
      <c r="AX34" s="19">
        <f>'31'!G43</f>
        <v>-71910</v>
      </c>
      <c r="AY34" s="23">
        <f>'31'!G44</f>
        <v>0</v>
      </c>
      <c r="AZ34" s="262">
        <f>'31'!G36</f>
        <v>-27172</v>
      </c>
      <c r="BA34" s="261">
        <f>'31'!G49</f>
        <v>-0.13000000000465661</v>
      </c>
      <c r="BB34" s="19">
        <f>'31'!G51</f>
        <v>0</v>
      </c>
      <c r="BC34" s="19">
        <f>'31'!G52</f>
        <v>2</v>
      </c>
      <c r="BD34" s="19">
        <f>'31'!G53</f>
        <v>-15047</v>
      </c>
      <c r="BE34" s="19">
        <f>'31'!G54</f>
        <v>-2212</v>
      </c>
      <c r="BF34" s="19">
        <f>'31'!G55</f>
        <v>-130829</v>
      </c>
      <c r="BG34" s="19">
        <f>'31'!G56</f>
        <v>-321.46999999997206</v>
      </c>
      <c r="BH34" s="19">
        <f>'31'!G57</f>
        <v>0</v>
      </c>
      <c r="BI34" s="262">
        <f>'31'!G50</f>
        <v>-33304</v>
      </c>
      <c r="BJ34" s="370">
        <f t="shared" si="19"/>
        <v>-179609.30999999997</v>
      </c>
      <c r="BK34" s="370">
        <f>'31'!G84</f>
        <v>-25449</v>
      </c>
      <c r="BL34" s="23">
        <f t="shared" si="13"/>
        <v>-1446.1691508389404</v>
      </c>
      <c r="BM34" s="23">
        <f t="shared" si="14"/>
        <v>-463.66578655991827</v>
      </c>
      <c r="BN34" s="24">
        <f t="shared" si="15"/>
        <v>8.0700110723107066E-2</v>
      </c>
      <c r="BO34" s="25">
        <f t="shared" si="16"/>
        <v>-7208788</v>
      </c>
      <c r="BP34" s="213">
        <f t="shared" si="17"/>
        <v>-276968.30999999994</v>
      </c>
      <c r="BQ34">
        <f t="shared" si="18"/>
        <v>1.3024339491682222</v>
      </c>
    </row>
    <row r="35" spans="1:69">
      <c r="A35" s="16" t="s">
        <v>202</v>
      </c>
      <c r="B35" s="30"/>
      <c r="C35" s="31"/>
      <c r="D35" s="32">
        <f>AVERAGE(D4:D34)</f>
        <v>29.35483870967742</v>
      </c>
      <c r="E35" s="33"/>
      <c r="F35" s="384">
        <f>AVERAGE(F4:F34)</f>
        <v>0.67129032258064514</v>
      </c>
      <c r="G35" s="34">
        <f>SUM(G4:G34)</f>
        <v>0</v>
      </c>
      <c r="H35" s="34">
        <f>SUM(H4:H34)</f>
        <v>0</v>
      </c>
      <c r="I35" s="34">
        <f t="shared" ref="I35:BO35" si="20">SUM(I4:I34)</f>
        <v>641736</v>
      </c>
      <c r="J35" s="34">
        <f t="shared" si="20"/>
        <v>309</v>
      </c>
      <c r="K35" s="34">
        <f t="shared" si="20"/>
        <v>-23784</v>
      </c>
      <c r="L35" s="34">
        <f t="shared" si="20"/>
        <v>3176.9108910891091</v>
      </c>
      <c r="M35" s="34">
        <f t="shared" si="20"/>
        <v>0</v>
      </c>
      <c r="N35" s="34">
        <f t="shared" si="20"/>
        <v>1085</v>
      </c>
      <c r="O35" s="34">
        <f t="shared" si="20"/>
        <v>0</v>
      </c>
      <c r="P35" s="34">
        <f t="shared" si="20"/>
        <v>2826</v>
      </c>
      <c r="Q35" s="34">
        <f t="shared" si="20"/>
        <v>4154</v>
      </c>
      <c r="R35" s="34">
        <f t="shared" si="20"/>
        <v>378684</v>
      </c>
      <c r="S35" s="34">
        <f t="shared" si="20"/>
        <v>2271.2606578722921</v>
      </c>
      <c r="T35" s="34">
        <f t="shared" si="20"/>
        <v>1290</v>
      </c>
      <c r="U35" s="34">
        <f t="shared" si="20"/>
        <v>2139</v>
      </c>
      <c r="V35" s="34">
        <f t="shared" si="20"/>
        <v>89010</v>
      </c>
      <c r="W35" s="34">
        <f t="shared" si="20"/>
        <v>2169</v>
      </c>
      <c r="X35" s="34">
        <f t="shared" si="20"/>
        <v>532</v>
      </c>
      <c r="Y35" s="34">
        <f t="shared" si="20"/>
        <v>521</v>
      </c>
      <c r="Z35" s="34">
        <f t="shared" si="20"/>
        <v>3222</v>
      </c>
      <c r="AA35" s="34">
        <f t="shared" si="20"/>
        <v>0</v>
      </c>
      <c r="AB35" s="34">
        <f t="shared" si="20"/>
        <v>0</v>
      </c>
      <c r="AC35" s="34">
        <f t="shared" si="20"/>
        <v>-2.5599999999976717</v>
      </c>
      <c r="AD35" s="34">
        <f t="shared" si="20"/>
        <v>0</v>
      </c>
      <c r="AE35" s="34">
        <f t="shared" si="20"/>
        <v>-2.5599999999976717</v>
      </c>
      <c r="AF35" s="34">
        <f t="shared" si="20"/>
        <v>0</v>
      </c>
      <c r="AG35" s="34">
        <f t="shared" si="20"/>
        <v>7393.2057572535614</v>
      </c>
      <c r="AH35" s="34">
        <f t="shared" si="20"/>
        <v>3.9900000000016007</v>
      </c>
      <c r="AI35" s="34">
        <f t="shared" si="20"/>
        <v>0</v>
      </c>
      <c r="AJ35" s="34">
        <f t="shared" si="20"/>
        <v>-4.2300000000104774</v>
      </c>
      <c r="AK35" s="34">
        <f t="shared" si="20"/>
        <v>-0.24000000000887667</v>
      </c>
      <c r="AL35" s="34">
        <f t="shared" si="20"/>
        <v>6.0000000000172804E-2</v>
      </c>
      <c r="AM35" s="34">
        <f t="shared" si="20"/>
        <v>-0.6000000000003638</v>
      </c>
      <c r="AN35" s="34">
        <f t="shared" si="20"/>
        <v>0</v>
      </c>
      <c r="AO35" s="34">
        <f t="shared" si="20"/>
        <v>-0.54000000000019099</v>
      </c>
      <c r="AP35" s="34">
        <f t="shared" si="20"/>
        <v>7568.640000000014</v>
      </c>
      <c r="AQ35" s="34">
        <f t="shared" si="20"/>
        <v>0</v>
      </c>
      <c r="AR35" s="34">
        <f t="shared" si="20"/>
        <v>0</v>
      </c>
      <c r="AS35" s="34">
        <f t="shared" si="20"/>
        <v>49181</v>
      </c>
      <c r="AT35" s="34">
        <f t="shared" si="20"/>
        <v>0</v>
      </c>
      <c r="AU35" s="34">
        <f t="shared" si="20"/>
        <v>0.4</v>
      </c>
      <c r="AV35" s="34">
        <f t="shared" si="20"/>
        <v>0</v>
      </c>
      <c r="AW35" s="34">
        <f t="shared" si="20"/>
        <v>0</v>
      </c>
      <c r="AX35" s="34">
        <f t="shared" si="20"/>
        <v>0</v>
      </c>
      <c r="AY35" s="34">
        <f t="shared" si="20"/>
        <v>0</v>
      </c>
      <c r="AZ35" s="34">
        <f t="shared" si="20"/>
        <v>0</v>
      </c>
      <c r="BA35" s="34">
        <f t="shared" si="20"/>
        <v>0</v>
      </c>
      <c r="BB35" s="34">
        <f t="shared" si="20"/>
        <v>0</v>
      </c>
      <c r="BC35" s="34">
        <f t="shared" si="20"/>
        <v>0</v>
      </c>
      <c r="BD35" s="34">
        <f t="shared" si="20"/>
        <v>-2909</v>
      </c>
      <c r="BE35" s="34">
        <f t="shared" si="20"/>
        <v>3013.8120000000017</v>
      </c>
      <c r="BF35" s="34">
        <f t="shared" si="20"/>
        <v>0</v>
      </c>
      <c r="BG35" s="34">
        <f t="shared" si="20"/>
        <v>0</v>
      </c>
      <c r="BH35" s="34">
        <f t="shared" si="20"/>
        <v>0</v>
      </c>
      <c r="BI35" s="34">
        <f t="shared" si="20"/>
        <v>0</v>
      </c>
      <c r="BJ35" s="34">
        <f t="shared" si="20"/>
        <v>0</v>
      </c>
      <c r="BK35" s="34">
        <f t="shared" si="20"/>
        <v>-89</v>
      </c>
      <c r="BL35" s="34">
        <f t="shared" si="20"/>
        <v>203.5203804687128</v>
      </c>
      <c r="BM35" s="34">
        <f t="shared" si="20"/>
        <v>50.210574557466771</v>
      </c>
      <c r="BN35" s="34">
        <f t="shared" si="20"/>
        <v>2.377061805532044</v>
      </c>
      <c r="BO35" s="34">
        <f t="shared" si="20"/>
        <v>443910</v>
      </c>
      <c r="BP35" s="213">
        <f t="shared" si="17"/>
        <v>-89</v>
      </c>
      <c r="BQ35">
        <f t="shared" si="18"/>
        <v>0.12416294642868435</v>
      </c>
    </row>
    <row r="36" spans="1:69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-1</v>
      </c>
      <c r="E36" s="35">
        <f t="shared" si="21"/>
        <v>-1.0000000000000009E-2</v>
      </c>
      <c r="F36" s="35">
        <f t="shared" si="21"/>
        <v>0.26</v>
      </c>
      <c r="G36" s="35"/>
      <c r="H36" s="35"/>
      <c r="I36" s="35">
        <f t="shared" ref="I36:AO36" si="22">I18-I17</f>
        <v>-722</v>
      </c>
      <c r="J36" s="35">
        <f t="shared" si="22"/>
        <v>0</v>
      </c>
      <c r="K36" s="235">
        <f t="shared" si="22"/>
        <v>-7480</v>
      </c>
      <c r="L36" s="235">
        <f t="shared" si="22"/>
        <v>-3.574257425742573</v>
      </c>
      <c r="M36" s="35">
        <f t="shared" si="22"/>
        <v>-13.270000000018626</v>
      </c>
      <c r="N36" s="35">
        <f t="shared" si="22"/>
        <v>0</v>
      </c>
      <c r="O36" s="235">
        <f t="shared" si="22"/>
        <v>-464.45000000065193</v>
      </c>
      <c r="P36" s="35">
        <f t="shared" si="22"/>
        <v>5</v>
      </c>
      <c r="Q36" s="35">
        <f t="shared" si="22"/>
        <v>0</v>
      </c>
      <c r="R36" s="235">
        <f t="shared" si="22"/>
        <v>670</v>
      </c>
      <c r="S36" s="235">
        <f t="shared" si="22"/>
        <v>-27.749966007836747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-15</v>
      </c>
      <c r="X36" s="35">
        <f t="shared" si="22"/>
        <v>-4</v>
      </c>
      <c r="Y36" s="35">
        <f t="shared" si="22"/>
        <v>0</v>
      </c>
      <c r="Z36" s="35">
        <f t="shared" si="22"/>
        <v>-19</v>
      </c>
      <c r="AA36" s="35">
        <f t="shared" si="22"/>
        <v>0</v>
      </c>
      <c r="AB36" s="35">
        <f t="shared" si="22"/>
        <v>0</v>
      </c>
      <c r="AC36" s="35">
        <f t="shared" si="22"/>
        <v>0.29000000000087311</v>
      </c>
      <c r="AD36" s="35">
        <f t="shared" si="22"/>
        <v>-0.41999999999825377</v>
      </c>
      <c r="AE36" s="35">
        <f t="shared" si="22"/>
        <v>-0.12999999999738066</v>
      </c>
      <c r="AF36" s="35">
        <f t="shared" si="22"/>
        <v>-165</v>
      </c>
      <c r="AG36" s="35">
        <f t="shared" si="22"/>
        <v>-5.4832780946929631</v>
      </c>
      <c r="AH36" s="35">
        <f t="shared" si="22"/>
        <v>-0.47999999999592546</v>
      </c>
      <c r="AI36" s="35">
        <f t="shared" si="22"/>
        <v>0</v>
      </c>
      <c r="AJ36" s="35">
        <f t="shared" si="22"/>
        <v>-0.37000000002444722</v>
      </c>
      <c r="AK36" s="35">
        <f t="shared" si="22"/>
        <v>-0.85000000002037268</v>
      </c>
      <c r="AL36" s="35">
        <f t="shared" si="22"/>
        <v>0</v>
      </c>
      <c r="AM36" s="35">
        <f t="shared" si="22"/>
        <v>1</v>
      </c>
      <c r="AN36" s="35">
        <f t="shared" si="22"/>
        <v>0</v>
      </c>
      <c r="AO36" s="35">
        <f t="shared" si="22"/>
        <v>1</v>
      </c>
      <c r="AP36" s="35"/>
      <c r="AQ36" s="35">
        <f t="shared" ref="AQ36:AX36" si="23">AQ18-AQ17</f>
        <v>-79</v>
      </c>
      <c r="AR36" s="35">
        <f t="shared" si="23"/>
        <v>-34</v>
      </c>
      <c r="AS36" s="35">
        <f t="shared" si="23"/>
        <v>-100</v>
      </c>
      <c r="AT36" s="35">
        <f t="shared" si="23"/>
        <v>-130</v>
      </c>
      <c r="AU36" s="35">
        <f t="shared" si="23"/>
        <v>0</v>
      </c>
      <c r="AV36" s="35">
        <f t="shared" si="23"/>
        <v>0</v>
      </c>
      <c r="AW36" s="35">
        <f t="shared" si="23"/>
        <v>0</v>
      </c>
      <c r="AX36" s="35">
        <f t="shared" si="23"/>
        <v>10</v>
      </c>
      <c r="AY36" s="35"/>
      <c r="AZ36" s="35"/>
      <c r="BA36" s="35">
        <f t="shared" ref="BA36:BH36" si="24">BA18-BA17</f>
        <v>0</v>
      </c>
      <c r="BB36" s="35">
        <f t="shared" si="24"/>
        <v>0</v>
      </c>
      <c r="BC36" s="35">
        <f t="shared" si="24"/>
        <v>0</v>
      </c>
      <c r="BD36" s="35">
        <f t="shared" si="24"/>
        <v>-579</v>
      </c>
      <c r="BE36" s="35">
        <f t="shared" si="24"/>
        <v>0</v>
      </c>
      <c r="BF36" s="35">
        <f t="shared" si="24"/>
        <v>-165</v>
      </c>
      <c r="BG36" s="35">
        <f t="shared" si="24"/>
        <v>0</v>
      </c>
      <c r="BH36" s="35">
        <f t="shared" si="24"/>
        <v>0</v>
      </c>
      <c r="BI36" s="35"/>
      <c r="BJ36" s="35"/>
      <c r="BK36" s="35"/>
      <c r="BL36" s="35">
        <f>BL18-BL17</f>
        <v>0.77996249151933483</v>
      </c>
      <c r="BM36" s="35">
        <f>BM18-BM17</f>
        <v>-2.9091052562365682</v>
      </c>
      <c r="BN36" s="35"/>
      <c r="BO36" s="35">
        <f>BO18-BO17</f>
        <v>-7274.4500000006519</v>
      </c>
      <c r="BP36" s="35">
        <f>BP18-BP17</f>
        <v>-203</v>
      </c>
    </row>
    <row r="37" spans="1:69">
      <c r="F37" s="213">
        <f>AVERAGE(F4:F35)</f>
        <v>0.67129032258064514</v>
      </c>
      <c r="G37" s="213"/>
      <c r="H37" s="213"/>
      <c r="I37" s="213">
        <f>AVERAGE(I4:I35)</f>
        <v>40108.5</v>
      </c>
    </row>
    <row r="38" spans="1:69">
      <c r="B38" s="36" t="s">
        <v>68</v>
      </c>
      <c r="F38" s="383">
        <f>AVERAGE(F4:F35)</f>
        <v>0.67129032258064514</v>
      </c>
      <c r="G38" s="383"/>
      <c r="H38" s="383"/>
    </row>
    <row r="41" spans="1:69">
      <c r="BJ41">
        <f>(BJ31+BK31)/400</f>
        <v>15.482007500000035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3"/>
  <sheetViews>
    <sheetView topLeftCell="A14" workbookViewId="0">
      <selection activeCell="F33" sqref="F33"/>
    </sheetView>
  </sheetViews>
  <sheetFormatPr defaultRowHeight="15.75"/>
  <cols>
    <col min="2" max="2" width="9.109375" style="1164" customWidth="1"/>
    <col min="3" max="3" width="7.44140625" style="1164" customWidth="1"/>
    <col min="4" max="4" width="7.5546875" style="1164" customWidth="1"/>
    <col min="5" max="5" width="7.88671875" style="1164" customWidth="1"/>
    <col min="6" max="6" width="10.6640625" style="1164" customWidth="1"/>
  </cols>
  <sheetData>
    <row r="1" spans="1:7" ht="47.25">
      <c r="A1" s="1030"/>
      <c r="B1" s="1237" t="s">
        <v>306</v>
      </c>
      <c r="C1" s="1237" t="s">
        <v>304</v>
      </c>
      <c r="D1" s="1237" t="s">
        <v>305</v>
      </c>
      <c r="E1" s="1237" t="s">
        <v>308</v>
      </c>
      <c r="F1" s="1237" t="s">
        <v>307</v>
      </c>
      <c r="G1" s="1276" t="s">
        <v>310</v>
      </c>
    </row>
    <row r="2" spans="1:7">
      <c r="A2" s="1030">
        <v>1</v>
      </c>
      <c r="B2" s="1238"/>
      <c r="C2" s="1239">
        <v>129</v>
      </c>
      <c r="D2" s="1239">
        <v>19</v>
      </c>
      <c r="E2" s="1239">
        <f>SUM(C2:D2)/202%</f>
        <v>73.267326732673268</v>
      </c>
      <c r="F2" s="1275">
        <v>363</v>
      </c>
      <c r="G2" s="1275">
        <f>C2+D2</f>
        <v>148</v>
      </c>
    </row>
    <row r="3" spans="1:7">
      <c r="A3" s="1030">
        <v>2</v>
      </c>
      <c r="B3" s="1238"/>
      <c r="C3" s="1239">
        <v>159</v>
      </c>
      <c r="D3" s="1239">
        <v>19</v>
      </c>
      <c r="E3" s="1239">
        <f t="shared" ref="E3:E5" si="0">SUM(C3:D3)/202%</f>
        <v>88.118811881188122</v>
      </c>
      <c r="F3" s="1275">
        <v>232</v>
      </c>
      <c r="G3" s="1275">
        <f t="shared" ref="G3:G31" si="1">C3+D3</f>
        <v>178</v>
      </c>
    </row>
    <row r="4" spans="1:7">
      <c r="A4" s="1030">
        <v>3</v>
      </c>
      <c r="B4" s="1238"/>
      <c r="C4" s="1239">
        <v>176</v>
      </c>
      <c r="D4" s="1239">
        <v>18</v>
      </c>
      <c r="E4" s="1239">
        <f t="shared" si="0"/>
        <v>96.039603960396036</v>
      </c>
      <c r="F4" s="1275">
        <v>230</v>
      </c>
      <c r="G4" s="1275">
        <f t="shared" si="1"/>
        <v>194</v>
      </c>
    </row>
    <row r="5" spans="1:7">
      <c r="A5" s="1030">
        <v>4</v>
      </c>
      <c r="B5" s="1238"/>
      <c r="C5" s="1239">
        <v>167</v>
      </c>
      <c r="D5" s="1239">
        <v>28</v>
      </c>
      <c r="E5" s="1239">
        <f t="shared" si="0"/>
        <v>96.534653465346537</v>
      </c>
      <c r="F5" s="1275">
        <v>233</v>
      </c>
      <c r="G5" s="1275">
        <f t="shared" si="1"/>
        <v>195</v>
      </c>
    </row>
    <row r="6" spans="1:7">
      <c r="A6" s="1030">
        <v>5</v>
      </c>
      <c r="B6" s="1238"/>
      <c r="C6" s="1239">
        <v>164</v>
      </c>
      <c r="D6" s="1239">
        <v>29</v>
      </c>
      <c r="E6" s="1239">
        <f t="shared" ref="E6:E31" si="2">SUM(C6:D6)/202%</f>
        <v>95.544554455445549</v>
      </c>
      <c r="F6" s="1275">
        <v>157</v>
      </c>
      <c r="G6" s="1275">
        <f t="shared" si="1"/>
        <v>193</v>
      </c>
    </row>
    <row r="7" spans="1:7">
      <c r="A7" s="1030">
        <v>6</v>
      </c>
      <c r="B7" s="1238"/>
      <c r="C7" s="1239">
        <v>157</v>
      </c>
      <c r="D7" s="1239">
        <v>37</v>
      </c>
      <c r="E7" s="1239">
        <f t="shared" si="2"/>
        <v>96.039603960396036</v>
      </c>
      <c r="F7" s="1275">
        <v>142</v>
      </c>
      <c r="G7" s="1275">
        <f t="shared" si="1"/>
        <v>194</v>
      </c>
    </row>
    <row r="8" spans="1:7">
      <c r="A8" s="1030">
        <v>7</v>
      </c>
      <c r="B8" s="1238"/>
      <c r="C8" s="1239">
        <v>157</v>
      </c>
      <c r="D8" s="1239">
        <v>30</v>
      </c>
      <c r="E8" s="1239">
        <f t="shared" si="2"/>
        <v>92.574257425742573</v>
      </c>
      <c r="F8" s="1275">
        <v>128</v>
      </c>
      <c r="G8" s="1275">
        <f t="shared" si="1"/>
        <v>187</v>
      </c>
    </row>
    <row r="9" spans="1:7">
      <c r="A9" s="1030">
        <v>8</v>
      </c>
      <c r="B9" s="1238"/>
      <c r="C9" s="1239">
        <v>143</v>
      </c>
      <c r="D9" s="1239">
        <v>29</v>
      </c>
      <c r="E9" s="1239">
        <f t="shared" si="2"/>
        <v>85.148514851485146</v>
      </c>
      <c r="F9" s="1275">
        <v>89</v>
      </c>
      <c r="G9" s="1275">
        <f t="shared" si="1"/>
        <v>172</v>
      </c>
    </row>
    <row r="10" spans="1:7">
      <c r="A10" s="1030">
        <v>9</v>
      </c>
      <c r="B10" s="1238"/>
      <c r="C10" s="1239">
        <v>137</v>
      </c>
      <c r="D10" s="1239">
        <v>30</v>
      </c>
      <c r="E10" s="1239">
        <f t="shared" si="2"/>
        <v>82.67326732673267</v>
      </c>
      <c r="F10" s="1275">
        <v>118</v>
      </c>
      <c r="G10" s="1275">
        <f t="shared" si="1"/>
        <v>167</v>
      </c>
    </row>
    <row r="11" spans="1:7">
      <c r="A11" s="1030">
        <v>10</v>
      </c>
      <c r="B11" s="1238"/>
      <c r="C11" s="1239">
        <v>136</v>
      </c>
      <c r="D11" s="1239">
        <v>30</v>
      </c>
      <c r="E11" s="1239">
        <f t="shared" si="2"/>
        <v>82.178217821782184</v>
      </c>
      <c r="F11" s="1275">
        <v>93</v>
      </c>
      <c r="G11" s="1275">
        <f t="shared" si="1"/>
        <v>166</v>
      </c>
    </row>
    <row r="12" spans="1:7">
      <c r="A12" s="1030">
        <v>11</v>
      </c>
      <c r="B12" s="1238"/>
      <c r="C12" s="1239">
        <v>135</v>
      </c>
      <c r="D12" s="1239">
        <v>30</v>
      </c>
      <c r="E12" s="1239">
        <f t="shared" si="2"/>
        <v>81.683168316831683</v>
      </c>
      <c r="F12" s="1275">
        <v>104</v>
      </c>
      <c r="G12" s="1275">
        <f t="shared" si="1"/>
        <v>165</v>
      </c>
    </row>
    <row r="13" spans="1:7">
      <c r="A13" s="1030">
        <v>12</v>
      </c>
      <c r="B13" s="1238"/>
      <c r="C13" s="1239">
        <v>133</v>
      </c>
      <c r="D13" s="1239">
        <v>29</v>
      </c>
      <c r="E13" s="1239">
        <f t="shared" si="2"/>
        <v>80.198019801980195</v>
      </c>
      <c r="F13" s="1239">
        <v>59</v>
      </c>
      <c r="G13" s="1275">
        <f t="shared" si="1"/>
        <v>162</v>
      </c>
    </row>
    <row r="14" spans="1:7">
      <c r="A14" s="1030">
        <v>13</v>
      </c>
      <c r="B14" s="1238"/>
      <c r="C14" s="1239">
        <v>134</v>
      </c>
      <c r="D14" s="1239">
        <v>25</v>
      </c>
      <c r="E14" s="1239">
        <f t="shared" si="2"/>
        <v>78.712871287128706</v>
      </c>
      <c r="F14" s="1239">
        <v>116</v>
      </c>
      <c r="G14" s="1275">
        <f t="shared" si="1"/>
        <v>159</v>
      </c>
    </row>
    <row r="15" spans="1:7">
      <c r="A15" s="1030">
        <v>14</v>
      </c>
      <c r="B15" s="1238"/>
      <c r="C15" s="1239">
        <v>138</v>
      </c>
      <c r="D15" s="1239">
        <v>38</v>
      </c>
      <c r="E15" s="1239">
        <f t="shared" si="2"/>
        <v>87.128712871287135</v>
      </c>
      <c r="F15" s="1239">
        <v>122</v>
      </c>
      <c r="G15" s="1275">
        <f t="shared" si="1"/>
        <v>176</v>
      </c>
    </row>
    <row r="16" spans="1:7">
      <c r="A16" s="1030">
        <v>15</v>
      </c>
      <c r="B16" s="1238"/>
      <c r="C16" s="1239">
        <v>138</v>
      </c>
      <c r="D16" s="1239">
        <v>38</v>
      </c>
      <c r="E16" s="1239">
        <f t="shared" si="2"/>
        <v>87.128712871287135</v>
      </c>
      <c r="F16" s="1239">
        <v>93</v>
      </c>
      <c r="G16" s="1275">
        <f t="shared" si="1"/>
        <v>176</v>
      </c>
    </row>
    <row r="17" spans="1:7">
      <c r="A17" s="1030">
        <v>16</v>
      </c>
      <c r="B17" s="1238"/>
      <c r="C17" s="1239">
        <v>141</v>
      </c>
      <c r="D17" s="1239">
        <v>38</v>
      </c>
      <c r="E17" s="1239">
        <f t="shared" si="2"/>
        <v>88.613861386138609</v>
      </c>
      <c r="F17" s="1239">
        <v>108</v>
      </c>
      <c r="G17" s="1275">
        <f t="shared" si="1"/>
        <v>179</v>
      </c>
    </row>
    <row r="18" spans="1:7">
      <c r="A18" s="1030">
        <v>17</v>
      </c>
      <c r="B18" s="1238"/>
      <c r="C18" s="1239">
        <v>151</v>
      </c>
      <c r="D18" s="1239">
        <v>28</v>
      </c>
      <c r="E18" s="1239">
        <f t="shared" si="2"/>
        <v>88.613861386138609</v>
      </c>
      <c r="F18" s="1239">
        <v>100</v>
      </c>
      <c r="G18" s="1275">
        <f t="shared" si="1"/>
        <v>179</v>
      </c>
    </row>
    <row r="19" spans="1:7">
      <c r="A19" s="1030">
        <v>18</v>
      </c>
      <c r="B19" s="1238"/>
      <c r="C19" s="1164">
        <v>157</v>
      </c>
      <c r="D19" s="1164">
        <v>28</v>
      </c>
      <c r="E19" s="1239">
        <f t="shared" si="2"/>
        <v>91.584158415841586</v>
      </c>
      <c r="F19" s="1164">
        <v>93</v>
      </c>
      <c r="G19" s="1275">
        <f t="shared" si="1"/>
        <v>185</v>
      </c>
    </row>
    <row r="20" spans="1:7">
      <c r="A20" s="1030">
        <v>19</v>
      </c>
      <c r="B20" s="1238"/>
      <c r="C20" s="1239">
        <v>152</v>
      </c>
      <c r="D20" s="1239">
        <v>29</v>
      </c>
      <c r="E20" s="1239">
        <f t="shared" si="2"/>
        <v>89.603960396039597</v>
      </c>
      <c r="F20" s="1239">
        <v>80</v>
      </c>
      <c r="G20" s="1275">
        <f t="shared" si="1"/>
        <v>181</v>
      </c>
    </row>
    <row r="21" spans="1:7">
      <c r="A21" s="1030">
        <v>20</v>
      </c>
      <c r="B21" s="1238"/>
      <c r="C21" s="1239">
        <v>153</v>
      </c>
      <c r="D21" s="1239">
        <v>29</v>
      </c>
      <c r="E21" s="1239">
        <f t="shared" si="2"/>
        <v>90.099009900990097</v>
      </c>
      <c r="F21" s="1239">
        <v>89</v>
      </c>
      <c r="G21" s="1275">
        <f t="shared" si="1"/>
        <v>182</v>
      </c>
    </row>
    <row r="22" spans="1:7">
      <c r="A22" s="1030">
        <v>21</v>
      </c>
      <c r="B22" s="1238"/>
      <c r="C22" s="1239">
        <v>153</v>
      </c>
      <c r="D22" s="1239">
        <v>29</v>
      </c>
      <c r="E22" s="1239">
        <f t="shared" si="2"/>
        <v>90.099009900990097</v>
      </c>
      <c r="F22" s="1239">
        <v>72</v>
      </c>
      <c r="G22" s="1275">
        <f t="shared" si="1"/>
        <v>182</v>
      </c>
    </row>
    <row r="23" spans="1:7">
      <c r="A23" s="1030">
        <v>22</v>
      </c>
      <c r="B23" s="1238"/>
      <c r="C23" s="1239">
        <v>160</v>
      </c>
      <c r="D23" s="1239">
        <v>29</v>
      </c>
      <c r="E23" s="1239">
        <f t="shared" si="2"/>
        <v>93.56435643564356</v>
      </c>
      <c r="F23" s="1239">
        <v>72</v>
      </c>
      <c r="G23" s="1275">
        <f t="shared" si="1"/>
        <v>189</v>
      </c>
    </row>
    <row r="24" spans="1:7">
      <c r="A24" s="1030">
        <v>23</v>
      </c>
      <c r="B24" s="1238"/>
      <c r="C24" s="1239">
        <v>136</v>
      </c>
      <c r="D24" s="1239">
        <v>29</v>
      </c>
      <c r="E24" s="1239">
        <f t="shared" si="2"/>
        <v>81.683168316831683</v>
      </c>
      <c r="F24" s="1239">
        <v>106</v>
      </c>
      <c r="G24" s="1275">
        <f t="shared" si="1"/>
        <v>165</v>
      </c>
    </row>
    <row r="25" spans="1:7">
      <c r="A25" s="1030">
        <v>24</v>
      </c>
      <c r="B25" s="1238"/>
      <c r="C25" s="1239">
        <v>138</v>
      </c>
      <c r="D25" s="1239">
        <v>30</v>
      </c>
      <c r="E25" s="1239">
        <f t="shared" si="2"/>
        <v>83.168316831683171</v>
      </c>
      <c r="F25" s="1239">
        <v>79</v>
      </c>
      <c r="G25" s="1275">
        <f t="shared" si="1"/>
        <v>168</v>
      </c>
    </row>
    <row r="26" spans="1:7">
      <c r="A26" s="1030">
        <v>25</v>
      </c>
      <c r="B26" s="1238"/>
      <c r="C26" s="1239">
        <v>142</v>
      </c>
      <c r="D26" s="1239">
        <v>28</v>
      </c>
      <c r="E26" s="1239">
        <f t="shared" si="2"/>
        <v>84.158415841584159</v>
      </c>
      <c r="F26" s="1239">
        <v>114</v>
      </c>
      <c r="G26" s="1275">
        <f t="shared" si="1"/>
        <v>170</v>
      </c>
    </row>
    <row r="27" spans="1:7">
      <c r="A27" s="1030">
        <v>26</v>
      </c>
      <c r="B27" s="1238"/>
      <c r="C27" s="1239">
        <v>34</v>
      </c>
      <c r="D27" s="1239">
        <v>23</v>
      </c>
      <c r="E27" s="1239">
        <f t="shared" si="2"/>
        <v>28.217821782178216</v>
      </c>
      <c r="F27" s="1239">
        <v>174</v>
      </c>
      <c r="G27" s="1275">
        <f t="shared" si="1"/>
        <v>57</v>
      </c>
    </row>
    <row r="28" spans="1:7">
      <c r="A28" s="1030">
        <v>27</v>
      </c>
      <c r="B28" s="1238"/>
      <c r="C28" s="1239">
        <v>21</v>
      </c>
      <c r="D28" s="1239">
        <v>22</v>
      </c>
      <c r="E28" s="1239">
        <f t="shared" si="2"/>
        <v>21.287128712871286</v>
      </c>
      <c r="F28" s="1239">
        <v>69</v>
      </c>
      <c r="G28" s="1275">
        <f t="shared" si="1"/>
        <v>43</v>
      </c>
    </row>
    <row r="29" spans="1:7">
      <c r="A29" s="1030">
        <v>28</v>
      </c>
      <c r="B29" s="1238"/>
      <c r="C29" s="1239">
        <v>25</v>
      </c>
      <c r="D29" s="1239">
        <v>24</v>
      </c>
      <c r="E29" s="1239">
        <f t="shared" si="2"/>
        <v>24.257425742574256</v>
      </c>
      <c r="F29" s="1239">
        <v>51</v>
      </c>
      <c r="G29" s="1275">
        <f t="shared" si="1"/>
        <v>49</v>
      </c>
    </row>
    <row r="30" spans="1:7">
      <c r="A30" s="1030">
        <v>29</v>
      </c>
      <c r="B30" s="1238"/>
      <c r="C30" s="1239">
        <v>33</v>
      </c>
      <c r="D30" s="1239">
        <v>25</v>
      </c>
      <c r="E30" s="1239">
        <f t="shared" si="2"/>
        <v>28.712871287128714</v>
      </c>
      <c r="F30" s="1239">
        <v>36</v>
      </c>
      <c r="G30" s="1275">
        <f t="shared" si="1"/>
        <v>58</v>
      </c>
    </row>
    <row r="31" spans="1:7">
      <c r="A31" s="1030">
        <v>30</v>
      </c>
      <c r="B31" s="1239"/>
      <c r="C31" s="1239">
        <v>45</v>
      </c>
      <c r="D31" s="1239">
        <v>25</v>
      </c>
      <c r="E31" s="1239">
        <f t="shared" si="2"/>
        <v>34.653465346534652</v>
      </c>
      <c r="F31" s="1239">
        <v>86</v>
      </c>
      <c r="G31" s="1323">
        <f t="shared" si="1"/>
        <v>70</v>
      </c>
    </row>
    <row r="32" spans="1:7">
      <c r="A32" s="1030">
        <v>31</v>
      </c>
      <c r="B32" s="1239"/>
      <c r="C32" s="1239"/>
      <c r="D32" s="1239"/>
      <c r="E32" s="1239"/>
      <c r="F32" s="1239"/>
      <c r="G32" s="1323"/>
    </row>
    <row r="33" spans="1:7">
      <c r="A33" t="s">
        <v>110</v>
      </c>
      <c r="C33" s="1164">
        <f>SUM(C2:C32)</f>
        <v>3844</v>
      </c>
      <c r="D33" s="1164">
        <f t="shared" ref="D33:G33" si="3">SUM(D2:D32)</f>
        <v>845</v>
      </c>
      <c r="E33" s="1164">
        <f t="shared" si="3"/>
        <v>2321.2871287128714</v>
      </c>
      <c r="F33" s="1164">
        <f t="shared" si="3"/>
        <v>3608</v>
      </c>
      <c r="G33" s="1164">
        <f t="shared" si="3"/>
        <v>4689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L22" sqref="D22:L22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3" width="6.5546875" customWidth="1"/>
    <col min="14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072"/>
      <c r="C3" s="1073" t="s">
        <v>0</v>
      </c>
      <c r="D3" s="1032">
        <v>1</v>
      </c>
      <c r="E3" s="1032">
        <v>2</v>
      </c>
      <c r="F3" s="1032">
        <v>3</v>
      </c>
      <c r="G3" s="1032">
        <v>4</v>
      </c>
      <c r="H3" s="1032">
        <v>5</v>
      </c>
      <c r="I3" s="1032">
        <v>6</v>
      </c>
      <c r="J3" s="1032">
        <v>7</v>
      </c>
      <c r="K3" s="1032">
        <v>8</v>
      </c>
      <c r="L3" s="1032">
        <v>9</v>
      </c>
      <c r="M3" s="1032">
        <v>10</v>
      </c>
      <c r="N3" s="1032">
        <v>11</v>
      </c>
      <c r="O3" s="1032">
        <v>12</v>
      </c>
      <c r="P3" s="1032">
        <v>13</v>
      </c>
      <c r="Q3" s="1032">
        <v>14</v>
      </c>
      <c r="R3" s="1073">
        <v>15</v>
      </c>
      <c r="S3" s="1073">
        <v>16</v>
      </c>
      <c r="T3" s="1073">
        <v>17</v>
      </c>
      <c r="U3" s="1073">
        <v>18</v>
      </c>
      <c r="V3" s="1073">
        <v>19</v>
      </c>
      <c r="W3" s="1073">
        <v>20</v>
      </c>
      <c r="X3" s="1073">
        <v>21</v>
      </c>
      <c r="Y3" s="1073">
        <v>22</v>
      </c>
      <c r="Z3" s="1073">
        <v>23</v>
      </c>
      <c r="AA3" s="1073">
        <v>24</v>
      </c>
      <c r="AB3" s="1073">
        <v>25</v>
      </c>
      <c r="AC3" s="1073">
        <v>26</v>
      </c>
      <c r="AD3" s="1073">
        <v>27</v>
      </c>
      <c r="AE3" s="1073">
        <v>28</v>
      </c>
      <c r="AF3" s="1073">
        <v>29</v>
      </c>
      <c r="AG3" s="1073">
        <v>30</v>
      </c>
      <c r="AH3" s="1073">
        <v>31</v>
      </c>
      <c r="AI3" s="1073"/>
    </row>
    <row r="4" spans="2:35">
      <c r="B4" s="452"/>
      <c r="C4" s="448" t="s">
        <v>69</v>
      </c>
      <c r="D4" s="449">
        <f>'[2]1'!F3</f>
        <v>0.5</v>
      </c>
      <c r="E4" s="449">
        <f>'[2]2'!F3</f>
        <v>0.1</v>
      </c>
      <c r="F4" s="449">
        <f>'[2]3'!F3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70</v>
      </c>
      <c r="D5" s="450">
        <f>'1'!G18</f>
        <v>140</v>
      </c>
      <c r="E5" s="450">
        <f>'2'!G18</f>
        <v>120</v>
      </c>
      <c r="F5" s="450">
        <f>'3'!G18</f>
        <v>100</v>
      </c>
      <c r="G5" s="450">
        <f>'4'!G18</f>
        <v>120</v>
      </c>
      <c r="H5" s="450">
        <f>'5'!G18</f>
        <v>120</v>
      </c>
      <c r="I5" s="450">
        <f>'6'!G18</f>
        <v>100</v>
      </c>
      <c r="J5" s="450">
        <f>'7'!G18</f>
        <v>100</v>
      </c>
      <c r="K5" s="450">
        <f>'8'!G18</f>
        <v>100</v>
      </c>
      <c r="L5" s="450">
        <f>'9'!G18</f>
        <v>80</v>
      </c>
      <c r="M5" s="450">
        <f>'10'!G18</f>
        <v>80</v>
      </c>
      <c r="N5" s="450">
        <f>'11'!G18</f>
        <v>80</v>
      </c>
      <c r="O5" s="450">
        <f>'12'!G18</f>
        <v>80</v>
      </c>
      <c r="P5" s="450">
        <f>'13'!G18</f>
        <v>80</v>
      </c>
      <c r="Q5" s="450">
        <f>'14'!G18</f>
        <v>80</v>
      </c>
      <c r="R5" s="450">
        <f>'15'!G18</f>
        <v>80</v>
      </c>
      <c r="S5" s="450">
        <f>'16'!G18</f>
        <v>80</v>
      </c>
      <c r="T5" s="450">
        <f>'17'!G18</f>
        <v>80</v>
      </c>
      <c r="U5" s="450">
        <f>'18'!G18</f>
        <v>100</v>
      </c>
      <c r="V5" s="450">
        <f>'19'!G18</f>
        <v>80</v>
      </c>
      <c r="W5" s="450">
        <f>'20'!G18</f>
        <v>80</v>
      </c>
      <c r="X5" s="450">
        <f>'21'!G18</f>
        <v>100</v>
      </c>
      <c r="Y5" s="450">
        <f>'22'!G18</f>
        <v>100</v>
      </c>
      <c r="Z5" s="450">
        <f>'23'!G18</f>
        <v>80</v>
      </c>
      <c r="AA5" s="450">
        <f>'24'!G18</f>
        <v>100</v>
      </c>
      <c r="AB5" s="450">
        <f>'25'!G18</f>
        <v>80</v>
      </c>
      <c r="AC5" s="450">
        <f>'26'!G18</f>
        <v>100</v>
      </c>
      <c r="AD5" s="450">
        <f>'27'!G18</f>
        <v>60</v>
      </c>
      <c r="AE5" s="450">
        <f>'28'!G18</f>
        <v>60</v>
      </c>
      <c r="AF5" s="450">
        <f>'29'!G18</f>
        <v>20</v>
      </c>
      <c r="AG5" s="450">
        <f>'30'!G18</f>
        <v>60</v>
      </c>
      <c r="AH5" s="450">
        <f>'31'!G18</f>
        <v>150</v>
      </c>
      <c r="AI5" s="448"/>
    </row>
    <row r="6" spans="2:35">
      <c r="B6" s="452"/>
      <c r="C6" s="448" t="s">
        <v>71</v>
      </c>
      <c r="D6" s="450">
        <f>'1'!G19</f>
        <v>53</v>
      </c>
      <c r="E6" s="450">
        <f>'2'!G19</f>
        <v>53</v>
      </c>
      <c r="F6" s="450">
        <f>'3'!G19</f>
        <v>53</v>
      </c>
      <c r="G6" s="450">
        <f>'4'!G19</f>
        <v>54</v>
      </c>
      <c r="H6" s="450">
        <f>'5'!G19</f>
        <v>58</v>
      </c>
      <c r="I6" s="450">
        <f>'6'!G19</f>
        <v>56</v>
      </c>
      <c r="J6" s="450">
        <f>'7'!G19</f>
        <v>57</v>
      </c>
      <c r="K6" s="450">
        <f>'8'!G19</f>
        <v>56</v>
      </c>
      <c r="L6" s="450">
        <f>'9'!G19</f>
        <v>63</v>
      </c>
      <c r="M6" s="450">
        <f>'10'!G19</f>
        <v>63</v>
      </c>
      <c r="N6" s="450">
        <f>'11'!G19</f>
        <v>57</v>
      </c>
      <c r="O6" s="450">
        <f>'12'!G19</f>
        <v>61</v>
      </c>
      <c r="P6" s="450">
        <f>'13'!G19</f>
        <v>62</v>
      </c>
      <c r="Q6" s="450">
        <f>'14'!G19</f>
        <v>53</v>
      </c>
      <c r="R6" s="450">
        <f>'15'!G19</f>
        <v>58</v>
      </c>
      <c r="S6" s="450">
        <f>'16'!G19</f>
        <v>56</v>
      </c>
      <c r="T6" s="450">
        <f>'17'!G19</f>
        <v>58</v>
      </c>
      <c r="U6" s="450">
        <f>'18'!G19</f>
        <v>57</v>
      </c>
      <c r="V6" s="450">
        <f>'19'!G19</f>
        <v>71</v>
      </c>
      <c r="W6" s="450">
        <f>'20'!G19</f>
        <v>61</v>
      </c>
      <c r="X6" s="450">
        <f>'21'!G19</f>
        <v>58</v>
      </c>
      <c r="Y6" s="450">
        <f>'22'!G19</f>
        <v>59</v>
      </c>
      <c r="Z6" s="450">
        <f>'23'!G19</f>
        <v>58</v>
      </c>
      <c r="AA6" s="450">
        <f>'24'!G19</f>
        <v>58</v>
      </c>
      <c r="AB6" s="450">
        <f>'25'!G19</f>
        <v>53</v>
      </c>
      <c r="AC6" s="450">
        <f>'26'!G19</f>
        <v>59</v>
      </c>
      <c r="AD6" s="450">
        <f>'27'!G19</f>
        <v>52</v>
      </c>
      <c r="AE6" s="450">
        <f>'28'!G19</f>
        <v>56</v>
      </c>
      <c r="AF6" s="450">
        <f>'29'!G19</f>
        <v>55</v>
      </c>
      <c r="AG6" s="450">
        <f>'30'!G19</f>
        <v>54</v>
      </c>
      <c r="AH6" s="450">
        <f>'31'!G19</f>
        <v>-1722</v>
      </c>
      <c r="AI6" s="448"/>
    </row>
    <row r="7" spans="2:35">
      <c r="B7" s="452"/>
      <c r="C7" s="448" t="s">
        <v>72</v>
      </c>
      <c r="D7" s="450">
        <f>'1'!G92</f>
        <v>92</v>
      </c>
      <c r="E7" s="450">
        <f>'2'!G92</f>
        <v>83</v>
      </c>
      <c r="F7" s="450">
        <f>'3'!G92</f>
        <v>77</v>
      </c>
      <c r="G7" s="450">
        <f>'4'!G92</f>
        <v>76</v>
      </c>
      <c r="H7" s="450">
        <f>'5'!G92</f>
        <v>79</v>
      </c>
      <c r="I7" s="450">
        <f>'6'!G92</f>
        <v>62</v>
      </c>
      <c r="J7" s="450">
        <f>'7'!G92</f>
        <v>82</v>
      </c>
      <c r="K7" s="450">
        <f>'8'!G92</f>
        <v>76</v>
      </c>
      <c r="L7" s="450">
        <f>'9'!G92</f>
        <v>50</v>
      </c>
      <c r="M7" s="450">
        <f>'10'!G92</f>
        <v>62</v>
      </c>
      <c r="N7" s="450">
        <f>'11'!G92</f>
        <v>55</v>
      </c>
      <c r="O7" s="450">
        <f>'12'!G92</f>
        <v>56</v>
      </c>
      <c r="P7" s="450">
        <f>'13'!G92</f>
        <v>50</v>
      </c>
      <c r="Q7" s="450">
        <f>'14'!G92</f>
        <v>74</v>
      </c>
      <c r="R7" s="450">
        <f>'15'!G92</f>
        <v>65</v>
      </c>
      <c r="S7" s="450">
        <f>'16'!G92</f>
        <v>80</v>
      </c>
      <c r="T7" s="450">
        <f>'17'!G92</f>
        <v>48</v>
      </c>
      <c r="U7" s="450">
        <f>'18'!G92</f>
        <v>66</v>
      </c>
      <c r="V7" s="450">
        <f>'19'!G92</f>
        <v>64</v>
      </c>
      <c r="W7" s="450">
        <f>'20'!G92</f>
        <v>61</v>
      </c>
      <c r="X7" s="450">
        <f>'21'!G92</f>
        <v>73</v>
      </c>
      <c r="Y7" s="450">
        <f>'22'!G92</f>
        <v>61</v>
      </c>
      <c r="Z7" s="450">
        <f>'23'!G92</f>
        <v>66</v>
      </c>
      <c r="AA7" s="450">
        <f>'24'!G92</f>
        <v>86</v>
      </c>
      <c r="AB7" s="450">
        <f>'25'!G92</f>
        <v>70</v>
      </c>
      <c r="AC7" s="450">
        <f>'26'!G92</f>
        <v>57</v>
      </c>
      <c r="AD7" s="450">
        <f>'27'!G92</f>
        <v>34</v>
      </c>
      <c r="AE7" s="450">
        <f>'28'!G92</f>
        <v>0</v>
      </c>
      <c r="AF7" s="450">
        <f>'29'!G92</f>
        <v>17</v>
      </c>
      <c r="AG7" s="450">
        <f>'30'!G92</f>
        <v>56</v>
      </c>
      <c r="AH7" s="450">
        <f>'31'!G92</f>
        <v>-1878</v>
      </c>
      <c r="AI7" s="448"/>
    </row>
    <row r="8" spans="2:35">
      <c r="B8" s="452"/>
      <c r="C8" s="448" t="s">
        <v>338</v>
      </c>
      <c r="D8" s="450">
        <f>'1'!G93</f>
        <v>127</v>
      </c>
      <c r="E8" s="450">
        <f>'2'!G93</f>
        <v>143</v>
      </c>
      <c r="F8" s="450">
        <f>'3'!G93</f>
        <v>158</v>
      </c>
      <c r="G8" s="450">
        <f>'4'!G93</f>
        <v>166</v>
      </c>
      <c r="H8" s="450">
        <f>'5'!G93</f>
        <v>168</v>
      </c>
      <c r="I8" s="450">
        <f>'6'!G93</f>
        <v>166</v>
      </c>
      <c r="J8" s="450">
        <f>'7'!G93</f>
        <v>151</v>
      </c>
      <c r="K8" s="450">
        <f>'8'!G93</f>
        <v>180</v>
      </c>
      <c r="L8" s="450">
        <f>'9'!G93</f>
        <v>160</v>
      </c>
      <c r="M8" s="450">
        <f>'10'!G93</f>
        <v>154</v>
      </c>
      <c r="N8" s="450">
        <f>'11'!G93</f>
        <v>142</v>
      </c>
      <c r="O8" s="450">
        <f>'12'!G93</f>
        <v>122</v>
      </c>
      <c r="P8" s="450">
        <f>'13'!G93</f>
        <v>123</v>
      </c>
      <c r="Q8" s="450">
        <f>'14'!G93</f>
        <v>145</v>
      </c>
      <c r="R8" s="450">
        <f>'15'!G93</f>
        <v>146</v>
      </c>
      <c r="S8" s="450">
        <f>'16'!G93</f>
        <v>81</v>
      </c>
      <c r="T8" s="450">
        <f>'17'!G93</f>
        <v>169</v>
      </c>
      <c r="U8" s="450">
        <f>'18'!G93</f>
        <v>144</v>
      </c>
      <c r="V8" s="450">
        <f>'19'!G93</f>
        <v>96</v>
      </c>
      <c r="W8" s="450">
        <f>'20'!G93</f>
        <v>161</v>
      </c>
      <c r="X8" s="450">
        <f>'21'!G93</f>
        <v>134</v>
      </c>
      <c r="Y8" s="450">
        <f>'22'!G93</f>
        <v>81</v>
      </c>
      <c r="Z8" s="450">
        <f>'23'!G93</f>
        <v>78</v>
      </c>
      <c r="AA8" s="450">
        <f>'24'!G93</f>
        <v>133</v>
      </c>
      <c r="AB8" s="450">
        <f>'25'!G93</f>
        <v>100</v>
      </c>
      <c r="AC8" s="450">
        <f>'26'!G93</f>
        <v>119</v>
      </c>
      <c r="AD8" s="450">
        <f>'27'!G93</f>
        <v>48</v>
      </c>
      <c r="AE8" s="450">
        <f>'28'!G93</f>
        <v>120</v>
      </c>
      <c r="AF8" s="450">
        <f>'29'!G93</f>
        <v>52</v>
      </c>
      <c r="AG8" s="450">
        <f>'30'!G93</f>
        <v>85</v>
      </c>
      <c r="AH8" s="450">
        <f>'31'!G93</f>
        <v>-3852</v>
      </c>
      <c r="AI8" s="448"/>
    </row>
    <row r="9" spans="2:35">
      <c r="B9" s="1488" t="s">
        <v>73</v>
      </c>
      <c r="C9" s="448" t="s">
        <v>33</v>
      </c>
      <c r="D9" s="450">
        <f>'1'!G95</f>
        <v>77</v>
      </c>
      <c r="E9" s="450">
        <f>'2'!G95</f>
        <v>87</v>
      </c>
      <c r="F9" s="450">
        <f>'3'!G95</f>
        <v>72</v>
      </c>
      <c r="G9" s="450">
        <f>'4'!G95</f>
        <v>71</v>
      </c>
      <c r="H9" s="450">
        <f>'5'!G95</f>
        <v>68</v>
      </c>
      <c r="I9" s="450">
        <f>'6'!G95</f>
        <v>68</v>
      </c>
      <c r="J9" s="450">
        <f>'7'!G95</f>
        <v>79</v>
      </c>
      <c r="K9" s="450">
        <f>'8'!G95</f>
        <v>78</v>
      </c>
      <c r="L9" s="450">
        <f>'9'!G95</f>
        <v>75</v>
      </c>
      <c r="M9" s="450">
        <f>'10'!G95</f>
        <v>69</v>
      </c>
      <c r="N9" s="450">
        <f>'11'!G95</f>
        <v>73</v>
      </c>
      <c r="O9" s="450">
        <f>'12'!G95</f>
        <v>68</v>
      </c>
      <c r="P9" s="450">
        <f>'13'!G95</f>
        <v>66</v>
      </c>
      <c r="Q9" s="450">
        <f>'14'!G95</f>
        <v>76</v>
      </c>
      <c r="R9" s="450">
        <f>'15'!G95</f>
        <v>61</v>
      </c>
      <c r="S9" s="450">
        <f>'16'!G95</f>
        <v>70</v>
      </c>
      <c r="T9" s="450">
        <f>'17'!G95</f>
        <v>61</v>
      </c>
      <c r="U9" s="450">
        <f>'18'!G95</f>
        <v>63</v>
      </c>
      <c r="V9" s="450">
        <f>'19'!G95</f>
        <v>70</v>
      </c>
      <c r="W9" s="450">
        <f>'20'!G95</f>
        <v>77</v>
      </c>
      <c r="X9" s="450">
        <f>'21'!G95</f>
        <v>79</v>
      </c>
      <c r="Y9" s="450">
        <f>'22'!G95</f>
        <v>64</v>
      </c>
      <c r="Z9" s="450">
        <f>'23'!G95</f>
        <v>65</v>
      </c>
      <c r="AA9" s="450">
        <f>'24'!G95</f>
        <v>96</v>
      </c>
      <c r="AB9" s="450">
        <f>'25'!G95</f>
        <v>56</v>
      </c>
      <c r="AC9" s="450">
        <f>'26'!G95</f>
        <v>80</v>
      </c>
      <c r="AD9" s="450">
        <f>'27'!G95</f>
        <v>61</v>
      </c>
      <c r="AE9" s="450">
        <f>'28'!G95</f>
        <v>38</v>
      </c>
      <c r="AF9" s="450">
        <f>'29'!G95</f>
        <v>59</v>
      </c>
      <c r="AG9" s="450">
        <f>'30'!G95</f>
        <v>74</v>
      </c>
      <c r="AH9" s="450">
        <f>'31'!G95</f>
        <v>-2101</v>
      </c>
      <c r="AI9" s="448"/>
    </row>
    <row r="10" spans="2:35">
      <c r="B10" s="1488"/>
      <c r="C10" s="448" t="s">
        <v>34</v>
      </c>
      <c r="D10" s="450">
        <f>'1'!G96</f>
        <v>17</v>
      </c>
      <c r="E10" s="450">
        <f>'2'!G96</f>
        <v>19</v>
      </c>
      <c r="F10" s="450">
        <f>'3'!G96</f>
        <v>20</v>
      </c>
      <c r="G10" s="450">
        <f>'4'!G96</f>
        <v>19</v>
      </c>
      <c r="H10" s="450">
        <f>'5'!G96</f>
        <v>15</v>
      </c>
      <c r="I10" s="450">
        <f>'6'!G96</f>
        <v>17</v>
      </c>
      <c r="J10" s="450">
        <f>'7'!G96</f>
        <v>18</v>
      </c>
      <c r="K10" s="450">
        <f>'8'!G96</f>
        <v>17</v>
      </c>
      <c r="L10" s="450">
        <f>'9'!G96</f>
        <v>15</v>
      </c>
      <c r="M10" s="450">
        <f>'10'!G96</f>
        <v>15</v>
      </c>
      <c r="N10" s="450">
        <f>'11'!G96</f>
        <v>15</v>
      </c>
      <c r="O10" s="450">
        <f>'12'!G96</f>
        <v>19</v>
      </c>
      <c r="P10" s="450">
        <f>'13'!G96</f>
        <v>16</v>
      </c>
      <c r="Q10" s="450">
        <f>'14'!G96</f>
        <v>18</v>
      </c>
      <c r="R10" s="450">
        <f>'15'!G96</f>
        <v>14</v>
      </c>
      <c r="S10" s="450">
        <f>'16'!G96</f>
        <v>19</v>
      </c>
      <c r="T10" s="450">
        <f>'17'!G96</f>
        <v>19</v>
      </c>
      <c r="U10" s="450">
        <f>'18'!G96</f>
        <v>21</v>
      </c>
      <c r="V10" s="450">
        <f>'19'!G96</f>
        <v>16</v>
      </c>
      <c r="W10" s="450">
        <f>'20'!G96</f>
        <v>19</v>
      </c>
      <c r="X10" s="450">
        <f>'21'!G96</f>
        <v>19</v>
      </c>
      <c r="Y10" s="450">
        <f>'22'!G96</f>
        <v>17</v>
      </c>
      <c r="Z10" s="450">
        <f>'23'!G96</f>
        <v>19</v>
      </c>
      <c r="AA10" s="450">
        <f>'24'!G96</f>
        <v>21</v>
      </c>
      <c r="AB10" s="450">
        <f>'25'!G96</f>
        <v>27</v>
      </c>
      <c r="AC10" s="450">
        <f>'26'!G96</f>
        <v>21</v>
      </c>
      <c r="AD10" s="450">
        <f>'27'!G96</f>
        <v>15</v>
      </c>
      <c r="AE10" s="450">
        <f>'28'!G96</f>
        <v>9</v>
      </c>
      <c r="AF10" s="450">
        <f>'29'!G96</f>
        <v>6</v>
      </c>
      <c r="AG10" s="450">
        <f>'30'!G96</f>
        <v>10</v>
      </c>
      <c r="AH10" s="450">
        <f>'31'!G96</f>
        <v>-512</v>
      </c>
      <c r="AI10" s="448"/>
    </row>
    <row r="11" spans="2:35">
      <c r="B11" s="1488"/>
      <c r="C11" s="448" t="s">
        <v>35</v>
      </c>
      <c r="D11" s="450">
        <f>'1'!G97</f>
        <v>20</v>
      </c>
      <c r="E11" s="450">
        <f>'2'!G97</f>
        <v>14</v>
      </c>
      <c r="F11" s="450">
        <f>'3'!G97</f>
        <v>18</v>
      </c>
      <c r="G11" s="450">
        <f>'4'!G97</f>
        <v>18</v>
      </c>
      <c r="H11" s="450">
        <f>'5'!G97</f>
        <v>22</v>
      </c>
      <c r="I11" s="450">
        <f>'6'!G97</f>
        <v>19</v>
      </c>
      <c r="J11" s="450">
        <f>'7'!G97</f>
        <v>18</v>
      </c>
      <c r="K11" s="450">
        <f>'8'!G97</f>
        <v>18</v>
      </c>
      <c r="L11" s="450">
        <f>'9'!G97</f>
        <v>16</v>
      </c>
      <c r="M11" s="450">
        <f>'10'!G97</f>
        <v>13</v>
      </c>
      <c r="N11" s="450">
        <f>'11'!G97</f>
        <v>17</v>
      </c>
      <c r="O11" s="450">
        <f>'12'!G97</f>
        <v>15</v>
      </c>
      <c r="P11" s="450">
        <f>'13'!G97</f>
        <v>18</v>
      </c>
      <c r="Q11" s="450">
        <f>'14'!G97</f>
        <v>15</v>
      </c>
      <c r="R11" s="450">
        <f>'15'!G97</f>
        <v>15</v>
      </c>
      <c r="S11" s="450">
        <f>'16'!G97</f>
        <v>18</v>
      </c>
      <c r="T11" s="450">
        <f>'17'!G97</f>
        <v>20</v>
      </c>
      <c r="U11" s="450">
        <f>'18'!G97</f>
        <v>16</v>
      </c>
      <c r="V11" s="450">
        <f>'19'!G97</f>
        <v>20</v>
      </c>
      <c r="W11" s="450">
        <f>'20'!G97</f>
        <v>20</v>
      </c>
      <c r="X11" s="450">
        <f>'21'!G97</f>
        <v>15</v>
      </c>
      <c r="Y11" s="450">
        <f>'22'!G97</f>
        <v>19</v>
      </c>
      <c r="Z11" s="450">
        <f>'23'!G97</f>
        <v>21</v>
      </c>
      <c r="AA11" s="450">
        <f>'24'!G97</f>
        <v>17</v>
      </c>
      <c r="AB11" s="450">
        <f>'25'!G97</f>
        <v>17</v>
      </c>
      <c r="AC11" s="450">
        <f>'26'!G97</f>
        <v>14</v>
      </c>
      <c r="AD11" s="450">
        <f>'27'!G97</f>
        <v>8</v>
      </c>
      <c r="AE11" s="450">
        <f>'28'!G97</f>
        <v>8</v>
      </c>
      <c r="AF11" s="450">
        <f>'29'!G97</f>
        <v>14</v>
      </c>
      <c r="AG11" s="450">
        <f>'30'!G97</f>
        <v>16</v>
      </c>
      <c r="AH11" s="450">
        <f>'31'!G97</f>
        <v>-499</v>
      </c>
      <c r="AI11" s="448"/>
    </row>
    <row r="12" spans="2:35">
      <c r="B12" s="452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</row>
    <row r="13" spans="2:35">
      <c r="B13" s="1488" t="s">
        <v>74</v>
      </c>
      <c r="C13" s="448" t="s">
        <v>33</v>
      </c>
      <c r="D13" s="450">
        <f>'1'!G98</f>
        <v>28</v>
      </c>
      <c r="E13" s="450">
        <f>'2'!G98</f>
        <v>50</v>
      </c>
      <c r="F13" s="450">
        <f>'3'!G98</f>
        <v>56</v>
      </c>
      <c r="G13" s="450">
        <f>'4'!G98</f>
        <v>54</v>
      </c>
      <c r="H13" s="450">
        <f>'5'!G98</f>
        <v>28</v>
      </c>
      <c r="I13" s="450">
        <f>'6'!G98</f>
        <v>15</v>
      </c>
      <c r="J13" s="450">
        <f>'7'!G98</f>
        <v>34</v>
      </c>
      <c r="K13" s="450">
        <f>'8'!G98</f>
        <v>35</v>
      </c>
      <c r="L13" s="450">
        <f>'9'!G98</f>
        <v>36</v>
      </c>
      <c r="M13" s="450">
        <f>'10'!G98</f>
        <v>50</v>
      </c>
      <c r="N13" s="450">
        <f>'11'!G98</f>
        <v>28</v>
      </c>
      <c r="O13" s="450">
        <f>'12'!G98</f>
        <v>30</v>
      </c>
      <c r="P13" s="450">
        <f>'13'!G98</f>
        <v>25</v>
      </c>
      <c r="Q13" s="450">
        <f>'14'!G98</f>
        <v>16</v>
      </c>
      <c r="R13" s="450">
        <f>'15'!G98</f>
        <v>14</v>
      </c>
      <c r="S13" s="450">
        <f>'16'!G98</f>
        <v>14</v>
      </c>
      <c r="T13" s="450">
        <f>'17'!G98</f>
        <v>9</v>
      </c>
      <c r="U13" s="450">
        <f>'18'!G98</f>
        <v>7</v>
      </c>
      <c r="V13" s="450">
        <f>'19'!G98</f>
        <v>12</v>
      </c>
      <c r="W13" s="450">
        <f>'20'!G98</f>
        <v>14</v>
      </c>
      <c r="X13" s="450">
        <f>'21'!G98</f>
        <v>8</v>
      </c>
      <c r="Y13" s="450">
        <f>'22'!G98</f>
        <v>7</v>
      </c>
      <c r="Z13" s="450">
        <f>'23'!G98</f>
        <v>6</v>
      </c>
      <c r="AA13" s="450">
        <f>'24'!G98</f>
        <v>5</v>
      </c>
      <c r="AB13" s="450">
        <f>'25'!G98</f>
        <v>5</v>
      </c>
      <c r="AC13" s="450">
        <f>'26'!G98</f>
        <v>10</v>
      </c>
      <c r="AD13" s="450">
        <f>'27'!G98</f>
        <v>11</v>
      </c>
      <c r="AE13" s="450">
        <f>'28'!G98</f>
        <v>3</v>
      </c>
      <c r="AF13" s="450">
        <f>'29'!G98</f>
        <v>6</v>
      </c>
      <c r="AG13" s="450">
        <f>'30'!G98</f>
        <v>8</v>
      </c>
      <c r="AH13" s="450">
        <f>'31'!G98</f>
        <v>-624</v>
      </c>
      <c r="AI13" s="448"/>
    </row>
    <row r="14" spans="2:35">
      <c r="B14" s="1488"/>
      <c r="C14" s="448" t="s">
        <v>34</v>
      </c>
      <c r="D14" s="450">
        <f>'1'!G114</f>
        <v>20</v>
      </c>
      <c r="E14" s="450">
        <f>'2'!G114</f>
        <v>14</v>
      </c>
      <c r="F14" s="450">
        <f>'3'!G114</f>
        <v>17</v>
      </c>
      <c r="G14" s="450">
        <f>'4'!G114</f>
        <v>21</v>
      </c>
      <c r="H14" s="450">
        <f>'5'!G114</f>
        <v>47</v>
      </c>
      <c r="I14" s="450">
        <f>'6'!G114</f>
        <v>21</v>
      </c>
      <c r="J14" s="450">
        <f>'7'!G114</f>
        <v>18</v>
      </c>
      <c r="K14" s="450">
        <f>'8'!G114</f>
        <v>12</v>
      </c>
      <c r="L14" s="450">
        <f>'9'!G114</f>
        <v>15</v>
      </c>
      <c r="M14" s="450">
        <f>'10'!G114</f>
        <v>8</v>
      </c>
      <c r="N14" s="450">
        <f>'11'!G114</f>
        <v>8</v>
      </c>
      <c r="O14" s="450">
        <f>'12'!G114</f>
        <v>10</v>
      </c>
      <c r="P14" s="450">
        <f>'13'!G114</f>
        <v>6</v>
      </c>
      <c r="Q14" s="450">
        <f>'14'!G114</f>
        <v>23</v>
      </c>
      <c r="R14" s="450">
        <f>'15'!G114</f>
        <v>10</v>
      </c>
      <c r="S14" s="450">
        <f>'16'!G114</f>
        <v>26</v>
      </c>
      <c r="T14" s="450">
        <f>'17'!G114</f>
        <v>12</v>
      </c>
      <c r="U14" s="450">
        <f>'18'!G114</f>
        <v>11</v>
      </c>
      <c r="V14" s="450">
        <f>'19'!G114</f>
        <v>16</v>
      </c>
      <c r="W14" s="450">
        <f>'20'!G114</f>
        <v>14</v>
      </c>
      <c r="X14" s="450">
        <f>'21'!G114</f>
        <v>16</v>
      </c>
      <c r="Y14" s="450">
        <f>'22'!G114</f>
        <v>14</v>
      </c>
      <c r="Z14" s="450">
        <f>'23'!G114</f>
        <v>17</v>
      </c>
      <c r="AA14" s="450">
        <f>'24'!G114</f>
        <v>11</v>
      </c>
      <c r="AB14" s="450">
        <f>'25'!G114</f>
        <v>7</v>
      </c>
      <c r="AC14" s="450">
        <f>'26'!G114</f>
        <v>10</v>
      </c>
      <c r="AD14" s="450">
        <f>'27'!G114</f>
        <v>5</v>
      </c>
      <c r="AE14" s="450">
        <f>'28'!G114</f>
        <v>4</v>
      </c>
      <c r="AF14" s="450">
        <f>'29'!G114</f>
        <v>5</v>
      </c>
      <c r="AG14" s="450">
        <f>'30'!G114</f>
        <v>5</v>
      </c>
      <c r="AH14" s="450">
        <f>'31'!G114</f>
        <v>-402</v>
      </c>
      <c r="AI14" s="448"/>
    </row>
    <row r="15" spans="2:35">
      <c r="B15" s="1488"/>
      <c r="C15" s="448" t="s">
        <v>35</v>
      </c>
      <c r="D15" s="450">
        <f>'1'!G115</f>
        <v>5</v>
      </c>
      <c r="E15" s="450">
        <f>'2'!G115</f>
        <v>4</v>
      </c>
      <c r="F15" s="450">
        <f>'3'!G115</f>
        <v>5</v>
      </c>
      <c r="G15" s="450">
        <f>'4'!G115</f>
        <v>6</v>
      </c>
      <c r="H15" s="450">
        <f>'5'!G115</f>
        <v>11</v>
      </c>
      <c r="I15" s="450">
        <f>'6'!G115</f>
        <v>6</v>
      </c>
      <c r="J15" s="450">
        <f>'7'!G115</f>
        <v>6</v>
      </c>
      <c r="K15" s="450">
        <f>'8'!G115</f>
        <v>7</v>
      </c>
      <c r="L15" s="450">
        <f>'9'!G115</f>
        <v>2</v>
      </c>
      <c r="M15" s="450">
        <f>'10'!G115</f>
        <v>4</v>
      </c>
      <c r="N15" s="450">
        <f>'11'!G115</f>
        <v>4</v>
      </c>
      <c r="O15" s="450">
        <f>'12'!G115</f>
        <v>4</v>
      </c>
      <c r="P15" s="450">
        <f>'13'!G115</f>
        <v>4</v>
      </c>
      <c r="Q15" s="450">
        <f>'14'!G115</f>
        <v>7</v>
      </c>
      <c r="R15" s="450">
        <f>'15'!G115</f>
        <v>6</v>
      </c>
      <c r="S15" s="450">
        <f>'16'!G115</f>
        <v>16</v>
      </c>
      <c r="T15" s="450">
        <f>'17'!G115</f>
        <v>5</v>
      </c>
      <c r="U15" s="450">
        <f>'18'!G115</f>
        <v>4</v>
      </c>
      <c r="V15" s="450">
        <f>'19'!G115</f>
        <v>4</v>
      </c>
      <c r="W15" s="450">
        <f>'20'!G115</f>
        <v>6</v>
      </c>
      <c r="X15" s="450">
        <f>'21'!G115</f>
        <v>5</v>
      </c>
      <c r="Y15" s="450">
        <f>'22'!G115</f>
        <v>4</v>
      </c>
      <c r="Z15" s="450">
        <f>'23'!G115</f>
        <v>4</v>
      </c>
      <c r="AA15" s="450">
        <f>'24'!G115</f>
        <v>4</v>
      </c>
      <c r="AB15" s="450">
        <f>'25'!G115</f>
        <v>12</v>
      </c>
      <c r="AC15" s="450">
        <f>'26'!G115</f>
        <v>5</v>
      </c>
      <c r="AD15" s="450">
        <f>'27'!G115</f>
        <v>0</v>
      </c>
      <c r="AE15" s="450">
        <f>'28'!G115</f>
        <v>2</v>
      </c>
      <c r="AF15" s="450">
        <f>'29'!G115</f>
        <v>2</v>
      </c>
      <c r="AG15" s="450">
        <f>'30'!G115</f>
        <v>3</v>
      </c>
      <c r="AH15" s="450">
        <f>'31'!G115</f>
        <v>-151</v>
      </c>
      <c r="AI15" s="448"/>
    </row>
    <row r="16" spans="2:35">
      <c r="B16" s="452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2:35">
      <c r="B17" s="1488" t="s">
        <v>75</v>
      </c>
      <c r="C17" s="448" t="s">
        <v>76</v>
      </c>
      <c r="D17" s="448">
        <f>'1'!G104</f>
        <v>8</v>
      </c>
      <c r="E17" s="450">
        <f>'2'!G104</f>
        <v>0</v>
      </c>
      <c r="F17" s="450">
        <f>'3'!G104</f>
        <v>0</v>
      </c>
      <c r="G17" s="450">
        <f>'4'!G104</f>
        <v>0</v>
      </c>
      <c r="H17" s="450">
        <f>'5'!G104</f>
        <v>10</v>
      </c>
      <c r="I17" s="450">
        <f>'6'!G104</f>
        <v>1</v>
      </c>
      <c r="J17" s="450">
        <f>'7'!G104</f>
        <v>0</v>
      </c>
      <c r="K17" s="450">
        <f>'8'!G104</f>
        <v>0</v>
      </c>
      <c r="L17" s="450">
        <f>'9'!G104</f>
        <v>0</v>
      </c>
      <c r="M17" s="450">
        <f>'10'!G104</f>
        <v>8</v>
      </c>
      <c r="N17" s="450">
        <f>'11'!G104</f>
        <v>18</v>
      </c>
      <c r="O17" s="450">
        <f>'12'!G104</f>
        <v>0</v>
      </c>
      <c r="P17" s="450">
        <f>'13'!G104</f>
        <v>0</v>
      </c>
      <c r="Q17" s="450">
        <f>'14'!G104</f>
        <v>9</v>
      </c>
      <c r="R17" s="450">
        <f>'15'!G104</f>
        <v>1</v>
      </c>
      <c r="S17" s="450">
        <f>'16'!G104</f>
        <v>2</v>
      </c>
      <c r="T17" s="450">
        <f>'17'!G104</f>
        <v>5</v>
      </c>
      <c r="U17" s="450">
        <f>'18'!G104</f>
        <v>4</v>
      </c>
      <c r="V17" s="450">
        <f>'19'!G104</f>
        <v>9</v>
      </c>
      <c r="W17" s="450">
        <f>'20'!G104</f>
        <v>0</v>
      </c>
      <c r="X17" s="450">
        <f>'21'!G104</f>
        <v>9</v>
      </c>
      <c r="Y17" s="450">
        <f>'22'!G104</f>
        <v>5</v>
      </c>
      <c r="Z17" s="450">
        <f>'23'!G104</f>
        <v>4</v>
      </c>
      <c r="AA17" s="450">
        <f>'24'!G104</f>
        <v>1</v>
      </c>
      <c r="AB17" s="450">
        <f>'25'!G104</f>
        <v>13</v>
      </c>
      <c r="AC17" s="450">
        <f>'26'!G104</f>
        <v>0</v>
      </c>
      <c r="AD17" s="450">
        <f>'27'!G104</f>
        <v>0</v>
      </c>
      <c r="AE17" s="450">
        <f>'28'!G104</f>
        <v>8</v>
      </c>
      <c r="AF17" s="450">
        <f>'29'!G104</f>
        <v>0</v>
      </c>
      <c r="AG17" s="450">
        <f>'30'!G104</f>
        <v>0</v>
      </c>
      <c r="AH17" s="450">
        <f>'31'!G104</f>
        <v>-106</v>
      </c>
      <c r="AI17" s="448"/>
    </row>
    <row r="18" spans="2:35">
      <c r="B18" s="1488"/>
      <c r="C18" s="448" t="s">
        <v>77</v>
      </c>
      <c r="D18" s="448">
        <f>'1'!G105</f>
        <v>5</v>
      </c>
      <c r="E18" s="450">
        <f>'2'!G105</f>
        <v>8</v>
      </c>
      <c r="F18" s="450">
        <f>'3'!G105</f>
        <v>7</v>
      </c>
      <c r="G18" s="450">
        <f>'4'!G105</f>
        <v>5</v>
      </c>
      <c r="H18" s="450">
        <f>'5'!G105</f>
        <v>11</v>
      </c>
      <c r="I18" s="450">
        <f>'6'!G105</f>
        <v>4</v>
      </c>
      <c r="J18" s="450">
        <f>'7'!G105</f>
        <v>6</v>
      </c>
      <c r="K18" s="450">
        <f>'8'!G105</f>
        <v>6</v>
      </c>
      <c r="L18" s="450">
        <f>'9'!G105</f>
        <v>8</v>
      </c>
      <c r="M18" s="450">
        <f>'10'!G105</f>
        <v>4</v>
      </c>
      <c r="N18" s="450">
        <f>'11'!G105</f>
        <v>6</v>
      </c>
      <c r="O18" s="450">
        <f>'12'!G105</f>
        <v>4</v>
      </c>
      <c r="P18" s="450">
        <f>'13'!G105</f>
        <v>5</v>
      </c>
      <c r="Q18" s="450">
        <f>'14'!G105</f>
        <v>5</v>
      </c>
      <c r="R18" s="450">
        <f>'15'!G105</f>
        <v>5</v>
      </c>
      <c r="S18" s="450">
        <f>'16'!G105</f>
        <v>7</v>
      </c>
      <c r="T18" s="450">
        <f>'17'!G105</f>
        <v>4</v>
      </c>
      <c r="U18" s="450">
        <f>'18'!G105</f>
        <v>7</v>
      </c>
      <c r="V18" s="450">
        <f>'19'!G105</f>
        <v>6</v>
      </c>
      <c r="W18" s="450">
        <f>'20'!G105</f>
        <v>6</v>
      </c>
      <c r="X18" s="450">
        <f>'21'!G105</f>
        <v>4</v>
      </c>
      <c r="Y18" s="450">
        <f>'22'!G105</f>
        <v>5</v>
      </c>
      <c r="Z18" s="450">
        <f>'23'!G105</f>
        <v>9</v>
      </c>
      <c r="AA18" s="450">
        <f>'24'!G105</f>
        <v>13</v>
      </c>
      <c r="AB18" s="450">
        <f>'25'!G105</f>
        <v>5</v>
      </c>
      <c r="AC18" s="450">
        <f>'26'!G105</f>
        <v>8</v>
      </c>
      <c r="AD18" s="450">
        <f>'27'!G105</f>
        <v>5</v>
      </c>
      <c r="AE18" s="450">
        <f>'28'!G105</f>
        <v>0</v>
      </c>
      <c r="AF18" s="450">
        <f>'29'!G105</f>
        <v>9</v>
      </c>
      <c r="AG18" s="450">
        <f>'30'!G105</f>
        <v>0</v>
      </c>
      <c r="AH18" s="450">
        <f>'31'!G105</f>
        <v>-172</v>
      </c>
      <c r="AI18" s="448"/>
    </row>
    <row r="19" spans="2:35">
      <c r="B19" s="1488"/>
      <c r="C19" s="448" t="s">
        <v>78</v>
      </c>
      <c r="D19" s="448">
        <f>'1'!G106</f>
        <v>5</v>
      </c>
      <c r="E19" s="450">
        <f>'2'!G106</f>
        <v>7</v>
      </c>
      <c r="F19" s="450">
        <f>'3'!G106</f>
        <v>6</v>
      </c>
      <c r="G19" s="450">
        <f>'4'!G106</f>
        <v>7</v>
      </c>
      <c r="H19" s="450">
        <f>'5'!G106</f>
        <v>13</v>
      </c>
      <c r="I19" s="450">
        <f>'6'!G106</f>
        <v>7</v>
      </c>
      <c r="J19" s="450">
        <f>'7'!G106</f>
        <v>6</v>
      </c>
      <c r="K19" s="450">
        <f>'8'!G106</f>
        <v>9</v>
      </c>
      <c r="L19" s="450">
        <f>'9'!G106</f>
        <v>9</v>
      </c>
      <c r="M19" s="450">
        <f>'10'!G106</f>
        <v>5</v>
      </c>
      <c r="N19" s="450">
        <f>'11'!G106</f>
        <v>6</v>
      </c>
      <c r="O19" s="450">
        <f>'12'!G106</f>
        <v>7</v>
      </c>
      <c r="P19" s="450">
        <f>'13'!G106</f>
        <v>7</v>
      </c>
      <c r="Q19" s="450">
        <f>'14'!G106</f>
        <v>8</v>
      </c>
      <c r="R19" s="450">
        <f>'15'!G106</f>
        <v>5</v>
      </c>
      <c r="S19" s="450">
        <f>'16'!G106</f>
        <v>6</v>
      </c>
      <c r="T19" s="450">
        <f>'17'!G106</f>
        <v>8</v>
      </c>
      <c r="U19" s="450">
        <f>'18'!G106</f>
        <v>8</v>
      </c>
      <c r="V19" s="450">
        <f>'19'!G106</f>
        <v>7</v>
      </c>
      <c r="W19" s="450">
        <f>'20'!G106</f>
        <v>10</v>
      </c>
      <c r="X19" s="450">
        <f>'21'!G106</f>
        <v>7</v>
      </c>
      <c r="Y19" s="450">
        <f>'22'!G106</f>
        <v>7</v>
      </c>
      <c r="Z19" s="450">
        <f>'23'!G106</f>
        <v>6</v>
      </c>
      <c r="AA19" s="450">
        <f>'24'!G106</f>
        <v>9</v>
      </c>
      <c r="AB19" s="450">
        <f>'25'!G106</f>
        <v>7</v>
      </c>
      <c r="AC19" s="450">
        <f>'26'!G106</f>
        <v>5</v>
      </c>
      <c r="AD19" s="450">
        <f>'27'!G106</f>
        <v>6</v>
      </c>
      <c r="AE19" s="450">
        <f>'28'!G106</f>
        <v>3</v>
      </c>
      <c r="AF19" s="450">
        <f>'29'!G106</f>
        <v>7</v>
      </c>
      <c r="AG19" s="450">
        <f>'30'!G106</f>
        <v>3</v>
      </c>
      <c r="AH19" s="450">
        <f>'31'!G106</f>
        <v>-199</v>
      </c>
      <c r="AI19" s="448"/>
    </row>
    <row r="20" spans="2:35">
      <c r="B20" s="452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2:35">
      <c r="B21" s="1488" t="s">
        <v>79</v>
      </c>
      <c r="C21" s="448" t="s">
        <v>80</v>
      </c>
      <c r="D21" s="448">
        <f>'1'!G109</f>
        <v>87</v>
      </c>
      <c r="E21" s="450">
        <f>'2'!G109</f>
        <v>94</v>
      </c>
      <c r="F21" s="450">
        <f>'3'!G109</f>
        <v>88</v>
      </c>
      <c r="G21" s="450">
        <f>'4'!G109</f>
        <v>62</v>
      </c>
      <c r="H21" s="450">
        <f>'5'!G109</f>
        <v>86</v>
      </c>
      <c r="I21" s="450">
        <f>'6'!G109</f>
        <v>85</v>
      </c>
      <c r="J21" s="450">
        <f>'7'!G109</f>
        <v>86</v>
      </c>
      <c r="K21" s="450">
        <f>'8'!G109</f>
        <v>104</v>
      </c>
      <c r="L21" s="450">
        <f>'9'!G109</f>
        <v>85</v>
      </c>
      <c r="M21" s="450">
        <f>'10'!G109</f>
        <v>62</v>
      </c>
      <c r="N21" s="450">
        <f>'11'!G109</f>
        <v>87</v>
      </c>
      <c r="O21" s="450">
        <f>'12'!G109</f>
        <v>63</v>
      </c>
      <c r="P21" s="450">
        <f>'13'!G109</f>
        <v>63</v>
      </c>
      <c r="Q21" s="450">
        <f>'14'!G109</f>
        <v>60</v>
      </c>
      <c r="R21" s="450">
        <f>'15'!G109</f>
        <v>61</v>
      </c>
      <c r="S21" s="450">
        <f>'16'!G109</f>
        <v>62</v>
      </c>
      <c r="T21" s="450">
        <f>'17'!G109</f>
        <v>62</v>
      </c>
      <c r="U21" s="450">
        <f>'18'!G109</f>
        <v>73</v>
      </c>
      <c r="V21" s="450">
        <f>'19'!G109</f>
        <v>71</v>
      </c>
      <c r="W21" s="450">
        <f>'20'!G109</f>
        <v>62</v>
      </c>
      <c r="X21" s="450">
        <f>'21'!G109</f>
        <v>82</v>
      </c>
      <c r="Y21" s="450">
        <f>'22'!G109</f>
        <v>83</v>
      </c>
      <c r="Z21" s="450">
        <f>'23'!G109</f>
        <v>61</v>
      </c>
      <c r="AA21" s="450">
        <f>'24'!G109</f>
        <v>61</v>
      </c>
      <c r="AB21" s="450">
        <f>'25'!G109</f>
        <v>86</v>
      </c>
      <c r="AC21" s="450">
        <f>'26'!G109</f>
        <v>64</v>
      </c>
      <c r="AD21" s="450">
        <f>'27'!G109</f>
        <v>81</v>
      </c>
      <c r="AE21" s="450">
        <f>'28'!G109</f>
        <v>100</v>
      </c>
      <c r="AF21" s="450">
        <f>'29'!G109</f>
        <v>83</v>
      </c>
      <c r="AG21" s="450">
        <f>'30'!G109</f>
        <v>97</v>
      </c>
      <c r="AH21" s="450">
        <f>'31'!G109</f>
        <v>-2301</v>
      </c>
      <c r="AI21" s="448"/>
    </row>
    <row r="22" spans="2:35">
      <c r="B22" s="1488"/>
      <c r="C22" s="448" t="s">
        <v>81</v>
      </c>
      <c r="D22" s="448">
        <f>'1'!G110</f>
        <v>30</v>
      </c>
      <c r="E22" s="450">
        <f>'2'!G110</f>
        <v>14</v>
      </c>
      <c r="F22" s="450">
        <f>'3'!G110</f>
        <v>71</v>
      </c>
      <c r="G22" s="450">
        <f>'4'!G110</f>
        <v>44</v>
      </c>
      <c r="H22" s="450">
        <f>'5'!G110</f>
        <v>73</v>
      </c>
      <c r="I22" s="450">
        <f>'6'!G110</f>
        <v>0</v>
      </c>
      <c r="J22" s="450">
        <f>'7'!G110</f>
        <v>0</v>
      </c>
      <c r="K22" s="450">
        <f>'8'!G110</f>
        <v>32</v>
      </c>
      <c r="L22" s="450">
        <f>'9'!G110</f>
        <v>30</v>
      </c>
      <c r="M22" s="450">
        <f>'10'!G110</f>
        <v>51</v>
      </c>
      <c r="N22" s="450">
        <f>'11'!G110</f>
        <v>19</v>
      </c>
      <c r="O22" s="450">
        <f>'12'!G110</f>
        <v>24</v>
      </c>
      <c r="P22" s="450">
        <f>'13'!G110</f>
        <v>23</v>
      </c>
      <c r="Q22" s="450">
        <f>'14'!G110</f>
        <v>24</v>
      </c>
      <c r="R22" s="450">
        <f>'15'!G110</f>
        <v>0</v>
      </c>
      <c r="S22" s="450">
        <f>'16'!G110</f>
        <v>4</v>
      </c>
      <c r="T22" s="450">
        <f>'17'!G110</f>
        <v>20</v>
      </c>
      <c r="U22" s="450">
        <f>'18'!G110</f>
        <v>5</v>
      </c>
      <c r="V22" s="450">
        <f>'19'!G110</f>
        <v>0</v>
      </c>
      <c r="W22" s="450">
        <f>'20'!G110</f>
        <v>46</v>
      </c>
      <c r="X22" s="450">
        <f>'21'!G110</f>
        <v>0</v>
      </c>
      <c r="Y22" s="450">
        <f>'22'!G110</f>
        <v>0</v>
      </c>
      <c r="Z22" s="450">
        <f>'23'!G110</f>
        <v>9</v>
      </c>
      <c r="AA22" s="450">
        <f>'24'!G110</f>
        <v>11</v>
      </c>
      <c r="AB22" s="450">
        <f>'25'!G110</f>
        <v>0</v>
      </c>
      <c r="AC22" s="450">
        <f>'26'!G110</f>
        <v>18</v>
      </c>
      <c r="AD22" s="450">
        <f>'27'!G110</f>
        <v>19</v>
      </c>
      <c r="AE22" s="450">
        <f>'28'!G110</f>
        <v>0</v>
      </c>
      <c r="AF22" s="450">
        <f>'29'!G110</f>
        <v>22</v>
      </c>
      <c r="AG22" s="450">
        <f>'30'!G110</f>
        <v>0</v>
      </c>
      <c r="AH22" s="450">
        <f>'31'!G110</f>
        <v>-589</v>
      </c>
      <c r="AI22" s="448"/>
    </row>
    <row r="23" spans="2:35">
      <c r="B23" s="1488"/>
      <c r="C23" s="448" t="s">
        <v>82</v>
      </c>
      <c r="D23" s="448">
        <f>'1'!G111</f>
        <v>21</v>
      </c>
      <c r="E23" s="450">
        <f>'2'!G111</f>
        <v>9</v>
      </c>
      <c r="F23" s="450">
        <f>'3'!G111</f>
        <v>12</v>
      </c>
      <c r="G23" s="450">
        <f>'4'!G111</f>
        <v>0</v>
      </c>
      <c r="H23" s="450">
        <f>'5'!G111</f>
        <v>10</v>
      </c>
      <c r="I23" s="450">
        <f>'6'!G111</f>
        <v>0</v>
      </c>
      <c r="J23" s="450">
        <f>'7'!G111</f>
        <v>0</v>
      </c>
      <c r="K23" s="450">
        <f>'8'!G111</f>
        <v>16</v>
      </c>
      <c r="L23" s="450">
        <f>'9'!G111</f>
        <v>15</v>
      </c>
      <c r="M23" s="450">
        <f>'10'!G111</f>
        <v>0</v>
      </c>
      <c r="N23" s="450">
        <f>'11'!G111</f>
        <v>0</v>
      </c>
      <c r="O23" s="450">
        <f>'12'!G111</f>
        <v>20</v>
      </c>
      <c r="P23" s="450">
        <f>'13'!G111</f>
        <v>0</v>
      </c>
      <c r="Q23" s="450">
        <f>'14'!G111</f>
        <v>16</v>
      </c>
      <c r="R23" s="450">
        <f>'15'!G111</f>
        <v>0</v>
      </c>
      <c r="S23" s="450">
        <f>'16'!G111</f>
        <v>17</v>
      </c>
      <c r="T23" s="450">
        <f>'17'!G111</f>
        <v>0</v>
      </c>
      <c r="U23" s="450">
        <f>'18'!G111</f>
        <v>0</v>
      </c>
      <c r="V23" s="450">
        <f>'19'!G111</f>
        <v>17</v>
      </c>
      <c r="W23" s="450">
        <f>'20'!G111</f>
        <v>0</v>
      </c>
      <c r="X23" s="450">
        <f>'21'!G111</f>
        <v>17</v>
      </c>
      <c r="Y23" s="450">
        <f>'22'!G111</f>
        <v>0</v>
      </c>
      <c r="Z23" s="450">
        <f>'23'!G111</f>
        <v>20</v>
      </c>
      <c r="AA23" s="450">
        <f>'24'!G111</f>
        <v>0</v>
      </c>
      <c r="AB23" s="450">
        <f>'25'!G111</f>
        <v>0</v>
      </c>
      <c r="AC23" s="450">
        <f>'26'!G111</f>
        <v>17</v>
      </c>
      <c r="AD23" s="450">
        <f>'27'!G111</f>
        <v>0</v>
      </c>
      <c r="AE23" s="450">
        <f>'28'!G111</f>
        <v>0</v>
      </c>
      <c r="AF23" s="450">
        <f>'29'!G111</f>
        <v>5</v>
      </c>
      <c r="AG23" s="450">
        <f>'30'!G111</f>
        <v>0</v>
      </c>
      <c r="AH23" s="450">
        <f>'31'!G111</f>
        <v>-212</v>
      </c>
      <c r="AI23" s="448"/>
    </row>
    <row r="24" spans="2:35" ht="30">
      <c r="B24" s="452" t="s">
        <v>340</v>
      </c>
      <c r="C24" s="448"/>
      <c r="D24" s="450">
        <f>SUM(D5:D6)</f>
        <v>193</v>
      </c>
      <c r="E24" s="450">
        <f t="shared" ref="E24:AH24" si="0">SUM(E5:E6)</f>
        <v>173</v>
      </c>
      <c r="F24" s="450">
        <f t="shared" si="0"/>
        <v>153</v>
      </c>
      <c r="G24" s="450">
        <f t="shared" si="0"/>
        <v>174</v>
      </c>
      <c r="H24" s="450">
        <f t="shared" si="0"/>
        <v>178</v>
      </c>
      <c r="I24" s="450">
        <f t="shared" si="0"/>
        <v>156</v>
      </c>
      <c r="J24" s="450">
        <f t="shared" si="0"/>
        <v>157</v>
      </c>
      <c r="K24" s="450">
        <f t="shared" si="0"/>
        <v>156</v>
      </c>
      <c r="L24" s="450">
        <f t="shared" si="0"/>
        <v>143</v>
      </c>
      <c r="M24" s="450">
        <f t="shared" si="0"/>
        <v>143</v>
      </c>
      <c r="N24" s="450">
        <f t="shared" si="0"/>
        <v>137</v>
      </c>
      <c r="O24" s="450">
        <f t="shared" si="0"/>
        <v>141</v>
      </c>
      <c r="P24" s="450">
        <f t="shared" si="0"/>
        <v>142</v>
      </c>
      <c r="Q24" s="450">
        <f t="shared" si="0"/>
        <v>133</v>
      </c>
      <c r="R24" s="450">
        <f t="shared" si="0"/>
        <v>138</v>
      </c>
      <c r="S24" s="450">
        <f t="shared" si="0"/>
        <v>136</v>
      </c>
      <c r="T24" s="450">
        <f t="shared" si="0"/>
        <v>138</v>
      </c>
      <c r="U24" s="450">
        <f t="shared" si="0"/>
        <v>157</v>
      </c>
      <c r="V24" s="450">
        <f t="shared" si="0"/>
        <v>151</v>
      </c>
      <c r="W24" s="450">
        <f t="shared" si="0"/>
        <v>141</v>
      </c>
      <c r="X24" s="450">
        <f t="shared" si="0"/>
        <v>158</v>
      </c>
      <c r="Y24" s="450">
        <f t="shared" si="0"/>
        <v>159</v>
      </c>
      <c r="Z24" s="450">
        <f t="shared" si="0"/>
        <v>138</v>
      </c>
      <c r="AA24" s="450">
        <f t="shared" si="0"/>
        <v>158</v>
      </c>
      <c r="AB24" s="450">
        <f t="shared" si="0"/>
        <v>133</v>
      </c>
      <c r="AC24" s="450">
        <f t="shared" si="0"/>
        <v>159</v>
      </c>
      <c r="AD24" s="450">
        <f t="shared" si="0"/>
        <v>112</v>
      </c>
      <c r="AE24" s="450">
        <f t="shared" si="0"/>
        <v>116</v>
      </c>
      <c r="AF24" s="450">
        <f t="shared" si="0"/>
        <v>75</v>
      </c>
      <c r="AG24" s="450">
        <f t="shared" si="0"/>
        <v>114</v>
      </c>
      <c r="AH24" s="450">
        <f t="shared" si="0"/>
        <v>-1572</v>
      </c>
      <c r="AI24" s="448"/>
    </row>
    <row r="25" spans="2:35" ht="30">
      <c r="B25" s="452" t="s">
        <v>83</v>
      </c>
      <c r="C25" s="448"/>
      <c r="D25" s="450">
        <f>SUM(D9:D11,D14:D15,)</f>
        <v>139</v>
      </c>
      <c r="E25" s="450">
        <f t="shared" ref="E25:AI25" si="1">SUM(E9:E11,E14:E15,)</f>
        <v>138</v>
      </c>
      <c r="F25" s="450">
        <f t="shared" si="1"/>
        <v>132</v>
      </c>
      <c r="G25" s="450">
        <f t="shared" si="1"/>
        <v>135</v>
      </c>
      <c r="H25" s="450">
        <f t="shared" si="1"/>
        <v>163</v>
      </c>
      <c r="I25" s="450">
        <f t="shared" si="1"/>
        <v>131</v>
      </c>
      <c r="J25" s="450">
        <f t="shared" si="1"/>
        <v>139</v>
      </c>
      <c r="K25" s="450">
        <f t="shared" si="1"/>
        <v>132</v>
      </c>
      <c r="L25" s="450">
        <f t="shared" si="1"/>
        <v>123</v>
      </c>
      <c r="M25" s="450">
        <f t="shared" si="1"/>
        <v>109</v>
      </c>
      <c r="N25" s="450">
        <f t="shared" si="1"/>
        <v>117</v>
      </c>
      <c r="O25" s="450">
        <f t="shared" si="1"/>
        <v>116</v>
      </c>
      <c r="P25" s="450">
        <f t="shared" si="1"/>
        <v>110</v>
      </c>
      <c r="Q25" s="450">
        <f t="shared" si="1"/>
        <v>139</v>
      </c>
      <c r="R25" s="450">
        <f t="shared" si="1"/>
        <v>106</v>
      </c>
      <c r="S25" s="450">
        <f t="shared" si="1"/>
        <v>149</v>
      </c>
      <c r="T25" s="450">
        <f>SUM(T9:T11,T14:T15,)</f>
        <v>117</v>
      </c>
      <c r="U25" s="450">
        <f t="shared" si="1"/>
        <v>115</v>
      </c>
      <c r="V25" s="450">
        <f t="shared" si="1"/>
        <v>126</v>
      </c>
      <c r="W25" s="450">
        <f t="shared" si="1"/>
        <v>136</v>
      </c>
      <c r="X25" s="450">
        <f t="shared" si="1"/>
        <v>134</v>
      </c>
      <c r="Y25" s="450">
        <f t="shared" si="1"/>
        <v>118</v>
      </c>
      <c r="Z25" s="450">
        <f t="shared" si="1"/>
        <v>126</v>
      </c>
      <c r="AA25" s="450">
        <f t="shared" si="1"/>
        <v>149</v>
      </c>
      <c r="AB25" s="450">
        <f t="shared" si="1"/>
        <v>119</v>
      </c>
      <c r="AC25" s="450">
        <f t="shared" si="1"/>
        <v>130</v>
      </c>
      <c r="AD25" s="450">
        <f t="shared" si="1"/>
        <v>89</v>
      </c>
      <c r="AE25" s="450">
        <f t="shared" si="1"/>
        <v>61</v>
      </c>
      <c r="AF25" s="450">
        <f t="shared" si="1"/>
        <v>86</v>
      </c>
      <c r="AG25" s="450">
        <f t="shared" si="1"/>
        <v>108</v>
      </c>
      <c r="AH25" s="450">
        <f t="shared" si="1"/>
        <v>-3665</v>
      </c>
      <c r="AI25" s="450">
        <f t="shared" si="1"/>
        <v>0</v>
      </c>
    </row>
    <row r="26" spans="2:35">
      <c r="B26" s="452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2:35" ht="30">
      <c r="B27" s="452" t="s">
        <v>84</v>
      </c>
      <c r="C27" s="448"/>
      <c r="D27" s="450">
        <f>SUM(D13,D21,D23)</f>
        <v>136</v>
      </c>
      <c r="E27" s="450">
        <f t="shared" ref="E27:AH27" si="2">SUM(E13,E21,E23)</f>
        <v>153</v>
      </c>
      <c r="F27" s="450">
        <f>SUM(F13,F21,F23)</f>
        <v>156</v>
      </c>
      <c r="G27" s="450">
        <f t="shared" si="2"/>
        <v>116</v>
      </c>
      <c r="H27" s="450">
        <f t="shared" si="2"/>
        <v>124</v>
      </c>
      <c r="I27" s="450">
        <f t="shared" si="2"/>
        <v>100</v>
      </c>
      <c r="J27" s="450">
        <f t="shared" si="2"/>
        <v>120</v>
      </c>
      <c r="K27" s="450">
        <f t="shared" si="2"/>
        <v>155</v>
      </c>
      <c r="L27" s="450">
        <f t="shared" si="2"/>
        <v>136</v>
      </c>
      <c r="M27" s="450">
        <f t="shared" si="2"/>
        <v>112</v>
      </c>
      <c r="N27" s="450">
        <f t="shared" si="2"/>
        <v>115</v>
      </c>
      <c r="O27" s="450">
        <f t="shared" si="2"/>
        <v>113</v>
      </c>
      <c r="P27" s="450">
        <f t="shared" si="2"/>
        <v>88</v>
      </c>
      <c r="Q27" s="450">
        <f t="shared" si="2"/>
        <v>92</v>
      </c>
      <c r="R27" s="450">
        <f t="shared" si="2"/>
        <v>75</v>
      </c>
      <c r="S27" s="450">
        <f t="shared" si="2"/>
        <v>93</v>
      </c>
      <c r="T27" s="450">
        <f t="shared" si="2"/>
        <v>71</v>
      </c>
      <c r="U27" s="450">
        <f t="shared" si="2"/>
        <v>80</v>
      </c>
      <c r="V27" s="450">
        <f t="shared" si="2"/>
        <v>100</v>
      </c>
      <c r="W27" s="450">
        <f t="shared" si="2"/>
        <v>76</v>
      </c>
      <c r="X27" s="450">
        <f t="shared" si="2"/>
        <v>107</v>
      </c>
      <c r="Y27" s="450">
        <f t="shared" si="2"/>
        <v>90</v>
      </c>
      <c r="Z27" s="450">
        <f t="shared" si="2"/>
        <v>87</v>
      </c>
      <c r="AA27" s="450">
        <f t="shared" si="2"/>
        <v>66</v>
      </c>
      <c r="AB27" s="450">
        <f t="shared" si="2"/>
        <v>91</v>
      </c>
      <c r="AC27" s="450">
        <f t="shared" si="2"/>
        <v>91</v>
      </c>
      <c r="AD27" s="450">
        <f t="shared" si="2"/>
        <v>92</v>
      </c>
      <c r="AE27" s="450">
        <f t="shared" si="2"/>
        <v>103</v>
      </c>
      <c r="AF27" s="450">
        <f t="shared" si="2"/>
        <v>94</v>
      </c>
      <c r="AG27" s="450">
        <f t="shared" si="2"/>
        <v>105</v>
      </c>
      <c r="AH27" s="450">
        <f t="shared" si="2"/>
        <v>-3137</v>
      </c>
      <c r="AI27" s="450">
        <f t="shared" ref="AI27" si="3">SUM(AI13)</f>
        <v>0</v>
      </c>
    </row>
    <row r="28" spans="2:35">
      <c r="B28" s="1029"/>
      <c r="C28" s="1030"/>
      <c r="D28" s="1030"/>
      <c r="E28" s="1030"/>
      <c r="F28" s="1030"/>
      <c r="G28" s="1030"/>
      <c r="H28" s="1030"/>
      <c r="I28" s="1030"/>
      <c r="J28" s="1030"/>
      <c r="K28" s="1030"/>
      <c r="L28" s="1030"/>
      <c r="M28" s="1030"/>
      <c r="N28" s="1030"/>
      <c r="O28" s="1030"/>
      <c r="P28" s="1030"/>
      <c r="Q28" s="1030"/>
      <c r="R28" s="1030"/>
      <c r="S28" s="1030"/>
      <c r="T28" s="1030"/>
      <c r="U28" s="1030"/>
      <c r="V28" s="1030"/>
      <c r="W28" s="1030"/>
      <c r="X28" s="1030"/>
      <c r="Y28" s="1030"/>
      <c r="Z28" s="1030"/>
      <c r="AA28" s="1030"/>
      <c r="AB28" s="1030"/>
      <c r="AC28" s="1030"/>
      <c r="AD28" s="1030"/>
      <c r="AE28" s="1030"/>
      <c r="AF28" s="1030"/>
      <c r="AG28" s="1030"/>
      <c r="AH28" s="1030"/>
      <c r="AI28" s="1030"/>
    </row>
    <row r="29" spans="2:35">
      <c r="B29" s="1029" t="s">
        <v>85</v>
      </c>
      <c r="C29" s="1030"/>
      <c r="D29" s="1031">
        <f>D9</f>
        <v>77</v>
      </c>
      <c r="E29" s="1031">
        <f t="shared" ref="E29:AH29" si="4">E9</f>
        <v>87</v>
      </c>
      <c r="F29" s="1031">
        <f t="shared" si="4"/>
        <v>72</v>
      </c>
      <c r="G29" s="1031">
        <f t="shared" si="4"/>
        <v>71</v>
      </c>
      <c r="H29" s="1031">
        <f t="shared" si="4"/>
        <v>68</v>
      </c>
      <c r="I29" s="1031">
        <f t="shared" si="4"/>
        <v>68</v>
      </c>
      <c r="J29" s="1031">
        <f t="shared" si="4"/>
        <v>79</v>
      </c>
      <c r="K29" s="1031">
        <f t="shared" si="4"/>
        <v>78</v>
      </c>
      <c r="L29" s="1031">
        <f t="shared" si="4"/>
        <v>75</v>
      </c>
      <c r="M29" s="1031">
        <f t="shared" si="4"/>
        <v>69</v>
      </c>
      <c r="N29" s="1031">
        <f t="shared" si="4"/>
        <v>73</v>
      </c>
      <c r="O29" s="1031">
        <f t="shared" si="4"/>
        <v>68</v>
      </c>
      <c r="P29" s="1031">
        <f t="shared" si="4"/>
        <v>66</v>
      </c>
      <c r="Q29" s="1031">
        <f t="shared" si="4"/>
        <v>76</v>
      </c>
      <c r="R29" s="1031">
        <f t="shared" si="4"/>
        <v>61</v>
      </c>
      <c r="S29" s="1031">
        <f t="shared" si="4"/>
        <v>70</v>
      </c>
      <c r="T29" s="1031">
        <f t="shared" si="4"/>
        <v>61</v>
      </c>
      <c r="U29" s="1031">
        <f t="shared" si="4"/>
        <v>63</v>
      </c>
      <c r="V29" s="1031">
        <f t="shared" si="4"/>
        <v>70</v>
      </c>
      <c r="W29" s="1031">
        <f t="shared" si="4"/>
        <v>77</v>
      </c>
      <c r="X29" s="1031">
        <f t="shared" si="4"/>
        <v>79</v>
      </c>
      <c r="Y29" s="1031">
        <f t="shared" si="4"/>
        <v>64</v>
      </c>
      <c r="Z29" s="1031">
        <f t="shared" si="4"/>
        <v>65</v>
      </c>
      <c r="AA29" s="1031">
        <f t="shared" si="4"/>
        <v>96</v>
      </c>
      <c r="AB29" s="1031">
        <f t="shared" si="4"/>
        <v>56</v>
      </c>
      <c r="AC29" s="1031">
        <f t="shared" si="4"/>
        <v>80</v>
      </c>
      <c r="AD29" s="1031">
        <f t="shared" si="4"/>
        <v>61</v>
      </c>
      <c r="AE29" s="1031">
        <f t="shared" si="4"/>
        <v>38</v>
      </c>
      <c r="AF29" s="1031">
        <f t="shared" si="4"/>
        <v>59</v>
      </c>
      <c r="AG29" s="1031">
        <f t="shared" si="4"/>
        <v>74</v>
      </c>
      <c r="AH29" s="1031">
        <f t="shared" si="4"/>
        <v>-2101</v>
      </c>
      <c r="AI29" s="1030"/>
    </row>
    <row r="30" spans="2:35">
      <c r="B30" s="1029" t="s">
        <v>86</v>
      </c>
      <c r="C30" s="1030"/>
      <c r="D30" s="1031">
        <f>SUM(D10:D11,D14:D15)</f>
        <v>62</v>
      </c>
      <c r="E30" s="1031">
        <f t="shared" ref="E30:AH30" si="5">SUM(E10:E11,E14:E15)</f>
        <v>51</v>
      </c>
      <c r="F30" s="1031">
        <f t="shared" si="5"/>
        <v>60</v>
      </c>
      <c r="G30" s="1031">
        <f t="shared" si="5"/>
        <v>64</v>
      </c>
      <c r="H30" s="1031">
        <f t="shared" si="5"/>
        <v>95</v>
      </c>
      <c r="I30" s="1031">
        <f t="shared" si="5"/>
        <v>63</v>
      </c>
      <c r="J30" s="1031">
        <f t="shared" si="5"/>
        <v>60</v>
      </c>
      <c r="K30" s="1031">
        <f t="shared" si="5"/>
        <v>54</v>
      </c>
      <c r="L30" s="1031">
        <f t="shared" si="5"/>
        <v>48</v>
      </c>
      <c r="M30" s="1031">
        <f t="shared" si="5"/>
        <v>40</v>
      </c>
      <c r="N30" s="1031">
        <f t="shared" si="5"/>
        <v>44</v>
      </c>
      <c r="O30" s="1031">
        <f t="shared" si="5"/>
        <v>48</v>
      </c>
      <c r="P30" s="1031">
        <f t="shared" si="5"/>
        <v>44</v>
      </c>
      <c r="Q30" s="1031">
        <f t="shared" si="5"/>
        <v>63</v>
      </c>
      <c r="R30" s="1031">
        <f t="shared" si="5"/>
        <v>45</v>
      </c>
      <c r="S30" s="1031">
        <f t="shared" si="5"/>
        <v>79</v>
      </c>
      <c r="T30" s="1031">
        <f t="shared" si="5"/>
        <v>56</v>
      </c>
      <c r="U30" s="1031">
        <f t="shared" si="5"/>
        <v>52</v>
      </c>
      <c r="V30" s="1031">
        <f t="shared" si="5"/>
        <v>56</v>
      </c>
      <c r="W30" s="1031">
        <f t="shared" si="5"/>
        <v>59</v>
      </c>
      <c r="X30" s="1031">
        <f t="shared" si="5"/>
        <v>55</v>
      </c>
      <c r="Y30" s="1031">
        <f t="shared" si="5"/>
        <v>54</v>
      </c>
      <c r="Z30" s="1031">
        <f t="shared" si="5"/>
        <v>61</v>
      </c>
      <c r="AA30" s="1031">
        <f t="shared" si="5"/>
        <v>53</v>
      </c>
      <c r="AB30" s="1031">
        <f t="shared" si="5"/>
        <v>63</v>
      </c>
      <c r="AC30" s="1031">
        <f t="shared" si="5"/>
        <v>50</v>
      </c>
      <c r="AD30" s="1031">
        <f t="shared" si="5"/>
        <v>28</v>
      </c>
      <c r="AE30" s="1031">
        <f t="shared" si="5"/>
        <v>23</v>
      </c>
      <c r="AF30" s="1031">
        <f t="shared" si="5"/>
        <v>27</v>
      </c>
      <c r="AG30" s="1031">
        <f t="shared" si="5"/>
        <v>34</v>
      </c>
      <c r="AH30" s="1031">
        <f t="shared" si="5"/>
        <v>-1564</v>
      </c>
      <c r="AI30" s="1030"/>
    </row>
    <row r="31" spans="2:35">
      <c r="B31" s="1029" t="s">
        <v>87</v>
      </c>
      <c r="C31" s="1030"/>
      <c r="D31" s="1030">
        <f>D30/SUM(D29:D30)%</f>
        <v>44.60431654676259</v>
      </c>
      <c r="E31" s="1030">
        <f t="shared" ref="E31:AH31" si="6">E30/SUM(E29:E30)%</f>
        <v>36.956521739130437</v>
      </c>
      <c r="F31" s="1030">
        <f t="shared" si="6"/>
        <v>45.454545454545453</v>
      </c>
      <c r="G31" s="1030">
        <f t="shared" si="6"/>
        <v>47.407407407407405</v>
      </c>
      <c r="H31" s="1030">
        <f t="shared" si="6"/>
        <v>58.282208588957062</v>
      </c>
      <c r="I31" s="1030">
        <f t="shared" si="6"/>
        <v>48.091603053435115</v>
      </c>
      <c r="J31" s="1030">
        <f t="shared" si="6"/>
        <v>43.165467625899282</v>
      </c>
      <c r="K31" s="1030">
        <f t="shared" si="6"/>
        <v>40.909090909090907</v>
      </c>
      <c r="L31" s="1030">
        <f t="shared" si="6"/>
        <v>39.024390243902438</v>
      </c>
      <c r="M31" s="1030">
        <f t="shared" si="6"/>
        <v>36.697247706422019</v>
      </c>
      <c r="N31" s="1030">
        <f t="shared" si="6"/>
        <v>37.606837606837608</v>
      </c>
      <c r="O31" s="1030">
        <f t="shared" si="6"/>
        <v>41.379310344827587</v>
      </c>
      <c r="P31" s="1030">
        <f t="shared" si="6"/>
        <v>40</v>
      </c>
      <c r="Q31" s="1030">
        <f t="shared" si="6"/>
        <v>45.323741007194251</v>
      </c>
      <c r="R31" s="1030">
        <f t="shared" si="6"/>
        <v>42.452830188679243</v>
      </c>
      <c r="S31" s="1030">
        <f t="shared" si="6"/>
        <v>53.020134228187921</v>
      </c>
      <c r="T31" s="1030">
        <f t="shared" si="6"/>
        <v>47.863247863247864</v>
      </c>
      <c r="U31" s="1030">
        <f t="shared" si="6"/>
        <v>45.217391304347828</v>
      </c>
      <c r="V31" s="1030">
        <f t="shared" si="6"/>
        <v>44.444444444444443</v>
      </c>
      <c r="W31" s="1030">
        <f t="shared" si="6"/>
        <v>43.382352941176471</v>
      </c>
      <c r="X31" s="1030">
        <f t="shared" si="6"/>
        <v>41.044776119402982</v>
      </c>
      <c r="Y31" s="1030">
        <f t="shared" si="6"/>
        <v>45.762711864406782</v>
      </c>
      <c r="Z31" s="1030">
        <f t="shared" si="6"/>
        <v>48.412698412698411</v>
      </c>
      <c r="AA31" s="1030">
        <f t="shared" si="6"/>
        <v>35.570469798657719</v>
      </c>
      <c r="AB31" s="1030">
        <f t="shared" si="6"/>
        <v>52.941176470588239</v>
      </c>
      <c r="AC31" s="1030">
        <f t="shared" si="6"/>
        <v>38.46153846153846</v>
      </c>
      <c r="AD31" s="1030">
        <f t="shared" si="6"/>
        <v>31.460674157303369</v>
      </c>
      <c r="AE31" s="1030">
        <f t="shared" si="6"/>
        <v>37.704918032786885</v>
      </c>
      <c r="AF31" s="1030">
        <f t="shared" si="6"/>
        <v>31.395348837209301</v>
      </c>
      <c r="AG31" s="1030">
        <f t="shared" si="6"/>
        <v>31.481481481481481</v>
      </c>
      <c r="AH31" s="1030">
        <f t="shared" si="6"/>
        <v>42.67394270122783</v>
      </c>
      <c r="AI31" s="1030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90"/>
  <sheetViews>
    <sheetView topLeftCell="A14" zoomScale="85" zoomScaleNormal="85" workbookViewId="0">
      <pane xSplit="1" topLeftCell="B1" activePane="topRight" state="frozen"/>
      <selection activeCell="A3" sqref="A3"/>
      <selection pane="topRight" activeCell="C5" sqref="C5:C34"/>
    </sheetView>
  </sheetViews>
  <sheetFormatPr defaultRowHeight="15.75"/>
  <cols>
    <col min="1" max="5" width="8.88671875" style="1040"/>
    <col min="6" max="6" width="8.109375" bestFit="1" customWidth="1"/>
    <col min="7" max="7" width="6.88671875" customWidth="1"/>
    <col min="8" max="9" width="7.5546875" bestFit="1" customWidth="1"/>
    <col min="10" max="10" width="8.109375" bestFit="1" customWidth="1"/>
    <col min="11" max="11" width="8.21875" bestFit="1" customWidth="1"/>
    <col min="12" max="13" width="7.109375" customWidth="1"/>
    <col min="14" max="32" width="7.33203125" style="1040" customWidth="1"/>
    <col min="33" max="51" width="7" style="1040" customWidth="1"/>
    <col min="52" max="16384" width="8.88671875" style="1040"/>
  </cols>
  <sheetData>
    <row r="1" spans="1:53" ht="16.5" thickBot="1">
      <c r="F1" s="1040"/>
      <c r="G1" s="1040"/>
      <c r="H1" s="1040"/>
      <c r="I1" s="1040"/>
      <c r="J1" s="1040"/>
      <c r="K1" s="1040"/>
      <c r="L1" s="1040"/>
      <c r="M1" s="1040"/>
    </row>
    <row r="2" spans="1:53">
      <c r="F2" s="1492" t="s">
        <v>352</v>
      </c>
      <c r="G2" s="1486"/>
      <c r="H2" s="1486"/>
      <c r="I2" s="1486"/>
      <c r="J2" s="1486"/>
      <c r="K2" s="1486"/>
      <c r="L2" s="1486"/>
      <c r="M2" s="1487"/>
      <c r="N2" s="1491" t="s">
        <v>88</v>
      </c>
      <c r="O2" s="1491"/>
      <c r="P2" s="1491"/>
      <c r="Q2" s="1491"/>
      <c r="R2" s="1491"/>
      <c r="S2" s="1491"/>
      <c r="T2" s="1491"/>
      <c r="U2" s="1491"/>
      <c r="V2" s="1491"/>
      <c r="W2" s="1491"/>
      <c r="X2" s="1491"/>
      <c r="Y2" s="1491"/>
      <c r="Z2" s="1491"/>
      <c r="AA2" s="1491"/>
      <c r="AB2" s="1491"/>
      <c r="AC2" s="1491"/>
      <c r="AD2" s="1491"/>
      <c r="AE2" s="1491"/>
      <c r="AF2" s="1491"/>
      <c r="AG2" s="1491"/>
      <c r="AH2" s="1491"/>
      <c r="AI2" s="1491"/>
      <c r="AJ2" s="1491"/>
      <c r="AK2" s="1491"/>
      <c r="AL2" s="1491"/>
      <c r="AM2" s="1491"/>
      <c r="AN2" s="1490"/>
      <c r="AO2" s="1490"/>
      <c r="AP2" s="1490"/>
      <c r="AQ2" s="1490"/>
      <c r="AR2" s="1490"/>
      <c r="AS2" s="1490"/>
      <c r="AT2" s="1490"/>
      <c r="AU2" s="1119"/>
      <c r="AV2" s="1489" t="s">
        <v>89</v>
      </c>
      <c r="AW2" s="1489"/>
      <c r="AX2" s="1489"/>
      <c r="AY2" s="1489"/>
    </row>
    <row r="3" spans="1:53">
      <c r="F3" s="1290"/>
      <c r="G3" s="438"/>
      <c r="H3" s="438"/>
      <c r="I3" s="438"/>
      <c r="J3" s="438"/>
      <c r="K3" s="438"/>
      <c r="L3" s="438"/>
      <c r="M3" s="1291"/>
      <c r="N3" s="1289"/>
      <c r="O3" s="1289"/>
      <c r="P3" s="1289"/>
      <c r="Q3" s="1289"/>
      <c r="R3" s="1289"/>
      <c r="S3" s="1289"/>
      <c r="T3" s="1289"/>
      <c r="U3" s="1289"/>
      <c r="V3" s="1289"/>
      <c r="W3" s="1289"/>
      <c r="X3" s="1289"/>
      <c r="Y3" s="1289"/>
      <c r="Z3" s="1289"/>
      <c r="AA3" s="1292"/>
      <c r="AB3" s="1292"/>
      <c r="AC3" s="1292"/>
      <c r="AD3" s="1292"/>
      <c r="AE3" s="1292"/>
      <c r="AF3" s="1292"/>
      <c r="AG3" s="1292"/>
      <c r="AH3" s="1292"/>
      <c r="AI3" s="1292"/>
      <c r="AJ3" s="1292"/>
      <c r="AK3" s="1292"/>
      <c r="AL3" s="1292"/>
      <c r="AM3" s="1289"/>
      <c r="AN3" s="1493" t="s">
        <v>140</v>
      </c>
      <c r="AO3" s="1493"/>
      <c r="AP3" s="1493"/>
      <c r="AQ3" s="1493"/>
      <c r="AR3" s="1493"/>
      <c r="AS3" s="1493"/>
      <c r="AT3" s="1493"/>
      <c r="AU3" s="1494" t="s">
        <v>321</v>
      </c>
      <c r="AV3" s="1494"/>
      <c r="AW3" s="1494"/>
      <c r="AX3" s="1494"/>
      <c r="AY3" s="1494"/>
    </row>
    <row r="4" spans="1:53" ht="34.5" customHeight="1">
      <c r="A4" s="1041"/>
      <c r="B4" s="1389" t="s">
        <v>347</v>
      </c>
      <c r="C4" s="1389" t="s">
        <v>348</v>
      </c>
      <c r="D4" s="1389" t="s">
        <v>351</v>
      </c>
      <c r="E4" s="1389" t="s">
        <v>350</v>
      </c>
      <c r="F4" s="1293" t="s">
        <v>322</v>
      </c>
      <c r="G4" s="1294" t="s">
        <v>323</v>
      </c>
      <c r="H4" s="1294" t="s">
        <v>324</v>
      </c>
      <c r="I4" s="1294" t="s">
        <v>325</v>
      </c>
      <c r="J4" s="1294" t="s">
        <v>320</v>
      </c>
      <c r="K4" s="1294" t="s">
        <v>53</v>
      </c>
      <c r="L4" s="1295" t="s">
        <v>62</v>
      </c>
      <c r="M4" s="1295" t="s">
        <v>55</v>
      </c>
      <c r="N4" s="1041" t="s">
        <v>90</v>
      </c>
      <c r="O4" s="1041" t="s">
        <v>91</v>
      </c>
      <c r="P4" s="1041" t="s">
        <v>106</v>
      </c>
      <c r="Q4" s="1041" t="s">
        <v>326</v>
      </c>
      <c r="R4" s="1041" t="s">
        <v>327</v>
      </c>
      <c r="S4" s="1041" t="s">
        <v>328</v>
      </c>
      <c r="T4" s="1041" t="s">
        <v>329</v>
      </c>
      <c r="U4" s="1041" t="s">
        <v>92</v>
      </c>
      <c r="V4" s="1041" t="s">
        <v>330</v>
      </c>
      <c r="W4" s="1041" t="s">
        <v>331</v>
      </c>
      <c r="X4" s="1041" t="s">
        <v>314</v>
      </c>
      <c r="Y4" s="1041" t="s">
        <v>77</v>
      </c>
      <c r="Z4" s="1041" t="s">
        <v>332</v>
      </c>
      <c r="AA4" s="1042" t="s">
        <v>333</v>
      </c>
      <c r="AB4" s="1042" t="s">
        <v>102</v>
      </c>
      <c r="AC4" s="1042" t="s">
        <v>96</v>
      </c>
      <c r="AD4" s="1042" t="s">
        <v>97</v>
      </c>
      <c r="AE4" s="433" t="s">
        <v>334</v>
      </c>
      <c r="AF4" s="434" t="s">
        <v>99</v>
      </c>
      <c r="AG4" s="434" t="s">
        <v>99</v>
      </c>
      <c r="AH4" s="434" t="s">
        <v>100</v>
      </c>
      <c r="AI4" s="434" t="s">
        <v>313</v>
      </c>
      <c r="AJ4" s="434" t="s">
        <v>102</v>
      </c>
      <c r="AK4" s="434" t="s">
        <v>103</v>
      </c>
      <c r="AL4" s="434" t="s">
        <v>104</v>
      </c>
      <c r="AM4" s="1041" t="s">
        <v>201</v>
      </c>
      <c r="AN4" s="1041" t="s">
        <v>335</v>
      </c>
      <c r="AO4" s="1041" t="s">
        <v>105</v>
      </c>
      <c r="AP4" s="1041" t="s">
        <v>106</v>
      </c>
      <c r="AQ4" s="1041" t="s">
        <v>107</v>
      </c>
      <c r="AR4" s="1041" t="s">
        <v>108</v>
      </c>
      <c r="AS4" s="1041" t="s">
        <v>109</v>
      </c>
      <c r="AT4" s="1041" t="s">
        <v>336</v>
      </c>
      <c r="AU4" s="1041" t="s">
        <v>105</v>
      </c>
      <c r="AV4" s="1041" t="s">
        <v>41</v>
      </c>
      <c r="AW4" s="1041" t="s">
        <v>42</v>
      </c>
      <c r="AX4" s="1041" t="s">
        <v>311</v>
      </c>
      <c r="AY4" s="1041" t="s">
        <v>110</v>
      </c>
    </row>
    <row r="5" spans="1:53">
      <c r="A5" s="1043">
        <v>43922</v>
      </c>
      <c r="B5" s="261">
        <f>'1'!G7</f>
        <v>23696</v>
      </c>
      <c r="C5" s="261">
        <f>'1'!G8</f>
        <v>23784</v>
      </c>
      <c r="D5" s="261">
        <f>'1'!G15</f>
        <v>969</v>
      </c>
      <c r="E5" s="261">
        <f>'1'!G20</f>
        <v>193</v>
      </c>
      <c r="F5" s="261">
        <f>SUM('1'!G35,'1'!G49)</f>
        <v>3430</v>
      </c>
      <c r="G5" s="261">
        <f>SUM('1'!H37,'1'!H51)</f>
        <v>1448</v>
      </c>
      <c r="H5" s="261">
        <f>SUM('1'!G38,'1'!G52)</f>
        <v>1779</v>
      </c>
      <c r="I5" s="261">
        <f>SUM('1'!G39,'1'!G53)</f>
        <v>4613</v>
      </c>
      <c r="J5" s="261">
        <f>SUM('1'!G41,'1'!G42,'1'!G55,'1'!G56)</f>
        <v>6956.8399999999965</v>
      </c>
      <c r="K5" s="261">
        <f>SUM('1'!G43,'1'!G57)</f>
        <v>2596</v>
      </c>
      <c r="L5" s="1044">
        <f>'1'!G50</f>
        <v>1486</v>
      </c>
      <c r="M5" s="1044">
        <f>'1'!G36</f>
        <v>1016</v>
      </c>
      <c r="N5" s="1044">
        <f>'1'!G72</f>
        <v>122</v>
      </c>
      <c r="O5" s="1044">
        <f>'1'!$G$73</f>
        <v>4</v>
      </c>
      <c r="P5" s="1044">
        <f>'1'!$G$74</f>
        <v>19</v>
      </c>
      <c r="Q5" s="1044">
        <f>'1'!$G$75</f>
        <v>150</v>
      </c>
      <c r="R5" s="1044">
        <f>'1'!$G$76</f>
        <v>59</v>
      </c>
      <c r="S5" s="1044">
        <f>'1'!$G$77</f>
        <v>50</v>
      </c>
      <c r="T5" s="1044">
        <f>'1'!$G$78</f>
        <v>395</v>
      </c>
      <c r="U5" s="1044">
        <f>'1'!$G$79</f>
        <v>194</v>
      </c>
      <c r="V5" s="1044">
        <f>'1'!$G$80</f>
        <v>380</v>
      </c>
      <c r="W5" s="1044">
        <f>'1'!$G$81</f>
        <v>198</v>
      </c>
      <c r="X5" s="1044">
        <f>'1'!$G$82</f>
        <v>23</v>
      </c>
      <c r="Y5" s="1044">
        <f>'1'!$G$58</f>
        <v>172</v>
      </c>
      <c r="Z5" s="1044">
        <f>'1'!$G$83</f>
        <v>239</v>
      </c>
      <c r="AA5" s="1044">
        <f>'1'!G86</f>
        <v>223</v>
      </c>
      <c r="AB5" s="1044">
        <f>'1'!G87</f>
        <v>34</v>
      </c>
      <c r="AC5" s="1044">
        <f>'1'!G88</f>
        <v>69</v>
      </c>
      <c r="AD5" s="1044">
        <f>'1'!G89+'1'!G90</f>
        <v>45</v>
      </c>
      <c r="AE5" s="1044">
        <f>'1'!$G$62</f>
        <v>0</v>
      </c>
      <c r="AF5" s="1044">
        <f>'1'!$G$63</f>
        <v>12</v>
      </c>
      <c r="AG5" s="1044">
        <f>'1'!$G$64</f>
        <v>463</v>
      </c>
      <c r="AH5" s="1044">
        <f>'1'!$G$65</f>
        <v>364</v>
      </c>
      <c r="AI5" s="1044">
        <f>'1'!$G$66</f>
        <v>392</v>
      </c>
      <c r="AJ5" s="1044">
        <f>'1'!$G$67</f>
        <v>695</v>
      </c>
      <c r="AK5" s="1044">
        <f>'1'!$G$68</f>
        <v>322</v>
      </c>
      <c r="AL5" s="1044">
        <f>'1'!$G$69</f>
        <v>307</v>
      </c>
      <c r="AM5" s="1044">
        <f>'1'!$G$84</f>
        <v>915</v>
      </c>
      <c r="AN5" s="1044">
        <f>'1'!$G$15</f>
        <v>969</v>
      </c>
      <c r="AO5" s="1044">
        <f>'1'!$G$123</f>
        <v>257</v>
      </c>
      <c r="AP5" s="1044">
        <f>'1'!$G$124</f>
        <v>0</v>
      </c>
      <c r="AQ5" s="1044">
        <f>'1'!$G$125</f>
        <v>96</v>
      </c>
      <c r="AR5" s="1044">
        <f>'1'!$G$126</f>
        <v>0</v>
      </c>
      <c r="AS5" s="1044">
        <f>'1'!$G$127</f>
        <v>1</v>
      </c>
      <c r="AT5" s="1044">
        <f>AN5-SUM(AO5:AS5)</f>
        <v>615</v>
      </c>
      <c r="AU5" s="1044">
        <f>SUM('1'!G139:G140)</f>
        <v>8.3599999999996726</v>
      </c>
      <c r="AV5" s="1044">
        <f>'1'!$G$136</f>
        <v>10.239999999997963</v>
      </c>
      <c r="AW5" s="1044">
        <f>'1'!$G$137</f>
        <v>0.18000000000029104</v>
      </c>
      <c r="AX5" s="1044">
        <f>'1'!$G$138</f>
        <v>2.5400000000081491</v>
      </c>
      <c r="AY5" s="1041">
        <f>SUM(AV5:AX5)</f>
        <v>12.960000000006403</v>
      </c>
    </row>
    <row r="6" spans="1:53">
      <c r="A6" s="1043">
        <v>43923</v>
      </c>
      <c r="B6" s="261">
        <f>'2'!G7</f>
        <v>22156</v>
      </c>
      <c r="C6" s="261">
        <f>'2'!G8</f>
        <v>22270</v>
      </c>
      <c r="D6" s="261">
        <f>'2'!G15</f>
        <v>982</v>
      </c>
      <c r="E6" s="261">
        <f>'2'!G20</f>
        <v>173</v>
      </c>
      <c r="F6" s="261">
        <f>SUM('2'!G35,'2'!G49)</f>
        <v>3377.1300000000047</v>
      </c>
      <c r="G6" s="261">
        <f>SUM('2'!G37,'2'!G51)</f>
        <v>1445</v>
      </c>
      <c r="H6" s="261">
        <f>SUM('2'!G38,'2'!G52)</f>
        <v>1823</v>
      </c>
      <c r="I6" s="261">
        <f>SUM('2'!G39,'2'!G53)</f>
        <v>3883</v>
      </c>
      <c r="J6" s="261">
        <f>SUM('2'!G41,'2'!G42,'2'!G55,'2'!G56)</f>
        <v>6251</v>
      </c>
      <c r="K6" s="261">
        <f>SUM('2'!G43,'2'!G57)</f>
        <v>2688</v>
      </c>
      <c r="L6" s="1044">
        <f>'2'!G50</f>
        <v>1086</v>
      </c>
      <c r="M6" s="1044">
        <f>'2'!G36</f>
        <v>922</v>
      </c>
      <c r="N6" s="1044">
        <f>'2'!G72</f>
        <v>108</v>
      </c>
      <c r="O6" s="1044">
        <f>'2'!$G$73</f>
        <v>1</v>
      </c>
      <c r="P6" s="1044">
        <f>'2'!$G$74</f>
        <v>20</v>
      </c>
      <c r="Q6" s="1044">
        <f>'2'!$G$75</f>
        <v>136</v>
      </c>
      <c r="R6" s="1044">
        <f>'2'!$G$76</f>
        <v>59</v>
      </c>
      <c r="S6" s="1044">
        <f>'2'!$G$77</f>
        <v>47</v>
      </c>
      <c r="T6" s="1044">
        <f>'2'!$G$78</f>
        <v>328</v>
      </c>
      <c r="U6" s="1044">
        <f>'2'!$G$79</f>
        <v>190</v>
      </c>
      <c r="V6" s="1044">
        <f>'2'!$G$80</f>
        <v>333</v>
      </c>
      <c r="W6" s="1035">
        <f>'2'!$G$81</f>
        <v>294</v>
      </c>
      <c r="X6" s="1035">
        <f>'2'!$G$82</f>
        <v>27</v>
      </c>
      <c r="Y6" s="1035">
        <f>'2'!$G$58</f>
        <v>218</v>
      </c>
      <c r="Z6" s="1035">
        <f>'2'!$G$83</f>
        <v>276</v>
      </c>
      <c r="AA6" s="1035">
        <f>'2'!G86</f>
        <v>154</v>
      </c>
      <c r="AB6" s="1044">
        <f>'2'!G87</f>
        <v>33</v>
      </c>
      <c r="AC6" s="1044">
        <f>'2'!G88</f>
        <v>107</v>
      </c>
      <c r="AD6" s="1044">
        <f>'2'!G89+'2'!G90</f>
        <v>43</v>
      </c>
      <c r="AE6" s="1044">
        <f>'2'!$G$62</f>
        <v>0</v>
      </c>
      <c r="AF6" s="1044">
        <f>'2'!$G$63</f>
        <v>10</v>
      </c>
      <c r="AG6" s="1044">
        <f>'2'!$G$64</f>
        <v>456</v>
      </c>
      <c r="AH6" s="1044">
        <f>'2'!$G$65</f>
        <v>362</v>
      </c>
      <c r="AI6" s="1044">
        <f>'2'!$G$66</f>
        <v>398</v>
      </c>
      <c r="AJ6" s="1044">
        <f>'2'!$G$67</f>
        <v>629</v>
      </c>
      <c r="AK6" s="1044">
        <f>'2'!$G$68</f>
        <v>306</v>
      </c>
      <c r="AL6" s="1044">
        <f>'2'!$G$69</f>
        <v>308</v>
      </c>
      <c r="AM6" s="1044">
        <f>'2'!$G$84</f>
        <v>920</v>
      </c>
      <c r="AN6" s="1044">
        <f>'2'!$G$15</f>
        <v>982</v>
      </c>
      <c r="AO6" s="1044">
        <f>'2'!$G$123</f>
        <v>231</v>
      </c>
      <c r="AP6" s="1044">
        <f>'2'!$G$124</f>
        <v>0</v>
      </c>
      <c r="AQ6" s="1044">
        <f>'2'!$G$125</f>
        <v>82</v>
      </c>
      <c r="AR6" s="1044">
        <f>'2'!$G$126</f>
        <v>0</v>
      </c>
      <c r="AS6" s="1044">
        <f>'2'!$G$127</f>
        <v>3</v>
      </c>
      <c r="AT6" s="1044">
        <f t="shared" ref="AT6:AT34" si="0">AN6-SUM(AO6:AS6)</f>
        <v>666</v>
      </c>
      <c r="AU6" s="1044">
        <f>SUM('2'!G139:G140)</f>
        <v>7.5399999999999636</v>
      </c>
      <c r="AV6" s="1044">
        <f>'2'!$G$136</f>
        <v>10.479999999999563</v>
      </c>
      <c r="AW6" s="1044">
        <f>'2'!$G$137</f>
        <v>0</v>
      </c>
      <c r="AX6" s="1044">
        <f>'2'!$G$138</f>
        <v>6.0899999999965075</v>
      </c>
      <c r="AY6" s="1041">
        <f t="shared" ref="AY6:AY34" si="1">SUM(AV6:AX6)</f>
        <v>16.569999999996071</v>
      </c>
    </row>
    <row r="7" spans="1:53" s="1046" customFormat="1">
      <c r="A7" s="1043">
        <v>43924</v>
      </c>
      <c r="B7" s="261">
        <f>'3'!G7</f>
        <v>21071</v>
      </c>
      <c r="C7" s="261">
        <f>'3'!G8</f>
        <v>21169</v>
      </c>
      <c r="D7" s="261">
        <f>'3'!G15</f>
        <v>1003</v>
      </c>
      <c r="E7" s="261">
        <f>'3'!G20</f>
        <v>153</v>
      </c>
      <c r="F7" s="261">
        <f>SUM('3'!G35,'3'!G49)</f>
        <v>3065</v>
      </c>
      <c r="G7" s="261">
        <f>SUM('3'!G37,'3'!G51)</f>
        <v>1432</v>
      </c>
      <c r="H7" s="261">
        <f>SUM('3'!G38,'3'!G52)</f>
        <v>1736</v>
      </c>
      <c r="I7" s="261">
        <f>SUM('3'!G39,'3'!G53)</f>
        <v>3855</v>
      </c>
      <c r="J7" s="261">
        <f>SUM('3'!G41,'3'!G42,'3'!G55,'3'!G56)</f>
        <v>5680</v>
      </c>
      <c r="K7" s="261">
        <f>SUM('3'!G43,'3'!G57)</f>
        <v>2426.33</v>
      </c>
      <c r="L7" s="1035">
        <f>'3'!G50</f>
        <v>1064</v>
      </c>
      <c r="M7" s="1035">
        <f>'3'!G36</f>
        <v>975</v>
      </c>
      <c r="N7" s="1035">
        <f>'3'!G72</f>
        <v>85</v>
      </c>
      <c r="O7" s="1035">
        <f>'3'!$G$73</f>
        <v>1</v>
      </c>
      <c r="P7" s="1035">
        <f>'3'!$G$74</f>
        <v>29</v>
      </c>
      <c r="Q7" s="1035">
        <f>'3'!$G$75</f>
        <v>105</v>
      </c>
      <c r="R7" s="1035">
        <f>'3'!$G$76</f>
        <v>69</v>
      </c>
      <c r="S7" s="1035">
        <f>'3'!$G$77</f>
        <v>44</v>
      </c>
      <c r="T7" s="1035">
        <f>'3'!$G$78</f>
        <v>290</v>
      </c>
      <c r="U7" s="1035">
        <f>'3'!$G$79</f>
        <v>192</v>
      </c>
      <c r="V7" s="1035">
        <f>'3'!$G$80</f>
        <v>315</v>
      </c>
      <c r="W7" s="1035">
        <f>'3'!$G$81</f>
        <v>240</v>
      </c>
      <c r="X7" s="1035">
        <f>'3'!$G$82</f>
        <v>20</v>
      </c>
      <c r="Y7" s="1035">
        <f>'3'!$G$58</f>
        <v>181</v>
      </c>
      <c r="Z7" s="1035">
        <f>'3'!$G$83</f>
        <v>255</v>
      </c>
      <c r="AA7" s="1044">
        <f>'3'!G86</f>
        <v>156</v>
      </c>
      <c r="AB7" s="1044">
        <f>'1'!G87</f>
        <v>34</v>
      </c>
      <c r="AC7" s="1044">
        <f>'3'!G88</f>
        <v>92</v>
      </c>
      <c r="AD7" s="1044">
        <f>'3'!G89+'3'!G90</f>
        <v>41</v>
      </c>
      <c r="AE7" s="1035">
        <f>'3'!$G$62</f>
        <v>0</v>
      </c>
      <c r="AF7" s="1035">
        <f>'3'!$G$63</f>
        <v>11</v>
      </c>
      <c r="AG7" s="1035">
        <f>'3'!$G$64</f>
        <v>453</v>
      </c>
      <c r="AH7" s="1035">
        <f>'3'!$G$65</f>
        <v>355</v>
      </c>
      <c r="AI7" s="1035">
        <f>'3'!$G$66</f>
        <v>433</v>
      </c>
      <c r="AJ7" s="785">
        <f>'3'!$G$67</f>
        <v>610</v>
      </c>
      <c r="AK7" s="785">
        <f>'3'!$G$68</f>
        <v>316</v>
      </c>
      <c r="AL7" s="1035">
        <f>'3'!$G$69</f>
        <v>308</v>
      </c>
      <c r="AM7" s="1035">
        <f>'3'!$G$84</f>
        <v>814</v>
      </c>
      <c r="AN7" s="1035">
        <f>'3'!$G$15</f>
        <v>1003</v>
      </c>
      <c r="AO7" s="1035">
        <f>'3'!$G$123</f>
        <v>272</v>
      </c>
      <c r="AP7" s="1035">
        <f>'3'!$G$124</f>
        <v>-0.39999999999417923</v>
      </c>
      <c r="AQ7" s="1035">
        <f>'3'!$G$125</f>
        <v>93</v>
      </c>
      <c r="AR7" s="1035">
        <f>'3'!$G$126</f>
        <v>10.5</v>
      </c>
      <c r="AS7" s="1035">
        <f>'3'!$G$127</f>
        <v>0</v>
      </c>
      <c r="AT7" s="1035">
        <f t="shared" si="0"/>
        <v>627.89999999999418</v>
      </c>
      <c r="AU7" s="1044">
        <f>SUM('3'!G139:G140)</f>
        <v>8.8100000000004002</v>
      </c>
      <c r="AV7" s="1035">
        <f>'3'!$G$136</f>
        <v>10.159999999999854</v>
      </c>
      <c r="AW7" s="1035">
        <f>'3'!$G$137</f>
        <v>0</v>
      </c>
      <c r="AX7" s="1035">
        <f>'3'!$G$138</f>
        <v>4.2399999999906868</v>
      </c>
      <c r="AY7" s="1045">
        <f t="shared" si="1"/>
        <v>14.399999999990541</v>
      </c>
    </row>
    <row r="8" spans="1:53">
      <c r="A8" s="1043">
        <v>43925</v>
      </c>
      <c r="B8" s="261">
        <f>'4'!G7</f>
        <v>21717</v>
      </c>
      <c r="C8" s="261">
        <f>'4'!G8</f>
        <v>21837</v>
      </c>
      <c r="D8" s="261">
        <f>'4'!G15</f>
        <v>978</v>
      </c>
      <c r="E8" s="261">
        <f>'4'!G20</f>
        <v>174</v>
      </c>
      <c r="F8" s="261">
        <f>SUM('4'!G35,'4'!G49)</f>
        <v>3475.8699999999953</v>
      </c>
      <c r="G8" s="261">
        <f>SUM('4'!G37,'4'!G51)</f>
        <v>1390</v>
      </c>
      <c r="H8" s="261">
        <f>SUM('4'!G38,'4'!G52)</f>
        <v>1683.6999999999971</v>
      </c>
      <c r="I8" s="261">
        <f>SUM('4'!G39,'4'!G53)</f>
        <v>4271</v>
      </c>
      <c r="J8" s="261">
        <f>SUM('4'!G41,'4'!G42,'4'!G55,'4'!G56)</f>
        <v>6033</v>
      </c>
      <c r="K8" s="261">
        <f>SUM('4'!G43,'4'!G57)</f>
        <v>2475.67</v>
      </c>
      <c r="L8" s="1044">
        <f>'4'!G50</f>
        <v>1054</v>
      </c>
      <c r="M8" s="1044">
        <f>'4'!G36</f>
        <v>857</v>
      </c>
      <c r="N8" s="1044">
        <f>'4'!G72</f>
        <v>99</v>
      </c>
      <c r="O8" s="1044">
        <f>'4'!$G$73</f>
        <v>2</v>
      </c>
      <c r="P8" s="1044">
        <f>'4'!$G$74</f>
        <v>18</v>
      </c>
      <c r="Q8" s="1044">
        <f>'4'!$G$74</f>
        <v>18</v>
      </c>
      <c r="R8" s="1044">
        <f>'4'!$G$76</f>
        <v>74</v>
      </c>
      <c r="S8" s="1044">
        <f>'4'!$G$77</f>
        <v>45</v>
      </c>
      <c r="T8" s="1044">
        <f>'4'!$G$78</f>
        <v>357</v>
      </c>
      <c r="U8" s="1044">
        <f>'4'!$G$79</f>
        <v>184</v>
      </c>
      <c r="V8" s="1035">
        <f>'4'!$G$80</f>
        <v>347.76000000000931</v>
      </c>
      <c r="W8" s="1035">
        <f>'4'!$G$81</f>
        <v>324</v>
      </c>
      <c r="X8" s="1044">
        <f>'4'!$G$82</f>
        <v>25</v>
      </c>
      <c r="Y8" s="1044">
        <f>'4'!$G$58</f>
        <v>214</v>
      </c>
      <c r="Z8" s="1044">
        <f>'4'!$G$83</f>
        <v>260</v>
      </c>
      <c r="AA8" s="1044">
        <f>'4'!G86</f>
        <v>123</v>
      </c>
      <c r="AB8" s="1044">
        <f>'4'!G87</f>
        <v>15</v>
      </c>
      <c r="AC8" s="1044">
        <f>'4'!G88</f>
        <v>36</v>
      </c>
      <c r="AD8" s="1044">
        <f>'4'!G89+'4'!G90</f>
        <v>46</v>
      </c>
      <c r="AE8" s="1044">
        <f>'4'!$G$62</f>
        <v>0</v>
      </c>
      <c r="AF8" s="1044">
        <f>'4'!$G$63</f>
        <v>11</v>
      </c>
      <c r="AG8" s="1044">
        <f>'4'!$G$64</f>
        <v>454</v>
      </c>
      <c r="AH8" s="1044">
        <f>'4'!$G$65</f>
        <v>376</v>
      </c>
      <c r="AI8" s="1044">
        <f>'4'!$G$66</f>
        <v>383</v>
      </c>
      <c r="AJ8" s="1044">
        <f>'4'!$G$67</f>
        <v>637</v>
      </c>
      <c r="AK8" s="1044">
        <f>'4'!$G$68</f>
        <v>355</v>
      </c>
      <c r="AL8" s="1044">
        <f>'4'!$G$69</f>
        <v>322.58000000000175</v>
      </c>
      <c r="AM8" s="1044">
        <f>'4'!$G$84</f>
        <v>962</v>
      </c>
      <c r="AN8" s="1044">
        <f>'4'!$G$15</f>
        <v>978</v>
      </c>
      <c r="AO8" s="1044">
        <f>'4'!$G$123</f>
        <v>264</v>
      </c>
      <c r="AP8" s="1044">
        <f>'4'!$G$124</f>
        <v>0</v>
      </c>
      <c r="AQ8" s="1044">
        <f>'4'!$G$125</f>
        <v>105</v>
      </c>
      <c r="AR8" s="1044">
        <f>'4'!$G$126</f>
        <v>23.799999999999272</v>
      </c>
      <c r="AS8" s="1044">
        <f>'4'!$G$127</f>
        <v>0</v>
      </c>
      <c r="AT8" s="1044">
        <f t="shared" si="0"/>
        <v>585.20000000000073</v>
      </c>
      <c r="AU8" s="1044">
        <f>SUM('4'!G139:G140)</f>
        <v>8.6000000000003638</v>
      </c>
      <c r="AV8" s="1044">
        <f>'4'!$G$136</f>
        <v>10.159999999999854</v>
      </c>
      <c r="AW8" s="1044">
        <f>'4'!$G$137</f>
        <v>0</v>
      </c>
      <c r="AX8" s="1044">
        <f>'4'!$G$138</f>
        <v>3.25</v>
      </c>
      <c r="AY8" s="1041">
        <f t="shared" si="1"/>
        <v>13.409999999999854</v>
      </c>
    </row>
    <row r="9" spans="1:53">
      <c r="A9" s="1043">
        <v>43926</v>
      </c>
      <c r="B9" s="261">
        <f>'5'!G7</f>
        <v>21598</v>
      </c>
      <c r="C9" s="261">
        <f>'5'!G8</f>
        <v>21683</v>
      </c>
      <c r="D9" s="261">
        <f>'5'!G15</f>
        <v>935</v>
      </c>
      <c r="E9" s="261">
        <f>'5'!G20</f>
        <v>178</v>
      </c>
      <c r="F9" s="261">
        <f>SUM('5'!G35,'5'!G49)</f>
        <v>3595</v>
      </c>
      <c r="G9" s="261">
        <f>SUM('5'!G37,'5'!G51)</f>
        <v>1361</v>
      </c>
      <c r="H9" s="261">
        <f>SUM('5'!G38,'5'!G52)</f>
        <v>1731.3000000000029</v>
      </c>
      <c r="I9" s="261">
        <f>SUM('5'!G39,'5'!G53)</f>
        <v>4086</v>
      </c>
      <c r="J9" s="261">
        <f>SUM('5'!G41,'5'!G42,'5'!G55,'5'!G56)</f>
        <v>5790</v>
      </c>
      <c r="K9" s="261">
        <f>SUM('5'!G43,'5'!G57)</f>
        <v>2428</v>
      </c>
      <c r="L9" s="1044">
        <f>'5'!G50</f>
        <v>1047</v>
      </c>
      <c r="M9" s="1044">
        <f>'5'!G36</f>
        <v>869</v>
      </c>
      <c r="N9" s="1044">
        <f>'5'!G72</f>
        <v>100</v>
      </c>
      <c r="O9" s="1044">
        <f>'5'!$G$73</f>
        <v>1</v>
      </c>
      <c r="P9" s="1044">
        <f>'5'!$G$74</f>
        <v>35</v>
      </c>
      <c r="Q9" s="1055">
        <f>'5'!$G$75</f>
        <v>112</v>
      </c>
      <c r="R9" s="1044">
        <f>'5'!$G$76</f>
        <v>67</v>
      </c>
      <c r="S9" s="1035">
        <f>'5'!$G$77</f>
        <v>42</v>
      </c>
      <c r="T9" s="1054">
        <f>'5'!$G$78</f>
        <v>325</v>
      </c>
      <c r="U9" s="1054">
        <f>'5'!$G$79</f>
        <v>187</v>
      </c>
      <c r="V9" s="1047">
        <f>'5'!$G$80</f>
        <v>322.23999999999069</v>
      </c>
      <c r="W9" s="1054">
        <f>'5'!$G$81</f>
        <v>223</v>
      </c>
      <c r="X9" s="1044">
        <f>'5'!$G$82</f>
        <v>23</v>
      </c>
      <c r="Y9" s="1044">
        <f>'5'!$G$58</f>
        <v>188</v>
      </c>
      <c r="Z9" s="1044">
        <f>'5'!$G$83</f>
        <v>278</v>
      </c>
      <c r="AA9" s="1054">
        <f>'5'!G86</f>
        <v>196</v>
      </c>
      <c r="AB9" s="1044">
        <f>'5'!G87</f>
        <v>35</v>
      </c>
      <c r="AC9" s="1044">
        <f>'5'!G88</f>
        <v>34</v>
      </c>
      <c r="AD9" s="1044">
        <f>'5'!G89+'5'!G90</f>
        <v>45</v>
      </c>
      <c r="AE9" s="1044">
        <f>'5'!$G$62</f>
        <v>0</v>
      </c>
      <c r="AF9" s="1044">
        <f>'5'!$G$63</f>
        <v>14</v>
      </c>
      <c r="AG9" s="1044">
        <f>'5'!$G$64</f>
        <v>475</v>
      </c>
      <c r="AH9" s="1044">
        <f>'5'!$G$65</f>
        <v>365</v>
      </c>
      <c r="AI9" s="1044">
        <f>'5'!$G$66</f>
        <v>400</v>
      </c>
      <c r="AJ9" s="1044">
        <f>'5'!$G$67</f>
        <v>621</v>
      </c>
      <c r="AK9" s="1044">
        <f>'5'!$G$68</f>
        <v>327</v>
      </c>
      <c r="AL9" s="1044">
        <f>'5'!$G$69</f>
        <v>302.41999999999825</v>
      </c>
      <c r="AM9" s="1044">
        <f>'5'!$G$84</f>
        <v>1005</v>
      </c>
      <c r="AN9" s="1054">
        <f>'5'!$G$15</f>
        <v>935</v>
      </c>
      <c r="AO9" s="1044">
        <f>'5'!$G$123</f>
        <v>244</v>
      </c>
      <c r="AP9" s="1044">
        <f>'5'!$G$124</f>
        <v>0</v>
      </c>
      <c r="AQ9" s="1044">
        <f>'5'!$G$125</f>
        <v>99</v>
      </c>
      <c r="AR9" s="1044">
        <f>'5'!$G$126</f>
        <v>17</v>
      </c>
      <c r="AS9" s="1044">
        <f>'5'!$G$127</f>
        <v>0</v>
      </c>
      <c r="AT9" s="1044">
        <f t="shared" si="0"/>
        <v>575</v>
      </c>
      <c r="AU9" s="1044">
        <f>SUM('5'!G139:G140)</f>
        <v>8.1199999999998909</v>
      </c>
      <c r="AV9" s="1044">
        <f>'5'!$G$136</f>
        <v>10.400000000001455</v>
      </c>
      <c r="AW9" s="1044">
        <f>'5'!$G$137</f>
        <v>0</v>
      </c>
      <c r="AX9" s="1044">
        <f>'5'!$G$138</f>
        <v>1.3700000000098953</v>
      </c>
      <c r="AY9" s="1041">
        <f t="shared" si="1"/>
        <v>11.77000000001135</v>
      </c>
    </row>
    <row r="10" spans="1:53">
      <c r="A10" s="1043">
        <v>43927</v>
      </c>
      <c r="B10" s="261">
        <f>'6'!G7</f>
        <v>20745</v>
      </c>
      <c r="C10" s="261">
        <f>'6'!G8</f>
        <v>20841</v>
      </c>
      <c r="D10" s="261">
        <f>'6'!G15</f>
        <v>883</v>
      </c>
      <c r="E10" s="261">
        <f>'6'!G20</f>
        <v>156</v>
      </c>
      <c r="F10" s="261">
        <f>SUM('6'!G35,'6'!G49)</f>
        <v>3323</v>
      </c>
      <c r="G10" s="261">
        <f>SUM('6'!G37,'6'!G51)</f>
        <v>1356</v>
      </c>
      <c r="H10" s="261">
        <f>SUM('6'!G38,'6'!G52)</f>
        <v>1685</v>
      </c>
      <c r="I10" s="261">
        <f>SUM('6'!G39,'6'!G53)</f>
        <v>4031</v>
      </c>
      <c r="J10" s="261">
        <f>SUM('6'!G41,'6'!G42,'6'!G55,'6'!G56)</f>
        <v>5482</v>
      </c>
      <c r="K10" s="261">
        <f>SUM('6'!G43,'6'!G57)</f>
        <v>2432</v>
      </c>
      <c r="L10" s="1044">
        <f>'6'!G50</f>
        <v>1085</v>
      </c>
      <c r="M10" s="1044">
        <f>'6'!G36</f>
        <v>700</v>
      </c>
      <c r="N10" s="1044">
        <f>'6'!G72</f>
        <v>87</v>
      </c>
      <c r="O10" s="1044">
        <f>'6'!$G$73</f>
        <v>1</v>
      </c>
      <c r="P10" s="1044">
        <f>'6'!$G$74</f>
        <v>29</v>
      </c>
      <c r="Q10" s="1044">
        <f>'6'!$G$75</f>
        <v>120</v>
      </c>
      <c r="R10" s="1044">
        <f>'6'!$G$76</f>
        <v>66</v>
      </c>
      <c r="S10" s="1044">
        <f>'6'!$G$77</f>
        <v>45</v>
      </c>
      <c r="T10" s="1035">
        <f>'6'!$G$78</f>
        <v>285</v>
      </c>
      <c r="U10" s="1035">
        <f>'6'!$G$79</f>
        <v>179</v>
      </c>
      <c r="V10" s="1035">
        <f>'6'!$G$80</f>
        <v>371</v>
      </c>
      <c r="W10" s="1035">
        <f>'6'!$G$81</f>
        <v>221</v>
      </c>
      <c r="X10" s="1035">
        <f>'6'!$G$82</f>
        <v>26</v>
      </c>
      <c r="Y10" s="1035">
        <f>'6'!$G$58</f>
        <v>183</v>
      </c>
      <c r="Z10" s="1035">
        <f>'6'!$G$83</f>
        <v>252</v>
      </c>
      <c r="AA10" s="1035">
        <f>'6'!G86</f>
        <v>216</v>
      </c>
      <c r="AB10" s="1035">
        <f>'6'!G87</f>
        <v>29</v>
      </c>
      <c r="AC10" s="1035">
        <f>'6'!G88</f>
        <v>34</v>
      </c>
      <c r="AD10" s="1035">
        <f>'6'!G89+'6'!G90</f>
        <v>43</v>
      </c>
      <c r="AE10" s="1044">
        <f>'6'!$G$62</f>
        <v>0</v>
      </c>
      <c r="AF10" s="1044">
        <f>'6'!$G$63</f>
        <v>12</v>
      </c>
      <c r="AG10" s="1044">
        <f>'6'!$G$64</f>
        <v>469</v>
      </c>
      <c r="AH10" s="1044">
        <f>'6'!$G$65</f>
        <v>359</v>
      </c>
      <c r="AI10" s="1044">
        <f>'6'!$G$66</f>
        <v>387</v>
      </c>
      <c r="AJ10" s="1044">
        <f>'6'!$G$67</f>
        <v>568</v>
      </c>
      <c r="AK10" s="1044">
        <f>'6'!$G$68</f>
        <v>321</v>
      </c>
      <c r="AL10" s="1044">
        <f>'6'!$G$69</f>
        <v>298</v>
      </c>
      <c r="AM10" s="1044">
        <f>'6'!$G$84</f>
        <v>982</v>
      </c>
      <c r="AN10" s="1044">
        <f>'6'!$G$15</f>
        <v>883</v>
      </c>
      <c r="AO10" s="1082">
        <f>'6'!$G$123</f>
        <v>254</v>
      </c>
      <c r="AP10" s="1044">
        <f>'6'!$G$124</f>
        <v>0</v>
      </c>
      <c r="AQ10" s="1044">
        <f>'6'!$G$125</f>
        <v>76</v>
      </c>
      <c r="AR10" s="1044">
        <f>'6'!$G$126</f>
        <v>14</v>
      </c>
      <c r="AS10" s="1044">
        <f>'6'!$G$127</f>
        <v>0</v>
      </c>
      <c r="AT10" s="1044">
        <f t="shared" si="0"/>
        <v>539</v>
      </c>
      <c r="AU10" s="1044">
        <f>SUM('6'!G139:G140)</f>
        <v>8.1300000000001091</v>
      </c>
      <c r="AV10" s="1044">
        <f>'6'!$G$136</f>
        <v>9.6100000000005821</v>
      </c>
      <c r="AW10" s="1044">
        <f>'6'!$G$137</f>
        <v>0</v>
      </c>
      <c r="AX10" s="1044">
        <f>'6'!$G$138</f>
        <v>2.4199999999982538</v>
      </c>
      <c r="AY10" s="1041">
        <f t="shared" si="1"/>
        <v>12.029999999998836</v>
      </c>
    </row>
    <row r="11" spans="1:53">
      <c r="A11" s="1043">
        <v>43928</v>
      </c>
      <c r="B11" s="261">
        <f>'7'!G7</f>
        <v>21932</v>
      </c>
      <c r="C11" s="261">
        <f>'7'!G8</f>
        <v>22052</v>
      </c>
      <c r="D11" s="261">
        <f>'7'!G15</f>
        <v>898</v>
      </c>
      <c r="E11" s="261">
        <f>'7'!G20</f>
        <v>157</v>
      </c>
      <c r="F11" s="261">
        <f>SUM('7'!G35,'7'!G49)</f>
        <v>3389</v>
      </c>
      <c r="G11" s="261">
        <f>SUM('7'!G37,'7'!G51)</f>
        <v>1397</v>
      </c>
      <c r="H11" s="261">
        <f>SUM('7'!G38,'7'!G52)</f>
        <v>1757</v>
      </c>
      <c r="I11" s="261">
        <f>SUM('7'!G39,'7'!G53)</f>
        <v>4069</v>
      </c>
      <c r="J11" s="261">
        <f>SUM('7'!G41,'7'!G42,'7'!G55,'7'!G56)</f>
        <v>6293</v>
      </c>
      <c r="K11" s="261">
        <f>SUM('7'!G43,'7'!G57)</f>
        <v>2494</v>
      </c>
      <c r="L11" s="1044">
        <f>'7'!G50</f>
        <v>1163</v>
      </c>
      <c r="M11" s="1044">
        <f>'7'!G36</f>
        <v>797</v>
      </c>
      <c r="N11" s="1044">
        <f>'7'!G72</f>
        <v>98</v>
      </c>
      <c r="O11" s="1044">
        <f>'7'!$G$73</f>
        <v>1</v>
      </c>
      <c r="P11" s="1044">
        <f>'7'!$G$74</f>
        <v>32</v>
      </c>
      <c r="Q11" s="1044">
        <f>'7'!$G$75</f>
        <v>122</v>
      </c>
      <c r="R11" s="1044">
        <f>'7'!$G$76</f>
        <v>65</v>
      </c>
      <c r="S11" s="1044">
        <f>'7'!$G$77</f>
        <v>45</v>
      </c>
      <c r="T11" s="1035">
        <f>'7'!$G$78</f>
        <v>307</v>
      </c>
      <c r="U11" s="1035">
        <f>'7'!$G$79</f>
        <v>169</v>
      </c>
      <c r="V11" s="1035">
        <f>'7'!$G$80</f>
        <v>361</v>
      </c>
      <c r="W11" s="1035">
        <f>'7'!$G$81</f>
        <v>288</v>
      </c>
      <c r="X11" s="1035">
        <f>'7'!$G$82</f>
        <v>22</v>
      </c>
      <c r="Y11" s="1035">
        <f>'7'!$G$58</f>
        <v>179</v>
      </c>
      <c r="Z11" s="1047">
        <f>'7'!$G$83</f>
        <v>233</v>
      </c>
      <c r="AA11" s="1070">
        <f>'7'!G86</f>
        <v>207</v>
      </c>
      <c r="AB11" s="1035">
        <f>'7'!G87</f>
        <v>35</v>
      </c>
      <c r="AC11" s="1035">
        <f>'7'!G88</f>
        <v>33</v>
      </c>
      <c r="AD11" s="1035">
        <f>'7'!G89+'7'!G90</f>
        <v>41</v>
      </c>
      <c r="AE11" s="1044">
        <f>'7'!$G$62</f>
        <v>0</v>
      </c>
      <c r="AF11" s="1044">
        <f>'7'!$G$63</f>
        <v>12</v>
      </c>
      <c r="AG11" s="1044">
        <f>'7'!$G$64</f>
        <v>473</v>
      </c>
      <c r="AH11" s="1044">
        <f>'7'!$G$65</f>
        <v>359</v>
      </c>
      <c r="AI11" s="1044">
        <f>'7'!$G$66</f>
        <v>386</v>
      </c>
      <c r="AJ11" s="1044">
        <f>'7'!$G$67</f>
        <v>618</v>
      </c>
      <c r="AK11" s="1047">
        <f>'7'!$G$68</f>
        <v>287</v>
      </c>
      <c r="AL11" s="1044">
        <f>'7'!$G$69</f>
        <v>300</v>
      </c>
      <c r="AM11" s="1044">
        <f>'7'!$G$84</f>
        <v>910</v>
      </c>
      <c r="AN11" s="1044">
        <f>'7'!$G$15</f>
        <v>898</v>
      </c>
      <c r="AO11" s="1082">
        <f>'7'!$G$123</f>
        <v>244</v>
      </c>
      <c r="AP11" s="1044">
        <f>'7'!$G$124</f>
        <v>0</v>
      </c>
      <c r="AQ11" s="1044">
        <f>'7'!$G$125</f>
        <v>94</v>
      </c>
      <c r="AR11" s="1044">
        <f>'7'!$G$126</f>
        <v>19</v>
      </c>
      <c r="AS11" s="1044">
        <f>'7'!$G$127</f>
        <v>0</v>
      </c>
      <c r="AT11" s="1044">
        <f t="shared" si="0"/>
        <v>541</v>
      </c>
      <c r="AU11" s="1044">
        <f>SUM('7'!G139:G140)</f>
        <v>7.8999999999996362</v>
      </c>
      <c r="AV11" s="1044">
        <f>'7'!$G$136</f>
        <v>10.880000000001019</v>
      </c>
      <c r="AW11" s="1044">
        <f>'7'!$G$137</f>
        <v>0</v>
      </c>
      <c r="AX11" s="1044">
        <f>'7'!$G$138</f>
        <v>0</v>
      </c>
      <c r="AY11" s="1041">
        <f t="shared" si="1"/>
        <v>10.880000000001019</v>
      </c>
    </row>
    <row r="12" spans="1:53">
      <c r="A12" s="1043">
        <v>43929</v>
      </c>
      <c r="B12" s="261">
        <f>'8'!G7</f>
        <v>21591</v>
      </c>
      <c r="C12" s="261">
        <f>'8'!G8</f>
        <v>21696</v>
      </c>
      <c r="D12" s="261">
        <f>'8'!G15</f>
        <v>952.0319999998901</v>
      </c>
      <c r="E12" s="261">
        <f>'8'!G20</f>
        <v>156</v>
      </c>
      <c r="F12" s="261">
        <f>SUM('8'!G35,'8'!G49)</f>
        <v>3315.2399999999907</v>
      </c>
      <c r="G12" s="261">
        <f>SUM('8'!G37,'8'!G51)</f>
        <v>1388.2329999999929</v>
      </c>
      <c r="H12" s="261">
        <f>SUM('8'!G38,'8'!G52)</f>
        <v>1689.4100000000035</v>
      </c>
      <c r="I12" s="261">
        <f>SUM('8'!G39,'8'!G53)</f>
        <v>4123.6399999999849</v>
      </c>
      <c r="J12" s="261">
        <f>SUM('8'!G41,'8'!G42,'8'!G55,'8'!G56)</f>
        <v>6203.3729999999632</v>
      </c>
      <c r="K12" s="261">
        <f>SUM('8'!G43,'8'!G57)</f>
        <v>2486.2299999999814</v>
      </c>
      <c r="L12" s="1044">
        <f>'8'!G50</f>
        <v>1108.75</v>
      </c>
      <c r="M12" s="1044">
        <f>'8'!G36</f>
        <v>833.46999999997206</v>
      </c>
      <c r="N12" s="1044">
        <f>'8'!G72</f>
        <v>92</v>
      </c>
      <c r="O12" s="1044">
        <f>'8'!$G$73</f>
        <v>1</v>
      </c>
      <c r="P12" s="1044">
        <f>'8'!$G$74</f>
        <v>32.650000000000091</v>
      </c>
      <c r="Q12" s="1044">
        <f>'8'!$G$75</f>
        <v>77.309999999999491</v>
      </c>
      <c r="R12" s="1044">
        <f>'8'!$G$76</f>
        <v>66.550000000000182</v>
      </c>
      <c r="S12" s="1044">
        <f>'8'!$G$77</f>
        <v>49</v>
      </c>
      <c r="T12" s="1035">
        <f>'8'!$G$78</f>
        <v>339</v>
      </c>
      <c r="U12" s="1035">
        <f>'8'!$G$79</f>
        <v>204</v>
      </c>
      <c r="V12" s="1035">
        <f>'8'!$G$80</f>
        <v>362.88000000000466</v>
      </c>
      <c r="W12" s="1035">
        <f>'8'!$G$81</f>
        <v>235.43999999994412</v>
      </c>
      <c r="X12" s="1035">
        <f>'8'!$G$82</f>
        <v>24.399999999994179</v>
      </c>
      <c r="Y12" s="1035">
        <f>'8'!$G$58</f>
        <v>198.2300000000032</v>
      </c>
      <c r="Z12" s="1035">
        <f>'8'!$G$83</f>
        <v>309</v>
      </c>
      <c r="AA12" s="1035">
        <f>'8'!G86</f>
        <v>186.52000000001863</v>
      </c>
      <c r="AB12" s="1035">
        <f>'8'!G87</f>
        <v>40.399999999994179</v>
      </c>
      <c r="AC12" s="1035">
        <f>'8'!G88</f>
        <v>33.529999999998836</v>
      </c>
      <c r="AD12" s="1035">
        <f>'8'!G89+'8'!G90</f>
        <v>43.400000000002819</v>
      </c>
      <c r="AE12" s="1044">
        <f>'8'!$G$62</f>
        <v>0</v>
      </c>
      <c r="AF12" s="1044">
        <f>'8'!$G$63</f>
        <v>11.579999999999927</v>
      </c>
      <c r="AG12" s="1044">
        <f>'8'!$G$64</f>
        <v>484.70999999999185</v>
      </c>
      <c r="AH12" s="1044">
        <f>'8'!$G$65</f>
        <v>364.55999999999767</v>
      </c>
      <c r="AI12" s="1044">
        <f>'8'!$G$66</f>
        <v>386</v>
      </c>
      <c r="AJ12" s="1044">
        <f>'8'!$G$67</f>
        <v>631.79000000000815</v>
      </c>
      <c r="AK12" s="1044">
        <f>'8'!$G$68</f>
        <v>0</v>
      </c>
      <c r="AL12" s="1044">
        <f>'8'!$G$69</f>
        <v>290.64999999999418</v>
      </c>
      <c r="AM12" s="1044">
        <f>'8'!$G$84</f>
        <v>1021</v>
      </c>
      <c r="AN12" s="1044">
        <f>'8'!$G$15</f>
        <v>952.0319999998901</v>
      </c>
      <c r="AO12" s="1044">
        <f>'8'!$G$123</f>
        <v>247.19999999995343</v>
      </c>
      <c r="AP12" s="1044">
        <f>'8'!$G$124</f>
        <v>0.39999999999417923</v>
      </c>
      <c r="AQ12" s="1044">
        <f>'8'!$G$125</f>
        <v>106.13000000000466</v>
      </c>
      <c r="AR12" s="1044">
        <f>'8'!$G$126</f>
        <v>1.2000000000007276</v>
      </c>
      <c r="AS12" s="1044">
        <f>'8'!$G$127</f>
        <v>0</v>
      </c>
      <c r="AT12" s="1044">
        <f t="shared" si="0"/>
        <v>597.10199999993711</v>
      </c>
      <c r="AU12" s="1044">
        <f>SUM('8'!G139:G140)</f>
        <v>8.2299999999995634</v>
      </c>
      <c r="AV12" s="1044">
        <f>'8'!$G$136</f>
        <v>9.8799999999973807</v>
      </c>
      <c r="AW12" s="1044">
        <f>'8'!$G$137</f>
        <v>0</v>
      </c>
      <c r="AX12" s="1044">
        <f>'8'!$G$138</f>
        <v>3.2399999999906868</v>
      </c>
      <c r="AY12" s="1041">
        <f t="shared" si="1"/>
        <v>13.119999999988067</v>
      </c>
    </row>
    <row r="13" spans="1:53">
      <c r="A13" s="1043">
        <v>43930</v>
      </c>
      <c r="B13" s="261">
        <f>'9'!G7</f>
        <v>21971</v>
      </c>
      <c r="C13" s="261">
        <f>'9'!G8</f>
        <v>22090</v>
      </c>
      <c r="D13" s="261">
        <f>'9'!G15</f>
        <v>903.46000000019558</v>
      </c>
      <c r="E13" s="261">
        <f>'9'!G20</f>
        <v>143</v>
      </c>
      <c r="F13" s="261">
        <f>SUM('9'!G35,'9'!G49)</f>
        <v>3370.5600000000559</v>
      </c>
      <c r="G13" s="261">
        <f>SUM('9'!G37,'9'!G51)</f>
        <v>1354.226999999999</v>
      </c>
      <c r="H13" s="261">
        <f>SUM('9'!G38,'9'!G52)</f>
        <v>1593.1899999999441</v>
      </c>
      <c r="I13" s="261">
        <f>SUM('9'!G39,'9'!G53)</f>
        <v>3969.4800000000396</v>
      </c>
      <c r="J13" s="261">
        <f>SUM('9'!G41,'9'!G42,'9'!G55,'9'!G56)</f>
        <v>6545.3870000000461</v>
      </c>
      <c r="K13" s="261">
        <f>SUM('9'!G43,'9'!G57)</f>
        <v>2478.9599999999627</v>
      </c>
      <c r="L13" s="1044">
        <f>'9'!G50</f>
        <v>1043.1599999999744</v>
      </c>
      <c r="M13" s="1044">
        <f>'9'!G36</f>
        <v>996.70000000001164</v>
      </c>
      <c r="N13" s="1044">
        <f>'9'!G72</f>
        <v>99</v>
      </c>
      <c r="O13" s="1044">
        <f>'9'!$G$73</f>
        <v>1</v>
      </c>
      <c r="P13" s="1044">
        <f>'9'!$G$74</f>
        <v>29.349999999999909</v>
      </c>
      <c r="Q13" s="1044">
        <f>'9'!$G$75</f>
        <v>66.940000000000509</v>
      </c>
      <c r="R13" s="1044">
        <f>'9'!$G$76</f>
        <v>66.9399999999996</v>
      </c>
      <c r="S13" s="1044">
        <f>'9'!$G$77</f>
        <v>49</v>
      </c>
      <c r="T13" s="1035">
        <f>'9'!$G$78</f>
        <v>275</v>
      </c>
      <c r="U13" s="1035">
        <f>'9'!$G$79</f>
        <v>179</v>
      </c>
      <c r="V13" s="1035">
        <f>'9'!$G$80</f>
        <v>358.64000000001397</v>
      </c>
      <c r="W13" s="1035">
        <f>'9'!$G$81</f>
        <v>311.68000000005122</v>
      </c>
      <c r="X13" s="1035">
        <f>'9'!$G$82</f>
        <v>24.970000000001164</v>
      </c>
      <c r="Y13" s="1035">
        <f>'9'!$G$58</f>
        <v>223.82999999999447</v>
      </c>
      <c r="Z13" s="1035">
        <f>'9'!$G$83</f>
        <v>271</v>
      </c>
      <c r="AA13" s="1035">
        <f>'9'!G86</f>
        <v>130.95999999996275</v>
      </c>
      <c r="AB13" s="1035">
        <f>'9'!G87</f>
        <v>29</v>
      </c>
      <c r="AC13" s="1035">
        <f>'9'!G88</f>
        <v>87.489999999990687</v>
      </c>
      <c r="AD13" s="1035">
        <f>'9'!G89+'9'!H90</f>
        <v>42.399999999996908</v>
      </c>
      <c r="AE13" s="1044">
        <f>'9'!$G$62</f>
        <v>0</v>
      </c>
      <c r="AF13" s="1044">
        <f>'9'!$G$63</f>
        <v>11.099999999999909</v>
      </c>
      <c r="AG13" s="1044">
        <f>'9'!$G$64</f>
        <v>472.68000000002212</v>
      </c>
      <c r="AH13" s="1054">
        <f>'9'!$G$65</f>
        <v>347.39999999999418</v>
      </c>
      <c r="AI13" s="1054">
        <f>'9'!$G$66</f>
        <v>373.56999999999971</v>
      </c>
      <c r="AJ13" s="1044">
        <f>'9'!$G$67</f>
        <v>566.97999999998137</v>
      </c>
      <c r="AK13" s="1044">
        <f>'9'!$G$68</f>
        <v>0</v>
      </c>
      <c r="AL13" s="1044">
        <f>'9'!$G$69</f>
        <v>292.8700000000099</v>
      </c>
      <c r="AM13" s="1044">
        <f>'9'!$G$84</f>
        <v>992</v>
      </c>
      <c r="AN13" s="1044">
        <f>'9'!$G$15</f>
        <v>903.46000000019558</v>
      </c>
      <c r="AO13" s="1044">
        <f>'9'!$G$123</f>
        <v>270.06000000005588</v>
      </c>
      <c r="AP13" s="1044">
        <f>'9'!$G$124</f>
        <v>0</v>
      </c>
      <c r="AQ13" s="1044">
        <f>'9'!$G$125</f>
        <v>73</v>
      </c>
      <c r="AR13" s="1044">
        <f>'9'!$G$126</f>
        <v>0</v>
      </c>
      <c r="AS13" s="1044">
        <f>'9'!$G$127</f>
        <v>0</v>
      </c>
      <c r="AT13" s="1044">
        <f t="shared" si="0"/>
        <v>560.4000000001397</v>
      </c>
      <c r="AU13" s="1044">
        <f>SUM('9'!G139:G140)</f>
        <v>8.7800000000006548</v>
      </c>
      <c r="AV13" s="1044">
        <f>'9'!$G$136</f>
        <v>10.900000000001455</v>
      </c>
      <c r="AW13" s="1044">
        <f>'9'!$G$137</f>
        <v>0</v>
      </c>
      <c r="AX13" s="1044">
        <f>'9'!$G$138</f>
        <v>1.8700000000098953</v>
      </c>
      <c r="AY13" s="1041">
        <f t="shared" si="1"/>
        <v>12.77000000001135</v>
      </c>
    </row>
    <row r="14" spans="1:53">
      <c r="A14" s="1043">
        <v>43931</v>
      </c>
      <c r="B14" s="261">
        <f>'10'!G7</f>
        <v>20828</v>
      </c>
      <c r="C14" s="261">
        <f>'10'!G8</f>
        <v>20904</v>
      </c>
      <c r="D14" s="261">
        <f>'10'!G15</f>
        <v>791.61999999987893</v>
      </c>
      <c r="E14" s="261">
        <f>'10'!G20</f>
        <v>143</v>
      </c>
      <c r="F14" s="261">
        <f>SUM('10'!G35,'10'!G49)</f>
        <v>3180.7199999999721</v>
      </c>
      <c r="G14" s="261">
        <f>SUM('10'!G37,'10'!G51)</f>
        <v>1303.25</v>
      </c>
      <c r="H14" s="261">
        <f>SUM('10'!G38,'10'!G52)</f>
        <v>1608.7700000000041</v>
      </c>
      <c r="I14" s="261">
        <f>SUM('10'!G39,'10'!G53)</f>
        <v>3803.2999999999884</v>
      </c>
      <c r="J14" s="261">
        <f>SUM('10'!G41,'10'!G42,'10'!G55,'10'!G56)</f>
        <v>6016.4600000000501</v>
      </c>
      <c r="K14" s="261">
        <f>SUM('10'!G43,'10'!G57)</f>
        <v>2479.8600000001024</v>
      </c>
      <c r="L14" s="1044">
        <f>'10'!G50</f>
        <v>1042.0400000000373</v>
      </c>
      <c r="M14" s="1044">
        <f>'10'!G36</f>
        <v>870.52000000001863</v>
      </c>
      <c r="N14" s="1044">
        <f>'10'!G72</f>
        <v>91</v>
      </c>
      <c r="O14" s="1044">
        <f>'10'!$G$73</f>
        <v>2</v>
      </c>
      <c r="P14" s="1044">
        <f>'10'!$G$74</f>
        <v>33.019999999999982</v>
      </c>
      <c r="Q14" s="1044">
        <f>'10'!$G$75</f>
        <v>63.399999999999636</v>
      </c>
      <c r="R14" s="1044">
        <f>'10'!$G$76</f>
        <v>70.600000000000364</v>
      </c>
      <c r="S14" s="1044">
        <f>'10'!$G$77</f>
        <v>43</v>
      </c>
      <c r="T14" s="1035">
        <f>'10'!$G$78</f>
        <v>196</v>
      </c>
      <c r="U14" s="1035">
        <f>'10'!$G$79</f>
        <v>187</v>
      </c>
      <c r="V14" s="1048">
        <f>'10'!$G$80</f>
        <v>353.44000000000233</v>
      </c>
      <c r="W14" s="1048">
        <f>'10'!$G$81</f>
        <v>229.19999999995343</v>
      </c>
      <c r="X14" s="1035">
        <f>'10'!$G$82</f>
        <v>21.980000000010477</v>
      </c>
      <c r="Y14" s="1035">
        <f>'10'!$G$58</f>
        <v>154.34000000000378</v>
      </c>
      <c r="Z14" s="1035">
        <f>'10'!$G$83</f>
        <v>288</v>
      </c>
      <c r="AA14" s="1035">
        <f>'10'!G86</f>
        <v>162.76000000000931</v>
      </c>
      <c r="AB14" s="1035">
        <f>'10'!G87</f>
        <v>22</v>
      </c>
      <c r="AC14" s="1035">
        <f>'10'!G88</f>
        <v>22.680000000022119</v>
      </c>
      <c r="AD14" s="1035">
        <f>'10'!G87+'10'!H90</f>
        <v>21.800000000000182</v>
      </c>
      <c r="AE14" s="1044">
        <f>'10'!$G$62</f>
        <v>0</v>
      </c>
      <c r="AF14" s="1044">
        <f>'10'!$G$63</f>
        <v>11.480000000000018</v>
      </c>
      <c r="AG14" s="1044">
        <f>'10'!$G$64</f>
        <v>474.25999999998021</v>
      </c>
      <c r="AH14" s="1044">
        <f>'10'!$G$65</f>
        <v>350.52999999999884</v>
      </c>
      <c r="AI14" s="1044">
        <f>'10'!$G$66</f>
        <v>360.34000000000378</v>
      </c>
      <c r="AJ14" s="1044">
        <f>'10'!$G$67</f>
        <v>498.0800000000163</v>
      </c>
      <c r="AK14" s="1044">
        <f>'10'!$G$68</f>
        <v>0</v>
      </c>
      <c r="AL14" s="1044">
        <f>'10'!$G$69</f>
        <v>325.22999999999593</v>
      </c>
      <c r="AM14" s="1044">
        <f>'10'!$G$84</f>
        <v>991</v>
      </c>
      <c r="AN14" s="1044">
        <f>'10'!$G$15</f>
        <v>791.61999999987893</v>
      </c>
      <c r="AO14" s="1044">
        <f>'10'!$G$123</f>
        <v>260.5</v>
      </c>
      <c r="AP14" s="1044">
        <f>'10'!$G$124</f>
        <v>0</v>
      </c>
      <c r="AQ14" s="1044">
        <f>'10'!$G$125</f>
        <v>85.199999999982538</v>
      </c>
      <c r="AR14" s="1044">
        <f>'10'!$G$126</f>
        <v>0</v>
      </c>
      <c r="AS14" s="1044">
        <f>'10'!$G$127</f>
        <v>0.6000000000003638</v>
      </c>
      <c r="AT14" s="1044">
        <f t="shared" si="0"/>
        <v>445.31999999989603</v>
      </c>
      <c r="AU14" s="1044">
        <f>SUM('10'!G139:G140)</f>
        <v>8.569999999999709</v>
      </c>
      <c r="AV14" s="1044">
        <f>'10'!$G$136</f>
        <v>8.8099999999976717</v>
      </c>
      <c r="AW14" s="1044">
        <f>'10'!$G$137</f>
        <v>0</v>
      </c>
      <c r="AX14" s="1044">
        <f>'10'!$G$138</f>
        <v>0</v>
      </c>
      <c r="AY14" s="1041">
        <f t="shared" si="1"/>
        <v>8.8099999999976717</v>
      </c>
    </row>
    <row r="15" spans="1:53">
      <c r="A15" s="1043">
        <v>43932</v>
      </c>
      <c r="B15" s="261">
        <f>'11'!G7</f>
        <v>20879</v>
      </c>
      <c r="C15" s="261">
        <f>'11'!G8</f>
        <v>20965</v>
      </c>
      <c r="D15" s="261">
        <f>'11'!G15</f>
        <v>846.82799999997951</v>
      </c>
      <c r="E15" s="261">
        <f>'11'!G20</f>
        <v>137</v>
      </c>
      <c r="F15" s="261">
        <f>SUM('11'!G35,'11'!G49)</f>
        <v>3122.5899999999674</v>
      </c>
      <c r="G15" s="261">
        <f>SUM('11'!G37,'11'!G51)</f>
        <v>1355.6100000000006</v>
      </c>
      <c r="H15" s="261">
        <f>SUM('11'!G38,'11'!G52)</f>
        <v>1611.0099999999948</v>
      </c>
      <c r="I15" s="261">
        <f>SUM('11'!G39,'11'!G53)</f>
        <v>3901.4030000000203</v>
      </c>
      <c r="J15" s="261">
        <f>SUM('11'!G41,'11'!G42,'11'!G55,'11'!G56)</f>
        <v>5752.1999999999825</v>
      </c>
      <c r="K15" s="261">
        <f>SUM('11'!G43,'11'!G57)</f>
        <v>2398.2999999999302</v>
      </c>
      <c r="L15" s="1044">
        <f>'11'!G50</f>
        <v>1125.0800000000163</v>
      </c>
      <c r="M15" s="1044">
        <f>'11'!G36</f>
        <v>1033.640000000014</v>
      </c>
      <c r="N15" s="1044">
        <f>'11'!G72</f>
        <v>95</v>
      </c>
      <c r="O15" s="1044">
        <f>'11'!$G$73</f>
        <v>3</v>
      </c>
      <c r="P15" s="1044">
        <f>'11'!$G$74</f>
        <v>31.610000000000127</v>
      </c>
      <c r="Q15" s="1044">
        <f>'11'!$G$75</f>
        <v>65.75</v>
      </c>
      <c r="R15" s="1044">
        <f>'11'!$G$76</f>
        <v>65.389999999999418</v>
      </c>
      <c r="S15" s="1044">
        <f>'11'!$G$77</f>
        <v>45</v>
      </c>
      <c r="T15" s="1035">
        <f>'11'!$G$78</f>
        <v>118</v>
      </c>
      <c r="U15" s="1035">
        <f>'11'!$G$79</f>
        <v>189</v>
      </c>
      <c r="V15" s="1035">
        <f>'11'!$G$80</f>
        <v>355.35999999998603</v>
      </c>
      <c r="W15" s="1035">
        <f>'11'!$G$81</f>
        <v>270.48000000009779</v>
      </c>
      <c r="X15" s="1035">
        <f>'11'!$G$82</f>
        <v>23.379999999990105</v>
      </c>
      <c r="Y15" s="1035">
        <f>'11'!$G$58</f>
        <v>181.66999999999825</v>
      </c>
      <c r="Z15" s="1035">
        <f>'11'!$G$83</f>
        <v>250</v>
      </c>
      <c r="AA15" s="1035">
        <f>'11'!G86</f>
        <v>228.96000000002095</v>
      </c>
      <c r="AB15" s="1035">
        <f>'11'!G87</f>
        <v>24.700000000011642</v>
      </c>
      <c r="AC15" s="1035">
        <f>'11'!G88</f>
        <v>23.929999999993015</v>
      </c>
      <c r="AD15" s="1035">
        <f>'11'!G87+'11'!H90</f>
        <v>24.700000000011642</v>
      </c>
      <c r="AE15" s="1044">
        <f>'11'!$G$62</f>
        <v>0</v>
      </c>
      <c r="AF15" s="1044">
        <f>'11'!$G$63</f>
        <v>12.539999999999964</v>
      </c>
      <c r="AG15" s="1044">
        <f>'11'!$G$64</f>
        <v>489.33999999999651</v>
      </c>
      <c r="AH15" s="1044">
        <f>'11'!$G$65</f>
        <v>373.36000000001513</v>
      </c>
      <c r="AI15" s="1044">
        <f>'11'!$G$66</f>
        <v>411.43999999999505</v>
      </c>
      <c r="AJ15" s="1044">
        <f>'11'!$G$67</f>
        <v>481.17999999999302</v>
      </c>
      <c r="AK15" s="1044">
        <f>'11'!$G$68</f>
        <v>0</v>
      </c>
      <c r="AL15" s="1044">
        <f>'11'!$G$69</f>
        <v>305.11000000000058</v>
      </c>
      <c r="AM15" s="1044">
        <f>'11'!$G$84</f>
        <v>1020</v>
      </c>
      <c r="AN15" s="1044">
        <f>'11'!$G$15</f>
        <v>846.82799999997951</v>
      </c>
      <c r="AO15" s="1044">
        <f>'11'!$G$123</f>
        <v>248.04000000003725</v>
      </c>
      <c r="AP15" s="1044">
        <f>'11'!$G$124</f>
        <v>0</v>
      </c>
      <c r="AQ15" s="1044">
        <f>'11'!$G$125</f>
        <v>99.350000000005821</v>
      </c>
      <c r="AR15" s="1044">
        <f>'11'!$G$126</f>
        <v>0</v>
      </c>
      <c r="AS15" s="1044">
        <f>'11'!$G$127</f>
        <v>0</v>
      </c>
      <c r="AT15" s="1044">
        <f t="shared" si="0"/>
        <v>499.43799999993644</v>
      </c>
      <c r="AU15" s="1044">
        <f>SUM('11'!G139:G140)</f>
        <v>8.2100000000000364</v>
      </c>
      <c r="AV15" s="1044">
        <f>'11'!$G$136</f>
        <v>9.680000000000291</v>
      </c>
      <c r="AW15" s="1044">
        <f>'11'!$G$137</f>
        <v>1</v>
      </c>
      <c r="AX15" s="1044">
        <f>'11'!$G$138</f>
        <v>0</v>
      </c>
      <c r="AY15" s="1041">
        <f t="shared" si="1"/>
        <v>10.680000000000291</v>
      </c>
    </row>
    <row r="16" spans="1:53">
      <c r="A16" s="1043">
        <v>43933</v>
      </c>
      <c r="B16" s="261">
        <f>'12'!G7</f>
        <v>20466</v>
      </c>
      <c r="C16" s="261">
        <f>'12'!G8</f>
        <v>20554</v>
      </c>
      <c r="D16" s="261">
        <f>'12'!G15</f>
        <v>774.06000000005588</v>
      </c>
      <c r="E16" s="261">
        <f>'12'!G20</f>
        <v>141</v>
      </c>
      <c r="F16" s="261">
        <f>SUM('12'!G35,'12'!G49)</f>
        <v>2973.890000000014</v>
      </c>
      <c r="G16" s="261">
        <f>SUM('12'!G37,'12'!G51)</f>
        <v>1326.6800000000076</v>
      </c>
      <c r="H16" s="261">
        <f>SUM('12'!G38,'12'!G52)</f>
        <v>1617.6200000000536</v>
      </c>
      <c r="I16" s="261">
        <f>SUM('12'!G39,'12'!G53)</f>
        <v>3735.1769999999669</v>
      </c>
      <c r="J16" s="261">
        <f>SUM('12'!G41,'12'!G42,'12'!G55,'12'!G56)</f>
        <v>5662.5799999999581</v>
      </c>
      <c r="K16" s="261">
        <f>SUM('12'!G43,'12'!G57)</f>
        <v>2314.6500000000233</v>
      </c>
      <c r="L16" s="1044">
        <f>'12'!G50</f>
        <v>1196.9699999999721</v>
      </c>
      <c r="M16" s="1044">
        <f>'12'!G36</f>
        <v>973.6699999999837</v>
      </c>
      <c r="N16" s="1044">
        <f>'12'!G72</f>
        <v>81</v>
      </c>
      <c r="O16" s="1044">
        <f>'12'!$G$73</f>
        <v>1</v>
      </c>
      <c r="P16" s="1044">
        <f>'12'!$G$74</f>
        <v>31.369999999999891</v>
      </c>
      <c r="Q16" s="1044">
        <f>'12'!$G$75</f>
        <v>63.600000000000364</v>
      </c>
      <c r="R16" s="1044">
        <f>'12'!$G$76</f>
        <v>65.520000000000437</v>
      </c>
      <c r="S16" s="1044">
        <f>'12'!$G$77</f>
        <v>43</v>
      </c>
      <c r="T16" s="1035">
        <f>'12'!$G$78</f>
        <v>110</v>
      </c>
      <c r="U16" s="1035">
        <f>'12'!$G$79</f>
        <v>176</v>
      </c>
      <c r="V16" s="1035">
        <f>'12'!$G$80</f>
        <v>382.67999999999302</v>
      </c>
      <c r="W16" s="1035">
        <f>'12'!$G$81</f>
        <v>231.19999999995343</v>
      </c>
      <c r="X16" s="1035">
        <f>'12'!$G$82</f>
        <v>24.270000000004075</v>
      </c>
      <c r="Y16" s="1035">
        <f>'12'!$G$58</f>
        <v>173.93000000000029</v>
      </c>
      <c r="Z16" s="1035">
        <f>'12'!$G$83</f>
        <v>258</v>
      </c>
      <c r="AA16" s="1035">
        <f>'12'!G86</f>
        <v>274.79999999998836</v>
      </c>
      <c r="AB16" s="1035">
        <f>'12'!G87</f>
        <v>43.899999999994179</v>
      </c>
      <c r="AC16" s="1035">
        <f>'12'!G88</f>
        <v>23.369999999995343</v>
      </c>
      <c r="AD16" s="1035">
        <f>'12'!G87+'12'!H90</f>
        <v>44.099999999993997</v>
      </c>
      <c r="AE16" s="1044">
        <f>'12'!$G$62</f>
        <v>0</v>
      </c>
      <c r="AF16" s="1044">
        <f>'12'!$G$63</f>
        <v>11.300000000000182</v>
      </c>
      <c r="AG16" s="1044">
        <f>'12'!$G$64</f>
        <v>476.01000000000931</v>
      </c>
      <c r="AH16" s="1044">
        <f>'12'!$G$65</f>
        <v>361.14999999999418</v>
      </c>
      <c r="AI16" s="1044">
        <f>'12'!$G$66</f>
        <v>377.65000000000146</v>
      </c>
      <c r="AJ16" s="1044">
        <f>'12'!$G$67</f>
        <v>452.97000000000116</v>
      </c>
      <c r="AK16" s="1044">
        <f>'12'!$G$68</f>
        <v>0</v>
      </c>
      <c r="AL16" s="1044">
        <f>'12'!$G$69</f>
        <v>266.13999999999942</v>
      </c>
      <c r="AM16" s="1044">
        <f>'12'!$G$84</f>
        <v>982</v>
      </c>
      <c r="AN16" s="1044">
        <f>'12'!$G$15</f>
        <v>774.06000000005588</v>
      </c>
      <c r="AO16" s="1082">
        <f>'12'!$G$123</f>
        <v>245.19999999995343</v>
      </c>
      <c r="AP16" s="1044">
        <f>'12'!$G$124</f>
        <v>-0.39999999999417923</v>
      </c>
      <c r="AQ16" s="1071">
        <f>'12'!$G$125</f>
        <v>82.320000000006985</v>
      </c>
      <c r="AR16" s="1044">
        <f>'12'!$G$126</f>
        <v>0</v>
      </c>
      <c r="AS16" s="1044">
        <f>'12'!$G$127</f>
        <v>0.3999999999996362</v>
      </c>
      <c r="AT16" s="1044">
        <f t="shared" si="0"/>
        <v>446.54000000009</v>
      </c>
      <c r="AU16" s="1044">
        <f>SUM('12'!G139:G140)</f>
        <v>8.0899999999996908</v>
      </c>
      <c r="AV16" s="1044">
        <f>'12'!$G$136</f>
        <v>9.3100000000013097</v>
      </c>
      <c r="AW16" s="1044">
        <f>'12'!$G$137</f>
        <v>0</v>
      </c>
      <c r="AX16" s="1044">
        <f>'12'!$G$138</f>
        <v>0</v>
      </c>
      <c r="AY16" s="1041">
        <f t="shared" si="1"/>
        <v>9.3100000000013097</v>
      </c>
      <c r="BA16" s="1049">
        <f>AO16-AQ16</f>
        <v>162.87999999994645</v>
      </c>
    </row>
    <row r="17" spans="1:53">
      <c r="A17" s="1043">
        <v>43934</v>
      </c>
      <c r="B17" s="261">
        <f>'13'!G7</f>
        <v>20135</v>
      </c>
      <c r="C17" s="261">
        <f>'13'!G8</f>
        <v>20221</v>
      </c>
      <c r="D17" s="261">
        <f>'13'!G15</f>
        <v>805.97999999998137</v>
      </c>
      <c r="E17" s="261">
        <f>'13'!G20</f>
        <v>142</v>
      </c>
      <c r="F17" s="261">
        <f>SUM('13'!G35,'13'!G49)</f>
        <v>2879</v>
      </c>
      <c r="G17" s="261">
        <f>SUM('13'!G37,'13'!G51)</f>
        <v>1352</v>
      </c>
      <c r="H17" s="261">
        <f>SUM('13'!G38,'13'!G52)</f>
        <v>1644</v>
      </c>
      <c r="I17" s="261">
        <f>SUM('13'!G39,'13'!G53)</f>
        <v>3546</v>
      </c>
      <c r="J17" s="261">
        <f>SUM('13'!G41,'13'!G42,'13'!G55,'13'!G56)</f>
        <v>5812</v>
      </c>
      <c r="K17" s="261">
        <f>SUM('13'!G43,'13'!G57)</f>
        <v>2305.33</v>
      </c>
      <c r="L17" s="1044">
        <f>'13'!G50</f>
        <v>1083</v>
      </c>
      <c r="M17" s="1044">
        <f>'13'!G36</f>
        <v>1048</v>
      </c>
      <c r="N17" s="1044">
        <f>'13'!G72</f>
        <v>84</v>
      </c>
      <c r="O17" s="1044">
        <f>'13'!$G$73</f>
        <v>1</v>
      </c>
      <c r="P17" s="1044">
        <f>'13'!$G$74</f>
        <v>32</v>
      </c>
      <c r="Q17" s="1044">
        <f>'13'!$G$75</f>
        <v>59</v>
      </c>
      <c r="R17" s="1044">
        <f>'13'!$G$76</f>
        <v>60</v>
      </c>
      <c r="S17" s="1044">
        <f>'13'!$G$77</f>
        <v>41</v>
      </c>
      <c r="T17" s="1035">
        <f>'13'!$G$78</f>
        <v>96</v>
      </c>
      <c r="U17" s="1035">
        <f>'13'!$G$79</f>
        <v>169</v>
      </c>
      <c r="V17" s="1035">
        <f>'13'!$G$80</f>
        <v>385</v>
      </c>
      <c r="W17" s="1035">
        <f>'13'!$G$81</f>
        <v>242</v>
      </c>
      <c r="X17" s="1035">
        <f>'13'!$G$82</f>
        <v>24</v>
      </c>
      <c r="Y17" s="1035">
        <f>'13'!$G$58</f>
        <v>186</v>
      </c>
      <c r="Z17" s="1035">
        <f>'13'!$G$83</f>
        <v>250</v>
      </c>
      <c r="AA17" s="1035">
        <f>'13'!G86</f>
        <v>214</v>
      </c>
      <c r="AB17" s="1035">
        <f>'13'!G87</f>
        <v>37</v>
      </c>
      <c r="AC17" s="1035">
        <f>'13'!G88</f>
        <v>23</v>
      </c>
      <c r="AD17" s="1035">
        <f>'13'!G87+'13'!H90</f>
        <v>37</v>
      </c>
      <c r="AE17" s="1044">
        <f>'13'!$G$62</f>
        <v>0.18000000000029104</v>
      </c>
      <c r="AF17" s="1044">
        <f>'13'!$G$63</f>
        <v>10</v>
      </c>
      <c r="AG17" s="1044">
        <f>'13'!$G$64</f>
        <v>474</v>
      </c>
      <c r="AH17" s="1044">
        <f>'13'!$G$65</f>
        <v>367</v>
      </c>
      <c r="AI17" s="1044">
        <f>'13'!$G$66</f>
        <v>397</v>
      </c>
      <c r="AJ17" s="1044">
        <f>'13'!$G$67</f>
        <v>460</v>
      </c>
      <c r="AK17" s="1044">
        <f>'13'!$G$68</f>
        <v>0</v>
      </c>
      <c r="AL17" s="1044">
        <f>'13'!$G$69</f>
        <v>64</v>
      </c>
      <c r="AM17" s="1044">
        <f>'13'!$G$84</f>
        <v>908</v>
      </c>
      <c r="AN17" s="1044">
        <f>'13'!$G$15</f>
        <v>805.97999999998137</v>
      </c>
      <c r="AO17" s="1082">
        <f>'13'!$G$123</f>
        <v>241</v>
      </c>
      <c r="AP17" s="1044">
        <f>'13'!$G$124</f>
        <v>0</v>
      </c>
      <c r="AQ17" s="1044">
        <f>'13'!$G$125</f>
        <v>83</v>
      </c>
      <c r="AR17" s="1044">
        <f>'13'!$G$126</f>
        <v>-0.2000000000007276</v>
      </c>
      <c r="AS17" s="1044">
        <f>'13'!$G$127</f>
        <v>0</v>
      </c>
      <c r="AT17" s="1044">
        <f t="shared" si="0"/>
        <v>482.1799999999821</v>
      </c>
      <c r="AU17" s="1044">
        <f>SUM('13'!G139:G140)</f>
        <v>7.9800000000004729</v>
      </c>
      <c r="AV17" s="1044">
        <f>'13'!$G$136</f>
        <v>9.4200000000018917</v>
      </c>
      <c r="AW17" s="1044">
        <f>'13'!$G$137</f>
        <v>0</v>
      </c>
      <c r="AX17" s="1044">
        <f>'13'!$G$138</f>
        <v>2.4299999999930151</v>
      </c>
      <c r="AY17" s="1041">
        <f t="shared" si="1"/>
        <v>11.849999999994907</v>
      </c>
      <c r="BA17" s="1049">
        <f t="shared" ref="BA17:BA34" si="2">AO17-AT17</f>
        <v>-241.1799999999821</v>
      </c>
    </row>
    <row r="18" spans="1:53">
      <c r="A18" s="1043">
        <v>43935</v>
      </c>
      <c r="B18" s="261">
        <f>'14'!G7</f>
        <v>20889</v>
      </c>
      <c r="C18" s="261">
        <f>'14'!G8</f>
        <v>20974</v>
      </c>
      <c r="D18" s="261">
        <f>'14'!G15</f>
        <v>821.02000000001863</v>
      </c>
      <c r="E18" s="261">
        <f>'14'!G20</f>
        <v>133</v>
      </c>
      <c r="F18" s="261">
        <f>SUM('14'!G35,'14'!G49)</f>
        <v>2806</v>
      </c>
      <c r="G18" s="261">
        <f>SUM('14'!G37,'14'!G51)</f>
        <v>1384</v>
      </c>
      <c r="H18" s="261">
        <f>SUM('14'!G38,'14'!G52)</f>
        <v>1681</v>
      </c>
      <c r="I18" s="261">
        <f>SUM('14'!G39,'14'!G53)</f>
        <v>3539</v>
      </c>
      <c r="J18" s="261">
        <f>SUM('14'!G41,'14'!G42,'14'!G55,'14'!G56)</f>
        <v>6215</v>
      </c>
      <c r="K18" s="261">
        <f>SUM('14'!G43,'14'!G57)</f>
        <v>2300</v>
      </c>
      <c r="L18" s="1044">
        <f>'14'!G50</f>
        <v>1182</v>
      </c>
      <c r="M18" s="1044">
        <f>'14'!G36</f>
        <v>1106</v>
      </c>
      <c r="N18" s="1044">
        <f>'14'!G72</f>
        <v>83</v>
      </c>
      <c r="O18" s="1044">
        <f>'14'!$G$73</f>
        <v>1</v>
      </c>
      <c r="P18" s="1044">
        <f>'14'!$G$74</f>
        <v>34</v>
      </c>
      <c r="Q18" s="1044">
        <f>'14'!$G$75</f>
        <v>59</v>
      </c>
      <c r="R18" s="1044">
        <f>'14'!$G$76</f>
        <v>64</v>
      </c>
      <c r="S18" s="1044">
        <f>'14'!$G$77</f>
        <v>51</v>
      </c>
      <c r="T18" s="1035">
        <f>'14'!$G$78</f>
        <v>90</v>
      </c>
      <c r="U18" s="1035">
        <f>'14'!$G$79</f>
        <v>192</v>
      </c>
      <c r="V18" s="1035">
        <f>'14'!$G$80</f>
        <v>402</v>
      </c>
      <c r="W18" s="1035">
        <f>'14'!$G$81</f>
        <v>314</v>
      </c>
      <c r="X18" s="1035">
        <f>'14'!$G$82</f>
        <v>18</v>
      </c>
      <c r="Y18" s="1035">
        <f>'14'!$G$58</f>
        <v>181</v>
      </c>
      <c r="Z18" s="1035">
        <f>'14'!$G$83</f>
        <v>285</v>
      </c>
      <c r="AA18" s="1035">
        <f>'14'!G86</f>
        <v>222</v>
      </c>
      <c r="AB18" s="1035">
        <f>'14'!G87</f>
        <v>35</v>
      </c>
      <c r="AC18" s="1035">
        <f>'14'!G88</f>
        <v>24</v>
      </c>
      <c r="AD18" s="1035">
        <f>'14'!G87+'14'!H90</f>
        <v>35</v>
      </c>
      <c r="AE18" s="1044">
        <f>'14'!$G$62</f>
        <v>0</v>
      </c>
      <c r="AF18" s="1044">
        <f>'14'!$G$63</f>
        <v>12</v>
      </c>
      <c r="AG18" s="1044">
        <f>'14'!$G$64</f>
        <v>489</v>
      </c>
      <c r="AH18" s="1044">
        <f>'14'!$G$65</f>
        <v>379</v>
      </c>
      <c r="AI18" s="1044">
        <f>'14'!$G$66</f>
        <v>411</v>
      </c>
      <c r="AJ18" s="1044">
        <f>'14'!$G$67</f>
        <v>463</v>
      </c>
      <c r="AK18" s="1044">
        <f>'14'!$G$68</f>
        <v>0</v>
      </c>
      <c r="AL18" s="1044">
        <f>'14'!$G$69</f>
        <v>35</v>
      </c>
      <c r="AM18" s="1044">
        <f>'14'!$G$84</f>
        <v>802</v>
      </c>
      <c r="AN18" s="1044">
        <f>'14'!$G$15</f>
        <v>821.02000000001863</v>
      </c>
      <c r="AO18" s="1044">
        <f>'14'!$G$123</f>
        <v>231</v>
      </c>
      <c r="AP18" s="1044">
        <f>'14'!$G$124</f>
        <v>0.39999999999417923</v>
      </c>
      <c r="AQ18" s="1044">
        <f>'14'!$G$125</f>
        <v>96</v>
      </c>
      <c r="AR18" s="1044">
        <f>'14'!$G$126</f>
        <v>0</v>
      </c>
      <c r="AS18" s="1044">
        <f>'14'!$G$127</f>
        <v>0</v>
      </c>
      <c r="AT18" s="1044">
        <f t="shared" si="0"/>
        <v>493.62000000002445</v>
      </c>
      <c r="AU18" s="1044">
        <f>SUM('14'!G139:G140)</f>
        <v>7.6199999999998909</v>
      </c>
      <c r="AV18" s="1044">
        <f>'14'!$G$136</f>
        <v>9.3599999999969441</v>
      </c>
      <c r="AW18" s="1044">
        <f>'14'!$G$137</f>
        <v>0</v>
      </c>
      <c r="AX18" s="1044">
        <f>'14'!$G$138</f>
        <v>0.84000000001105946</v>
      </c>
      <c r="AY18" s="1041">
        <f t="shared" si="1"/>
        <v>10.200000000008004</v>
      </c>
      <c r="BA18" s="1049">
        <f>AO18-AT18</f>
        <v>-262.62000000002445</v>
      </c>
    </row>
    <row r="19" spans="1:53">
      <c r="A19" s="1043">
        <v>43936</v>
      </c>
      <c r="B19" s="261">
        <f>'15'!G7</f>
        <v>20167</v>
      </c>
      <c r="C19" s="261">
        <f>'15'!G8</f>
        <v>20226</v>
      </c>
      <c r="D19" s="1467">
        <f>'15'!G15</f>
        <v>807.75</v>
      </c>
      <c r="E19" s="261">
        <f>'15'!G20</f>
        <v>138</v>
      </c>
      <c r="F19" s="1467">
        <f>SUM('15'!G35,'15'!G49)</f>
        <v>2727</v>
      </c>
      <c r="G19" s="1467">
        <f>SUM('15'!G37,'15'!G51)</f>
        <v>1350</v>
      </c>
      <c r="H19" s="1467">
        <f>SUM('15'!G38,'15'!G52)</f>
        <v>1581</v>
      </c>
      <c r="I19" s="1467">
        <f>SUM('15'!G39,'15'!G53)</f>
        <v>2830</v>
      </c>
      <c r="J19" s="1467">
        <f>SUM('15'!G41,'15'!G42,'15'!G55,'15'!G56)</f>
        <v>6050</v>
      </c>
      <c r="K19" s="261">
        <f>SUM('15'!G43,'15'!G57)</f>
        <v>2310</v>
      </c>
      <c r="L19" s="1468">
        <f>'15'!G50</f>
        <v>1164</v>
      </c>
      <c r="M19" s="1044">
        <f>'15'!G36</f>
        <v>1201</v>
      </c>
      <c r="N19" s="1044">
        <f>'15'!G72</f>
        <v>81</v>
      </c>
      <c r="O19" s="1044">
        <f>'15'!$G$73</f>
        <v>2</v>
      </c>
      <c r="P19" s="1044">
        <f>'15'!$G$74</f>
        <v>31</v>
      </c>
      <c r="Q19" s="1044">
        <f>'15'!$G$75</f>
        <v>59</v>
      </c>
      <c r="R19" s="1044">
        <f>'15'!$G$76</f>
        <v>55</v>
      </c>
      <c r="S19" s="1044">
        <f>'15'!$G$77</f>
        <v>48</v>
      </c>
      <c r="T19" s="1035">
        <f>'15'!$G$78</f>
        <v>66</v>
      </c>
      <c r="U19" s="1035">
        <f>'15'!$G$79</f>
        <v>192</v>
      </c>
      <c r="V19" s="1035">
        <f>'15'!$G$80</f>
        <v>389</v>
      </c>
      <c r="W19" s="1035">
        <f>'15'!$G$81</f>
        <v>279</v>
      </c>
      <c r="X19" s="1035">
        <f>'15'!$G$82</f>
        <v>33</v>
      </c>
      <c r="Y19" s="1035">
        <f>'15'!$G$58</f>
        <v>162</v>
      </c>
      <c r="Z19" s="1035">
        <f>'15'!$G$83</f>
        <v>253</v>
      </c>
      <c r="AA19" s="1035">
        <f>'15'!G86</f>
        <v>230</v>
      </c>
      <c r="AB19" s="1035">
        <f>'15'!G87</f>
        <v>31</v>
      </c>
      <c r="AC19" s="1035">
        <f>'15'!G88</f>
        <v>24</v>
      </c>
      <c r="AD19" s="1035">
        <f>'15'!G87+'15'!H90</f>
        <v>31</v>
      </c>
      <c r="AE19" s="1044">
        <f>'15'!$G$62</f>
        <v>0.18000000000029104</v>
      </c>
      <c r="AF19" s="1044">
        <f>'15'!$G$63</f>
        <v>10</v>
      </c>
      <c r="AG19" s="1044">
        <f>'15'!$G$64</f>
        <v>483</v>
      </c>
      <c r="AH19" s="1044">
        <f>'15'!$G$65</f>
        <v>348</v>
      </c>
      <c r="AI19" s="1044">
        <f>'15'!$G$66</f>
        <v>374</v>
      </c>
      <c r="AJ19" s="1044">
        <f>'15'!$G$67</f>
        <v>412</v>
      </c>
      <c r="AK19" s="1044">
        <f>'15'!$G$68</f>
        <v>0</v>
      </c>
      <c r="AL19" s="1044">
        <f>'15'!$G$69</f>
        <v>36</v>
      </c>
      <c r="AM19" s="1044">
        <f>'15'!$G$84</f>
        <v>754</v>
      </c>
      <c r="AN19" s="1044">
        <f>'15'!$G$15</f>
        <v>807.75</v>
      </c>
      <c r="AO19" s="1044">
        <f>'15'!$G$123</f>
        <v>260</v>
      </c>
      <c r="AP19" s="1044">
        <f>'15'!$G$124</f>
        <v>0</v>
      </c>
      <c r="AQ19" s="1044">
        <f>'15'!$G$125</f>
        <v>89</v>
      </c>
      <c r="AR19" s="1044">
        <f>'15'!$G$126</f>
        <v>0</v>
      </c>
      <c r="AS19" s="1044">
        <f>'15'!$G$127</f>
        <v>0</v>
      </c>
      <c r="AT19" s="1044">
        <f t="shared" si="0"/>
        <v>458.75</v>
      </c>
      <c r="AU19" s="1044">
        <f>SUM('15'!G139:G140)</f>
        <v>8.6199999999998909</v>
      </c>
      <c r="AV19" s="1044">
        <f>'15'!$G$136</f>
        <v>8.8800000000010186</v>
      </c>
      <c r="AW19" s="1044">
        <f>'15'!$G$137</f>
        <v>0</v>
      </c>
      <c r="AX19" s="1044">
        <f>'15'!$G$138</f>
        <v>0.46999999998661224</v>
      </c>
      <c r="AY19" s="1041">
        <f t="shared" si="1"/>
        <v>9.3499999999876309</v>
      </c>
      <c r="BA19" s="1049">
        <f t="shared" si="2"/>
        <v>-198.75</v>
      </c>
    </row>
    <row r="20" spans="1:53">
      <c r="A20" s="1043">
        <v>43937</v>
      </c>
      <c r="B20" s="261">
        <f>'16'!G7</f>
        <v>20156</v>
      </c>
      <c r="C20" s="261">
        <f>'16'!G8</f>
        <v>20214</v>
      </c>
      <c r="D20" s="261">
        <f>'16'!G15</f>
        <v>832.25</v>
      </c>
      <c r="E20" s="261">
        <f>'16'!G20</f>
        <v>136</v>
      </c>
      <c r="F20" s="261">
        <f>SUM('16'!G35,'16'!G49)</f>
        <v>2622.1300000000047</v>
      </c>
      <c r="G20" s="261">
        <f>SUM('16'!G37,'16'!G51)</f>
        <v>1374</v>
      </c>
      <c r="H20" s="261">
        <f>SUM('16'!G38,'16'!G52)</f>
        <v>1654</v>
      </c>
      <c r="I20" s="261">
        <f>SUM('16'!G39,'16'!G53)</f>
        <v>2841</v>
      </c>
      <c r="J20" s="261">
        <f>SUM('16'!G41,'16'!G42,'16'!G55,'16'!G56)</f>
        <v>6004</v>
      </c>
      <c r="K20" s="261">
        <f>SUM('16'!G43,'16'!G57)</f>
        <v>2307</v>
      </c>
      <c r="L20" s="1044">
        <f>'16'!G50</f>
        <v>1183</v>
      </c>
      <c r="M20" s="1044">
        <f>'16'!G36</f>
        <v>1018</v>
      </c>
      <c r="N20" s="1044">
        <f>'16'!G72</f>
        <v>79</v>
      </c>
      <c r="O20" s="1044">
        <f>'16'!$G$73</f>
        <v>1</v>
      </c>
      <c r="P20" s="1044">
        <f>'16'!$G$74</f>
        <v>33</v>
      </c>
      <c r="Q20" s="1044">
        <f>'16'!$G$75</f>
        <v>61</v>
      </c>
      <c r="R20" s="1044">
        <f>'16'!$G$76</f>
        <v>57</v>
      </c>
      <c r="S20" s="1044">
        <f>'16'!$G$77</f>
        <v>49</v>
      </c>
      <c r="T20" s="1035">
        <f>'16'!$G$78</f>
        <v>119</v>
      </c>
      <c r="U20" s="1035">
        <f>'16'!$G$79</f>
        <v>191</v>
      </c>
      <c r="V20" s="1035">
        <f>'16'!$G$80</f>
        <v>382</v>
      </c>
      <c r="W20" s="1035">
        <f>'16'!$G$81</f>
        <v>201</v>
      </c>
      <c r="X20" s="1035">
        <f>'16'!$G$82</f>
        <v>24</v>
      </c>
      <c r="Y20" s="1035">
        <f>'16'!$G$58</f>
        <v>179</v>
      </c>
      <c r="Z20" s="1035">
        <f>'16'!$G$83</f>
        <v>281</v>
      </c>
      <c r="AA20" s="1035">
        <f>'16'!G86</f>
        <v>219</v>
      </c>
      <c r="AB20" s="1035">
        <f>'16'!G87</f>
        <v>25</v>
      </c>
      <c r="AC20" s="1035">
        <f>'16'!G88</f>
        <v>23</v>
      </c>
      <c r="AD20" s="1035">
        <f>'16'!G87+'16'!H90</f>
        <v>25</v>
      </c>
      <c r="AE20" s="1044">
        <f>'16'!$G$62</f>
        <v>0</v>
      </c>
      <c r="AF20" s="1044">
        <f>'16'!$G$63</f>
        <v>10.409999999999854</v>
      </c>
      <c r="AG20" s="1044">
        <f>'16'!$G$64</f>
        <v>480</v>
      </c>
      <c r="AH20" s="1044">
        <f>'16'!$G$65</f>
        <v>342</v>
      </c>
      <c r="AI20" s="1044">
        <f>'16'!$G$66</f>
        <v>372</v>
      </c>
      <c r="AJ20" s="1044">
        <f>'16'!$G$67</f>
        <v>450</v>
      </c>
      <c r="AK20" s="1044">
        <f>'16'!$G$68</f>
        <v>0</v>
      </c>
      <c r="AL20" s="1044">
        <f>'16'!$G$69</f>
        <v>37</v>
      </c>
      <c r="AM20" s="1044">
        <f>'16'!$G$84</f>
        <v>721</v>
      </c>
      <c r="AN20" s="1044">
        <f>'16'!$G$15</f>
        <v>832.25</v>
      </c>
      <c r="AO20" s="1082">
        <f>'16'!$G$123</f>
        <v>242</v>
      </c>
      <c r="AP20" s="1044">
        <f>'16'!$G$124</f>
        <v>0</v>
      </c>
      <c r="AQ20" s="1044">
        <f>'16'!$G$125</f>
        <v>82</v>
      </c>
      <c r="AR20" s="1044">
        <f>'16'!$G$126</f>
        <v>0</v>
      </c>
      <c r="AS20" s="1044">
        <f>'16'!$G$127</f>
        <v>0</v>
      </c>
      <c r="AT20" s="1044">
        <f t="shared" si="0"/>
        <v>508.25</v>
      </c>
      <c r="AU20" s="1044">
        <f>SUM('16'!G139:G140)</f>
        <v>8</v>
      </c>
      <c r="AV20" s="1044">
        <f>'16'!$G$136</f>
        <v>10.180000000000291</v>
      </c>
      <c r="AW20" s="1044">
        <f>'16'!$G$137</f>
        <v>0</v>
      </c>
      <c r="AX20" s="1044">
        <f>'16'!$G$138</f>
        <v>0</v>
      </c>
      <c r="AY20" s="1041">
        <f t="shared" si="1"/>
        <v>10.180000000000291</v>
      </c>
      <c r="BA20" s="1049">
        <f t="shared" si="2"/>
        <v>-266.25</v>
      </c>
    </row>
    <row r="21" spans="1:53">
      <c r="A21" s="1043">
        <v>43938</v>
      </c>
      <c r="B21" s="261">
        <f>'17'!G7</f>
        <v>20298</v>
      </c>
      <c r="C21" s="261">
        <f>'17'!G8</f>
        <v>20345</v>
      </c>
      <c r="D21" s="261">
        <f>'17'!G15</f>
        <v>799</v>
      </c>
      <c r="E21" s="261">
        <f>'17'!G20</f>
        <v>138</v>
      </c>
      <c r="F21" s="261">
        <f>SUM('17'!G35,'17'!G49)</f>
        <v>2618</v>
      </c>
      <c r="G21" s="261">
        <f>SUM('17'!G37,'17'!G51)</f>
        <v>1372</v>
      </c>
      <c r="H21" s="261">
        <f>SUM('17'!G38,'17'!G52)</f>
        <v>1629</v>
      </c>
      <c r="I21" s="261">
        <f>SUM('17'!G39,'17'!G53)</f>
        <v>2947</v>
      </c>
      <c r="J21" s="261">
        <f>SUM('17'!G41,'17'!G42,'17'!G55,'17'!G56)</f>
        <v>6183</v>
      </c>
      <c r="K21" s="261">
        <f>SUM('17'!G43,'17'!G57)</f>
        <v>2341</v>
      </c>
      <c r="L21" s="1044">
        <f>'17'!G50</f>
        <v>984</v>
      </c>
      <c r="M21" s="1044">
        <f>'17'!G36</f>
        <v>1090</v>
      </c>
      <c r="N21" s="1044">
        <f>'18'!G72</f>
        <v>71</v>
      </c>
      <c r="O21" s="1044">
        <f>'17'!$G$73</f>
        <v>2</v>
      </c>
      <c r="P21" s="1044">
        <f>'17'!$G$74</f>
        <v>30</v>
      </c>
      <c r="Q21" s="1044">
        <f>'17'!$G$75</f>
        <v>63</v>
      </c>
      <c r="R21" s="1044">
        <f>'17'!$G$76</f>
        <v>55</v>
      </c>
      <c r="S21" s="1044">
        <f>'17'!$G$77</f>
        <v>47</v>
      </c>
      <c r="T21" s="1035">
        <f>'17'!$G$78</f>
        <v>82</v>
      </c>
      <c r="U21" s="1035">
        <f>'17'!$G$79</f>
        <v>184</v>
      </c>
      <c r="V21" s="1035">
        <f>'17'!$G$80</f>
        <v>384</v>
      </c>
      <c r="W21" s="1035">
        <f>'17'!$G$81</f>
        <v>214</v>
      </c>
      <c r="X21" s="1035">
        <f>'17'!$G$82</f>
        <v>25</v>
      </c>
      <c r="Y21" s="1035">
        <f>'17'!$G$58</f>
        <v>188</v>
      </c>
      <c r="Z21" s="1035">
        <f>'17'!$G$83</f>
        <v>312</v>
      </c>
      <c r="AA21" s="1035">
        <f>'17'!G86</f>
        <v>34</v>
      </c>
      <c r="AB21" s="1035">
        <f>'17'!G87</f>
        <v>29</v>
      </c>
      <c r="AC21" s="1035">
        <f>'17'!G88</f>
        <v>25</v>
      </c>
      <c r="AD21" s="1035">
        <f>'17'!G87+'17'!H90</f>
        <v>28.900000000000091</v>
      </c>
      <c r="AE21" s="1044">
        <f>'17'!$G$62</f>
        <v>-0.18000000000029104</v>
      </c>
      <c r="AF21" s="1044">
        <f>'17'!$G$63</f>
        <v>9.5900000000001455</v>
      </c>
      <c r="AG21" s="1044">
        <f>'17'!$G$64</f>
        <v>498</v>
      </c>
      <c r="AH21" s="1044">
        <f>'17'!$G$65</f>
        <v>369</v>
      </c>
      <c r="AI21" s="1044">
        <f>'17'!$G$66</f>
        <v>402</v>
      </c>
      <c r="AJ21" s="1044">
        <f>'17'!$G$67</f>
        <v>475</v>
      </c>
      <c r="AK21" s="1044">
        <f>'17'!$G$68</f>
        <v>0</v>
      </c>
      <c r="AL21" s="1044">
        <f>'17'!$G$69</f>
        <v>39</v>
      </c>
      <c r="AM21" s="1044">
        <f>'17'!$G$84</f>
        <v>659</v>
      </c>
      <c r="AN21" s="1044">
        <f>'17'!$G$15</f>
        <v>799</v>
      </c>
      <c r="AO21" s="1044">
        <f>'17'!$G$123</f>
        <v>225</v>
      </c>
      <c r="AP21" s="1044">
        <f>'17'!$G$124</f>
        <v>0</v>
      </c>
      <c r="AQ21" s="1044">
        <f>'17'!$G$125</f>
        <v>88</v>
      </c>
      <c r="AR21" s="1044">
        <f>'17'!$G$126</f>
        <v>0</v>
      </c>
      <c r="AS21" s="1044">
        <f>'17'!$G$127</f>
        <v>1</v>
      </c>
      <c r="AT21" s="1044">
        <f t="shared" si="0"/>
        <v>485</v>
      </c>
      <c r="AU21" s="1044">
        <f>SUM('17'!G139:G140)</f>
        <v>7.3299999999999272</v>
      </c>
      <c r="AV21" s="1044">
        <f>'17'!$G$136</f>
        <v>10</v>
      </c>
      <c r="AW21" s="1044">
        <f>'17'!$G$137</f>
        <v>2.9999999998835847E-2</v>
      </c>
      <c r="AX21" s="1044">
        <f>'17'!$G$138</f>
        <v>0</v>
      </c>
      <c r="AY21" s="1041">
        <f t="shared" si="1"/>
        <v>10.029999999998836</v>
      </c>
      <c r="BA21" s="1049">
        <f t="shared" si="2"/>
        <v>-260</v>
      </c>
    </row>
    <row r="22" spans="1:53">
      <c r="A22" s="1043">
        <v>43939</v>
      </c>
      <c r="B22" s="261">
        <f>'18'!G7</f>
        <v>19993</v>
      </c>
      <c r="C22" s="261">
        <f>'18'!G8</f>
        <v>20045</v>
      </c>
      <c r="D22" s="261">
        <f>'18'!G15</f>
        <v>776</v>
      </c>
      <c r="E22" s="261">
        <f>'18'!G20</f>
        <v>157</v>
      </c>
      <c r="F22" s="261">
        <f>SUM('18'!G35,'18'!G49)</f>
        <v>2568</v>
      </c>
      <c r="G22" s="261">
        <f>SUM('18'!G37,'18'!G51)</f>
        <v>1290</v>
      </c>
      <c r="H22" s="261">
        <f>SUM('18'!G38,'18'!G52)</f>
        <v>1664</v>
      </c>
      <c r="I22" s="261">
        <f>SUM('18'!G39,'18'!G53)</f>
        <v>2785</v>
      </c>
      <c r="J22" s="261">
        <f>SUM('18'!G41,'18'!G42,'18'!G55,'18'!G56)</f>
        <v>6326</v>
      </c>
      <c r="K22" s="261">
        <f>SUM('18'!G43,'18'!G57)</f>
        <v>2310</v>
      </c>
      <c r="L22" s="1044">
        <f>'18'!G50</f>
        <v>1011</v>
      </c>
      <c r="M22" s="1044">
        <f>'18'!G36</f>
        <v>945</v>
      </c>
      <c r="N22" s="1044">
        <f>'18'!G72</f>
        <v>71</v>
      </c>
      <c r="O22" s="1044">
        <f>'18'!$G$73</f>
        <v>1</v>
      </c>
      <c r="P22" s="1044">
        <f>'18'!$G$74</f>
        <v>31</v>
      </c>
      <c r="Q22" s="1044">
        <f>'18'!$G$75</f>
        <v>61</v>
      </c>
      <c r="R22" s="1044">
        <f>'18'!$G$76</f>
        <v>54</v>
      </c>
      <c r="S22" s="1044">
        <f>'18'!$G$77</f>
        <v>44</v>
      </c>
      <c r="T22" s="1035">
        <f>'18'!$G$78</f>
        <v>71</v>
      </c>
      <c r="U22" s="1035">
        <f>'18'!$G$79</f>
        <v>168</v>
      </c>
      <c r="V22" s="1047">
        <f>'18'!$G$80</f>
        <v>375</v>
      </c>
      <c r="W22" s="1047">
        <f>'18'!$G$81</f>
        <v>189</v>
      </c>
      <c r="X22" s="1047">
        <f>'18'!$G$82</f>
        <v>25</v>
      </c>
      <c r="Y22" s="1047">
        <f>'18'!$G$58</f>
        <v>167</v>
      </c>
      <c r="Z22" s="1047">
        <f>'18'!$G$83</f>
        <v>303</v>
      </c>
      <c r="AA22" s="1047">
        <f>'18'!G86</f>
        <v>43</v>
      </c>
      <c r="AB22" s="1035">
        <f>'18'!G87</f>
        <v>34</v>
      </c>
      <c r="AC22" s="1035">
        <f>'18'!G88</f>
        <v>22</v>
      </c>
      <c r="AD22" s="1035">
        <f>'18'!G87+'18'!H90</f>
        <v>34.099999999999909</v>
      </c>
      <c r="AE22" s="1044">
        <f>'18'!$G$62</f>
        <v>0.18000000000029104</v>
      </c>
      <c r="AF22" s="1044">
        <f>'18'!$G$63</f>
        <v>6</v>
      </c>
      <c r="AG22" s="1044">
        <f>'18'!$G$64</f>
        <v>529</v>
      </c>
      <c r="AH22" s="1044">
        <f>'18'!$G$65</f>
        <v>357</v>
      </c>
      <c r="AI22" s="1044">
        <f>'18'!$G$66</f>
        <v>375</v>
      </c>
      <c r="AJ22" s="1044">
        <f>'18'!$G$67</f>
        <v>379</v>
      </c>
      <c r="AK22" s="1044">
        <f>'18'!$G$68</f>
        <v>0</v>
      </c>
      <c r="AL22" s="1044">
        <f>'18'!$G$69</f>
        <v>39</v>
      </c>
      <c r="AM22" s="1044">
        <f>'18'!$G$84</f>
        <v>629</v>
      </c>
      <c r="AN22" s="1044">
        <f>'18'!$G$15</f>
        <v>776</v>
      </c>
      <c r="AO22" s="1044">
        <f>'18'!$G$123</f>
        <v>260</v>
      </c>
      <c r="AP22" s="1044">
        <f>'18'!$G$124</f>
        <v>0</v>
      </c>
      <c r="AQ22" s="1044">
        <f>'18'!$G$125</f>
        <v>68</v>
      </c>
      <c r="AR22" s="1044">
        <f>'18'!$G$126</f>
        <v>0</v>
      </c>
      <c r="AS22" s="1044">
        <f>'18'!$G$127</f>
        <v>0</v>
      </c>
      <c r="AT22" s="1044">
        <f t="shared" si="0"/>
        <v>448</v>
      </c>
      <c r="AU22" s="1044">
        <f>SUM('18'!G139:G140)</f>
        <v>8.6099999999996726</v>
      </c>
      <c r="AV22" s="1044">
        <f>'18'!$G$136</f>
        <v>8</v>
      </c>
      <c r="AW22" s="1044">
        <f>'18'!$G$137</f>
        <v>0</v>
      </c>
      <c r="AX22" s="1044">
        <f>'18'!$G$138</f>
        <v>2.2100000000064028</v>
      </c>
      <c r="AY22" s="1041">
        <f t="shared" si="1"/>
        <v>10.210000000006403</v>
      </c>
      <c r="BA22" s="1049">
        <f t="shared" si="2"/>
        <v>-188</v>
      </c>
    </row>
    <row r="23" spans="1:53" s="1046" customFormat="1">
      <c r="A23" s="1043">
        <v>43940</v>
      </c>
      <c r="B23" s="261">
        <f>'19'!G7</f>
        <v>20300</v>
      </c>
      <c r="C23" s="261">
        <f>'19'!G8</f>
        <v>20355</v>
      </c>
      <c r="D23" s="261">
        <f>'19'!G15</f>
        <v>733</v>
      </c>
      <c r="E23" s="261">
        <f>'19'!G20</f>
        <v>151</v>
      </c>
      <c r="F23" s="261">
        <f>SUM('19'!G35,'19'!G49)</f>
        <v>2734.8699999999953</v>
      </c>
      <c r="G23" s="261">
        <f>SUM('19'!G37,'19'!G51)</f>
        <v>1352</v>
      </c>
      <c r="H23" s="261">
        <f>SUM('19'!G38,'19'!G52)</f>
        <v>1554</v>
      </c>
      <c r="I23" s="261">
        <f>SUM('19'!G39,'19'!G53)</f>
        <v>3327</v>
      </c>
      <c r="J23" s="261">
        <f>SUM('19'!G41,'19'!G42,'19'!G55,'19'!G56)</f>
        <v>6208</v>
      </c>
      <c r="K23" s="261">
        <f>SUM('19'!G43,'19'!G57)</f>
        <v>2287.67</v>
      </c>
      <c r="L23" s="1035">
        <f>'19'!G50</f>
        <v>1197</v>
      </c>
      <c r="M23" s="1035">
        <f>'19'!G36</f>
        <v>1000</v>
      </c>
      <c r="N23" s="1035">
        <f>'19'!G72</f>
        <v>27</v>
      </c>
      <c r="O23" s="1035">
        <f>'19'!$G$73</f>
        <v>2</v>
      </c>
      <c r="P23" s="1035">
        <f>'19'!$G$74</f>
        <v>31</v>
      </c>
      <c r="Q23" s="1035">
        <f>'19'!$G$75</f>
        <v>61</v>
      </c>
      <c r="R23" s="1044">
        <f>'19'!G76</f>
        <v>54</v>
      </c>
      <c r="S23" s="1035">
        <f>'19'!$G$77</f>
        <v>44</v>
      </c>
      <c r="T23" s="1035">
        <f>'19'!$G$78</f>
        <v>0</v>
      </c>
      <c r="U23" s="1035">
        <f>'19'!$G$79</f>
        <v>207</v>
      </c>
      <c r="V23" s="1035">
        <f>'19'!$G$80</f>
        <v>377</v>
      </c>
      <c r="W23" s="1035">
        <f>'19'!$G$81</f>
        <v>206</v>
      </c>
      <c r="X23" s="1035">
        <f>'19'!$G$82</f>
        <v>28</v>
      </c>
      <c r="Y23" s="1035">
        <f>'19'!$G$58</f>
        <v>165</v>
      </c>
      <c r="Z23" s="1035">
        <f>'19'!$G$83</f>
        <v>346</v>
      </c>
      <c r="AA23" s="1035">
        <f>'19'!G86</f>
        <v>205</v>
      </c>
      <c r="AB23" s="1035">
        <f>'19'!G87</f>
        <v>27</v>
      </c>
      <c r="AC23" s="1035">
        <f>'19'!G88</f>
        <v>114</v>
      </c>
      <c r="AD23" s="1035">
        <f>'19'!G87+'19'!H90</f>
        <v>27</v>
      </c>
      <c r="AE23" s="1035">
        <f>'19'!$G$62</f>
        <v>2.0000000000436557E-2</v>
      </c>
      <c r="AF23" s="1035">
        <f>'19'!$G$63</f>
        <v>8</v>
      </c>
      <c r="AG23" s="1035">
        <f>'19'!$G$64</f>
        <v>511</v>
      </c>
      <c r="AH23" s="1035">
        <f>'19'!$G$65</f>
        <v>356</v>
      </c>
      <c r="AI23" s="1035">
        <f>'19'!$G$66</f>
        <v>372</v>
      </c>
      <c r="AJ23" s="1035">
        <f>'19'!$G$67</f>
        <v>390</v>
      </c>
      <c r="AK23" s="1035">
        <f>'19'!$G$68</f>
        <v>0</v>
      </c>
      <c r="AL23" s="1035">
        <f>'19'!$G$69</f>
        <v>39</v>
      </c>
      <c r="AM23" s="1035">
        <f>'19'!$G$84</f>
        <v>797</v>
      </c>
      <c r="AN23" s="1035">
        <f>'19'!$G$15</f>
        <v>733</v>
      </c>
      <c r="AO23" s="1035">
        <f>'19'!$G$123</f>
        <v>251</v>
      </c>
      <c r="AP23" s="1035">
        <f>'19'!$G$124</f>
        <v>-0.39999999999417923</v>
      </c>
      <c r="AQ23" s="1035">
        <f>'19'!$G$125</f>
        <v>91</v>
      </c>
      <c r="AR23" s="1035">
        <f>'19'!$G$126</f>
        <v>0</v>
      </c>
      <c r="AS23" s="1035">
        <f>'19'!$G$127</f>
        <v>0</v>
      </c>
      <c r="AT23" s="1035">
        <f t="shared" si="0"/>
        <v>391.39999999999418</v>
      </c>
      <c r="AU23" s="1035">
        <f>SUM('19'!G139:G140)</f>
        <v>8.2200000000007094</v>
      </c>
      <c r="AV23" s="1035">
        <f>'19'!$G$136</f>
        <v>7</v>
      </c>
      <c r="AW23" s="1035">
        <f>'19'!$G$137</f>
        <v>0</v>
      </c>
      <c r="AX23" s="1035">
        <f>'19'!$G$138</f>
        <v>1.7200000000011642</v>
      </c>
      <c r="AY23" s="1045">
        <f t="shared" si="1"/>
        <v>8.7200000000011642</v>
      </c>
      <c r="BA23" s="1050">
        <f t="shared" si="2"/>
        <v>-140.39999999999418</v>
      </c>
    </row>
    <row r="24" spans="1:53">
      <c r="A24" s="1043">
        <v>43941</v>
      </c>
      <c r="B24" s="261">
        <f>'20'!G7</f>
        <v>20160</v>
      </c>
      <c r="C24" s="261">
        <f>'20'!G8</f>
        <v>20216</v>
      </c>
      <c r="D24" s="261">
        <f>'20'!G15</f>
        <v>772</v>
      </c>
      <c r="E24" s="261">
        <f>'20'!G20</f>
        <v>141</v>
      </c>
      <c r="F24" s="261">
        <f>SUM('20'!G35,'20'!G49)</f>
        <v>2817.1300000000047</v>
      </c>
      <c r="G24" s="261">
        <f>SUM('20'!G37,'20'!G51)</f>
        <v>1368</v>
      </c>
      <c r="H24" s="261">
        <f>SUM('20'!G38,'20'!G52)</f>
        <v>1488</v>
      </c>
      <c r="I24" s="261">
        <f>SUM('20'!G39,'20'!G53)</f>
        <v>3410</v>
      </c>
      <c r="J24" s="261">
        <f>SUM('20'!G41,'20'!G42,'20'!G55,'20'!G56)</f>
        <v>5991</v>
      </c>
      <c r="K24" s="261">
        <f>SUM('20'!G43,'20'!G57)</f>
        <v>2277</v>
      </c>
      <c r="L24" s="1044">
        <f>'20'!G50</f>
        <v>1139</v>
      </c>
      <c r="M24" s="1044">
        <f>'20'!G36</f>
        <v>1068</v>
      </c>
      <c r="N24" s="1044">
        <f>'20'!G72</f>
        <v>100</v>
      </c>
      <c r="O24" s="1044">
        <f>'20'!$G$73</f>
        <v>1</v>
      </c>
      <c r="P24" s="1044">
        <f>'20'!$G$74</f>
        <v>30</v>
      </c>
      <c r="Q24" s="1044">
        <f>'20'!$G$75</f>
        <v>58</v>
      </c>
      <c r="R24" s="1044">
        <f>'20'!$G$76</f>
        <v>50</v>
      </c>
      <c r="S24" s="1044">
        <f>'20'!$G$77</f>
        <v>44</v>
      </c>
      <c r="T24" s="1035">
        <f>'20'!$G$78</f>
        <v>22</v>
      </c>
      <c r="U24" s="1035">
        <f>'20'!$G$79</f>
        <v>193</v>
      </c>
      <c r="V24" s="1035">
        <f>'20'!$G$80</f>
        <v>396</v>
      </c>
      <c r="W24" s="1035">
        <f>'20'!$G$81</f>
        <v>211</v>
      </c>
      <c r="X24" s="1035">
        <f>'20'!$G$82</f>
        <v>22</v>
      </c>
      <c r="Y24" s="1035">
        <f>'20'!$G$58</f>
        <v>177</v>
      </c>
      <c r="Z24" s="1035">
        <f>'20'!$G$83</f>
        <v>291</v>
      </c>
      <c r="AA24" s="1035">
        <f>'20'!G86</f>
        <v>207</v>
      </c>
      <c r="AB24" s="1035">
        <f>'20'!G87</f>
        <v>17</v>
      </c>
      <c r="AC24" s="1035">
        <f>'20'!G88</f>
        <v>23</v>
      </c>
      <c r="AD24" s="1035">
        <f>'20'!G87+'20'!H90</f>
        <v>17</v>
      </c>
      <c r="AE24" s="1044">
        <f>'20'!$G$62</f>
        <v>0</v>
      </c>
      <c r="AF24" s="1044">
        <f>'20'!$G$63</f>
        <v>6</v>
      </c>
      <c r="AG24" s="1044">
        <f>'20'!$G$64</f>
        <v>517</v>
      </c>
      <c r="AH24" s="1044">
        <f>'20'!$G$65</f>
        <v>359</v>
      </c>
      <c r="AI24" s="1044">
        <f>'20'!$G$66</f>
        <v>395</v>
      </c>
      <c r="AJ24" s="1044">
        <f>'20'!$G$67</f>
        <v>389</v>
      </c>
      <c r="AK24" s="1044">
        <f>'20'!$G$68</f>
        <v>0</v>
      </c>
      <c r="AL24" s="1044">
        <f>'20'!$G$69</f>
        <v>47</v>
      </c>
      <c r="AM24" s="1044">
        <f>'20'!$G$84</f>
        <v>805</v>
      </c>
      <c r="AN24" s="1044">
        <f>'20'!$G$15</f>
        <v>772</v>
      </c>
      <c r="AO24" s="1044">
        <f>'20'!$G$123</f>
        <v>252</v>
      </c>
      <c r="AP24" s="1044">
        <f>'20'!$G$124</f>
        <v>0</v>
      </c>
      <c r="AQ24" s="1044">
        <f>'20'!$G$125</f>
        <v>78</v>
      </c>
      <c r="AR24" s="1044">
        <f>'20'!$G$126</f>
        <v>0</v>
      </c>
      <c r="AS24" s="1044">
        <f>'20'!$G$127</f>
        <v>-29.600000000000364</v>
      </c>
      <c r="AT24" s="1044">
        <f t="shared" si="0"/>
        <v>471.60000000000036</v>
      </c>
      <c r="AU24" s="1044">
        <f>SUM('20'!G139:G140)</f>
        <v>8.3400000000001455</v>
      </c>
      <c r="AV24" s="1044">
        <f>'20'!$G$136</f>
        <v>5.3800000000010186</v>
      </c>
      <c r="AW24" s="1044">
        <f>'20'!$G$137</f>
        <v>0</v>
      </c>
      <c r="AX24" s="1044">
        <f>'20'!$G$138</f>
        <v>4.319999999992433</v>
      </c>
      <c r="AY24" s="1041">
        <f t="shared" si="1"/>
        <v>9.6999999999934516</v>
      </c>
      <c r="BA24" s="1049">
        <f t="shared" si="2"/>
        <v>-219.60000000000036</v>
      </c>
    </row>
    <row r="25" spans="1:53">
      <c r="A25" s="1043">
        <v>43942</v>
      </c>
      <c r="B25" s="261">
        <f>'21'!G7</f>
        <v>19605</v>
      </c>
      <c r="C25" s="261">
        <f>'21'!G8</f>
        <v>19654</v>
      </c>
      <c r="D25" s="261">
        <f>'21'!G15</f>
        <v>700</v>
      </c>
      <c r="E25" s="261">
        <f>'21'!G20</f>
        <v>158</v>
      </c>
      <c r="F25" s="261">
        <f>SUM('21'!G35,'21'!G49)</f>
        <v>2824</v>
      </c>
      <c r="G25" s="261">
        <f>SUM('21'!G37,'21'!G51)</f>
        <v>1328</v>
      </c>
      <c r="H25" s="261">
        <f>SUM('21'!G38,'21'!G52)</f>
        <v>1434.0699999999488</v>
      </c>
      <c r="I25" s="261">
        <f>SUM('21'!G39,'21'!G53)</f>
        <v>3354</v>
      </c>
      <c r="J25" s="261">
        <f>SUM('21'!G41,'21'!G42,'21'!G55,'21'!G56)</f>
        <v>5862</v>
      </c>
      <c r="K25" s="261">
        <f>SUM('21'!G43,'21'!G57)</f>
        <v>2286</v>
      </c>
      <c r="L25" s="1044">
        <f>'21'!G50</f>
        <v>1022</v>
      </c>
      <c r="M25" s="1044">
        <f>'21'!G36</f>
        <v>968</v>
      </c>
      <c r="N25" s="1044">
        <f>'21'!G72</f>
        <v>59</v>
      </c>
      <c r="O25" s="1044">
        <f>'21'!$G$73</f>
        <v>1</v>
      </c>
      <c r="P25" s="1044">
        <f>'21'!$G$74</f>
        <v>32</v>
      </c>
      <c r="Q25" s="1044">
        <f>'21'!$G$75</f>
        <v>60</v>
      </c>
      <c r="R25" s="1044">
        <f>'21'!$G$76</f>
        <v>38</v>
      </c>
      <c r="S25" s="1044">
        <f>'21'!$G$77</f>
        <v>39</v>
      </c>
      <c r="T25" s="1035">
        <f>'21'!$G$78</f>
        <v>48</v>
      </c>
      <c r="U25" s="1035">
        <f>'21'!$G$79</f>
        <v>182</v>
      </c>
      <c r="V25" s="1035">
        <f>'21'!$G$80</f>
        <v>352</v>
      </c>
      <c r="W25" s="1035">
        <f>'21'!$G$81</f>
        <v>180</v>
      </c>
      <c r="X25" s="1035">
        <f>'21'!$G$82</f>
        <v>24</v>
      </c>
      <c r="Y25" s="1035">
        <f>'21'!$G$58</f>
        <v>159</v>
      </c>
      <c r="Z25" s="1035">
        <f>'21'!$G$83</f>
        <v>215</v>
      </c>
      <c r="AA25" s="1035">
        <f>'21'!G86</f>
        <v>87</v>
      </c>
      <c r="AB25" s="1035">
        <f>'21'!G87</f>
        <v>13</v>
      </c>
      <c r="AC25" s="1035">
        <f>'21'!G88</f>
        <v>23</v>
      </c>
      <c r="AD25" s="1035">
        <f>'21'!G87+'21'!H90</f>
        <v>13</v>
      </c>
      <c r="AE25" s="1044">
        <f>'21'!$G$62</f>
        <v>0</v>
      </c>
      <c r="AF25" s="1044">
        <f>'21'!$G$63</f>
        <v>5</v>
      </c>
      <c r="AG25" s="1044">
        <f>'21'!$G$64</f>
        <v>504</v>
      </c>
      <c r="AH25" s="1044">
        <f>'21'!$G$65</f>
        <v>346</v>
      </c>
      <c r="AI25" s="1044">
        <f>'21'!$G$66</f>
        <v>380</v>
      </c>
      <c r="AJ25" s="1044">
        <f>'21'!$G$67</f>
        <v>387</v>
      </c>
      <c r="AK25" s="1044">
        <f>'21'!$G$68</f>
        <v>0</v>
      </c>
      <c r="AL25" s="1044">
        <f>'21'!$G$69</f>
        <v>51</v>
      </c>
      <c r="AM25" s="1044">
        <f>'21'!$G$84</f>
        <v>798</v>
      </c>
      <c r="AN25" s="1044">
        <f>'21'!$G$15</f>
        <v>700</v>
      </c>
      <c r="AO25" s="1044">
        <f>'21'!$G$123</f>
        <v>246</v>
      </c>
      <c r="AP25" s="1044">
        <f>'21'!$G$124</f>
        <v>0</v>
      </c>
      <c r="AQ25" s="1044">
        <f>'21'!$G$125</f>
        <v>87</v>
      </c>
      <c r="AR25" s="1044">
        <f>'21'!$G$126</f>
        <v>0</v>
      </c>
      <c r="AS25" s="1044">
        <f>'21'!$G$127</f>
        <v>0</v>
      </c>
      <c r="AT25" s="1044">
        <f t="shared" si="0"/>
        <v>367</v>
      </c>
      <c r="AU25" s="1044">
        <f>SUM('21'!G139:G140)</f>
        <v>8.7699999999992997</v>
      </c>
      <c r="AV25" s="1044">
        <f>'21'!$G$136</f>
        <v>5.6199999999989814</v>
      </c>
      <c r="AW25" s="1044">
        <f>'21'!$G$137</f>
        <v>0</v>
      </c>
      <c r="AX25" s="1044">
        <f>'21'!$G$138</f>
        <v>3.4800000000104774</v>
      </c>
      <c r="AY25" s="1041">
        <f t="shared" si="1"/>
        <v>9.1000000000094587</v>
      </c>
      <c r="BA25" s="1049">
        <f t="shared" si="2"/>
        <v>-121</v>
      </c>
    </row>
    <row r="26" spans="1:53">
      <c r="A26" s="1043">
        <v>43943</v>
      </c>
      <c r="B26" s="261">
        <f>'22'!G7</f>
        <v>19762</v>
      </c>
      <c r="C26" s="261">
        <f>'22'!G8</f>
        <v>19819</v>
      </c>
      <c r="D26" s="261">
        <f>'22'!G15</f>
        <v>767</v>
      </c>
      <c r="E26" s="261">
        <f>'22'!G20</f>
        <v>159</v>
      </c>
      <c r="F26" s="261">
        <f>SUM('22'!G35,'22'!G49)</f>
        <v>2785</v>
      </c>
      <c r="G26" s="261">
        <f>SUM('22'!G37,'22'!G51)</f>
        <v>1343</v>
      </c>
      <c r="H26" s="261">
        <f>SUM('22'!G38,'22'!G52)</f>
        <v>1462</v>
      </c>
      <c r="I26" s="261">
        <f>SUM('22'!G39,'22'!G53)</f>
        <v>3364</v>
      </c>
      <c r="J26" s="261">
        <f>SUM('22'!G41,'22'!G42,'22'!G55,'22'!G56)</f>
        <v>5930</v>
      </c>
      <c r="K26" s="261">
        <f>SUM('22'!G43,'22'!G57)</f>
        <v>2328</v>
      </c>
      <c r="L26" s="1044">
        <f>'22'!G50</f>
        <v>955</v>
      </c>
      <c r="M26" s="1044">
        <f>'22'!G36</f>
        <v>1061</v>
      </c>
      <c r="N26" s="1044">
        <f>'22'!G72</f>
        <v>56</v>
      </c>
      <c r="O26" s="1044">
        <f>'22'!$G$73</f>
        <v>1</v>
      </c>
      <c r="P26" s="1044">
        <f>'22'!$G$74</f>
        <v>28</v>
      </c>
      <c r="Q26" s="1044">
        <f>'22'!$G$75</f>
        <v>76</v>
      </c>
      <c r="R26" s="1044">
        <f>'22'!$G$76</f>
        <v>41</v>
      </c>
      <c r="S26" s="1044">
        <f>'22'!$G$77</f>
        <v>35</v>
      </c>
      <c r="T26" s="1035">
        <f>'22'!$G$78</f>
        <v>47</v>
      </c>
      <c r="U26" s="1035">
        <f>'22'!$G$79</f>
        <v>179</v>
      </c>
      <c r="V26" s="1035">
        <f>'22'!$G$80</f>
        <v>365</v>
      </c>
      <c r="W26" s="1035">
        <f>'22'!$G$81</f>
        <v>199</v>
      </c>
      <c r="X26" s="1035">
        <f>'22'!$G$82</f>
        <v>27</v>
      </c>
      <c r="Y26" s="1035">
        <f>'22'!$G$58</f>
        <v>161</v>
      </c>
      <c r="Z26" s="1035">
        <f>'22'!$G$83</f>
        <v>213</v>
      </c>
      <c r="AA26" s="1035">
        <f>'22'!G86</f>
        <v>24</v>
      </c>
      <c r="AB26" s="1035">
        <f>'22'!G87</f>
        <v>11</v>
      </c>
      <c r="AC26" s="1035">
        <f>'22'!G88</f>
        <v>22</v>
      </c>
      <c r="AD26" s="1035">
        <f>'22'!G87+'22'!H90</f>
        <v>11</v>
      </c>
      <c r="AE26" s="1044">
        <f>'22'!$G$62</f>
        <v>0</v>
      </c>
      <c r="AF26" s="1044">
        <f>'22'!$G$63</f>
        <v>5</v>
      </c>
      <c r="AG26" s="1044">
        <f>'22'!$G$64</f>
        <v>504</v>
      </c>
      <c r="AH26" s="1044">
        <f>'22'!$G$65</f>
        <v>363</v>
      </c>
      <c r="AI26" s="1044">
        <f>'22'!$G$66</f>
        <v>383</v>
      </c>
      <c r="AJ26" s="1044">
        <f>'22'!$G$67</f>
        <v>396</v>
      </c>
      <c r="AK26" s="1044">
        <f>'22'!$G$68</f>
        <v>0</v>
      </c>
      <c r="AL26" s="1044">
        <f>'22'!$G$69</f>
        <v>43</v>
      </c>
      <c r="AM26" s="1044">
        <f>'22'!$G$84</f>
        <v>782</v>
      </c>
      <c r="AN26" s="1044">
        <f>'22'!$G$15</f>
        <v>767</v>
      </c>
      <c r="AO26" s="1082">
        <f>'22'!$G$123</f>
        <v>238</v>
      </c>
      <c r="AP26" s="1044">
        <f>'22'!$G$124</f>
        <v>0</v>
      </c>
      <c r="AQ26" s="1044">
        <f>'22'!$G$125</f>
        <v>94</v>
      </c>
      <c r="AR26" s="1044">
        <f>'22'!$G$126</f>
        <v>0</v>
      </c>
      <c r="AS26" s="1044">
        <f>'22'!$G$127</f>
        <v>0</v>
      </c>
      <c r="AT26" s="1044">
        <f t="shared" si="0"/>
        <v>435</v>
      </c>
      <c r="AU26" s="1044">
        <f>SUM('22'!G139:G140)</f>
        <v>8.7999999999999545</v>
      </c>
      <c r="AV26" s="1044">
        <f>'22'!$G$136</f>
        <v>8.8499999999985448</v>
      </c>
      <c r="AW26" s="1044">
        <f>'22'!$G$137</f>
        <v>0</v>
      </c>
      <c r="AX26" s="1044">
        <f>'22'!$G$138</f>
        <v>0.70999999999185093</v>
      </c>
      <c r="AY26" s="1041">
        <f t="shared" si="1"/>
        <v>9.5599999999903957</v>
      </c>
      <c r="BA26" s="1049">
        <f t="shared" si="2"/>
        <v>-197</v>
      </c>
    </row>
    <row r="27" spans="1:53">
      <c r="A27" s="1043">
        <v>43944</v>
      </c>
      <c r="B27" s="261">
        <f>'23'!G7</f>
        <v>19931</v>
      </c>
      <c r="C27" s="261">
        <f>'23'!G8</f>
        <v>19983</v>
      </c>
      <c r="D27" s="261">
        <f>'23'!G15</f>
        <v>824.37599999993108</v>
      </c>
      <c r="E27" s="261">
        <f>'23'!G20</f>
        <v>138</v>
      </c>
      <c r="F27" s="261">
        <f>SUM('23'!G35,'23'!G49)</f>
        <v>2814.390000000014</v>
      </c>
      <c r="G27" s="261">
        <f>SUM('23'!G37,'23'!G51)</f>
        <v>1398.7599999999948</v>
      </c>
      <c r="H27" s="261">
        <f>SUM('23'!G38,'23'!G52)</f>
        <v>1433.2400000000052</v>
      </c>
      <c r="I27" s="261">
        <f>SUM('23'!G39,'23'!G53)</f>
        <v>3567.1199999999953</v>
      </c>
      <c r="J27" s="261">
        <f>SUM('23'!G41,'23'!G42,'23'!G55,'23'!G56)</f>
        <v>5802.1230000000505</v>
      </c>
      <c r="K27" s="261">
        <f>SUM('23'!G43,'23'!G57)</f>
        <v>2355.4300000000512</v>
      </c>
      <c r="L27" s="1044">
        <f>'23'!G50</f>
        <v>1104.2700000000186</v>
      </c>
      <c r="M27" s="1044">
        <f>'23'!G36</f>
        <v>1122.9500000000116</v>
      </c>
      <c r="N27" s="1044">
        <f>'23'!G72</f>
        <v>65</v>
      </c>
      <c r="O27" s="1044">
        <f>'23'!G73</f>
        <v>2</v>
      </c>
      <c r="P27" s="1044">
        <f>'23'!$G$74</f>
        <v>32.980000000000018</v>
      </c>
      <c r="Q27" s="1044">
        <f>'23'!$G$75</f>
        <v>57.049999999999272</v>
      </c>
      <c r="R27" s="1044">
        <f>'23'!$G$76</f>
        <v>37.800000000000182</v>
      </c>
      <c r="S27" s="1044">
        <f>'23'!$G$77</f>
        <v>40</v>
      </c>
      <c r="T27" s="1035">
        <f>'23'!$G$78</f>
        <v>89</v>
      </c>
      <c r="U27" s="1035">
        <f>'23'!$G$79</f>
        <v>180</v>
      </c>
      <c r="V27" s="1035">
        <f>'23'!$G$80</f>
        <v>379.76000000000931</v>
      </c>
      <c r="W27" s="1035">
        <f>'23'!$G$81</f>
        <v>202.28000000002794</v>
      </c>
      <c r="X27" s="1035">
        <f>'23'!$G$82</f>
        <v>20.30000000000291</v>
      </c>
      <c r="Y27" s="1035">
        <f>'23'!$G$58</f>
        <v>182.16999999999825</v>
      </c>
      <c r="Z27" s="1080">
        <f>'23'!$G$83</f>
        <v>174</v>
      </c>
      <c r="AA27" s="1035">
        <f>'23'!$G$86</f>
        <v>31.35999999998603</v>
      </c>
      <c r="AB27" s="1035">
        <f>'23'!G87</f>
        <v>10</v>
      </c>
      <c r="AC27" s="1035">
        <f>'23'!G88</f>
        <v>24.200000000011642</v>
      </c>
      <c r="AD27" s="1035">
        <f>'23'!G87+'23'!H90</f>
        <v>10.699999999999818</v>
      </c>
      <c r="AE27" s="1044">
        <f>'23'!$G$62</f>
        <v>-0.2000000000007276</v>
      </c>
      <c r="AF27" s="1044">
        <f>'23'!$G$63</f>
        <v>4</v>
      </c>
      <c r="AG27" s="1044">
        <f>'23'!$G$64</f>
        <v>505.51999999998952</v>
      </c>
      <c r="AH27" s="1044">
        <f>'23'!$G$65</f>
        <v>382.07000000000698</v>
      </c>
      <c r="AI27" s="1044">
        <f>'23'!$G$66</f>
        <v>429.52999999999884</v>
      </c>
      <c r="AJ27" s="1044">
        <f>'23'!$G$67</f>
        <v>453.32999999998719</v>
      </c>
      <c r="AK27" s="1044">
        <f>'23'!$G$68</f>
        <v>0</v>
      </c>
      <c r="AL27" s="1044">
        <f>'23'!$G$69</f>
        <v>41.30000000000291</v>
      </c>
      <c r="AM27" s="1044">
        <f>'23'!$G$84</f>
        <v>788</v>
      </c>
      <c r="AN27" s="1044">
        <f>'23'!$G$15</f>
        <v>824.37599999993108</v>
      </c>
      <c r="AO27" s="1044">
        <f>'23'!$G$123</f>
        <v>259.4100000000326</v>
      </c>
      <c r="AP27" s="1044">
        <f>'23'!$G$124</f>
        <v>0.39999999999417923</v>
      </c>
      <c r="AQ27" s="1044">
        <f>'23'!$G$125</f>
        <v>89.070000000006985</v>
      </c>
      <c r="AR27" s="1044">
        <f>'23'!$G$126</f>
        <v>0.2000000000007276</v>
      </c>
      <c r="AS27" s="1044">
        <f>'23'!$G$127</f>
        <v>30.899999999999636</v>
      </c>
      <c r="AT27" s="1044">
        <f t="shared" si="0"/>
        <v>444.39599999989696</v>
      </c>
      <c r="AU27" s="1044">
        <f>SUM('23'!G139:G140)</f>
        <v>9.5900000000006003</v>
      </c>
      <c r="AV27" s="1044">
        <f>'23'!$G$136</f>
        <v>9.2100000000027649</v>
      </c>
      <c r="AW27" s="1044">
        <f>'23'!$G$137</f>
        <v>1.4900000000016007</v>
      </c>
      <c r="AX27" s="1044">
        <f>'23'!$G$138</f>
        <v>0</v>
      </c>
      <c r="AY27" s="1041">
        <f t="shared" si="1"/>
        <v>10.700000000004366</v>
      </c>
      <c r="BA27" s="1049">
        <f t="shared" si="2"/>
        <v>-184.98599999986436</v>
      </c>
    </row>
    <row r="28" spans="1:53" s="1083" customFormat="1">
      <c r="A28" s="1043">
        <v>43945</v>
      </c>
      <c r="B28" s="261">
        <f>'24'!G7</f>
        <v>19964</v>
      </c>
      <c r="C28" s="261">
        <f>'24'!G8</f>
        <v>20016</v>
      </c>
      <c r="D28" s="261">
        <f>'24'!G15</f>
        <v>817.29200000013225</v>
      </c>
      <c r="E28" s="261">
        <f>'24'!G20</f>
        <v>194</v>
      </c>
      <c r="F28" s="261">
        <f>SUM('24'!G35,'24'!G49)</f>
        <v>2831.2299999999814</v>
      </c>
      <c r="G28" s="261">
        <f>SUM('24'!G37,'24'!G51)</f>
        <v>1337.4499999999971</v>
      </c>
      <c r="H28" s="261">
        <f>SUM('24'!G38,'24'!G52)</f>
        <v>1505.5000000000437</v>
      </c>
      <c r="I28" s="261">
        <f>SUM('24'!G39,'24'!G53)</f>
        <v>3515.9199999999837</v>
      </c>
      <c r="J28" s="261">
        <f>SUM('24'!G41,'24'!G42,'24'!G55,'24'!G56)</f>
        <v>5836.2600000000093</v>
      </c>
      <c r="K28" s="261">
        <f>SUM('24'!G43,'24'!G57)</f>
        <v>2344.4199999999255</v>
      </c>
      <c r="L28" s="1044">
        <f>'24'!G50</f>
        <v>897.59999999997672</v>
      </c>
      <c r="M28" s="1035">
        <f>'24'!G36</f>
        <v>978.39999999996508</v>
      </c>
      <c r="N28" s="1035">
        <f>'24'!G72</f>
        <v>56</v>
      </c>
      <c r="O28" s="1035">
        <f>'24'!G73</f>
        <v>3</v>
      </c>
      <c r="P28" s="1035">
        <f>'24'!$G$74</f>
        <v>35.579999999999927</v>
      </c>
      <c r="Q28" s="1035">
        <f>'24'!$G$75</f>
        <v>61.940000000000509</v>
      </c>
      <c r="R28" s="1035">
        <f>'24'!$G$76</f>
        <v>38.199999999999818</v>
      </c>
      <c r="S28" s="1035">
        <f>'24'!$G$77</f>
        <v>44</v>
      </c>
      <c r="T28" s="1035">
        <f>'24'!$G$78</f>
        <v>104</v>
      </c>
      <c r="U28" s="1035">
        <f>'24'!$G$79</f>
        <v>186</v>
      </c>
      <c r="V28" s="1035">
        <f>'24'!$G$80</f>
        <v>373.11999999999534</v>
      </c>
      <c r="W28" s="1035">
        <f>'24'!$G$81</f>
        <v>168.47999999998137</v>
      </c>
      <c r="X28" s="1035">
        <f>'24'!$G$82</f>
        <v>25.029999999998836</v>
      </c>
      <c r="Y28" s="1035">
        <f>'24'!$G$58</f>
        <v>182.58099999999831</v>
      </c>
      <c r="Z28" s="1035">
        <f>'24'!$G$83</f>
        <v>245</v>
      </c>
      <c r="AA28" s="1035">
        <f>'24'!G86</f>
        <v>29.64000000001397</v>
      </c>
      <c r="AB28" s="1035">
        <f>'24'!G87</f>
        <v>12.399999999994179</v>
      </c>
      <c r="AC28" s="1035">
        <f>'24'!G88</f>
        <v>22.629999999975553</v>
      </c>
      <c r="AD28" s="1035">
        <f>'24'!G87+'24'!H90</f>
        <v>11.999999999994543</v>
      </c>
      <c r="AE28" s="1035">
        <f>'24'!$G$62</f>
        <v>0</v>
      </c>
      <c r="AF28" s="1035">
        <f>'24'!$G$63</f>
        <v>5.1959000000001652</v>
      </c>
      <c r="AG28" s="1035">
        <f>'24'!$G$64</f>
        <v>508.20000000001164</v>
      </c>
      <c r="AH28" s="1035">
        <f>'24'!$G$65</f>
        <v>353.60000000000582</v>
      </c>
      <c r="AI28" s="1035">
        <f>'24'!$G$66</f>
        <v>399.70999999999913</v>
      </c>
      <c r="AJ28" s="1035">
        <f>'24'!$G$67</f>
        <v>437.27999999999884</v>
      </c>
      <c r="AK28" s="1035">
        <f>'24'!$G$68</f>
        <v>0</v>
      </c>
      <c r="AL28" s="1035">
        <f>'24'!$G$69</f>
        <v>50.5</v>
      </c>
      <c r="AM28" s="1035">
        <f>'24'!$G$84</f>
        <v>787</v>
      </c>
      <c r="AN28" s="1035">
        <f>'24'!$G$15</f>
        <v>817.29200000013225</v>
      </c>
      <c r="AO28" s="1082">
        <f>'24'!$G$123</f>
        <v>235.02999999991152</v>
      </c>
      <c r="AP28" s="1082">
        <f>'24'!$G$124</f>
        <v>-0.39999999999417923</v>
      </c>
      <c r="AQ28" s="1082">
        <f>'24'!$G$125</f>
        <v>91.979999999981374</v>
      </c>
      <c r="AR28" s="1035">
        <f>'24'!$G$126</f>
        <v>0</v>
      </c>
      <c r="AS28" s="1035">
        <f>'24'!$G$127</f>
        <v>0.1000000000003638</v>
      </c>
      <c r="AT28" s="1082">
        <f>AN28-SUM(AO28:AS28)</f>
        <v>490.58200000023317</v>
      </c>
      <c r="AU28" s="1035">
        <f>SUM('24'!G139:G140)</f>
        <v>8.3799999999996544</v>
      </c>
      <c r="AV28" s="1035">
        <f>'24'!$G$136</f>
        <v>9.7999999999992724</v>
      </c>
      <c r="AW28" s="1035">
        <f>'24'!$G$137</f>
        <v>0</v>
      </c>
      <c r="AX28" s="1035">
        <f>'24'!$G$138</f>
        <v>0</v>
      </c>
      <c r="AY28" s="1045">
        <f t="shared" si="1"/>
        <v>9.7999999999992724</v>
      </c>
      <c r="BA28" s="1084">
        <f t="shared" si="2"/>
        <v>-255.55200000032164</v>
      </c>
    </row>
    <row r="29" spans="1:53">
      <c r="A29" s="1043">
        <v>43946</v>
      </c>
      <c r="B29" s="261">
        <f>'25'!G7</f>
        <v>22296</v>
      </c>
      <c r="C29" s="261">
        <f>'25'!G8</f>
        <v>22390</v>
      </c>
      <c r="D29" s="261">
        <f>'25'!G15</f>
        <v>698.87399999983609</v>
      </c>
      <c r="E29" s="261">
        <f>'25'!G20</f>
        <v>133</v>
      </c>
      <c r="F29" s="261">
        <f>SUM('25'!G35,'25'!G49)</f>
        <v>3053.3800000000047</v>
      </c>
      <c r="G29" s="261">
        <f>SUM('25'!G37,'25'!G51)</f>
        <v>1346.3300000000017</v>
      </c>
      <c r="H29" s="261">
        <f>SUM('25'!G38,'25'!G52)</f>
        <v>1455.6799999999494</v>
      </c>
      <c r="I29" s="261">
        <f>SUM('25'!G39,'25'!G53)</f>
        <v>3630.5200000000186</v>
      </c>
      <c r="J29" s="261">
        <f>SUM('25'!G41,'25'!G42,'25'!G55,'25'!G56)</f>
        <v>7229.7499999999709</v>
      </c>
      <c r="K29" s="261">
        <f>SUM('25'!G43,'25'!G57)</f>
        <v>2595.2199999999721</v>
      </c>
      <c r="L29" s="1044">
        <f>'25'!G50</f>
        <v>1368.2399999999907</v>
      </c>
      <c r="M29" s="1044">
        <f>'25'!G36</f>
        <v>1014.9200000000419</v>
      </c>
      <c r="N29" s="1044">
        <f>'25'!G72</f>
        <v>58</v>
      </c>
      <c r="O29" s="1044">
        <f>'25'!$G$73</f>
        <v>29</v>
      </c>
      <c r="P29" s="1044">
        <f>'25'!$G$74</f>
        <v>34.240000000000236</v>
      </c>
      <c r="Q29" s="1044">
        <f>'25'!$G$75</f>
        <v>64.630000000001019</v>
      </c>
      <c r="R29" s="1044">
        <f>'25'!$G$76</f>
        <v>31.880000000000109</v>
      </c>
      <c r="S29" s="1044">
        <f>'25'!$G$77</f>
        <v>45</v>
      </c>
      <c r="T29" s="1035">
        <f>'25'!$G$78</f>
        <v>42</v>
      </c>
      <c r="U29" s="1035">
        <f>'25'!$G$79</f>
        <v>171</v>
      </c>
      <c r="V29" s="1035">
        <f>'25'!$G$80</f>
        <v>418.76000000000931</v>
      </c>
      <c r="W29" s="1035">
        <f>'25'!$G$81</f>
        <v>197.88000000000466</v>
      </c>
      <c r="X29" s="1035">
        <f>'25'!$G$82</f>
        <v>24.580000000001746</v>
      </c>
      <c r="Y29" s="1035">
        <f>'25'!$G$58</f>
        <v>153.89900000000489</v>
      </c>
      <c r="Z29" s="1035">
        <f>'25'!$G$83</f>
        <v>187</v>
      </c>
      <c r="AA29" s="1035">
        <f>'25'!G86</f>
        <v>32.440000000002328</v>
      </c>
      <c r="AB29" s="1035">
        <f>'25'!G87</f>
        <v>11.900000000008731</v>
      </c>
      <c r="AC29" s="1035">
        <f>'25'!G88</f>
        <v>24.670000000012806</v>
      </c>
      <c r="AD29" s="1035">
        <f>'25'!G87+'25'!H90</f>
        <v>11.900000000008731</v>
      </c>
      <c r="AE29" s="1044">
        <f>'25'!$G$62</f>
        <v>0</v>
      </c>
      <c r="AF29" s="1044">
        <f>'25'!$G$63</f>
        <v>6.1440999999999804</v>
      </c>
      <c r="AG29" s="1044">
        <f>'25'!$G$64</f>
        <v>509.97000000000116</v>
      </c>
      <c r="AH29" s="1044">
        <f>'25'!$G$65</f>
        <v>362.50999999998021</v>
      </c>
      <c r="AI29" s="1044">
        <f>'25'!$G$66</f>
        <v>388.16000000000349</v>
      </c>
      <c r="AJ29" s="1044">
        <f>'25'!$G$67</f>
        <v>382.5</v>
      </c>
      <c r="AK29" s="1044">
        <f>'25'!$G$68</f>
        <v>0</v>
      </c>
      <c r="AL29" s="1044">
        <f>'25'!$G$69</f>
        <v>133</v>
      </c>
      <c r="AM29" s="1044">
        <f>'25'!$G$84</f>
        <v>890</v>
      </c>
      <c r="AN29" s="1044">
        <f>'25'!$G$15</f>
        <v>698.87399999983609</v>
      </c>
      <c r="AO29" s="1044">
        <f>'25'!$G$123</f>
        <v>257.38000000000466</v>
      </c>
      <c r="AP29" s="1044">
        <f>'25'!$G$124</f>
        <v>0.39999999999417923</v>
      </c>
      <c r="AQ29" s="1044">
        <f>'25'!$G$125</f>
        <v>82.75</v>
      </c>
      <c r="AR29" s="1044">
        <f>'25'!$G$126</f>
        <v>0</v>
      </c>
      <c r="AS29" s="1044">
        <f>'25'!$G$127</f>
        <v>0.2000000000007276</v>
      </c>
      <c r="AT29" s="1044">
        <f t="shared" si="0"/>
        <v>358.14399999983652</v>
      </c>
      <c r="AU29" s="1044">
        <f>SUM('25'!G139:G140)</f>
        <v>9.8100000000001728</v>
      </c>
      <c r="AV29" s="1044">
        <f>'25'!$G$136</f>
        <v>5.8099999999976717</v>
      </c>
      <c r="AW29" s="1044">
        <f>'25'!$G$137</f>
        <v>0</v>
      </c>
      <c r="AX29" s="1044">
        <f>'25'!$G$138</f>
        <v>4.2300000000104774</v>
      </c>
      <c r="AY29" s="1041">
        <f t="shared" si="1"/>
        <v>10.040000000008149</v>
      </c>
      <c r="BA29" s="1049">
        <f t="shared" si="2"/>
        <v>-100.76399999983187</v>
      </c>
    </row>
    <row r="30" spans="1:53">
      <c r="A30" s="1043">
        <v>43947</v>
      </c>
      <c r="B30" s="261">
        <f>'26'!G7</f>
        <v>20533</v>
      </c>
      <c r="C30" s="261">
        <f>'26'!G8</f>
        <v>20629</v>
      </c>
      <c r="D30" s="261">
        <f>'26'!G15</f>
        <v>688.53800000017509</v>
      </c>
      <c r="E30" s="261">
        <f>'26'!G20</f>
        <v>159</v>
      </c>
      <c r="F30" s="261">
        <f>SUM('26'!G35,'26'!G49)</f>
        <v>3075.9499999999534</v>
      </c>
      <c r="G30" s="261">
        <f>SUM('26'!G37,'26'!G51)</f>
        <v>1331.4199999999983</v>
      </c>
      <c r="H30" s="261">
        <f>SUM('26'!G38,'26'!G52)</f>
        <v>1433.6900000000023</v>
      </c>
      <c r="I30" s="261">
        <f>SUM('26'!G39,'26'!G53)</f>
        <v>3523.5</v>
      </c>
      <c r="J30" s="261">
        <f>SUM('26'!G41,'26'!G42,'26'!G55,'26'!G56)</f>
        <v>6105.3299999999581</v>
      </c>
      <c r="K30" s="261">
        <f>SUM('26'!G43,'26'!G57)</f>
        <v>2549.2400000001071</v>
      </c>
      <c r="L30" s="1044">
        <f>'26'!G50</f>
        <v>1194.0400000000373</v>
      </c>
      <c r="M30" s="1044">
        <f>'26'!G36</f>
        <v>766.79999999998836</v>
      </c>
      <c r="N30" s="1044">
        <f>'26'!G72</f>
        <v>57</v>
      </c>
      <c r="O30" s="1044">
        <f>'26'!$G$73</f>
        <v>1</v>
      </c>
      <c r="P30" s="1044">
        <f>'26'!$G$74</f>
        <v>31.698999999999614</v>
      </c>
      <c r="Q30" s="1044">
        <f>'26'!$G$75</f>
        <v>63.199999999998909</v>
      </c>
      <c r="R30" s="1044">
        <f>'26'!$G$76</f>
        <v>44.920000000000073</v>
      </c>
      <c r="S30" s="1044">
        <f>'26'!$G$77</f>
        <v>44</v>
      </c>
      <c r="T30" s="1035">
        <f>'26'!$G$78</f>
        <v>57</v>
      </c>
      <c r="U30" s="1035">
        <f>'26'!$G$79</f>
        <v>203</v>
      </c>
      <c r="V30" s="1035">
        <f>'26'!$G$80</f>
        <v>353.39999999996508</v>
      </c>
      <c r="W30" s="1035">
        <f>'26'!$G$81</f>
        <v>133.47999999998137</v>
      </c>
      <c r="X30" s="1035">
        <f>'26'!$G$82</f>
        <v>17.360000000000582</v>
      </c>
      <c r="Y30" s="1035">
        <f>'26'!$G$58</f>
        <v>153.16100000000006</v>
      </c>
      <c r="Z30" s="1035">
        <f>'26'!$G$83</f>
        <v>277</v>
      </c>
      <c r="AA30" s="1035">
        <f>'26'!G86</f>
        <v>191.59999999997672</v>
      </c>
      <c r="AB30" s="1035">
        <f>'26'!G87</f>
        <v>15.099999999991269</v>
      </c>
      <c r="AC30" s="1035">
        <f>'26'!G88</f>
        <v>123.20999999999185</v>
      </c>
      <c r="AD30" s="1035">
        <f>'26'!G87+'26'!H90</f>
        <v>15.099999999991269</v>
      </c>
      <c r="AE30" s="1044">
        <f>'26'!$G$62</f>
        <v>0</v>
      </c>
      <c r="AF30" s="1044">
        <f>'26'!$G$63</f>
        <v>5.75</v>
      </c>
      <c r="AG30" s="1044">
        <f>'26'!$G$64</f>
        <v>495.32999999998719</v>
      </c>
      <c r="AH30" s="1044">
        <f>'26'!$G$65</f>
        <v>368.30000000001746</v>
      </c>
      <c r="AI30" s="1044">
        <f>'26'!$G$66</f>
        <v>378.51000000000204</v>
      </c>
      <c r="AJ30" s="1044">
        <f>'26'!$G$67</f>
        <v>389.02000000001863</v>
      </c>
      <c r="AK30" s="1044">
        <f>'26'!$G$68</f>
        <v>0</v>
      </c>
      <c r="AL30" s="1044">
        <f>'26'!$G$69</f>
        <v>120.47000000000116</v>
      </c>
      <c r="AM30" s="1044">
        <f>'26'!$G$84</f>
        <v>981</v>
      </c>
      <c r="AN30" s="1044">
        <f>'26'!$G$15</f>
        <v>688.53800000017509</v>
      </c>
      <c r="AO30" s="1044">
        <f>'26'!$G$123</f>
        <v>228.63000000000466</v>
      </c>
      <c r="AP30" s="1044">
        <f>'26'!$G$124</f>
        <v>-0.29999999998835847</v>
      </c>
      <c r="AQ30" s="1044">
        <f>'26'!$G$125</f>
        <v>66.420000000012806</v>
      </c>
      <c r="AR30" s="1044">
        <f>'26'!$G$126</f>
        <v>0</v>
      </c>
      <c r="AS30" s="1044">
        <f>'26'!$G$127</f>
        <v>0</v>
      </c>
      <c r="AT30" s="1044">
        <f t="shared" si="0"/>
        <v>393.78800000014598</v>
      </c>
      <c r="AU30" s="1044">
        <f>SUM('26'!G139:G140)</f>
        <v>8.75</v>
      </c>
      <c r="AV30" s="1044">
        <f>'26'!$G$136</f>
        <v>7.6300000000010186</v>
      </c>
      <c r="AW30" s="1044">
        <f>'26'!$G$137</f>
        <v>0</v>
      </c>
      <c r="AX30" s="1044">
        <f>'26'!$G$138</f>
        <v>0</v>
      </c>
      <c r="AY30" s="1041">
        <f t="shared" si="1"/>
        <v>7.6300000000010186</v>
      </c>
      <c r="BA30" s="1049">
        <f t="shared" si="2"/>
        <v>-165.15800000014133</v>
      </c>
    </row>
    <row r="31" spans="1:53">
      <c r="A31" s="1043">
        <v>43948</v>
      </c>
      <c r="B31" s="261">
        <f>'27'!G7</f>
        <v>17995</v>
      </c>
      <c r="C31" s="261">
        <f>'27'!G8</f>
        <v>18091</v>
      </c>
      <c r="D31" s="261">
        <f>'27'!G15</f>
        <v>627.37899999995716</v>
      </c>
      <c r="E31" s="261">
        <f>'27'!G20</f>
        <v>112</v>
      </c>
      <c r="F31" s="261">
        <f>SUM('27'!G35,'27'!G49)</f>
        <v>2619.3600000001024</v>
      </c>
      <c r="G31" s="261">
        <f>SUM('27'!G37,'27'!G51)</f>
        <v>1174.25</v>
      </c>
      <c r="H31" s="261">
        <f>SUM('27'!G38,'27'!G52)</f>
        <v>1256</v>
      </c>
      <c r="I31" s="261">
        <f>SUM('27'!G39,'27'!G53)</f>
        <v>3319.6199999999953</v>
      </c>
      <c r="J31" s="261">
        <f>SUM('27'!G41,'27'!G42,'27'!G55,'27'!G56)</f>
        <v>5057.4740000000165</v>
      </c>
      <c r="K31" s="261">
        <f>SUM('27'!G43,'27'!G57)</f>
        <v>2417.7599999998929</v>
      </c>
      <c r="L31" s="1044">
        <f>'27'!G50</f>
        <v>949.11999999999534</v>
      </c>
      <c r="M31" s="1044">
        <f>'27'!G36</f>
        <v>390.47999999998137</v>
      </c>
      <c r="N31" s="1044">
        <f>'27'!G72</f>
        <v>61</v>
      </c>
      <c r="O31" s="1044">
        <f>'27'!$G$73</f>
        <v>1</v>
      </c>
      <c r="P31" s="1044">
        <f>'27'!$G$74</f>
        <v>29.46100000000024</v>
      </c>
      <c r="Q31" s="1044">
        <f>'27'!$G$75</f>
        <v>54.100000000000364</v>
      </c>
      <c r="R31" s="1044">
        <f>'27'!$G$76</f>
        <v>47.849999999999454</v>
      </c>
      <c r="S31" s="1044">
        <f>'27'!$G$77</f>
        <v>44</v>
      </c>
      <c r="T31" s="1035">
        <f>'27'!$G$78</f>
        <v>45</v>
      </c>
      <c r="U31" s="1035">
        <f>'27'!$G$79</f>
        <v>190</v>
      </c>
      <c r="V31" s="1035">
        <f>'27'!$G$80</f>
        <v>337.20000000001164</v>
      </c>
      <c r="W31" s="1035">
        <f>'27'!$G$81</f>
        <v>29.440000000060536</v>
      </c>
      <c r="X31" s="1035">
        <f>'27'!$G$82</f>
        <v>20.899999999994179</v>
      </c>
      <c r="Y31" s="1035">
        <f>'27'!$G$58</f>
        <v>161.54899999999907</v>
      </c>
      <c r="Z31" s="1035">
        <f>'27'!$G$83</f>
        <v>143</v>
      </c>
      <c r="AA31" s="1035">
        <f>'27'!G86</f>
        <v>178.72000000003027</v>
      </c>
      <c r="AB31" s="1035">
        <f>'27'!G87</f>
        <v>12.100000000005821</v>
      </c>
      <c r="AC31" s="1035">
        <f>'27'!G88</f>
        <v>22.480000000010477</v>
      </c>
      <c r="AD31" s="1035">
        <f>'27'!G87+'27'!H90</f>
        <v>12.100000000005821</v>
      </c>
      <c r="AE31" s="1044">
        <f>'27'!$G$62</f>
        <v>0</v>
      </c>
      <c r="AF31" s="1044">
        <f>'27'!$G$63</f>
        <v>5.1999999999998181</v>
      </c>
      <c r="AG31" s="1044">
        <f>'27'!$G$64</f>
        <v>477.18000000002212</v>
      </c>
      <c r="AH31" s="1044">
        <f>'27'!$G$65</f>
        <v>348.55999999999767</v>
      </c>
      <c r="AI31" s="1044">
        <f>'27'!$G$66</f>
        <v>363.73999999999796</v>
      </c>
      <c r="AJ31" s="1044">
        <f>'27'!$G$67</f>
        <v>382.39999999999418</v>
      </c>
      <c r="AK31" s="1044">
        <f>'27'!$G$68</f>
        <v>0</v>
      </c>
      <c r="AL31" s="1044">
        <f>'27'!$G$69</f>
        <v>36.080000000001746</v>
      </c>
      <c r="AM31" s="1044">
        <f>'27'!$G$84</f>
        <v>821</v>
      </c>
      <c r="AN31" s="1044">
        <f>'27'!$G$15</f>
        <v>627.37899999995716</v>
      </c>
      <c r="AO31" s="1044">
        <f>'27'!$G$123</f>
        <v>207.28000000002794</v>
      </c>
      <c r="AP31" s="1044">
        <f>'27'!$G$124</f>
        <v>0.29999999998835847</v>
      </c>
      <c r="AQ31" s="1044">
        <f>'27'!$G$125</f>
        <v>54</v>
      </c>
      <c r="AR31" s="1044">
        <f>'27'!$G$126</f>
        <v>0</v>
      </c>
      <c r="AS31" s="1044">
        <f>'27'!$G$127</f>
        <v>0.1000000000003638</v>
      </c>
      <c r="AT31" s="1044">
        <f t="shared" si="0"/>
        <v>365.6989999999405</v>
      </c>
      <c r="AU31" s="1044">
        <f>SUM('27'!G139:G140)</f>
        <v>7.5099999999999909</v>
      </c>
      <c r="AV31" s="1044">
        <f>'27'!$G$136</f>
        <v>7.2999999999992724</v>
      </c>
      <c r="AW31" s="1044">
        <f>'27'!$G$137</f>
        <v>0</v>
      </c>
      <c r="AX31" s="1044">
        <f>'27'!$G$138</f>
        <v>0</v>
      </c>
      <c r="AY31" s="1041">
        <f t="shared" si="1"/>
        <v>7.2999999999992724</v>
      </c>
      <c r="BA31" s="1049">
        <f t="shared" si="2"/>
        <v>-158.41899999991256</v>
      </c>
    </row>
    <row r="32" spans="1:53">
      <c r="A32" s="1043">
        <v>43949</v>
      </c>
      <c r="B32" s="261">
        <f>'28'!G7</f>
        <v>17985</v>
      </c>
      <c r="C32" s="261">
        <f>'28'!G8</f>
        <v>18026</v>
      </c>
      <c r="D32" s="261">
        <f>'28'!G15</f>
        <v>461.80099999997765</v>
      </c>
      <c r="E32" s="261">
        <f>'28'!G20</f>
        <v>116</v>
      </c>
      <c r="F32" s="261">
        <f>SUM('28'!G35,'28'!G49)</f>
        <v>2189.6799999999348</v>
      </c>
      <c r="G32" s="261">
        <f>SUM('28'!G37,'28'!G51)</f>
        <v>1197.9000000000087</v>
      </c>
      <c r="H32" s="261">
        <f>SUM('28'!G38,'28'!G52)</f>
        <v>1391.2400000000052</v>
      </c>
      <c r="I32" s="261">
        <f>SUM('28'!G39,'28'!G53)</f>
        <v>3434.7400000000198</v>
      </c>
      <c r="J32" s="261">
        <f>SUM('28'!G41,'28'!G42,'28'!G55,'28'!G56)</f>
        <v>5618.8030000000144</v>
      </c>
      <c r="K32" s="261">
        <f>SUM('28'!G43,'28'!G57)</f>
        <v>2386.2500000000418</v>
      </c>
      <c r="L32" s="1044">
        <f>'28'!G50</f>
        <v>977.15999999997439</v>
      </c>
      <c r="M32" s="1044">
        <f>'28'!G36</f>
        <v>384.40000000002328</v>
      </c>
      <c r="N32" s="1044">
        <f>'28'!G72</f>
        <v>57</v>
      </c>
      <c r="O32" s="1044">
        <f>'28'!$G$73</f>
        <v>2</v>
      </c>
      <c r="P32" s="1044">
        <f>'28'!$G$74</f>
        <v>31.949999999999818</v>
      </c>
      <c r="Q32" s="1044">
        <f>'28'!$G$75</f>
        <v>55.1200000000008</v>
      </c>
      <c r="R32" s="1044">
        <f>'28'!$G$76</f>
        <v>49.0600000000004</v>
      </c>
      <c r="S32" s="1044">
        <f>'28'!$G$77</f>
        <v>43</v>
      </c>
      <c r="T32" s="1035">
        <f>'28'!$G$78</f>
        <v>45</v>
      </c>
      <c r="U32" s="1035">
        <f>'28'!$G$79</f>
        <v>183</v>
      </c>
      <c r="V32" s="1035">
        <f>'28'!$G$80</f>
        <v>360.88000000000466</v>
      </c>
      <c r="W32" s="1035">
        <f>'28'!$G$81</f>
        <v>112.43999999994412</v>
      </c>
      <c r="X32" s="1035">
        <f>'28'!$G$82</f>
        <v>20.400000000008731</v>
      </c>
      <c r="Y32" s="1035">
        <f>'28'!$G$58</f>
        <v>105.41999999999825</v>
      </c>
      <c r="Z32" s="1035">
        <f>'28'!$G$83</f>
        <v>324</v>
      </c>
      <c r="AA32" s="1035">
        <f>'28'!G86</f>
        <v>149.11999999999534</v>
      </c>
      <c r="AB32" s="1035">
        <f>'28'!G87</f>
        <v>15.69999999999709</v>
      </c>
      <c r="AC32" s="1035">
        <f>'28'!G88</f>
        <v>23.139999999984866</v>
      </c>
      <c r="AD32" s="1035">
        <f>'28'!G87+'28'!H90</f>
        <v>15.799999999996999</v>
      </c>
      <c r="AE32" s="1044">
        <f>'28'!$G$62</f>
        <v>0</v>
      </c>
      <c r="AF32" s="1044">
        <f>'28'!$G$63</f>
        <v>6.0100000000002183</v>
      </c>
      <c r="AG32" s="1044">
        <f>'28'!$G$64</f>
        <v>433.54999999998836</v>
      </c>
      <c r="AH32" s="1044">
        <f>'28'!$G$65</f>
        <v>260.02999999999884</v>
      </c>
      <c r="AI32" s="1044">
        <f>'28'!$G$66</f>
        <v>315.72000000000116</v>
      </c>
      <c r="AJ32" s="1044">
        <f>'28'!$G$67</f>
        <v>333.42000000001281</v>
      </c>
      <c r="AK32" s="1044">
        <f>'28'!$G$68</f>
        <v>0</v>
      </c>
      <c r="AL32" s="1044">
        <f>'28'!$G$69</f>
        <v>48.619999999995343</v>
      </c>
      <c r="AM32" s="1044">
        <f>'28'!$G$84</f>
        <v>574</v>
      </c>
      <c r="AN32" s="1044">
        <f>'28'!$G$15</f>
        <v>461.80099999997765</v>
      </c>
      <c r="AO32" s="1044">
        <f>'28'!$G$123</f>
        <v>212.75</v>
      </c>
      <c r="AP32" s="1044">
        <f>'28'!$G$124</f>
        <v>0</v>
      </c>
      <c r="AQ32" s="1044">
        <f>'28'!$G$125</f>
        <v>74.779999999998836</v>
      </c>
      <c r="AR32" s="1044">
        <f>'28'!$G$126</f>
        <v>-0.2000000000007276</v>
      </c>
      <c r="AS32" s="1044">
        <f>'28'!$G$127</f>
        <v>0.2999999999992724</v>
      </c>
      <c r="AT32" s="1044">
        <f t="shared" si="0"/>
        <v>174.17099999998027</v>
      </c>
      <c r="AU32" s="1044">
        <f>SUM('28'!G139:G140)</f>
        <v>8.0199999999999818</v>
      </c>
      <c r="AV32" s="1044">
        <f>'28'!$G$136</f>
        <v>0.46000000000276486</v>
      </c>
      <c r="AW32" s="1044">
        <f>'28'!$G$137</f>
        <v>0</v>
      </c>
      <c r="AX32" s="1044">
        <f>'28'!$G$138</f>
        <v>7.2999999999883585</v>
      </c>
      <c r="AY32" s="1041">
        <f t="shared" si="1"/>
        <v>7.7599999999911233</v>
      </c>
      <c r="BA32" s="1049">
        <f t="shared" si="2"/>
        <v>38.579000000019732</v>
      </c>
    </row>
    <row r="33" spans="1:53">
      <c r="A33" s="1043">
        <v>43950</v>
      </c>
      <c r="B33" s="261">
        <f>'29'!G7</f>
        <v>15953</v>
      </c>
      <c r="C33" s="261">
        <f>'29'!G8</f>
        <v>16035</v>
      </c>
      <c r="D33" s="261">
        <f>'29'!G15</f>
        <v>643.03000000002794</v>
      </c>
      <c r="E33" s="261">
        <f>'29'!G20</f>
        <v>75</v>
      </c>
      <c r="F33" s="261">
        <f>SUM('29'!G35,'29'!G49)</f>
        <v>2054.0400000000373</v>
      </c>
      <c r="G33" s="261">
        <f>SUM('29'!G37,'29'!G51)</f>
        <v>1200.7099999999919</v>
      </c>
      <c r="H33" s="261">
        <f>SUM('29'!G38,'29'!G52)</f>
        <v>1247.8899999999994</v>
      </c>
      <c r="I33" s="261">
        <f>SUM('29'!G39,'29'!G53)</f>
        <v>2488.8199999999779</v>
      </c>
      <c r="J33" s="261">
        <f>SUM('29'!G41,'29'!G42,'29'!G55,'3'!G56)</f>
        <v>4925.2000000000116</v>
      </c>
      <c r="K33" s="261">
        <f>SUM('29'!G43,'29'!G57)</f>
        <v>2073.1900000000187</v>
      </c>
      <c r="L33" s="1044">
        <f>'29'!G50</f>
        <v>1009.8400000000256</v>
      </c>
      <c r="M33" s="1044">
        <f>'29'!G36</f>
        <v>449.71999999997206</v>
      </c>
      <c r="N33" s="1044">
        <f>'29'!G72</f>
        <v>29</v>
      </c>
      <c r="O33" s="1044">
        <f>'29'!$G$73</f>
        <v>1</v>
      </c>
      <c r="P33" s="1044">
        <f>'29'!$G$74</f>
        <v>30.570000000000164</v>
      </c>
      <c r="Q33" s="1044">
        <f>'29'!$G$75</f>
        <v>52.389999999999418</v>
      </c>
      <c r="R33" s="1044">
        <f>'29'!$G$76</f>
        <v>50.649999999999636</v>
      </c>
      <c r="S33" s="1044">
        <f>'29'!$G$77</f>
        <v>50</v>
      </c>
      <c r="T33" s="1044">
        <f>'29'!$G$78</f>
        <v>70</v>
      </c>
      <c r="U33" s="1044">
        <f>'29'!$G$79</f>
        <v>177</v>
      </c>
      <c r="V33" s="1044">
        <f>'29'!$G$80</f>
        <v>385.11999999999534</v>
      </c>
      <c r="W33" s="1044">
        <f>'29'!$G$81</f>
        <v>74.119999999995343</v>
      </c>
      <c r="X33" s="1044">
        <f>'29'!$G$82</f>
        <v>11.029999999998836</v>
      </c>
      <c r="Y33" s="1044">
        <f>'29'!$G$58</f>
        <v>189.02999999999884</v>
      </c>
      <c r="Z33" s="1044">
        <f>'29'!$G$83</f>
        <v>197</v>
      </c>
      <c r="AA33" s="1044">
        <f>'29'!G86</f>
        <v>158.88000000000466</v>
      </c>
      <c r="AB33" s="1044">
        <f>'29'!G87</f>
        <v>14.80000000000291</v>
      </c>
      <c r="AC33" s="1044">
        <f>'29'!G88</f>
        <v>22.670000000012806</v>
      </c>
      <c r="AD33" s="1044">
        <f>'29'!G87+'29'!H90</f>
        <v>14.80000000000291</v>
      </c>
      <c r="AE33" s="1044">
        <f>'29'!$G$62</f>
        <v>0</v>
      </c>
      <c r="AF33" s="1044">
        <f>'29'!$G$63</f>
        <v>5.4099999999998545</v>
      </c>
      <c r="AG33" s="1044">
        <f>'29'!$G$64</f>
        <v>324.98000000001048</v>
      </c>
      <c r="AH33" s="1044">
        <f>'29'!$G$65</f>
        <v>187.22999999998137</v>
      </c>
      <c r="AI33" s="1044">
        <f>'29'!$G$66</f>
        <v>273.20999999999913</v>
      </c>
      <c r="AJ33" s="1044">
        <f>'29'!$G$67</f>
        <v>205.31999999997788</v>
      </c>
      <c r="AK33" s="1044">
        <f>'29'!$G$68</f>
        <v>0</v>
      </c>
      <c r="AL33" s="1044">
        <f>'29'!$G$69</f>
        <v>59.899999999994179</v>
      </c>
      <c r="AM33" s="1044">
        <f>'29'!$G$84</f>
        <v>669</v>
      </c>
      <c r="AN33" s="1044">
        <f>'29'!$G$15</f>
        <v>643.03000000002794</v>
      </c>
      <c r="AO33" s="1044">
        <f>'29'!$G$123</f>
        <v>202.56000000005588</v>
      </c>
      <c r="AP33" s="1044">
        <f>'29'!$G$124</f>
        <v>-0.39999999999417923</v>
      </c>
      <c r="AQ33" s="1044">
        <f>'29'!$G$125</f>
        <v>68</v>
      </c>
      <c r="AR33" s="1044">
        <f>'29'!$G$126</f>
        <v>0</v>
      </c>
      <c r="AS33" s="1044">
        <f>'29'!$G$127</f>
        <v>-0.2999999999992724</v>
      </c>
      <c r="AT33" s="1044">
        <f t="shared" si="0"/>
        <v>373.16999999996551</v>
      </c>
      <c r="AU33" s="1044">
        <f>SUM('29'!G139:G140)</f>
        <v>7.7999999999999545</v>
      </c>
      <c r="AV33" s="1044">
        <f>'29'!$G$136</f>
        <v>7.5299999999988358</v>
      </c>
      <c r="AW33" s="1044">
        <f>'29'!$G$137</f>
        <v>9.9999999998544808E-2</v>
      </c>
      <c r="AX33" s="1044">
        <f>'29'!$G$138</f>
        <v>0</v>
      </c>
      <c r="AY33" s="1041">
        <f t="shared" si="1"/>
        <v>7.6299999999973807</v>
      </c>
      <c r="BA33" s="1049">
        <f t="shared" si="2"/>
        <v>-170.60999999990963</v>
      </c>
    </row>
    <row r="34" spans="1:53" s="1046" customFormat="1">
      <c r="A34" s="1043">
        <v>43951</v>
      </c>
      <c r="B34" s="261">
        <f>'30'!G7</f>
        <v>18738</v>
      </c>
      <c r="C34" s="261">
        <f>'30'!G8</f>
        <v>18842</v>
      </c>
      <c r="D34" s="261">
        <f>'30'!G15</f>
        <v>476.70999999996275</v>
      </c>
      <c r="E34" s="261">
        <f>'30'!G20</f>
        <v>114</v>
      </c>
      <c r="F34" s="1475">
        <f>SUM('30'!G35,'30'!G49)</f>
        <v>2432.9699999999721</v>
      </c>
      <c r="G34" s="1475">
        <f>SUM('30'!G37,'30'!G51)</f>
        <v>1371.1800000000076</v>
      </c>
      <c r="H34" s="1475">
        <f>SUM('30'!G38,'30'!G52)</f>
        <v>1456.690000000046</v>
      </c>
      <c r="I34" s="261">
        <f>SUM('30'!G53,'30'!G53)</f>
        <v>1150.4200000000419</v>
      </c>
      <c r="J34" s="1475">
        <f>SUM('30'!G41,'30'!G42,'30'!G55,'30'!G56)</f>
        <v>5778.3299999999872</v>
      </c>
      <c r="K34" s="1475">
        <f>SUM('30'!G43,'30'!G57)</f>
        <v>2438.4899999999907</v>
      </c>
      <c r="L34" s="785">
        <f>'30'!G50</f>
        <v>1382.7299999999814</v>
      </c>
      <c r="M34" s="785">
        <f>'30'!G36</f>
        <v>715.3300000000163</v>
      </c>
      <c r="N34" s="1035">
        <f>'30'!G72</f>
        <v>17</v>
      </c>
      <c r="O34" s="1035">
        <f>'30'!$G$73</f>
        <v>5</v>
      </c>
      <c r="P34" s="1035">
        <f>'30'!$G$74</f>
        <v>30.519999999999982</v>
      </c>
      <c r="Q34" s="1035">
        <f>'30'!$G$75</f>
        <v>58.569999999999709</v>
      </c>
      <c r="R34" s="1035">
        <f>'30'!$G$76</f>
        <v>49.640000000000327</v>
      </c>
      <c r="S34" s="1035">
        <f>'30'!$G$77</f>
        <v>49</v>
      </c>
      <c r="T34" s="1035">
        <f>'30'!$G$78</f>
        <v>227</v>
      </c>
      <c r="U34" s="1035">
        <f>'30'!$G$79</f>
        <v>194</v>
      </c>
      <c r="V34" s="1035">
        <f>'30'!$G$80</f>
        <v>380.76000000000931</v>
      </c>
      <c r="W34" s="1035">
        <f>'30'!$G$81</f>
        <v>73.880000000004657</v>
      </c>
      <c r="X34" s="1035">
        <f>'30'!$G$82</f>
        <v>42.399999999994179</v>
      </c>
      <c r="Y34" s="1035">
        <f>'30'!$G$58</f>
        <v>1.1900000000023283</v>
      </c>
      <c r="Z34" s="1035">
        <f>'30'!$G$83</f>
        <v>249</v>
      </c>
      <c r="AA34" s="1035">
        <f>'30'!G86</f>
        <v>170.23999999999069</v>
      </c>
      <c r="AB34" s="1035">
        <f>'30'!G87</f>
        <v>14</v>
      </c>
      <c r="AC34" s="1035">
        <f>'30'!G88</f>
        <v>24</v>
      </c>
      <c r="AD34" s="1035">
        <f>'30'!G87+'30'!H90</f>
        <v>13.599999999999909</v>
      </c>
      <c r="AE34" s="1035">
        <f>'30'!$G$62</f>
        <v>0</v>
      </c>
      <c r="AF34" s="1035">
        <f>'30'!$G$63</f>
        <v>3.2899999999999636</v>
      </c>
      <c r="AG34" s="1035">
        <f>'30'!$G$64</f>
        <v>235.26999999998952</v>
      </c>
      <c r="AH34" s="1035">
        <f>'30'!$G$65</f>
        <v>208.70000000001164</v>
      </c>
      <c r="AI34" s="1035">
        <f>'30'!$G$66</f>
        <v>265.41999999999825</v>
      </c>
      <c r="AJ34" s="1035">
        <f>'30'!$G$67</f>
        <v>280.73000000001048</v>
      </c>
      <c r="AK34" s="1035">
        <f>'30'!$G$68</f>
        <v>0</v>
      </c>
      <c r="AL34" s="1035">
        <f>'30'!$G$69</f>
        <v>119.13000000000466</v>
      </c>
      <c r="AM34" s="1035">
        <f>'30'!$G$84</f>
        <v>770</v>
      </c>
      <c r="AN34" s="1035">
        <f>'30'!$G$15</f>
        <v>476.70999999996275</v>
      </c>
      <c r="AO34" s="1035">
        <f>'30'!$G$123</f>
        <v>192.41999999992549</v>
      </c>
      <c r="AP34" s="1035">
        <f>'30'!$G$124</f>
        <v>0.39999999999417923</v>
      </c>
      <c r="AQ34" s="1035">
        <f>'30'!$G$125</f>
        <v>77.440000000002328</v>
      </c>
      <c r="AR34" s="1035">
        <f>'30'!$G$126</f>
        <v>0</v>
      </c>
      <c r="AS34" s="1035">
        <f>'30'!$G$127</f>
        <v>0</v>
      </c>
      <c r="AT34" s="1035">
        <f t="shared" si="0"/>
        <v>206.45000000004075</v>
      </c>
      <c r="AU34" s="1035">
        <f>SUM('30'!G139:G140)</f>
        <v>7.3099999999999454</v>
      </c>
      <c r="AV34" s="1035">
        <f>'30'!$G$136</f>
        <v>0</v>
      </c>
      <c r="AW34" s="1035">
        <f>'30'!$G$137</f>
        <v>0</v>
      </c>
      <c r="AX34" s="1035">
        <f>'30'!$G$138</f>
        <v>9.0500000000029104</v>
      </c>
      <c r="AY34" s="1045">
        <f t="shared" si="1"/>
        <v>9.0500000000029104</v>
      </c>
      <c r="BA34" s="1050">
        <f t="shared" si="2"/>
        <v>-14.030000000115251</v>
      </c>
    </row>
    <row r="35" spans="1:53">
      <c r="A35" s="1043"/>
      <c r="B35" s="261"/>
      <c r="C35" s="261"/>
      <c r="D35" s="261"/>
      <c r="E35" s="261"/>
      <c r="F35" s="261"/>
      <c r="G35" s="261"/>
      <c r="H35" s="261"/>
      <c r="I35" s="261"/>
      <c r="J35" s="261"/>
      <c r="K35" s="261"/>
      <c r="L35" s="1044"/>
      <c r="M35" s="1044"/>
      <c r="N35" s="1044"/>
      <c r="O35" s="1044"/>
      <c r="P35" s="1044"/>
      <c r="Q35" s="1044"/>
      <c r="R35" s="1044"/>
      <c r="S35" s="1035"/>
      <c r="T35" s="1035"/>
      <c r="U35" s="1035"/>
      <c r="V35" s="1035"/>
      <c r="W35" s="1035"/>
      <c r="X35" s="1035"/>
      <c r="Y35" s="1035"/>
      <c r="Z35" s="1035"/>
      <c r="AA35" s="1035"/>
      <c r="AB35" s="1035"/>
      <c r="AC35" s="1035"/>
      <c r="AD35" s="1035"/>
      <c r="AE35" s="1044"/>
      <c r="AF35" s="1044"/>
      <c r="AG35" s="1044"/>
      <c r="AH35" s="1044"/>
      <c r="AI35" s="1044"/>
      <c r="AJ35" s="1044"/>
      <c r="AK35" s="1044"/>
      <c r="AL35" s="1044"/>
      <c r="AM35" s="1044"/>
      <c r="AN35" s="1044"/>
      <c r="AO35" s="1044"/>
      <c r="AP35" s="1044"/>
      <c r="AQ35" s="1044"/>
      <c r="AR35" s="1044"/>
      <c r="AS35" s="1044"/>
      <c r="AT35" s="1044"/>
      <c r="AU35" s="1044"/>
      <c r="AV35" s="1044"/>
      <c r="AW35" s="1044"/>
      <c r="AX35" s="1044"/>
      <c r="AY35" s="1041"/>
      <c r="BA35" s="1049"/>
    </row>
    <row r="36" spans="1:53" s="1473" customFormat="1">
      <c r="A36" s="1472" t="s">
        <v>367</v>
      </c>
      <c r="B36" s="1474">
        <f>AVERAGE(B5:B35)</f>
        <v>20450.333333333332</v>
      </c>
      <c r="C36" s="1472">
        <f t="shared" ref="C36:AY36" si="3">AVERAGE(C5:C35)</f>
        <v>20530.866666666665</v>
      </c>
      <c r="D36" s="1472">
        <f t="shared" si="3"/>
        <v>798.93333333333328</v>
      </c>
      <c r="E36" s="1472">
        <f t="shared" si="3"/>
        <v>146.6</v>
      </c>
      <c r="F36" s="1472">
        <f t="shared" si="3"/>
        <v>2935.6710000000003</v>
      </c>
      <c r="G36" s="1472">
        <f t="shared" si="3"/>
        <v>1347.6</v>
      </c>
      <c r="H36" s="1472">
        <f t="shared" si="3"/>
        <v>1576.2</v>
      </c>
      <c r="I36" s="1472">
        <f t="shared" si="3"/>
        <v>3497.1553333333345</v>
      </c>
      <c r="J36" s="1472">
        <f t="shared" si="3"/>
        <v>5986.6703333333335</v>
      </c>
      <c r="K36" s="1472">
        <f t="shared" si="3"/>
        <v>2397</v>
      </c>
      <c r="L36" s="1472">
        <f t="shared" si="3"/>
        <v>1110.1333333333334</v>
      </c>
      <c r="M36" s="1472">
        <f t="shared" si="3"/>
        <v>905.73333333333335</v>
      </c>
      <c r="N36" s="1472">
        <f t="shared" si="3"/>
        <v>75.599999999999994</v>
      </c>
      <c r="O36" s="1472">
        <f t="shared" si="3"/>
        <v>2.5333333333333332</v>
      </c>
      <c r="P36" s="1472">
        <f t="shared" si="3"/>
        <v>30.3</v>
      </c>
      <c r="Q36" s="1472">
        <f t="shared" si="3"/>
        <v>72.8</v>
      </c>
      <c r="R36" s="1472">
        <f t="shared" si="3"/>
        <v>55.733333333333334</v>
      </c>
      <c r="S36" s="1472">
        <f t="shared" si="3"/>
        <v>44.93333333333333</v>
      </c>
      <c r="T36" s="1472">
        <f t="shared" si="3"/>
        <v>154.83333333333334</v>
      </c>
      <c r="U36" s="1472">
        <f t="shared" si="3"/>
        <v>185.7</v>
      </c>
      <c r="V36" s="1472">
        <f t="shared" si="3"/>
        <v>367.96666666666664</v>
      </c>
      <c r="W36" s="1472">
        <f t="shared" si="3"/>
        <v>209.76666666666668</v>
      </c>
      <c r="X36" s="1472">
        <f t="shared" si="3"/>
        <v>23.9</v>
      </c>
      <c r="Y36" s="1472">
        <f t="shared" si="3"/>
        <v>170.7</v>
      </c>
      <c r="Z36" s="1472">
        <f t="shared" si="3"/>
        <v>257.13333333333333</v>
      </c>
      <c r="AA36" s="1472">
        <f t="shared" si="3"/>
        <v>156.19999999999999</v>
      </c>
      <c r="AB36" s="1472">
        <f t="shared" si="3"/>
        <v>24.666666666666668</v>
      </c>
      <c r="AC36" s="1472">
        <f t="shared" si="3"/>
        <v>40.200000000000003</v>
      </c>
      <c r="AD36" s="1472">
        <f t="shared" si="3"/>
        <v>28.180000000000184</v>
      </c>
      <c r="AE36" s="1472">
        <f t="shared" si="3"/>
        <v>6.0000000000097016E-3</v>
      </c>
      <c r="AF36" s="1472">
        <f t="shared" si="3"/>
        <v>8.7666666666666675</v>
      </c>
      <c r="AG36" s="1472">
        <f t="shared" si="3"/>
        <v>470.63333333333333</v>
      </c>
      <c r="AH36" s="1472">
        <f t="shared" si="3"/>
        <v>346.46666666666664</v>
      </c>
      <c r="AI36" s="1472">
        <f t="shared" si="3"/>
        <v>378.76666666666665</v>
      </c>
      <c r="AJ36" s="1472">
        <f t="shared" si="3"/>
        <v>469.13333333333333</v>
      </c>
      <c r="AK36" s="1472">
        <f t="shared" si="3"/>
        <v>74.466666666666669</v>
      </c>
      <c r="AL36" s="1472">
        <f t="shared" si="3"/>
        <v>155.5</v>
      </c>
      <c r="AM36" s="1472">
        <f t="shared" si="3"/>
        <v>848.3</v>
      </c>
      <c r="AN36" s="1472">
        <f t="shared" si="3"/>
        <v>798.93333333333328</v>
      </c>
      <c r="AO36" s="1472">
        <f t="shared" si="3"/>
        <v>242.6153333333321</v>
      </c>
      <c r="AP36" s="1472">
        <f t="shared" si="3"/>
        <v>0</v>
      </c>
      <c r="AQ36" s="1472">
        <f t="shared" si="3"/>
        <v>85.048000000000073</v>
      </c>
      <c r="AR36" s="1472">
        <f t="shared" si="3"/>
        <v>2.8433333333333093</v>
      </c>
      <c r="AS36" s="1472">
        <f t="shared" si="3"/>
        <v>0.25666666666669091</v>
      </c>
      <c r="AT36" s="1472">
        <f t="shared" si="3"/>
        <v>468.17000000000115</v>
      </c>
      <c r="AU36" s="1472">
        <f t="shared" si="3"/>
        <v>8.2933333333333312</v>
      </c>
      <c r="AV36" s="1472">
        <f t="shared" si="3"/>
        <v>8.3646666666666238</v>
      </c>
      <c r="AW36" s="1472">
        <f t="shared" si="3"/>
        <v>9.3333333333309079E-2</v>
      </c>
      <c r="AX36" s="1472">
        <f t="shared" si="3"/>
        <v>2.0593333333332944</v>
      </c>
      <c r="AY36" s="1472">
        <f t="shared" si="3"/>
        <v>10.517333333333227</v>
      </c>
    </row>
    <row r="37" spans="1:53">
      <c r="A37" s="1085"/>
      <c r="B37" s="1085"/>
      <c r="C37" s="1085"/>
      <c r="D37" s="1085"/>
      <c r="E37" s="1085"/>
      <c r="F37" s="35">
        <f t="shared" ref="F37:K37" si="4">F19-F18</f>
        <v>-79</v>
      </c>
      <c r="G37" s="35">
        <f t="shared" si="4"/>
        <v>-34</v>
      </c>
      <c r="H37" s="35">
        <f t="shared" si="4"/>
        <v>-100</v>
      </c>
      <c r="I37" s="35">
        <f t="shared" si="4"/>
        <v>-709</v>
      </c>
      <c r="J37" s="35">
        <f t="shared" si="4"/>
        <v>-165</v>
      </c>
      <c r="K37" s="35">
        <f t="shared" si="4"/>
        <v>10</v>
      </c>
      <c r="L37" s="35"/>
      <c r="M37" s="35"/>
      <c r="AO37" s="1087" t="s">
        <v>111</v>
      </c>
      <c r="AP37" s="1088">
        <v>191</v>
      </c>
      <c r="AQ37" s="1088"/>
      <c r="AR37" s="1088"/>
    </row>
    <row r="38" spans="1:53">
      <c r="A38" s="1085"/>
      <c r="B38" s="1085"/>
      <c r="C38" s="1085"/>
      <c r="D38" s="1085"/>
      <c r="E38" s="1085"/>
      <c r="AO38" s="1088"/>
      <c r="AP38" s="1088">
        <v>88</v>
      </c>
      <c r="AQ38" s="1088"/>
      <c r="AR38" s="1088"/>
    </row>
    <row r="39" spans="1:53">
      <c r="A39" s="1085"/>
      <c r="B39" s="1085"/>
      <c r="C39" s="1085"/>
      <c r="D39" s="1085"/>
      <c r="E39" s="1085"/>
      <c r="AO39" s="1088"/>
      <c r="AP39" s="1089">
        <f>SUM(AP37:AP38)</f>
        <v>279</v>
      </c>
      <c r="AQ39" s="1090" t="s">
        <v>112</v>
      </c>
      <c r="AR39" s="1090">
        <v>335</v>
      </c>
    </row>
    <row r="40" spans="1:53">
      <c r="A40" s="1085"/>
      <c r="B40" s="1085"/>
      <c r="C40" s="1085"/>
      <c r="D40" s="1085"/>
      <c r="E40" s="1085"/>
      <c r="AO40" s="1088"/>
      <c r="AP40" s="1088"/>
      <c r="AQ40" s="1088"/>
      <c r="AR40" s="1088"/>
    </row>
    <row r="41" spans="1:53">
      <c r="A41" s="1085"/>
      <c r="B41" s="1085"/>
      <c r="C41" s="1085"/>
      <c r="D41" s="1085"/>
      <c r="E41" s="1085"/>
      <c r="N41" s="1049"/>
      <c r="O41" s="1049"/>
      <c r="P41" s="1049"/>
      <c r="Q41" s="1049"/>
      <c r="R41" s="1049"/>
      <c r="S41" s="1049"/>
      <c r="T41" s="1049"/>
      <c r="U41" s="1049"/>
      <c r="V41" s="1049"/>
      <c r="W41" s="1049"/>
      <c r="X41" s="1049"/>
      <c r="Y41" s="1049"/>
      <c r="Z41" s="1049"/>
      <c r="AA41" s="1049"/>
      <c r="AB41" s="1049"/>
      <c r="AC41" s="1049"/>
      <c r="AD41" s="1049"/>
      <c r="AE41" s="1049"/>
      <c r="AF41" s="1049"/>
      <c r="AG41" s="1049"/>
      <c r="AH41" s="1049"/>
      <c r="AI41" s="1049"/>
      <c r="AJ41" s="1049"/>
      <c r="AK41" s="1049"/>
      <c r="AL41" s="1049"/>
      <c r="AN41" s="1049"/>
      <c r="AO41" s="1087" t="s">
        <v>113</v>
      </c>
      <c r="AP41" s="1089">
        <v>168</v>
      </c>
      <c r="AQ41" s="1088"/>
      <c r="AR41" s="1088"/>
    </row>
    <row r="42" spans="1:53">
      <c r="A42" s="1085"/>
      <c r="B42" s="1085"/>
      <c r="C42" s="1085"/>
      <c r="D42" s="1085"/>
      <c r="E42" s="1085"/>
      <c r="AO42" s="1088"/>
      <c r="AP42" s="1088"/>
      <c r="AQ42" s="1090" t="s">
        <v>114</v>
      </c>
      <c r="AR42" s="1088"/>
    </row>
    <row r="43" spans="1:53">
      <c r="A43" s="1085"/>
      <c r="B43" s="1085"/>
      <c r="C43" s="1085"/>
      <c r="D43" s="1085"/>
      <c r="E43" s="1085"/>
      <c r="AO43" s="1088" t="s">
        <v>115</v>
      </c>
      <c r="AP43" s="1088">
        <f>20*38.68</f>
        <v>773.6</v>
      </c>
      <c r="AQ43" s="1088" t="s">
        <v>116</v>
      </c>
      <c r="AR43" s="1088"/>
    </row>
    <row r="44" spans="1:53">
      <c r="A44" s="1085"/>
      <c r="B44" s="1085"/>
      <c r="C44" s="1085"/>
      <c r="D44" s="1085"/>
      <c r="E44" s="1085"/>
    </row>
    <row r="45" spans="1:53">
      <c r="A45" s="1085"/>
      <c r="B45" s="1085"/>
      <c r="C45" s="1085"/>
      <c r="D45" s="1085"/>
      <c r="E45" s="1085"/>
    </row>
    <row r="46" spans="1:53">
      <c r="A46" s="1085"/>
      <c r="B46" s="1085"/>
      <c r="C46" s="1085"/>
      <c r="D46" s="1085"/>
      <c r="E46" s="1085"/>
    </row>
    <row r="47" spans="1:53">
      <c r="A47" s="1085"/>
      <c r="B47" s="1085"/>
      <c r="C47" s="1085"/>
      <c r="D47" s="1085"/>
      <c r="E47" s="1085"/>
    </row>
    <row r="48" spans="1:53">
      <c r="A48" s="1085"/>
      <c r="B48" s="1085"/>
      <c r="C48" s="1085"/>
      <c r="D48" s="1085"/>
      <c r="E48" s="1085"/>
    </row>
    <row r="49" spans="1:5">
      <c r="A49" s="1085"/>
      <c r="B49" s="1085"/>
      <c r="C49" s="1085"/>
      <c r="D49" s="1085"/>
      <c r="E49" s="1085"/>
    </row>
    <row r="50" spans="1:5">
      <c r="A50" s="1085"/>
      <c r="B50" s="1085"/>
      <c r="C50" s="1085"/>
      <c r="D50" s="1085"/>
      <c r="E50" s="1085"/>
    </row>
    <row r="51" spans="1:5">
      <c r="A51" s="1085"/>
      <c r="B51" s="1085"/>
      <c r="C51" s="1085"/>
      <c r="D51" s="1085"/>
      <c r="E51" s="1085"/>
    </row>
    <row r="52" spans="1:5">
      <c r="A52" s="1085"/>
      <c r="B52" s="1085"/>
      <c r="C52" s="1085"/>
      <c r="D52" s="1085"/>
      <c r="E52" s="1085"/>
    </row>
    <row r="53" spans="1:5">
      <c r="A53" s="1085"/>
      <c r="B53" s="1085"/>
      <c r="C53" s="1085"/>
      <c r="D53" s="1085"/>
      <c r="E53" s="1085"/>
    </row>
    <row r="54" spans="1:5">
      <c r="A54" s="1085"/>
      <c r="B54" s="1085"/>
      <c r="C54" s="1085"/>
      <c r="D54" s="1085"/>
      <c r="E54" s="1085"/>
    </row>
    <row r="55" spans="1:5">
      <c r="A55" s="1085"/>
      <c r="B55" s="1085"/>
      <c r="C55" s="1085"/>
      <c r="D55" s="1085"/>
      <c r="E55" s="1085"/>
    </row>
    <row r="56" spans="1:5">
      <c r="A56" s="1085"/>
      <c r="B56" s="1085"/>
      <c r="C56" s="1085"/>
      <c r="D56" s="1085"/>
      <c r="E56" s="1085"/>
    </row>
    <row r="57" spans="1:5">
      <c r="A57" s="1085"/>
      <c r="B57" s="1085"/>
      <c r="C57" s="1085"/>
      <c r="D57" s="1085"/>
      <c r="E57" s="1085"/>
    </row>
    <row r="58" spans="1:5">
      <c r="A58" s="1085"/>
      <c r="B58" s="1085"/>
      <c r="C58" s="1085"/>
      <c r="D58" s="1085"/>
      <c r="E58" s="1085"/>
    </row>
    <row r="59" spans="1:5">
      <c r="A59" s="1085"/>
      <c r="B59" s="1085"/>
      <c r="C59" s="1085"/>
      <c r="D59" s="1085"/>
      <c r="E59" s="1085"/>
    </row>
    <row r="60" spans="1:5">
      <c r="A60" s="1085"/>
      <c r="B60" s="1085"/>
      <c r="C60" s="1085"/>
      <c r="D60" s="1085"/>
      <c r="E60" s="1085"/>
    </row>
    <row r="61" spans="1:5">
      <c r="A61" s="1085"/>
      <c r="B61" s="1085"/>
      <c r="C61" s="1085"/>
      <c r="D61" s="1085"/>
      <c r="E61" s="1085"/>
    </row>
    <row r="62" spans="1:5">
      <c r="A62" s="1085"/>
      <c r="B62" s="1085"/>
      <c r="C62" s="1085"/>
      <c r="D62" s="1085"/>
      <c r="E62" s="1085"/>
    </row>
    <row r="63" spans="1:5">
      <c r="A63" s="1085"/>
      <c r="B63" s="1085"/>
      <c r="C63" s="1085"/>
      <c r="D63" s="1085"/>
      <c r="E63" s="1085"/>
    </row>
    <row r="64" spans="1:5">
      <c r="A64" s="1085"/>
      <c r="B64" s="1085"/>
      <c r="C64" s="1085"/>
      <c r="D64" s="1085"/>
      <c r="E64" s="1085"/>
    </row>
    <row r="65" spans="1:5">
      <c r="A65" s="1085"/>
      <c r="B65" s="1085"/>
      <c r="C65" s="1085"/>
      <c r="D65" s="1085"/>
      <c r="E65" s="1085"/>
    </row>
    <row r="66" spans="1:5">
      <c r="A66" s="1085"/>
      <c r="B66" s="1085"/>
      <c r="C66" s="1085"/>
      <c r="D66" s="1085"/>
      <c r="E66" s="1085"/>
    </row>
    <row r="67" spans="1:5">
      <c r="A67" s="1085"/>
      <c r="B67" s="1085"/>
      <c r="C67" s="1085"/>
      <c r="D67" s="1085"/>
      <c r="E67" s="1085"/>
    </row>
    <row r="68" spans="1:5">
      <c r="A68" s="1085"/>
      <c r="B68" s="1085"/>
      <c r="C68" s="1085"/>
      <c r="D68" s="1085"/>
      <c r="E68" s="1085"/>
    </row>
    <row r="69" spans="1:5">
      <c r="A69" s="1085"/>
      <c r="B69" s="1085"/>
      <c r="C69" s="1085"/>
      <c r="D69" s="1085"/>
      <c r="E69" s="1085"/>
    </row>
    <row r="70" spans="1:5">
      <c r="A70" s="1085"/>
      <c r="B70" s="1085"/>
      <c r="C70" s="1085"/>
      <c r="D70" s="1085"/>
      <c r="E70" s="1085"/>
    </row>
    <row r="71" spans="1:5">
      <c r="A71" s="1085"/>
      <c r="B71" s="1085"/>
      <c r="C71" s="1085"/>
      <c r="D71" s="1085"/>
      <c r="E71" s="1085"/>
    </row>
    <row r="72" spans="1:5">
      <c r="A72" s="1085"/>
      <c r="B72" s="1085"/>
      <c r="C72" s="1085"/>
      <c r="D72" s="1085"/>
      <c r="E72" s="1085"/>
    </row>
    <row r="73" spans="1:5">
      <c r="A73" s="1085"/>
      <c r="B73" s="1085"/>
      <c r="C73" s="1085"/>
      <c r="D73" s="1085"/>
      <c r="E73" s="1085"/>
    </row>
    <row r="74" spans="1:5">
      <c r="A74" s="1085"/>
      <c r="B74" s="1085"/>
      <c r="C74" s="1085"/>
      <c r="D74" s="1085"/>
      <c r="E74" s="1085"/>
    </row>
    <row r="75" spans="1:5">
      <c r="A75" s="1085"/>
      <c r="B75" s="1085"/>
      <c r="C75" s="1085"/>
      <c r="D75" s="1085"/>
      <c r="E75" s="1085"/>
    </row>
    <row r="76" spans="1:5">
      <c r="A76" s="1085"/>
      <c r="B76" s="1085"/>
      <c r="C76" s="1085"/>
      <c r="D76" s="1085"/>
      <c r="E76" s="1085"/>
    </row>
    <row r="77" spans="1:5">
      <c r="A77" s="1085"/>
      <c r="B77" s="1085"/>
      <c r="C77" s="1085"/>
      <c r="D77" s="1085"/>
      <c r="E77" s="1085"/>
    </row>
    <row r="78" spans="1:5">
      <c r="A78" s="1085"/>
      <c r="B78" s="1085"/>
      <c r="C78" s="1085"/>
      <c r="D78" s="1085"/>
      <c r="E78" s="1085"/>
    </row>
    <row r="79" spans="1:5">
      <c r="A79" s="1085"/>
      <c r="B79" s="1085"/>
      <c r="C79" s="1085"/>
      <c r="D79" s="1085"/>
      <c r="E79" s="1085"/>
    </row>
    <row r="80" spans="1:5">
      <c r="A80" s="1085"/>
      <c r="B80" s="1085"/>
      <c r="C80" s="1085"/>
      <c r="D80" s="1085"/>
      <c r="E80" s="1085"/>
    </row>
    <row r="81" spans="1:5">
      <c r="A81" s="1085"/>
      <c r="B81" s="1085"/>
      <c r="C81" s="1085"/>
      <c r="D81" s="1085"/>
      <c r="E81" s="1085"/>
    </row>
    <row r="82" spans="1:5">
      <c r="A82" s="1085"/>
      <c r="B82" s="1085"/>
      <c r="C82" s="1085"/>
      <c r="D82" s="1085"/>
      <c r="E82" s="1085"/>
    </row>
    <row r="83" spans="1:5">
      <c r="A83" s="1085"/>
      <c r="B83" s="1085"/>
      <c r="C83" s="1085"/>
      <c r="D83" s="1085"/>
      <c r="E83" s="1085"/>
    </row>
    <row r="84" spans="1:5">
      <c r="A84" s="1085"/>
      <c r="B84" s="1085"/>
      <c r="C84" s="1085"/>
      <c r="D84" s="1085"/>
      <c r="E84" s="1085"/>
    </row>
    <row r="85" spans="1:5">
      <c r="A85" s="1085"/>
      <c r="B85" s="1085"/>
      <c r="C85" s="1085"/>
      <c r="D85" s="1085"/>
      <c r="E85" s="1085"/>
    </row>
    <row r="86" spans="1:5">
      <c r="A86" s="1085"/>
      <c r="B86" s="1085"/>
      <c r="C86" s="1085"/>
      <c r="D86" s="1085"/>
      <c r="E86" s="1085"/>
    </row>
    <row r="87" spans="1:5">
      <c r="A87" s="1086"/>
      <c r="B87" s="1086"/>
      <c r="C87" s="1086"/>
      <c r="D87" s="1086"/>
      <c r="E87" s="1086"/>
    </row>
    <row r="88" spans="1:5">
      <c r="A88" s="1086"/>
      <c r="B88" s="1086"/>
      <c r="C88" s="1086"/>
      <c r="D88" s="1086"/>
      <c r="E88" s="1086"/>
    </row>
    <row r="89" spans="1:5">
      <c r="A89" s="1086"/>
      <c r="B89" s="1086"/>
      <c r="C89" s="1086"/>
      <c r="D89" s="1086"/>
      <c r="E89" s="1086"/>
    </row>
    <row r="90" spans="1:5">
      <c r="A90" s="1086"/>
      <c r="B90" s="1086"/>
      <c r="C90" s="1086"/>
      <c r="D90" s="1086"/>
      <c r="E90" s="1086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topLeftCell="A85" zoomScale="61" zoomScaleNormal="61" zoomScaleSheetLayoutView="61" zoomScalePageLayoutView="70" workbookViewId="0">
      <selection activeCell="G15" sqref="G15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5" width="30" style="759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28" t="s">
        <v>117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5" s="281" customFormat="1" ht="27">
      <c r="A2" s="575" t="s">
        <v>288</v>
      </c>
      <c r="B2" s="1036">
        <v>44287</v>
      </c>
      <c r="C2" s="1311" t="s">
        <v>69</v>
      </c>
      <c r="D2" s="611">
        <v>0.65</v>
      </c>
      <c r="E2" s="739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1" t="s">
        <v>120</v>
      </c>
      <c r="D3" s="612">
        <v>33</v>
      </c>
      <c r="E3" s="1537" t="s">
        <v>121</v>
      </c>
      <c r="F3" s="1538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1" t="s">
        <v>122</v>
      </c>
      <c r="D4" s="611">
        <v>0.8</v>
      </c>
      <c r="E4" s="463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514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31" t="s">
        <v>130</v>
      </c>
      <c r="B6" s="1532"/>
      <c r="C6" s="1533"/>
      <c r="D6" s="471"/>
      <c r="E6" s="495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v>5113923</v>
      </c>
      <c r="F7" s="455">
        <v>5137619</v>
      </c>
      <c r="G7" s="473">
        <f>F7-E7</f>
        <v>23696</v>
      </c>
      <c r="H7" s="460">
        <f>G7</f>
        <v>23696</v>
      </c>
      <c r="I7" s="474">
        <v>12000</v>
      </c>
      <c r="J7" s="552">
        <f>H7/DAY(B2)</f>
        <v>23696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v>5145318</v>
      </c>
      <c r="F8" s="475">
        <v>5169102</v>
      </c>
      <c r="G8" s="476">
        <f>F8-E8</f>
        <v>23784</v>
      </c>
      <c r="H8" s="460">
        <f>G8</f>
        <v>23784</v>
      </c>
      <c r="I8" s="477">
        <v>12000</v>
      </c>
      <c r="J8" s="552">
        <f>H8/DAY(B2)</f>
        <v>23784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v>396069</v>
      </c>
      <c r="F9" s="478">
        <v>418964</v>
      </c>
      <c r="G9" s="473">
        <f>F9-E9</f>
        <v>22895</v>
      </c>
      <c r="H9" s="460">
        <f t="shared" ref="H9:H13" si="0">G9</f>
        <v>22895</v>
      </c>
      <c r="I9" s="479">
        <f>I8-J8</f>
        <v>-11784</v>
      </c>
      <c r="J9" s="552">
        <f>H9/DAY(B2)</f>
        <v>22895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v>2322.58</v>
      </c>
      <c r="F10" s="478">
        <v>2322.58</v>
      </c>
      <c r="G10" s="473">
        <f t="shared" ref="G10:G11" si="1">F10-E10</f>
        <v>0</v>
      </c>
      <c r="H10" s="460">
        <f t="shared" si="0"/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22895</v>
      </c>
      <c r="H13" s="460">
        <f t="shared" si="0"/>
        <v>22895</v>
      </c>
      <c r="I13" s="482">
        <f>G7-G13</f>
        <v>801</v>
      </c>
      <c r="J13" s="552">
        <f>H13/DAY(B2)</f>
        <v>22895</v>
      </c>
      <c r="K13" s="428"/>
      <c r="L13" s="377"/>
      <c r="N13" s="382"/>
      <c r="O13" s="382"/>
    </row>
    <row r="14" spans="1:15">
      <c r="A14" s="1534" t="s">
        <v>139</v>
      </c>
      <c r="B14" s="1535"/>
      <c r="C14" s="1536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309" t="s">
        <v>140</v>
      </c>
      <c r="B15" s="589"/>
      <c r="C15" s="589"/>
      <c r="D15" s="523" t="s">
        <v>141</v>
      </c>
      <c r="E15" s="484">
        <v>1646689</v>
      </c>
      <c r="F15" s="484">
        <v>1647658</v>
      </c>
      <c r="G15" s="783">
        <f>(F15-E15)</f>
        <v>969</v>
      </c>
      <c r="H15" s="460">
        <f>G15</f>
        <v>969</v>
      </c>
      <c r="I15" s="474">
        <v>800</v>
      </c>
      <c r="J15" s="552">
        <f>H15/DAY(B2)</f>
        <v>969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-169</v>
      </c>
      <c r="J16" s="553"/>
      <c r="K16" s="428"/>
      <c r="L16" s="377"/>
      <c r="N16" s="382"/>
      <c r="O16" s="382"/>
    </row>
    <row r="17" spans="1:15">
      <c r="A17" s="1534" t="s">
        <v>142</v>
      </c>
      <c r="B17" s="1535"/>
      <c r="C17" s="1536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20" t="s">
        <v>143</v>
      </c>
      <c r="B18" s="1521"/>
      <c r="C18" s="1522"/>
      <c r="D18" s="523" t="s">
        <v>144</v>
      </c>
      <c r="E18" s="484">
        <v>15</v>
      </c>
      <c r="F18" s="484">
        <v>14</v>
      </c>
      <c r="G18" s="481">
        <f>F18*10</f>
        <v>140</v>
      </c>
      <c r="H18" s="460">
        <f>G18</f>
        <v>140</v>
      </c>
      <c r="I18" s="474">
        <v>65</v>
      </c>
      <c r="J18" s="552">
        <f>H18/DAY(B2)</f>
        <v>140</v>
      </c>
      <c r="K18" s="428"/>
      <c r="L18" s="377"/>
      <c r="N18" s="382"/>
      <c r="O18" s="382"/>
    </row>
    <row r="19" spans="1:15" ht="27.75">
      <c r="A19" s="1520" t="s">
        <v>71</v>
      </c>
      <c r="B19" s="1521"/>
      <c r="C19" s="1522"/>
      <c r="D19" s="523" t="s">
        <v>144</v>
      </c>
      <c r="E19" s="484">
        <v>136090</v>
      </c>
      <c r="F19" s="484">
        <v>136143</v>
      </c>
      <c r="G19" s="473">
        <f t="shared" ref="G19" si="2">F19-E19</f>
        <v>53</v>
      </c>
      <c r="H19" s="460">
        <f t="shared" ref="H19" si="3">G19</f>
        <v>53</v>
      </c>
      <c r="I19" s="489"/>
      <c r="J19" s="552">
        <f>H19/DAY(B2)</f>
        <v>53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193</v>
      </c>
      <c r="H20" s="460">
        <f>G20</f>
        <v>193</v>
      </c>
      <c r="I20" s="492">
        <f>I18-J20</f>
        <v>-128</v>
      </c>
      <c r="J20" s="552">
        <f>H20/DAY(B2)</f>
        <v>193</v>
      </c>
      <c r="K20" s="428"/>
      <c r="L20" s="377"/>
      <c r="N20" s="382"/>
      <c r="O20" s="382"/>
    </row>
    <row r="21" spans="1:15">
      <c r="A21" s="1534" t="s">
        <v>146</v>
      </c>
      <c r="B21" s="1535"/>
      <c r="C21" s="1536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309" t="s">
        <v>147</v>
      </c>
      <c r="B22" s="589"/>
      <c r="C22" s="589"/>
      <c r="D22" s="523" t="s">
        <v>148</v>
      </c>
      <c r="E22" s="484">
        <v>1290</v>
      </c>
      <c r="F22" s="484">
        <v>1290</v>
      </c>
      <c r="G22" s="481">
        <f>(F22-E22)</f>
        <v>0</v>
      </c>
      <c r="H22" s="460">
        <f>G22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09" t="s">
        <v>149</v>
      </c>
      <c r="B23" s="589"/>
      <c r="C23" s="589"/>
      <c r="D23" s="523" t="s">
        <v>148</v>
      </c>
      <c r="E23" s="484">
        <v>2000</v>
      </c>
      <c r="F23" s="484">
        <v>2000</v>
      </c>
      <c r="G23" s="481">
        <f>(F23-E23)</f>
        <v>0</v>
      </c>
      <c r="H23" s="460">
        <f t="shared" ref="H23:H24" si="4">G23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v>3290</v>
      </c>
      <c r="F24" s="493">
        <v>3290</v>
      </c>
      <c r="G24" s="481">
        <f>SUM(G22:G23)</f>
        <v>0</v>
      </c>
      <c r="H24" s="460">
        <f t="shared" si="4"/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39" t="s">
        <v>151</v>
      </c>
      <c r="B25" s="1540"/>
      <c r="C25" s="1541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23784</v>
      </c>
      <c r="F27" s="501">
        <v>9</v>
      </c>
      <c r="G27" s="502">
        <f>E27*F27</f>
        <v>214056</v>
      </c>
      <c r="H27" s="460">
        <f>G27</f>
        <v>214056</v>
      </c>
      <c r="I27" s="503"/>
      <c r="J27" s="552">
        <f>H27/DAY(B2)</f>
        <v>214056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969</v>
      </c>
      <c r="F28" s="501">
        <v>51.45</v>
      </c>
      <c r="G28" s="502">
        <f>E28*F28</f>
        <v>49855.05</v>
      </c>
      <c r="H28" s="460">
        <f>G28</f>
        <v>49855.05</v>
      </c>
      <c r="I28" s="505"/>
      <c r="J28" s="552">
        <f>H28/DAY(B2)</f>
        <v>49855.05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502">
        <f>E29*F29</f>
        <v>0</v>
      </c>
      <c r="H29" s="460">
        <f>G29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53</v>
      </c>
      <c r="F30" s="501">
        <v>134</v>
      </c>
      <c r="G30" s="502">
        <f>E30*F30</f>
        <v>7102</v>
      </c>
      <c r="H30" s="460">
        <f>G30</f>
        <v>7102</v>
      </c>
      <c r="I30" s="505"/>
      <c r="J30" s="552">
        <f>H30/DAY(B2)</f>
        <v>7102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140</v>
      </c>
      <c r="F31" s="501">
        <v>80</v>
      </c>
      <c r="G31" s="502">
        <f>E31*F31</f>
        <v>11200</v>
      </c>
      <c r="H31" s="460">
        <f>G31</f>
        <v>11200</v>
      </c>
      <c r="I31" s="505"/>
      <c r="J31" s="552">
        <f>H31/DAY(B2)</f>
        <v>11200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282213.05</v>
      </c>
      <c r="H32" s="460">
        <f t="shared" ref="H32" si="5">G32</f>
        <v>282213.05</v>
      </c>
      <c r="I32" s="509"/>
      <c r="J32" s="552">
        <f>H32/DAY(B2)</f>
        <v>282213.05</v>
      </c>
      <c r="K32" s="373"/>
      <c r="L32" s="443"/>
      <c r="N32" s="444"/>
      <c r="O32" s="382"/>
    </row>
    <row r="33" spans="1:15" ht="25.5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  <c r="N33" s="382"/>
      <c r="O33" s="382"/>
    </row>
    <row r="34" spans="1:15">
      <c r="A34" s="598" t="s">
        <v>163</v>
      </c>
      <c r="B34" s="1314"/>
      <c r="C34" s="1314"/>
      <c r="D34" s="472"/>
      <c r="E34" s="495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v>798389</v>
      </c>
      <c r="F35" s="510">
        <v>801819</v>
      </c>
      <c r="G35" s="473">
        <f>F35-E35</f>
        <v>3430</v>
      </c>
      <c r="H35" s="460">
        <f>G35</f>
        <v>3430</v>
      </c>
      <c r="I35" s="455"/>
      <c r="J35" s="552">
        <f>H35/DAY(B2)</f>
        <v>3430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v>317436</v>
      </c>
      <c r="F36" s="510">
        <v>318452</v>
      </c>
      <c r="G36" s="473">
        <f t="shared" ref="G36:G46" si="6">F36-E36</f>
        <v>1016</v>
      </c>
      <c r="H36" s="460">
        <f t="shared" ref="H36:H47" si="7">G36</f>
        <v>1016</v>
      </c>
      <c r="I36" s="455"/>
      <c r="J36" s="552">
        <f>H36/DAY(B2)</f>
        <v>1016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v>54797</v>
      </c>
      <c r="F37" s="510">
        <v>56245</v>
      </c>
      <c r="G37" s="473">
        <f t="shared" si="6"/>
        <v>1448</v>
      </c>
      <c r="H37" s="460">
        <f t="shared" si="7"/>
        <v>1448</v>
      </c>
      <c r="I37" s="455"/>
      <c r="J37" s="552">
        <f>H37/DAY(B2)</f>
        <v>1448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v>72308</v>
      </c>
      <c r="F38" s="469">
        <v>74087</v>
      </c>
      <c r="G38" s="473">
        <f t="shared" si="6"/>
        <v>1779</v>
      </c>
      <c r="H38" s="460">
        <f t="shared" si="7"/>
        <v>1779</v>
      </c>
      <c r="I38" s="455"/>
      <c r="J38" s="552">
        <f>H38/DAY(B2)</f>
        <v>1779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v>152822</v>
      </c>
      <c r="F39" s="510">
        <v>156914</v>
      </c>
      <c r="G39" s="473">
        <f t="shared" si="6"/>
        <v>4092</v>
      </c>
      <c r="H39" s="460">
        <f t="shared" si="7"/>
        <v>4092</v>
      </c>
      <c r="I39" s="455"/>
      <c r="J39" s="552">
        <f>H39/DAY(B2)</f>
        <v>4092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v>0</v>
      </c>
      <c r="F40" s="510">
        <v>0</v>
      </c>
      <c r="G40" s="473">
        <f t="shared" si="6"/>
        <v>0</v>
      </c>
      <c r="H40" s="460">
        <f t="shared" si="7"/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v>133141</v>
      </c>
      <c r="F41" s="510">
        <v>138652</v>
      </c>
      <c r="G41" s="473">
        <f t="shared" si="6"/>
        <v>5511</v>
      </c>
      <c r="H41" s="460">
        <f t="shared" si="7"/>
        <v>5511</v>
      </c>
      <c r="I41" s="455"/>
      <c r="J41" s="552">
        <f>H41/DAY(B2)</f>
        <v>5511</v>
      </c>
      <c r="K41" s="428"/>
      <c r="L41" s="377"/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v>59128.160000000003</v>
      </c>
      <c r="F42" s="510">
        <v>59128</v>
      </c>
      <c r="G42" s="473">
        <f t="shared" si="6"/>
        <v>-0.16000000000349246</v>
      </c>
      <c r="H42" s="460">
        <f t="shared" si="7"/>
        <v>-0.16000000000349246</v>
      </c>
      <c r="I42" s="455"/>
      <c r="J42" s="552">
        <f>H42/DAY(B2)</f>
        <v>-0.16000000000349246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v>902048</v>
      </c>
      <c r="F43" s="510">
        <v>904644</v>
      </c>
      <c r="G43" s="473">
        <f t="shared" si="6"/>
        <v>2596</v>
      </c>
      <c r="H43" s="460">
        <f t="shared" si="7"/>
        <v>2596</v>
      </c>
      <c r="I43" s="455"/>
      <c r="J43" s="552">
        <f>H43/DAY(B2)</f>
        <v>2596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v>0</v>
      </c>
      <c r="F44" s="510">
        <v>0</v>
      </c>
      <c r="G44" s="473">
        <f t="shared" si="6"/>
        <v>0</v>
      </c>
      <c r="H44" s="460">
        <f t="shared" si="7"/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6"/>
        <v>0</v>
      </c>
      <c r="H45" s="460">
        <f t="shared" si="7"/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6"/>
        <v>0</v>
      </c>
      <c r="H46" s="460">
        <f t="shared" si="7"/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19871.839999999997</v>
      </c>
      <c r="H47" s="460">
        <f t="shared" si="7"/>
        <v>19871.839999999997</v>
      </c>
      <c r="I47" s="455"/>
      <c r="J47" s="552">
        <f>H47/DAY(B2)</f>
        <v>19871.839999999997</v>
      </c>
      <c r="K47" s="428"/>
      <c r="L47" s="377"/>
      <c r="N47" s="382"/>
      <c r="O47" s="382"/>
    </row>
    <row r="48" spans="1:15">
      <c r="A48" s="598" t="s">
        <v>177</v>
      </c>
      <c r="B48" s="1314"/>
      <c r="C48" s="1314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v>260732</v>
      </c>
      <c r="F49" s="510">
        <v>260732</v>
      </c>
      <c r="G49" s="473">
        <f t="shared" ref="G49:G58" si="8">F49-E49</f>
        <v>0</v>
      </c>
      <c r="H49" s="460">
        <f>G49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v>441232</v>
      </c>
      <c r="F50" s="510">
        <v>442718</v>
      </c>
      <c r="G50" s="473">
        <f t="shared" si="8"/>
        <v>1486</v>
      </c>
      <c r="H50" s="460">
        <f t="shared" ref="H50:H60" si="9">G50</f>
        <v>1486</v>
      </c>
      <c r="I50" s="455"/>
      <c r="J50" s="552">
        <f>H50/DAY(B2)</f>
        <v>1486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v>144640</v>
      </c>
      <c r="F51" s="510">
        <v>144640</v>
      </c>
      <c r="G51" s="473">
        <f t="shared" si="8"/>
        <v>0</v>
      </c>
      <c r="H51" s="460">
        <f t="shared" si="9"/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v>539608</v>
      </c>
      <c r="F52" s="510">
        <v>539608</v>
      </c>
      <c r="G52" s="473">
        <f t="shared" si="8"/>
        <v>0</v>
      </c>
      <c r="H52" s="460">
        <f t="shared" si="9"/>
        <v>0</v>
      </c>
      <c r="I52" s="455"/>
      <c r="J52" s="552">
        <f>H52/DAY(B2)</f>
        <v>0</v>
      </c>
      <c r="K52" s="428"/>
      <c r="L52" s="377"/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v>401264</v>
      </c>
      <c r="F53" s="510">
        <v>401785</v>
      </c>
      <c r="G53" s="473">
        <f t="shared" si="8"/>
        <v>521</v>
      </c>
      <c r="H53" s="460">
        <f t="shared" si="9"/>
        <v>521</v>
      </c>
      <c r="I53" s="455"/>
      <c r="J53" s="552">
        <f>H53/DAY(B2)</f>
        <v>521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v>9166</v>
      </c>
      <c r="F54" s="510">
        <v>9232</v>
      </c>
      <c r="G54" s="473">
        <f t="shared" si="8"/>
        <v>66</v>
      </c>
      <c r="H54" s="460">
        <f t="shared" si="9"/>
        <v>66</v>
      </c>
      <c r="I54" s="455"/>
      <c r="J54" s="552">
        <f>H54/DAY(B2)</f>
        <v>66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v>216097</v>
      </c>
      <c r="F55" s="510">
        <v>217525</v>
      </c>
      <c r="G55" s="473">
        <f t="shared" si="8"/>
        <v>1428</v>
      </c>
      <c r="H55" s="460">
        <f t="shared" si="9"/>
        <v>1428</v>
      </c>
      <c r="I55" s="455"/>
      <c r="J55" s="552">
        <f>H55/DAY(B2)</f>
        <v>1428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v>588967</v>
      </c>
      <c r="F56" s="510">
        <v>588985</v>
      </c>
      <c r="G56" s="473">
        <f t="shared" si="8"/>
        <v>18</v>
      </c>
      <c r="H56" s="460">
        <f t="shared" si="9"/>
        <v>18</v>
      </c>
      <c r="I56" s="455"/>
      <c r="J56" s="552">
        <f>H56/DAY(B2)</f>
        <v>18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v>7711</v>
      </c>
      <c r="F57" s="510">
        <v>7711</v>
      </c>
      <c r="G57" s="473">
        <f t="shared" si="8"/>
        <v>0</v>
      </c>
      <c r="H57" s="460">
        <f t="shared" si="9"/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v>41547</v>
      </c>
      <c r="F58" s="510">
        <v>41719</v>
      </c>
      <c r="G58" s="473">
        <f t="shared" si="8"/>
        <v>172</v>
      </c>
      <c r="H58" s="460">
        <f t="shared" si="9"/>
        <v>172</v>
      </c>
      <c r="I58" s="455"/>
      <c r="J58" s="552">
        <f>H58/DAY(B2)</f>
        <v>172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3691</v>
      </c>
      <c r="H59" s="460">
        <f t="shared" si="9"/>
        <v>3691</v>
      </c>
      <c r="I59" s="455">
        <f>G7-G60</f>
        <v>133.16000000000349</v>
      </c>
      <c r="J59" s="552">
        <f>H59/DAY(B2)</f>
        <v>3691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23562.839999999997</v>
      </c>
      <c r="H60" s="460">
        <f t="shared" si="9"/>
        <v>23562.839999999997</v>
      </c>
      <c r="I60" s="455">
        <f>G13-G60</f>
        <v>-667.83999999999651</v>
      </c>
      <c r="J60" s="552">
        <f>H60/DAY(B2)</f>
        <v>23562.839999999997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0</v>
      </c>
      <c r="F62" s="514">
        <v>0</v>
      </c>
      <c r="G62" s="473">
        <f t="shared" ref="G62:G69" si="10">F62-E62</f>
        <v>0</v>
      </c>
      <c r="H62" s="460">
        <f>G62</f>
        <v>0</v>
      </c>
      <c r="I62" s="515"/>
      <c r="J62" s="552">
        <f>H62/DAY(B2)</f>
        <v>0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v>2096</v>
      </c>
      <c r="F63" s="514">
        <v>2108</v>
      </c>
      <c r="G63" s="473">
        <f t="shared" si="10"/>
        <v>12</v>
      </c>
      <c r="H63" s="460">
        <f t="shared" ref="H63:H70" si="11">G63</f>
        <v>12</v>
      </c>
      <c r="I63" s="515"/>
      <c r="J63" s="552">
        <f>H63/DAY(B2)</f>
        <v>12</v>
      </c>
      <c r="K63" s="428"/>
      <c r="L63" s="377"/>
      <c r="N63" s="382"/>
      <c r="O63" s="382"/>
    </row>
    <row r="64" spans="1:15" ht="27.75">
      <c r="A64" s="1499" t="s">
        <v>99</v>
      </c>
      <c r="B64" s="1500"/>
      <c r="C64" s="1501"/>
      <c r="D64" s="523" t="s">
        <v>187</v>
      </c>
      <c r="E64" s="484">
        <v>139180</v>
      </c>
      <c r="F64" s="484">
        <v>139643</v>
      </c>
      <c r="G64" s="473">
        <f t="shared" si="10"/>
        <v>463</v>
      </c>
      <c r="H64" s="460">
        <f t="shared" si="11"/>
        <v>463</v>
      </c>
      <c r="I64" s="480"/>
      <c r="J64" s="552">
        <f>H64/DAY(B2)</f>
        <v>463</v>
      </c>
      <c r="K64" s="428"/>
      <c r="L64" s="377"/>
      <c r="N64" s="382"/>
      <c r="O64" s="382"/>
    </row>
    <row r="65" spans="1:15" ht="27.75">
      <c r="A65" s="1499" t="s">
        <v>100</v>
      </c>
      <c r="B65" s="1500"/>
      <c r="C65" s="1501"/>
      <c r="D65" s="523" t="s">
        <v>187</v>
      </c>
      <c r="E65" s="484">
        <v>144205</v>
      </c>
      <c r="F65" s="484">
        <v>144569</v>
      </c>
      <c r="G65" s="473">
        <f t="shared" si="10"/>
        <v>364</v>
      </c>
      <c r="H65" s="460">
        <f t="shared" si="11"/>
        <v>364</v>
      </c>
      <c r="I65" s="489"/>
      <c r="J65" s="552">
        <f>H65/DAY(B2)</f>
        <v>364</v>
      </c>
      <c r="K65" s="428"/>
      <c r="L65" s="377"/>
      <c r="N65" s="382"/>
      <c r="O65" s="382"/>
    </row>
    <row r="66" spans="1:15" ht="27.75">
      <c r="A66" s="1499" t="s">
        <v>101</v>
      </c>
      <c r="B66" s="1500"/>
      <c r="C66" s="1501"/>
      <c r="D66" s="523" t="s">
        <v>187</v>
      </c>
      <c r="E66" s="484">
        <v>37208</v>
      </c>
      <c r="F66" s="484">
        <v>37600</v>
      </c>
      <c r="G66" s="473">
        <f t="shared" si="10"/>
        <v>392</v>
      </c>
      <c r="H66" s="460">
        <f t="shared" si="11"/>
        <v>392</v>
      </c>
      <c r="I66" s="480"/>
      <c r="J66" s="552">
        <f>H66/DAY(B2)</f>
        <v>392</v>
      </c>
      <c r="K66" s="428"/>
      <c r="L66" s="377"/>
      <c r="N66" s="382"/>
      <c r="O66" s="382"/>
    </row>
    <row r="67" spans="1:15" ht="27.75">
      <c r="A67" s="1499" t="s">
        <v>102</v>
      </c>
      <c r="B67" s="1500"/>
      <c r="C67" s="1501"/>
      <c r="D67" s="523" t="s">
        <v>187</v>
      </c>
      <c r="E67" s="484">
        <v>229100</v>
      </c>
      <c r="F67" s="484">
        <v>229795</v>
      </c>
      <c r="G67" s="473">
        <f t="shared" si="10"/>
        <v>695</v>
      </c>
      <c r="H67" s="460">
        <f t="shared" si="11"/>
        <v>695</v>
      </c>
      <c r="I67" s="489"/>
      <c r="J67" s="552">
        <f>H67/DAY(B2)</f>
        <v>695</v>
      </c>
      <c r="K67" s="429"/>
      <c r="L67" s="377"/>
      <c r="N67" s="382"/>
      <c r="O67" s="382"/>
    </row>
    <row r="68" spans="1:15" ht="27.75">
      <c r="A68" s="1499" t="s">
        <v>103</v>
      </c>
      <c r="B68" s="1500"/>
      <c r="C68" s="1501"/>
      <c r="D68" s="523" t="s">
        <v>187</v>
      </c>
      <c r="E68" s="484">
        <v>83087</v>
      </c>
      <c r="F68" s="484">
        <v>83409</v>
      </c>
      <c r="G68" s="473">
        <f t="shared" si="10"/>
        <v>322</v>
      </c>
      <c r="H68" s="460">
        <f t="shared" si="11"/>
        <v>322</v>
      </c>
      <c r="I68" s="516"/>
      <c r="J68" s="552">
        <f>H68/DAY(B2)</f>
        <v>322</v>
      </c>
      <c r="K68" s="430"/>
      <c r="L68" s="377"/>
      <c r="N68" s="382"/>
      <c r="O68" s="382"/>
    </row>
    <row r="69" spans="1:15" ht="27.75">
      <c r="A69" s="1499" t="s">
        <v>104</v>
      </c>
      <c r="B69" s="1500"/>
      <c r="C69" s="1501"/>
      <c r="D69" s="523" t="s">
        <v>187</v>
      </c>
      <c r="E69" s="484">
        <v>74329</v>
      </c>
      <c r="F69" s="484">
        <v>74636</v>
      </c>
      <c r="G69" s="473">
        <f t="shared" si="10"/>
        <v>307</v>
      </c>
      <c r="H69" s="460">
        <f t="shared" si="11"/>
        <v>307</v>
      </c>
      <c r="I69" s="516"/>
      <c r="J69" s="552">
        <f>H69/DAY(B2)</f>
        <v>307</v>
      </c>
      <c r="K69" s="431"/>
      <c r="L69" s="377"/>
      <c r="N69" s="382"/>
      <c r="O69" s="382"/>
    </row>
    <row r="70" spans="1:15" ht="27.75">
      <c r="A70" s="1505" t="s">
        <v>189</v>
      </c>
      <c r="B70" s="1506"/>
      <c r="C70" s="1507"/>
      <c r="D70" s="523" t="s">
        <v>187</v>
      </c>
      <c r="E70" s="518"/>
      <c r="F70" s="518"/>
      <c r="G70" s="518"/>
      <c r="H70" s="460">
        <f t="shared" si="11"/>
        <v>0</v>
      </c>
      <c r="I70" s="518"/>
      <c r="J70" s="556">
        <f>H70/DAY(B2)</f>
        <v>0</v>
      </c>
      <c r="K70" s="431"/>
      <c r="L70" s="377"/>
      <c r="N70" s="382"/>
      <c r="O70" s="382"/>
    </row>
    <row r="71" spans="1:15" ht="31.5">
      <c r="A71" s="1502" t="s">
        <v>190</v>
      </c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  <c r="N71" s="382"/>
      <c r="O71" s="382"/>
    </row>
    <row r="72" spans="1:15" ht="27.75">
      <c r="A72" s="1499" t="s">
        <v>191</v>
      </c>
      <c r="B72" s="1500"/>
      <c r="C72" s="1501"/>
      <c r="D72" s="523" t="s">
        <v>187</v>
      </c>
      <c r="E72" s="519">
        <v>853179</v>
      </c>
      <c r="F72" s="519">
        <v>853301</v>
      </c>
      <c r="G72" s="473">
        <f t="shared" ref="G72:G84" si="12">F72-E72</f>
        <v>122</v>
      </c>
      <c r="H72" s="460">
        <f>G72</f>
        <v>122</v>
      </c>
      <c r="I72" s="480"/>
      <c r="J72" s="552">
        <f>H72/DAY(B2)</f>
        <v>122</v>
      </c>
      <c r="K72" s="431"/>
      <c r="L72" s="377"/>
      <c r="N72" s="382"/>
      <c r="O72" s="382"/>
    </row>
    <row r="73" spans="1:15" ht="27.75">
      <c r="A73" s="1499" t="s">
        <v>192</v>
      </c>
      <c r="B73" s="1500"/>
      <c r="C73" s="1501"/>
      <c r="D73" s="523" t="s">
        <v>187</v>
      </c>
      <c r="E73" s="520">
        <v>885800</v>
      </c>
      <c r="F73" s="520">
        <v>885804</v>
      </c>
      <c r="G73" s="473">
        <f t="shared" si="12"/>
        <v>4</v>
      </c>
      <c r="H73" s="460">
        <f t="shared" ref="H73:H88" si="13">G73</f>
        <v>4</v>
      </c>
      <c r="I73" s="480"/>
      <c r="J73" s="552">
        <f>H73/DAY(B2)</f>
        <v>4</v>
      </c>
      <c r="K73" s="430"/>
      <c r="L73" s="377"/>
      <c r="N73" s="382"/>
      <c r="O73" s="382"/>
    </row>
    <row r="74" spans="1:15" ht="27.75">
      <c r="A74" s="1505" t="s">
        <v>193</v>
      </c>
      <c r="B74" s="1506"/>
      <c r="C74" s="1507"/>
      <c r="D74" s="523" t="s">
        <v>187</v>
      </c>
      <c r="E74" s="521">
        <v>1370</v>
      </c>
      <c r="F74" s="521">
        <v>1389</v>
      </c>
      <c r="G74" s="473">
        <f t="shared" si="12"/>
        <v>19</v>
      </c>
      <c r="H74" s="460">
        <f t="shared" si="13"/>
        <v>19</v>
      </c>
      <c r="I74" s="480"/>
      <c r="J74" s="552">
        <f>H74/DAY(B2)</f>
        <v>19</v>
      </c>
      <c r="K74" s="431"/>
      <c r="L74" s="377"/>
      <c r="N74" s="382"/>
      <c r="O74" s="382"/>
    </row>
    <row r="75" spans="1:15" ht="27.75">
      <c r="A75" s="1496" t="s">
        <v>194</v>
      </c>
      <c r="B75" s="1497"/>
      <c r="C75" s="1498"/>
      <c r="D75" s="523" t="s">
        <v>187</v>
      </c>
      <c r="E75" s="521">
        <v>8680</v>
      </c>
      <c r="F75" s="521">
        <v>8830</v>
      </c>
      <c r="G75" s="473">
        <f t="shared" si="12"/>
        <v>150</v>
      </c>
      <c r="H75" s="460">
        <f t="shared" si="13"/>
        <v>150</v>
      </c>
      <c r="I75" s="480"/>
      <c r="J75" s="552">
        <f>H75/DAY(B2)</f>
        <v>150</v>
      </c>
      <c r="K75" s="430"/>
      <c r="L75" s="377"/>
      <c r="N75" s="382"/>
      <c r="O75" s="382"/>
    </row>
    <row r="76" spans="1:15" ht="27.75">
      <c r="A76" s="1496" t="s">
        <v>195</v>
      </c>
      <c r="B76" s="1497"/>
      <c r="C76" s="1498"/>
      <c r="D76" s="523" t="s">
        <v>187</v>
      </c>
      <c r="E76" s="520">
        <v>4037</v>
      </c>
      <c r="F76" s="520">
        <v>4096</v>
      </c>
      <c r="G76" s="473">
        <f t="shared" si="12"/>
        <v>59</v>
      </c>
      <c r="H76" s="460">
        <f t="shared" si="13"/>
        <v>59</v>
      </c>
      <c r="I76" s="505"/>
      <c r="J76" s="552">
        <f>H76/DAY(B2)</f>
        <v>59</v>
      </c>
      <c r="K76" s="430"/>
      <c r="L76" s="377"/>
      <c r="N76" s="382"/>
      <c r="O76" s="382"/>
    </row>
    <row r="77" spans="1:15" ht="27.75">
      <c r="A77" s="1499" t="s">
        <v>196</v>
      </c>
      <c r="B77" s="1500"/>
      <c r="C77" s="1501"/>
      <c r="D77" s="523" t="s">
        <v>187</v>
      </c>
      <c r="E77" s="521">
        <v>700214</v>
      </c>
      <c r="F77" s="521">
        <v>700264</v>
      </c>
      <c r="G77" s="473">
        <f t="shared" si="12"/>
        <v>50</v>
      </c>
      <c r="H77" s="460">
        <f t="shared" si="13"/>
        <v>50</v>
      </c>
      <c r="I77" s="505"/>
      <c r="J77" s="552">
        <f>H77/DAY(B2)</f>
        <v>50</v>
      </c>
      <c r="K77" s="430"/>
      <c r="L77" s="377"/>
      <c r="N77" s="382"/>
      <c r="O77" s="382"/>
    </row>
    <row r="78" spans="1:15" ht="27.75">
      <c r="A78" s="1312" t="s">
        <v>197</v>
      </c>
      <c r="B78" s="1305"/>
      <c r="C78" s="1305"/>
      <c r="D78" s="523" t="s">
        <v>187</v>
      </c>
      <c r="E78" s="521">
        <v>665380</v>
      </c>
      <c r="F78" s="521">
        <v>665775</v>
      </c>
      <c r="G78" s="473">
        <f t="shared" si="12"/>
        <v>395</v>
      </c>
      <c r="H78" s="460">
        <f t="shared" si="13"/>
        <v>395</v>
      </c>
      <c r="I78" s="505"/>
      <c r="J78" s="552">
        <f>H78/DAY(B2)</f>
        <v>395</v>
      </c>
      <c r="K78" s="430"/>
      <c r="L78" s="377"/>
      <c r="N78" s="382"/>
      <c r="O78" s="382"/>
    </row>
    <row r="79" spans="1:15" ht="27.75">
      <c r="A79" s="1496" t="s">
        <v>92</v>
      </c>
      <c r="B79" s="1497"/>
      <c r="C79" s="1498"/>
      <c r="D79" s="524" t="s">
        <v>187</v>
      </c>
      <c r="E79" s="521">
        <v>821213</v>
      </c>
      <c r="F79" s="521">
        <v>821407</v>
      </c>
      <c r="G79" s="473">
        <f t="shared" si="12"/>
        <v>194</v>
      </c>
      <c r="H79" s="460">
        <f t="shared" si="13"/>
        <v>194</v>
      </c>
      <c r="I79" s="505"/>
      <c r="J79" s="552">
        <f>H79/DAY(B2)</f>
        <v>194</v>
      </c>
      <c r="K79" s="430"/>
      <c r="L79" s="377"/>
      <c r="N79" s="382"/>
      <c r="O79" s="382"/>
    </row>
    <row r="80" spans="1:15" ht="27.75">
      <c r="A80" s="1496" t="s">
        <v>198</v>
      </c>
      <c r="B80" s="1497"/>
      <c r="C80" s="1498"/>
      <c r="D80" s="524" t="s">
        <v>187</v>
      </c>
      <c r="E80" s="520">
        <v>505699</v>
      </c>
      <c r="F80" s="520">
        <v>506079</v>
      </c>
      <c r="G80" s="473">
        <f t="shared" si="12"/>
        <v>380</v>
      </c>
      <c r="H80" s="460">
        <f t="shared" si="13"/>
        <v>380</v>
      </c>
      <c r="I80" s="505"/>
      <c r="J80" s="552">
        <f>H80/DAY(B2)</f>
        <v>380</v>
      </c>
      <c r="K80" s="430"/>
      <c r="L80" s="377"/>
      <c r="N80" s="382"/>
      <c r="O80" s="382"/>
    </row>
    <row r="81" spans="1:15" ht="27.75">
      <c r="A81" s="1496" t="s">
        <v>199</v>
      </c>
      <c r="B81" s="1497"/>
      <c r="C81" s="1498"/>
      <c r="D81" s="524" t="s">
        <v>187</v>
      </c>
      <c r="E81" s="520">
        <v>630185</v>
      </c>
      <c r="F81" s="520">
        <v>630383</v>
      </c>
      <c r="G81" s="473">
        <f t="shared" si="12"/>
        <v>198</v>
      </c>
      <c r="H81" s="460">
        <f t="shared" si="13"/>
        <v>198</v>
      </c>
      <c r="I81" s="505"/>
      <c r="J81" s="552">
        <f>H81/DAY(B2)</f>
        <v>198</v>
      </c>
      <c r="K81" s="430"/>
      <c r="L81" s="377"/>
      <c r="N81" s="382"/>
      <c r="O81" s="382"/>
    </row>
    <row r="82" spans="1:15" ht="27.75">
      <c r="A82" s="1496" t="s">
        <v>93</v>
      </c>
      <c r="B82" s="1497"/>
      <c r="C82" s="1498"/>
      <c r="D82" s="485" t="s">
        <v>132</v>
      </c>
      <c r="E82" s="522">
        <v>106895</v>
      </c>
      <c r="F82" s="522">
        <v>106918</v>
      </c>
      <c r="G82" s="473">
        <f t="shared" si="12"/>
        <v>23</v>
      </c>
      <c r="H82" s="460">
        <f t="shared" si="13"/>
        <v>23</v>
      </c>
      <c r="I82" s="486"/>
      <c r="J82" s="552">
        <f>H82/DAY(B2)</f>
        <v>23</v>
      </c>
      <c r="K82" s="430"/>
      <c r="L82" s="377"/>
      <c r="N82" s="382"/>
      <c r="O82" s="382"/>
    </row>
    <row r="83" spans="1:15" ht="27.75">
      <c r="A83" s="1496" t="s">
        <v>200</v>
      </c>
      <c r="B83" s="1497"/>
      <c r="C83" s="1498"/>
      <c r="D83" s="620" t="s">
        <v>132</v>
      </c>
      <c r="E83" s="511">
        <v>7057</v>
      </c>
      <c r="F83" s="511">
        <v>7296</v>
      </c>
      <c r="G83" s="473">
        <f t="shared" si="12"/>
        <v>239</v>
      </c>
      <c r="H83" s="460">
        <f t="shared" si="13"/>
        <v>239</v>
      </c>
      <c r="I83" s="481"/>
      <c r="J83" s="552">
        <f>H83/DAY(B2)</f>
        <v>239</v>
      </c>
      <c r="K83" s="429"/>
      <c r="L83" s="377"/>
      <c r="N83" s="382"/>
      <c r="O83" s="724"/>
    </row>
    <row r="84" spans="1:15">
      <c r="A84" s="1313" t="s">
        <v>201</v>
      </c>
      <c r="B84" s="571"/>
      <c r="C84" s="571"/>
      <c r="D84" s="478" t="s">
        <v>132</v>
      </c>
      <c r="E84" s="627">
        <v>454684</v>
      </c>
      <c r="F84" s="627">
        <v>455599</v>
      </c>
      <c r="G84" s="473">
        <f t="shared" si="12"/>
        <v>915</v>
      </c>
      <c r="H84" s="460">
        <f t="shared" si="13"/>
        <v>915</v>
      </c>
      <c r="I84" s="481"/>
      <c r="J84" s="552">
        <f>H84/DAY(B2)</f>
        <v>915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2748</v>
      </c>
      <c r="H85" s="460">
        <f t="shared" si="13"/>
        <v>2748</v>
      </c>
      <c r="I85" s="481"/>
      <c r="J85" s="552">
        <f>H85/DAY(B2)</f>
        <v>2748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v>454581</v>
      </c>
      <c r="F86" s="650">
        <v>454804</v>
      </c>
      <c r="G86" s="708">
        <f t="shared" ref="G86:G90" si="14">F86-E86</f>
        <v>223</v>
      </c>
      <c r="H86" s="708">
        <f t="shared" si="13"/>
        <v>223</v>
      </c>
      <c r="I86" s="655"/>
      <c r="J86" s="710">
        <f>H86/DAY(B2)</f>
        <v>223</v>
      </c>
      <c r="K86" s="736"/>
      <c r="L86" s="737"/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v>80185</v>
      </c>
      <c r="F87" s="650">
        <v>80219</v>
      </c>
      <c r="G87" s="708">
        <f t="shared" si="14"/>
        <v>34</v>
      </c>
      <c r="H87" s="708">
        <f t="shared" si="13"/>
        <v>34</v>
      </c>
      <c r="I87" s="655"/>
      <c r="J87" s="710">
        <f>H87/DAY(B2)</f>
        <v>34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v>150599</v>
      </c>
      <c r="F88" s="650">
        <v>150668</v>
      </c>
      <c r="G88" s="708">
        <f t="shared" si="14"/>
        <v>69</v>
      </c>
      <c r="H88" s="708">
        <f t="shared" si="13"/>
        <v>69</v>
      </c>
      <c r="I88" s="655"/>
      <c r="J88" s="710">
        <f>H88/DAY(B2)</f>
        <v>69</v>
      </c>
      <c r="K88" s="736"/>
      <c r="L88" s="737"/>
      <c r="N88" s="781"/>
      <c r="O88" s="382"/>
    </row>
    <row r="89" spans="1:15" s="738" customFormat="1">
      <c r="A89" s="733" t="s">
        <v>203</v>
      </c>
      <c r="B89" s="734"/>
      <c r="C89" s="734"/>
      <c r="D89" s="735" t="s">
        <v>183</v>
      </c>
      <c r="E89" s="650">
        <v>63554</v>
      </c>
      <c r="F89" s="650">
        <v>63598</v>
      </c>
      <c r="G89" s="708">
        <f t="shared" si="14"/>
        <v>44</v>
      </c>
      <c r="H89" s="708">
        <f>G89</f>
        <v>44</v>
      </c>
      <c r="I89" s="655"/>
      <c r="J89" s="710">
        <f>H89/DAY(B2)</f>
        <v>44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v>3270</v>
      </c>
      <c r="F90" s="650">
        <v>3271</v>
      </c>
      <c r="G90" s="708">
        <f t="shared" si="14"/>
        <v>1</v>
      </c>
      <c r="H90" s="708">
        <f>G90</f>
        <v>1</v>
      </c>
      <c r="I90" s="655"/>
      <c r="J90" s="710">
        <f>H90/DAY(B2)</f>
        <v>1</v>
      </c>
      <c r="K90" s="736"/>
      <c r="L90" s="737"/>
      <c r="N90" s="781"/>
      <c r="O90" s="382"/>
    </row>
    <row r="91" spans="1:15" s="379" customFormat="1">
      <c r="A91" s="606" t="s">
        <v>205</v>
      </c>
      <c r="B91" s="1315"/>
      <c r="C91" s="1315"/>
      <c r="D91" s="472"/>
      <c r="E91" s="472"/>
      <c r="F91" s="472"/>
      <c r="G91" s="488"/>
      <c r="H91" s="472"/>
      <c r="I91" s="472"/>
      <c r="J91" s="551"/>
      <c r="K91" s="380"/>
      <c r="L91" s="378"/>
      <c r="N91" s="780"/>
      <c r="O91" s="382"/>
    </row>
    <row r="92" spans="1:15" ht="27.75">
      <c r="A92" s="1520" t="s">
        <v>206</v>
      </c>
      <c r="B92" s="1521"/>
      <c r="C92" s="1522"/>
      <c r="D92" s="523" t="s">
        <v>144</v>
      </c>
      <c r="E92" s="484">
        <v>242646</v>
      </c>
      <c r="F92" s="484">
        <v>242738</v>
      </c>
      <c r="G92" s="473">
        <f t="shared" ref="G92:G93" si="15">F92-E92</f>
        <v>92</v>
      </c>
      <c r="H92" s="460">
        <f t="shared" ref="H92" si="16">G92</f>
        <v>92</v>
      </c>
      <c r="I92" s="480"/>
      <c r="J92" s="552">
        <f>H92/DAY(B2)</f>
        <v>92</v>
      </c>
      <c r="K92" s="429"/>
      <c r="L92" s="377"/>
      <c r="N92" s="382"/>
      <c r="O92" s="382"/>
    </row>
    <row r="93" spans="1:15" ht="27.75">
      <c r="A93" s="1520" t="s">
        <v>207</v>
      </c>
      <c r="B93" s="1521"/>
      <c r="C93" s="1522"/>
      <c r="D93" s="523" t="s">
        <v>144</v>
      </c>
      <c r="E93" s="484">
        <v>179679</v>
      </c>
      <c r="F93" s="484">
        <v>179806</v>
      </c>
      <c r="G93" s="473">
        <f t="shared" si="15"/>
        <v>127</v>
      </c>
      <c r="H93" s="460">
        <f>G93</f>
        <v>127</v>
      </c>
      <c r="I93" s="480"/>
      <c r="J93" s="552">
        <f>H93/DAY(B2)</f>
        <v>127</v>
      </c>
      <c r="K93" s="380"/>
      <c r="L93" s="377"/>
      <c r="N93" s="382"/>
      <c r="O93" s="382"/>
    </row>
    <row r="94" spans="1:15">
      <c r="A94" s="1548" t="s">
        <v>208</v>
      </c>
      <c r="B94" s="1549"/>
      <c r="C94" s="1550"/>
      <c r="D94" s="523"/>
      <c r="E94" s="484"/>
      <c r="F94" s="484"/>
      <c r="G94" s="473">
        <f>G92+G93</f>
        <v>219</v>
      </c>
      <c r="H94" s="460"/>
      <c r="I94" s="480"/>
      <c r="J94" s="552"/>
      <c r="K94" s="380"/>
      <c r="L94" s="377"/>
      <c r="N94" s="382"/>
      <c r="O94" s="382"/>
    </row>
    <row r="95" spans="1:15" ht="27.75">
      <c r="A95" s="1520" t="s">
        <v>209</v>
      </c>
      <c r="B95" s="1521"/>
      <c r="C95" s="1522"/>
      <c r="D95" s="523" t="s">
        <v>144</v>
      </c>
      <c r="E95" s="484">
        <v>410785</v>
      </c>
      <c r="F95" s="484">
        <v>410862</v>
      </c>
      <c r="G95" s="473">
        <f t="shared" ref="G95:G100" si="17">F95-E95</f>
        <v>77</v>
      </c>
      <c r="H95" s="460">
        <f t="shared" ref="H95:H101" si="18">G95</f>
        <v>77</v>
      </c>
      <c r="I95" s="480"/>
      <c r="J95" s="552">
        <f>H95/DAY(B2)</f>
        <v>77</v>
      </c>
      <c r="K95" s="380"/>
      <c r="L95" s="377"/>
      <c r="N95" s="382"/>
      <c r="O95" s="382"/>
    </row>
    <row r="96" spans="1:15" ht="27.75">
      <c r="A96" s="1309" t="s">
        <v>210</v>
      </c>
      <c r="B96" s="1310"/>
      <c r="C96" s="1310"/>
      <c r="D96" s="523" t="s">
        <v>144</v>
      </c>
      <c r="E96" s="484">
        <v>101831</v>
      </c>
      <c r="F96" s="484">
        <v>101848</v>
      </c>
      <c r="G96" s="473">
        <f t="shared" si="17"/>
        <v>17</v>
      </c>
      <c r="H96" s="460">
        <f t="shared" si="18"/>
        <v>17</v>
      </c>
      <c r="I96" s="480"/>
      <c r="J96" s="552">
        <f>H96/DAY(B2)</f>
        <v>17</v>
      </c>
      <c r="K96" s="427"/>
      <c r="L96" s="377"/>
      <c r="N96" s="382"/>
      <c r="O96" s="382"/>
    </row>
    <row r="97" spans="1:15" ht="27.75">
      <c r="A97" s="1309" t="s">
        <v>211</v>
      </c>
      <c r="B97" s="1310"/>
      <c r="C97" s="1310"/>
      <c r="D97" s="523" t="s">
        <v>144</v>
      </c>
      <c r="E97" s="484">
        <v>96928</v>
      </c>
      <c r="F97" s="484">
        <v>96948</v>
      </c>
      <c r="G97" s="473">
        <f t="shared" si="17"/>
        <v>20</v>
      </c>
      <c r="H97" s="460">
        <f t="shared" si="18"/>
        <v>20</v>
      </c>
      <c r="I97" s="480"/>
      <c r="J97" s="552">
        <f>H97/DAY(B2)</f>
        <v>20</v>
      </c>
      <c r="K97" s="432"/>
      <c r="L97" s="377"/>
      <c r="N97" s="382"/>
      <c r="O97" s="382"/>
    </row>
    <row r="98" spans="1:15" ht="27.75">
      <c r="A98" s="1309" t="s">
        <v>212</v>
      </c>
      <c r="B98" s="1310"/>
      <c r="C98" s="1310"/>
      <c r="D98" s="523" t="s">
        <v>144</v>
      </c>
      <c r="E98" s="484">
        <v>148909</v>
      </c>
      <c r="F98" s="484">
        <v>148937</v>
      </c>
      <c r="G98" s="473">
        <f t="shared" si="17"/>
        <v>28</v>
      </c>
      <c r="H98" s="460">
        <f t="shared" si="18"/>
        <v>28</v>
      </c>
      <c r="I98" s="480"/>
      <c r="J98" s="552">
        <f>H98/DAY(B2)</f>
        <v>28</v>
      </c>
      <c r="K98" s="380"/>
      <c r="L98" s="377"/>
      <c r="N98" s="382"/>
      <c r="O98" s="382"/>
    </row>
    <row r="99" spans="1:15" ht="27.75">
      <c r="A99" s="1309" t="s">
        <v>213</v>
      </c>
      <c r="B99" s="1310"/>
      <c r="C99" s="1310"/>
      <c r="D99" s="523" t="s">
        <v>144</v>
      </c>
      <c r="E99" s="484">
        <v>6855</v>
      </c>
      <c r="F99" s="484">
        <v>6871</v>
      </c>
      <c r="G99" s="473">
        <f t="shared" si="17"/>
        <v>16</v>
      </c>
      <c r="H99" s="460">
        <f t="shared" si="18"/>
        <v>16</v>
      </c>
      <c r="I99" s="480"/>
      <c r="J99" s="552">
        <f>H99/DAY(B2)</f>
        <v>16</v>
      </c>
      <c r="K99" s="380"/>
      <c r="L99" s="377"/>
      <c r="N99" s="382"/>
      <c r="O99" s="382"/>
    </row>
    <row r="100" spans="1:15" ht="27.75">
      <c r="A100" s="1309" t="s">
        <v>214</v>
      </c>
      <c r="B100" s="1310"/>
      <c r="C100" s="1310"/>
      <c r="D100" s="523" t="s">
        <v>144</v>
      </c>
      <c r="E100" s="484">
        <v>4943</v>
      </c>
      <c r="F100" s="484">
        <v>4949</v>
      </c>
      <c r="G100" s="473">
        <f t="shared" si="17"/>
        <v>6</v>
      </c>
      <c r="H100" s="460">
        <f t="shared" si="18"/>
        <v>6</v>
      </c>
      <c r="I100" s="480" t="s">
        <v>215</v>
      </c>
      <c r="J100" s="552">
        <f>H100/DAY(B2)</f>
        <v>6</v>
      </c>
      <c r="K100" s="380"/>
      <c r="L100" s="377"/>
      <c r="N100" s="382"/>
      <c r="O100" s="382"/>
    </row>
    <row r="101" spans="1:15">
      <c r="A101" s="1548" t="s">
        <v>216</v>
      </c>
      <c r="B101" s="1549"/>
      <c r="C101" s="1550"/>
      <c r="D101" s="524"/>
      <c r="E101" s="524"/>
      <c r="F101" s="524"/>
      <c r="G101" s="525">
        <f>SUM(G95:G100)</f>
        <v>164</v>
      </c>
      <c r="H101" s="460">
        <f t="shared" si="18"/>
        <v>164</v>
      </c>
      <c r="I101" s="526"/>
      <c r="J101" s="552">
        <f>H101/DAY(B2)</f>
        <v>164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529"/>
      <c r="H102" s="530"/>
      <c r="I102" s="531"/>
      <c r="J102" s="557"/>
      <c r="N102" s="444"/>
      <c r="O102" s="382"/>
    </row>
    <row r="103" spans="1:15" s="442" customFormat="1" ht="27.75">
      <c r="A103" s="1551" t="s">
        <v>218</v>
      </c>
      <c r="B103" s="1552"/>
      <c r="C103" s="573"/>
      <c r="D103" s="622"/>
      <c r="E103" s="532"/>
      <c r="F103" s="532"/>
      <c r="G103" s="532"/>
      <c r="H103" s="533"/>
      <c r="I103" s="532"/>
      <c r="J103" s="558"/>
      <c r="N103" s="444"/>
      <c r="O103" s="382"/>
    </row>
    <row r="104" spans="1:15" s="442" customFormat="1" ht="27.75">
      <c r="A104" s="1512" t="s">
        <v>219</v>
      </c>
      <c r="B104" s="1513"/>
      <c r="C104" s="1307"/>
      <c r="D104" s="622" t="s">
        <v>144</v>
      </c>
      <c r="E104" s="532">
        <v>7325</v>
      </c>
      <c r="F104" s="532">
        <v>7333</v>
      </c>
      <c r="G104" s="532">
        <f>F104-E104</f>
        <v>8</v>
      </c>
      <c r="H104" s="533">
        <f>G104</f>
        <v>8</v>
      </c>
      <c r="I104" s="532"/>
      <c r="J104" s="558">
        <f>H104/DAY(B2)</f>
        <v>8</v>
      </c>
      <c r="N104" s="444"/>
      <c r="O104" s="382"/>
    </row>
    <row r="105" spans="1:15" s="442" customFormat="1" ht="27.75">
      <c r="A105" s="1512" t="s">
        <v>77</v>
      </c>
      <c r="B105" s="1513"/>
      <c r="C105" s="1307"/>
      <c r="D105" s="622" t="s">
        <v>144</v>
      </c>
      <c r="E105" s="534">
        <v>35656</v>
      </c>
      <c r="F105" s="534">
        <v>35661</v>
      </c>
      <c r="G105" s="532">
        <f t="shared" ref="G105:G106" si="19">F105-E105</f>
        <v>5</v>
      </c>
      <c r="H105" s="533">
        <f t="shared" ref="H105:H120" si="20">G105</f>
        <v>5</v>
      </c>
      <c r="I105" s="532"/>
      <c r="J105" s="558">
        <f>H105/DAY(B2)</f>
        <v>5</v>
      </c>
      <c r="N105" s="444"/>
      <c r="O105" s="382"/>
    </row>
    <row r="106" spans="1:15" s="442" customFormat="1" ht="27.75">
      <c r="A106" s="1512" t="s">
        <v>78</v>
      </c>
      <c r="B106" s="1553"/>
      <c r="C106" s="1513"/>
      <c r="D106" s="622" t="s">
        <v>144</v>
      </c>
      <c r="E106" s="532">
        <v>19418</v>
      </c>
      <c r="F106" s="532">
        <v>19423</v>
      </c>
      <c r="G106" s="532">
        <f t="shared" si="19"/>
        <v>5</v>
      </c>
      <c r="H106" s="533">
        <f t="shared" si="20"/>
        <v>5</v>
      </c>
      <c r="I106" s="532"/>
      <c r="J106" s="558">
        <f>G109/DAY(B2)</f>
        <v>87</v>
      </c>
      <c r="N106" s="444"/>
      <c r="O106" s="382"/>
    </row>
    <row r="107" spans="1:15" s="442" customFormat="1" ht="27.75">
      <c r="A107" s="1514" t="s">
        <v>202</v>
      </c>
      <c r="B107" s="1515"/>
      <c r="C107" s="1307"/>
      <c r="D107" s="622"/>
      <c r="E107" s="532"/>
      <c r="F107" s="532"/>
      <c r="G107" s="532">
        <f>SUM(G104:G106)</f>
        <v>18</v>
      </c>
      <c r="H107" s="533">
        <f t="shared" si="20"/>
        <v>18</v>
      </c>
      <c r="I107" s="532"/>
      <c r="J107" s="558">
        <f>H107/DAY(B2)</f>
        <v>18</v>
      </c>
      <c r="N107" s="444"/>
      <c r="O107" s="382"/>
    </row>
    <row r="108" spans="1:15" s="442" customFormat="1" ht="27.75">
      <c r="A108" s="1518" t="s">
        <v>79</v>
      </c>
      <c r="B108" s="1519"/>
      <c r="C108" s="1307"/>
      <c r="D108" s="622" t="s">
        <v>144</v>
      </c>
      <c r="E108" s="532"/>
      <c r="F108" s="532"/>
      <c r="G108" s="532"/>
      <c r="H108" s="533">
        <f t="shared" si="20"/>
        <v>0</v>
      </c>
      <c r="I108" s="532"/>
      <c r="J108" s="558"/>
      <c r="N108" s="444"/>
      <c r="O108" s="382"/>
    </row>
    <row r="109" spans="1:15" s="442" customFormat="1" ht="27.75">
      <c r="A109" s="1512" t="s">
        <v>220</v>
      </c>
      <c r="B109" s="1513"/>
      <c r="C109" s="1307"/>
      <c r="D109" s="622" t="s">
        <v>144</v>
      </c>
      <c r="E109" s="532">
        <v>58873</v>
      </c>
      <c r="F109" s="532">
        <v>58960</v>
      </c>
      <c r="G109" s="532">
        <f>F109-E109</f>
        <v>87</v>
      </c>
      <c r="H109" s="533">
        <f t="shared" si="20"/>
        <v>87</v>
      </c>
      <c r="I109" s="532"/>
      <c r="J109" s="558">
        <f>H109/DAY(B2)</f>
        <v>87</v>
      </c>
      <c r="N109" s="444"/>
      <c r="O109" s="382"/>
    </row>
    <row r="110" spans="1:15" s="442" customFormat="1" ht="27.75">
      <c r="A110" s="1512" t="s">
        <v>221</v>
      </c>
      <c r="B110" s="1513"/>
      <c r="C110" s="1307"/>
      <c r="D110" s="622" t="s">
        <v>144</v>
      </c>
      <c r="E110" s="532">
        <v>31646</v>
      </c>
      <c r="F110" s="532">
        <v>31676</v>
      </c>
      <c r="G110" s="532">
        <f>F110-E110</f>
        <v>30</v>
      </c>
      <c r="H110" s="533">
        <f t="shared" si="20"/>
        <v>30</v>
      </c>
      <c r="I110" s="532"/>
      <c r="J110" s="558">
        <f>H110/DAY(B2)</f>
        <v>30</v>
      </c>
      <c r="N110" s="444"/>
      <c r="O110" s="382"/>
    </row>
    <row r="111" spans="1:15" s="442" customFormat="1" ht="27.75">
      <c r="A111" s="1512" t="s">
        <v>222</v>
      </c>
      <c r="B111" s="1513"/>
      <c r="C111" s="1307"/>
      <c r="D111" s="622" t="s">
        <v>144</v>
      </c>
      <c r="E111" s="532">
        <v>4156</v>
      </c>
      <c r="F111" s="532">
        <v>4177</v>
      </c>
      <c r="G111" s="532">
        <f>F111-E111</f>
        <v>21</v>
      </c>
      <c r="H111" s="533">
        <f t="shared" si="20"/>
        <v>21</v>
      </c>
      <c r="I111" s="532"/>
      <c r="J111" s="558">
        <f>H111/DAY(B2)</f>
        <v>21</v>
      </c>
      <c r="N111" s="444"/>
      <c r="O111" s="382"/>
    </row>
    <row r="112" spans="1:15" s="442" customFormat="1" ht="27.75">
      <c r="A112" s="1516" t="s">
        <v>110</v>
      </c>
      <c r="B112" s="1517"/>
      <c r="C112" s="1307"/>
      <c r="D112" s="622"/>
      <c r="E112" s="532"/>
      <c r="F112" s="532"/>
      <c r="G112" s="532">
        <f>SUM(G109:G111)</f>
        <v>138</v>
      </c>
      <c r="H112" s="533">
        <f t="shared" si="20"/>
        <v>138</v>
      </c>
      <c r="I112" s="532"/>
      <c r="J112" s="558">
        <f>H112/DAY(B2)</f>
        <v>138</v>
      </c>
      <c r="N112" s="444"/>
      <c r="O112" s="382"/>
    </row>
    <row r="113" spans="1:15" s="442" customFormat="1" ht="27.75">
      <c r="A113" s="1518" t="s">
        <v>223</v>
      </c>
      <c r="B113" s="1519"/>
      <c r="C113" s="1307"/>
      <c r="D113" s="622"/>
      <c r="E113" s="532"/>
      <c r="F113" s="532"/>
      <c r="G113" s="532"/>
      <c r="H113" s="533">
        <f t="shared" si="20"/>
        <v>0</v>
      </c>
      <c r="I113" s="532"/>
      <c r="J113" s="558">
        <f>H113/DAY(B2)</f>
        <v>0</v>
      </c>
      <c r="N113" s="444"/>
      <c r="O113" s="382"/>
    </row>
    <row r="114" spans="1:15" s="442" customFormat="1" ht="27.75">
      <c r="A114" s="1512" t="s">
        <v>224</v>
      </c>
      <c r="B114" s="1513"/>
      <c r="C114" s="574"/>
      <c r="D114" s="622" t="s">
        <v>144</v>
      </c>
      <c r="E114" s="534">
        <v>10857</v>
      </c>
      <c r="F114" s="534">
        <v>10877</v>
      </c>
      <c r="G114" s="534">
        <f>F114-E114</f>
        <v>20</v>
      </c>
      <c r="H114" s="533">
        <f t="shared" si="20"/>
        <v>20</v>
      </c>
      <c r="I114" s="532"/>
      <c r="J114" s="558">
        <f>H114/DAY(B2)</f>
        <v>20</v>
      </c>
      <c r="N114" s="444"/>
      <c r="O114" s="382"/>
    </row>
    <row r="115" spans="1:15" s="442" customFormat="1" ht="27.75">
      <c r="A115" s="1512" t="s">
        <v>225</v>
      </c>
      <c r="B115" s="1513"/>
      <c r="C115" s="574"/>
      <c r="D115" s="622" t="s">
        <v>144</v>
      </c>
      <c r="E115" s="534">
        <v>7975</v>
      </c>
      <c r="F115" s="534">
        <v>7980</v>
      </c>
      <c r="G115" s="534">
        <f t="shared" ref="G115:G116" si="21">F115-E115</f>
        <v>5</v>
      </c>
      <c r="H115" s="533">
        <f t="shared" si="20"/>
        <v>5</v>
      </c>
      <c r="I115" s="532"/>
      <c r="J115" s="558">
        <f>H115/DAY(B2)</f>
        <v>5</v>
      </c>
      <c r="N115" s="444"/>
      <c r="O115" s="382"/>
    </row>
    <row r="116" spans="1:15" s="442" customFormat="1" ht="27.75">
      <c r="A116" s="1512" t="s">
        <v>226</v>
      </c>
      <c r="B116" s="1513"/>
      <c r="C116" s="574"/>
      <c r="D116" s="622" t="s">
        <v>144</v>
      </c>
      <c r="E116" s="534"/>
      <c r="F116" s="534"/>
      <c r="G116" s="534">
        <f t="shared" si="21"/>
        <v>0</v>
      </c>
      <c r="H116" s="533">
        <f t="shared" si="20"/>
        <v>0</v>
      </c>
      <c r="I116" s="532"/>
      <c r="J116" s="558">
        <f>H116/DAY(B2)</f>
        <v>0</v>
      </c>
      <c r="N116" s="444"/>
      <c r="O116" s="382"/>
    </row>
    <row r="117" spans="1:15" s="445" customFormat="1" ht="27.75">
      <c r="A117" s="1514" t="s">
        <v>202</v>
      </c>
      <c r="B117" s="1515"/>
      <c r="C117" s="574"/>
      <c r="D117" s="623"/>
      <c r="E117" s="534"/>
      <c r="F117" s="534"/>
      <c r="G117" s="534">
        <f>SUM(G114:G116)</f>
        <v>25</v>
      </c>
      <c r="H117" s="533">
        <f t="shared" si="20"/>
        <v>25</v>
      </c>
      <c r="I117" s="534"/>
      <c r="J117" s="558">
        <f>H117/DAY(B2)</f>
        <v>25</v>
      </c>
      <c r="N117" s="447"/>
      <c r="O117" s="382"/>
    </row>
    <row r="118" spans="1:15" s="446" customFormat="1" ht="27.75">
      <c r="A118" s="1508" t="s">
        <v>227</v>
      </c>
      <c r="B118" s="1509"/>
      <c r="C118" s="1306"/>
      <c r="D118" s="624" t="s">
        <v>144</v>
      </c>
      <c r="E118" s="536"/>
      <c r="F118" s="536">
        <f>SUM(G19+G92)</f>
        <v>145</v>
      </c>
      <c r="G118" s="536">
        <f>SUM(G19+G92)</f>
        <v>145</v>
      </c>
      <c r="H118" s="533">
        <f t="shared" si="20"/>
        <v>145</v>
      </c>
      <c r="I118" s="535"/>
      <c r="J118" s="559">
        <f>H118/DAY(B2)</f>
        <v>145</v>
      </c>
      <c r="N118" s="782"/>
      <c r="O118" s="382"/>
    </row>
    <row r="119" spans="1:15" s="446" customFormat="1" ht="27.75">
      <c r="A119" s="1508" t="s">
        <v>228</v>
      </c>
      <c r="B119" s="1509"/>
      <c r="C119" s="1306"/>
      <c r="D119" s="624" t="s">
        <v>144</v>
      </c>
      <c r="E119" s="536"/>
      <c r="F119" s="536">
        <f>SUM(G95,G96,G97,G99,G100)</f>
        <v>136</v>
      </c>
      <c r="G119" s="536">
        <f>SUM(G95,G96,G97,G99,G100)</f>
        <v>136</v>
      </c>
      <c r="H119" s="533">
        <f t="shared" si="20"/>
        <v>136</v>
      </c>
      <c r="I119" s="535"/>
      <c r="J119" s="559">
        <f>H119/DAY(B2)</f>
        <v>136</v>
      </c>
      <c r="N119" s="782"/>
      <c r="O119" s="382"/>
    </row>
    <row r="120" spans="1:15" s="446" customFormat="1" ht="27.75">
      <c r="A120" s="1508" t="s">
        <v>229</v>
      </c>
      <c r="B120" s="1509"/>
      <c r="C120" s="1306"/>
      <c r="D120" s="624" t="s">
        <v>144</v>
      </c>
      <c r="E120" s="534"/>
      <c r="F120" s="534">
        <f>SUM(G112)</f>
        <v>138</v>
      </c>
      <c r="G120" s="534">
        <f>SUM(G112)</f>
        <v>138</v>
      </c>
      <c r="H120" s="533">
        <f t="shared" si="20"/>
        <v>138</v>
      </c>
      <c r="I120" s="535"/>
      <c r="J120" s="559">
        <f>H120/DAY(B2)</f>
        <v>138</v>
      </c>
      <c r="N120" s="782"/>
      <c r="O120" s="382"/>
    </row>
    <row r="121" spans="1:15" s="442" customFormat="1" ht="27.75">
      <c r="A121" s="1510"/>
      <c r="B121" s="1511"/>
      <c r="C121" s="1307"/>
      <c r="D121" s="560"/>
      <c r="E121" s="560"/>
      <c r="F121" s="560" t="s">
        <v>215</v>
      </c>
      <c r="G121" s="560"/>
      <c r="H121" s="561"/>
      <c r="I121" s="560"/>
      <c r="J121" s="562"/>
      <c r="N121" s="444"/>
      <c r="O121" s="382"/>
    </row>
    <row r="122" spans="1:15">
      <c r="A122" s="1545" t="s">
        <v>230</v>
      </c>
      <c r="B122" s="1546"/>
      <c r="C122" s="1547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  <c r="O122" s="382"/>
    </row>
    <row r="123" spans="1:15" ht="27.75">
      <c r="A123" s="1309" t="s">
        <v>231</v>
      </c>
      <c r="B123" s="1310"/>
      <c r="C123" s="1310"/>
      <c r="D123" s="523" t="s">
        <v>141</v>
      </c>
      <c r="E123" s="478">
        <v>818810</v>
      </c>
      <c r="F123" s="478">
        <v>819067</v>
      </c>
      <c r="G123" s="473">
        <f>F123-E123</f>
        <v>257</v>
      </c>
      <c r="H123" s="460">
        <f>G123</f>
        <v>257</v>
      </c>
      <c r="I123" s="526"/>
      <c r="J123" s="552">
        <f>H123/DAY(B2)</f>
        <v>257</v>
      </c>
      <c r="K123" s="380"/>
      <c r="L123" s="377"/>
      <c r="N123" s="382"/>
      <c r="O123" s="382"/>
    </row>
    <row r="124" spans="1:15" ht="27.75">
      <c r="A124" s="1309" t="s">
        <v>232</v>
      </c>
      <c r="B124" s="1310"/>
      <c r="C124" s="1310"/>
      <c r="D124" s="523" t="s">
        <v>141</v>
      </c>
      <c r="E124" s="626">
        <v>73583.399999999994</v>
      </c>
      <c r="F124" s="485">
        <v>73583.399999999994</v>
      </c>
      <c r="G124" s="473">
        <f t="shared" ref="G124:G127" si="22">F124-E124</f>
        <v>0</v>
      </c>
      <c r="H124" s="460">
        <f t="shared" ref="H124:H128" si="23">G124</f>
        <v>0</v>
      </c>
      <c r="I124" s="526"/>
      <c r="J124" s="552">
        <f>H124/DAY(B2)</f>
        <v>0</v>
      </c>
      <c r="K124" s="380"/>
      <c r="L124" s="377"/>
      <c r="N124" s="382"/>
      <c r="O124" s="382"/>
    </row>
    <row r="125" spans="1:15" ht="27.75">
      <c r="A125" s="1499" t="s">
        <v>233</v>
      </c>
      <c r="B125" s="1500"/>
      <c r="C125" s="1501"/>
      <c r="D125" s="523" t="s">
        <v>141</v>
      </c>
      <c r="E125" s="478">
        <v>142136</v>
      </c>
      <c r="F125" s="485">
        <v>142232</v>
      </c>
      <c r="G125" s="473">
        <f t="shared" si="22"/>
        <v>96</v>
      </c>
      <c r="H125" s="460">
        <f t="shared" si="23"/>
        <v>96</v>
      </c>
      <c r="I125" s="526"/>
      <c r="J125" s="552">
        <f>H125/DAY(B2)</f>
        <v>96</v>
      </c>
      <c r="K125" s="380"/>
      <c r="L125" s="377"/>
      <c r="N125" s="382"/>
      <c r="O125" s="382"/>
    </row>
    <row r="126" spans="1:15" ht="27.75">
      <c r="A126" s="609" t="s">
        <v>234</v>
      </c>
      <c r="B126" s="1310"/>
      <c r="C126" s="1310"/>
      <c r="D126" s="523" t="s">
        <v>141</v>
      </c>
      <c r="E126" s="626">
        <v>59888</v>
      </c>
      <c r="F126" s="485">
        <v>59888</v>
      </c>
      <c r="G126" s="473">
        <f t="shared" si="22"/>
        <v>0</v>
      </c>
      <c r="H126" s="460">
        <f t="shared" si="23"/>
        <v>0</v>
      </c>
      <c r="I126" s="526"/>
      <c r="J126" s="552">
        <f>H126/DAY(B2)</f>
        <v>0</v>
      </c>
      <c r="K126" s="380"/>
      <c r="L126" s="377"/>
      <c r="N126" s="382"/>
      <c r="O126" s="382"/>
    </row>
    <row r="127" spans="1:15" ht="27.75">
      <c r="A127" s="609" t="s">
        <v>235</v>
      </c>
      <c r="B127" s="1310"/>
      <c r="C127" s="1310"/>
      <c r="D127" s="523" t="s">
        <v>141</v>
      </c>
      <c r="E127" s="626">
        <v>8962</v>
      </c>
      <c r="F127" s="485">
        <v>8963</v>
      </c>
      <c r="G127" s="473">
        <f t="shared" si="22"/>
        <v>1</v>
      </c>
      <c r="H127" s="460">
        <f t="shared" si="23"/>
        <v>1</v>
      </c>
      <c r="I127" s="480"/>
      <c r="J127" s="552">
        <f>H127/DAY(B2)</f>
        <v>1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310"/>
      <c r="C128" s="1310"/>
      <c r="D128" s="523"/>
      <c r="E128" s="478"/>
      <c r="F128" s="478"/>
      <c r="G128" s="473">
        <f>G15-SUM(G123:G127)</f>
        <v>615</v>
      </c>
      <c r="H128" s="460">
        <f t="shared" si="23"/>
        <v>615</v>
      </c>
      <c r="I128" s="480"/>
      <c r="J128" s="552">
        <f>H128/DAY(B2)</f>
        <v>615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  <c r="O129" s="382"/>
    </row>
    <row r="130" spans="1:15" ht="27.75">
      <c r="A130" s="1309" t="s">
        <v>238</v>
      </c>
      <c r="B130" s="1310"/>
      <c r="C130" s="1310"/>
      <c r="D130" s="523" t="s">
        <v>239</v>
      </c>
      <c r="E130" s="484">
        <v>0</v>
      </c>
      <c r="F130" s="484">
        <v>0</v>
      </c>
      <c r="G130" s="473">
        <f t="shared" ref="G130:G140" si="24">F130-E130</f>
        <v>0</v>
      </c>
      <c r="H130" s="460">
        <f>G130</f>
        <v>0</v>
      </c>
      <c r="I130" s="480"/>
      <c r="J130" s="552">
        <f>H130/DAY(B2)</f>
        <v>0</v>
      </c>
      <c r="N130" s="382"/>
      <c r="O130" s="382"/>
    </row>
    <row r="131" spans="1:15" ht="27.75">
      <c r="A131" s="1309" t="s">
        <v>240</v>
      </c>
      <c r="B131" s="1310"/>
      <c r="C131" s="1310"/>
      <c r="D131" s="523" t="s">
        <v>239</v>
      </c>
      <c r="E131" s="484">
        <v>0</v>
      </c>
      <c r="F131" s="484">
        <v>0</v>
      </c>
      <c r="G131" s="473">
        <f t="shared" si="24"/>
        <v>0</v>
      </c>
      <c r="H131" s="460">
        <f t="shared" ref="H131:H140" si="25">G131</f>
        <v>0</v>
      </c>
      <c r="I131" s="480"/>
      <c r="J131" s="552">
        <f>H131/DAY(B2)</f>
        <v>0</v>
      </c>
      <c r="N131" s="382"/>
      <c r="O131" s="382"/>
    </row>
    <row r="132" spans="1:15" ht="27.75">
      <c r="A132" s="1309" t="s">
        <v>241</v>
      </c>
      <c r="B132" s="1310"/>
      <c r="C132" s="1310"/>
      <c r="D132" s="523" t="s">
        <v>239</v>
      </c>
      <c r="E132" s="541">
        <v>39533</v>
      </c>
      <c r="F132" s="541">
        <v>39557</v>
      </c>
      <c r="G132" s="473">
        <f t="shared" si="24"/>
        <v>24</v>
      </c>
      <c r="H132" s="460">
        <f t="shared" si="25"/>
        <v>24</v>
      </c>
      <c r="I132" s="480"/>
      <c r="J132" s="552">
        <f>H132/DAY(B2)</f>
        <v>24</v>
      </c>
      <c r="N132" s="382"/>
      <c r="O132" s="382"/>
    </row>
    <row r="133" spans="1:15" s="779" customFormat="1" ht="27.75">
      <c r="A133" s="796" t="s">
        <v>242</v>
      </c>
      <c r="B133" s="1241"/>
      <c r="C133" s="1241"/>
      <c r="D133" s="524" t="s">
        <v>239</v>
      </c>
      <c r="E133" s="541">
        <v>300</v>
      </c>
      <c r="F133" s="522">
        <v>300</v>
      </c>
      <c r="G133" s="473">
        <f t="shared" si="24"/>
        <v>0</v>
      </c>
      <c r="H133" s="486">
        <f t="shared" si="25"/>
        <v>0</v>
      </c>
      <c r="I133" s="1242"/>
      <c r="J133" s="553">
        <f>H133/DAY(B2)</f>
        <v>0</v>
      </c>
      <c r="N133" s="724"/>
      <c r="O133" s="382"/>
    </row>
    <row r="134" spans="1:15" ht="27.75">
      <c r="A134" s="1309" t="s">
        <v>243</v>
      </c>
      <c r="B134" s="1310"/>
      <c r="C134" s="1310"/>
      <c r="D134" s="523" t="s">
        <v>239</v>
      </c>
      <c r="E134" s="541">
        <v>40839</v>
      </c>
      <c r="F134" s="541">
        <v>40846</v>
      </c>
      <c r="G134" s="473">
        <f t="shared" si="24"/>
        <v>7</v>
      </c>
      <c r="H134" s="460">
        <f t="shared" si="25"/>
        <v>7</v>
      </c>
      <c r="I134" s="480"/>
      <c r="J134" s="552">
        <f>H134/DAY(B2)</f>
        <v>7</v>
      </c>
      <c r="N134" s="382"/>
      <c r="O134" s="382"/>
    </row>
    <row r="135" spans="1:15" ht="27.75">
      <c r="A135" s="1309" t="s">
        <v>244</v>
      </c>
      <c r="B135" s="1310"/>
      <c r="C135" s="1310"/>
      <c r="D135" s="523" t="s">
        <v>239</v>
      </c>
      <c r="E135" s="541">
        <v>32583</v>
      </c>
      <c r="F135" s="541">
        <v>32583</v>
      </c>
      <c r="G135" s="473">
        <f t="shared" si="24"/>
        <v>0</v>
      </c>
      <c r="H135" s="460">
        <f t="shared" si="25"/>
        <v>0</v>
      </c>
      <c r="I135" s="480">
        <f>G132+G133+G134+G135</f>
        <v>31</v>
      </c>
      <c r="J135" s="552">
        <f>H135/DAY(B2)</f>
        <v>0</v>
      </c>
      <c r="N135" s="382"/>
      <c r="O135" s="382"/>
    </row>
    <row r="136" spans="1:15" ht="27.75">
      <c r="A136" s="1309" t="s">
        <v>245</v>
      </c>
      <c r="B136" s="1310"/>
      <c r="C136" s="1310"/>
      <c r="D136" s="523" t="s">
        <v>239</v>
      </c>
      <c r="E136" s="541">
        <v>22488.65</v>
      </c>
      <c r="F136" s="541">
        <v>22498.89</v>
      </c>
      <c r="G136" s="473">
        <f t="shared" si="24"/>
        <v>10.239999999997963</v>
      </c>
      <c r="H136" s="460">
        <f t="shared" si="25"/>
        <v>10.239999999997963</v>
      </c>
      <c r="I136" s="480"/>
      <c r="J136" s="552">
        <f>H136/DAY(B2)</f>
        <v>10.239999999997963</v>
      </c>
      <c r="N136" s="382"/>
      <c r="O136" s="382"/>
    </row>
    <row r="137" spans="1:15" ht="27.75">
      <c r="A137" s="1309" t="s">
        <v>246</v>
      </c>
      <c r="B137" s="1310"/>
      <c r="C137" s="1310"/>
      <c r="D137" s="523" t="s">
        <v>239</v>
      </c>
      <c r="E137" s="541">
        <v>25048.79</v>
      </c>
      <c r="F137" s="541">
        <v>25048.97</v>
      </c>
      <c r="G137" s="473">
        <f t="shared" si="24"/>
        <v>0.18000000000029104</v>
      </c>
      <c r="H137" s="460">
        <f t="shared" si="25"/>
        <v>0.18000000000029104</v>
      </c>
      <c r="I137" s="480"/>
      <c r="J137" s="552">
        <f>H137/DAY(B2)</f>
        <v>0.18000000000029104</v>
      </c>
      <c r="N137" s="382"/>
      <c r="O137" s="382"/>
    </row>
    <row r="138" spans="1:15" ht="27.75">
      <c r="A138" s="1309" t="s">
        <v>247</v>
      </c>
      <c r="B138" s="1310"/>
      <c r="C138" s="1310"/>
      <c r="D138" s="523" t="s">
        <v>239</v>
      </c>
      <c r="E138" s="541">
        <v>70254.03</v>
      </c>
      <c r="F138" s="541">
        <v>70256.570000000007</v>
      </c>
      <c r="G138" s="473">
        <f t="shared" si="24"/>
        <v>2.5400000000081491</v>
      </c>
      <c r="H138" s="460">
        <f t="shared" si="25"/>
        <v>2.5400000000081491</v>
      </c>
      <c r="I138" s="480">
        <f>G136+G137+G138</f>
        <v>12.960000000006403</v>
      </c>
      <c r="J138" s="552">
        <f>H138/DAY(B2)</f>
        <v>2.5400000000081491</v>
      </c>
      <c r="N138" s="382"/>
      <c r="O138" s="382"/>
    </row>
    <row r="139" spans="1:15" ht="27.75">
      <c r="A139" s="1309" t="s">
        <v>248</v>
      </c>
      <c r="B139" s="1310"/>
      <c r="C139" s="1310"/>
      <c r="D139" s="523" t="s">
        <v>239</v>
      </c>
      <c r="E139" s="484">
        <v>1536.52</v>
      </c>
      <c r="F139" s="484">
        <v>1536.52</v>
      </c>
      <c r="G139" s="473">
        <f t="shared" si="24"/>
        <v>0</v>
      </c>
      <c r="H139" s="460">
        <f t="shared" si="25"/>
        <v>0</v>
      </c>
      <c r="I139" s="542"/>
      <c r="J139" s="552">
        <f>H139/DAY(B2)</f>
        <v>0</v>
      </c>
      <c r="N139" s="382"/>
      <c r="O139" s="382"/>
    </row>
    <row r="140" spans="1:15" ht="27.75">
      <c r="A140" s="1309" t="s">
        <v>249</v>
      </c>
      <c r="B140" s="1310"/>
      <c r="C140" s="1310"/>
      <c r="D140" s="523" t="s">
        <v>239</v>
      </c>
      <c r="E140" s="484">
        <v>4468.54</v>
      </c>
      <c r="F140" s="484">
        <v>4476.8999999999996</v>
      </c>
      <c r="G140" s="473">
        <f t="shared" si="24"/>
        <v>8.3599999999996726</v>
      </c>
      <c r="H140" s="460">
        <f t="shared" si="25"/>
        <v>8.3599999999996726</v>
      </c>
      <c r="I140" s="542">
        <f>G139+G140</f>
        <v>8.3599999999996726</v>
      </c>
      <c r="J140" s="552">
        <f>H140/DAY(B2)</f>
        <v>8.3599999999996726</v>
      </c>
      <c r="N140" s="382"/>
      <c r="O140" s="382"/>
    </row>
    <row r="141" spans="1:15">
      <c r="A141" s="1526" t="s">
        <v>250</v>
      </c>
      <c r="B141" s="1527"/>
      <c r="C141" s="1315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  <c r="O141" s="382"/>
    </row>
    <row r="142" spans="1:15" ht="27.75">
      <c r="A142" s="1520" t="s">
        <v>251</v>
      </c>
      <c r="B142" s="1521"/>
      <c r="C142" s="1522"/>
      <c r="D142" s="523" t="s">
        <v>132</v>
      </c>
      <c r="E142" s="523"/>
      <c r="F142" s="523"/>
      <c r="G142" s="460">
        <f>G35+G43+G49+G57</f>
        <v>6026</v>
      </c>
      <c r="H142" s="460">
        <f>G142</f>
        <v>6026</v>
      </c>
      <c r="I142" s="480"/>
      <c r="J142" s="552">
        <f>H142/DAY(B2)</f>
        <v>6026</v>
      </c>
      <c r="K142" s="380"/>
      <c r="L142" s="377"/>
      <c r="N142" s="382"/>
      <c r="O142" s="382"/>
    </row>
    <row r="143" spans="1:15" ht="27.75">
      <c r="A143" s="1520" t="s">
        <v>252</v>
      </c>
      <c r="B143" s="1521"/>
      <c r="C143" s="1522"/>
      <c r="D143" s="523" t="s">
        <v>24</v>
      </c>
      <c r="E143" s="511"/>
      <c r="F143" s="511"/>
      <c r="G143" s="543">
        <f>G142/G7</f>
        <v>0.25430452397029035</v>
      </c>
      <c r="H143" s="460">
        <f t="shared" ref="H143:H153" si="26">G143</f>
        <v>0.25430452397029035</v>
      </c>
      <c r="I143" s="544"/>
      <c r="J143" s="552">
        <f>H143/DAY(B2)</f>
        <v>0.25430452397029035</v>
      </c>
      <c r="K143" s="380"/>
      <c r="L143" s="377"/>
      <c r="N143" s="382"/>
      <c r="O143" s="382"/>
    </row>
    <row r="144" spans="1:15" ht="27.75">
      <c r="A144" s="1520" t="s">
        <v>253</v>
      </c>
      <c r="B144" s="1521"/>
      <c r="C144" s="1522"/>
      <c r="D144" s="523" t="s">
        <v>132</v>
      </c>
      <c r="E144" s="455"/>
      <c r="F144" s="455"/>
      <c r="G144" s="460">
        <f>G41+G42+G55+G56</f>
        <v>6956.8399999999965</v>
      </c>
      <c r="H144" s="460">
        <f t="shared" si="26"/>
        <v>6956.8399999999965</v>
      </c>
      <c r="I144" s="480"/>
      <c r="J144" s="552">
        <f>H144/DAY(B2)</f>
        <v>6956.8399999999965</v>
      </c>
      <c r="K144" s="380"/>
      <c r="L144" s="377"/>
      <c r="N144" s="382"/>
      <c r="O144" s="382"/>
    </row>
    <row r="145" spans="1:15" ht="27.75">
      <c r="A145" s="1520" t="s">
        <v>254</v>
      </c>
      <c r="B145" s="1521"/>
      <c r="C145" s="1522"/>
      <c r="D145" s="523" t="s">
        <v>24</v>
      </c>
      <c r="E145" s="455"/>
      <c r="F145" s="455"/>
      <c r="G145" s="543">
        <f>G144/G7</f>
        <v>0.29358710330857513</v>
      </c>
      <c r="H145" s="460">
        <f t="shared" si="26"/>
        <v>0.29358710330857513</v>
      </c>
      <c r="I145" s="544"/>
      <c r="J145" s="552">
        <f>H145/DAY(B2)</f>
        <v>0.29358710330857513</v>
      </c>
      <c r="K145" s="380"/>
      <c r="L145" s="377"/>
      <c r="N145" s="382"/>
      <c r="O145" s="382"/>
    </row>
    <row r="146" spans="1:15" ht="27.75">
      <c r="A146" s="1520" t="s">
        <v>255</v>
      </c>
      <c r="B146" s="1521"/>
      <c r="C146" s="1522"/>
      <c r="D146" s="523" t="s">
        <v>132</v>
      </c>
      <c r="E146" s="455"/>
      <c r="F146" s="455"/>
      <c r="G146" s="460">
        <f>G39+G53</f>
        <v>4613</v>
      </c>
      <c r="H146" s="460">
        <f t="shared" si="26"/>
        <v>4613</v>
      </c>
      <c r="I146" s="545"/>
      <c r="J146" s="552">
        <f>H146/DAY(B2)</f>
        <v>4613</v>
      </c>
      <c r="K146" s="380"/>
      <c r="L146" s="377"/>
      <c r="N146" s="382"/>
      <c r="O146" s="382"/>
    </row>
    <row r="147" spans="1:15" ht="27.75">
      <c r="A147" s="1520" t="s">
        <v>256</v>
      </c>
      <c r="B147" s="1521"/>
      <c r="C147" s="1522"/>
      <c r="D147" s="523" t="s">
        <v>24</v>
      </c>
      <c r="E147" s="455"/>
      <c r="F147" s="455"/>
      <c r="G147" s="543">
        <f>G146/G7</f>
        <v>0.19467420661715057</v>
      </c>
      <c r="H147" s="460">
        <f t="shared" si="26"/>
        <v>0.19467420661715057</v>
      </c>
      <c r="I147" s="545"/>
      <c r="J147" s="552">
        <f>H147/DAY(B2)</f>
        <v>0.19467420661715057</v>
      </c>
      <c r="N147" s="382"/>
      <c r="O147" s="382"/>
    </row>
    <row r="148" spans="1:15" ht="27.75">
      <c r="A148" s="1520" t="s">
        <v>257</v>
      </c>
      <c r="B148" s="1521"/>
      <c r="C148" s="1522"/>
      <c r="D148" s="523" t="s">
        <v>183</v>
      </c>
      <c r="E148" s="455"/>
      <c r="F148" s="455"/>
      <c r="G148" s="460">
        <f>G38+G52</f>
        <v>1779</v>
      </c>
      <c r="H148" s="460">
        <f t="shared" si="26"/>
        <v>1779</v>
      </c>
      <c r="I148" s="480"/>
      <c r="J148" s="552">
        <f>H148/DAY(B2)</f>
        <v>1779</v>
      </c>
      <c r="K148" s="381"/>
      <c r="N148" s="382"/>
      <c r="O148" s="382"/>
    </row>
    <row r="149" spans="1:15" ht="27.75">
      <c r="A149" s="1520" t="s">
        <v>258</v>
      </c>
      <c r="B149" s="1521"/>
      <c r="C149" s="1522"/>
      <c r="D149" s="523" t="s">
        <v>24</v>
      </c>
      <c r="E149" s="455"/>
      <c r="F149" s="455"/>
      <c r="G149" s="543">
        <f>G148/G7</f>
        <v>7.5075962187711009E-2</v>
      </c>
      <c r="H149" s="460">
        <f t="shared" si="26"/>
        <v>7.5075962187711009E-2</v>
      </c>
      <c r="I149" s="545"/>
      <c r="J149" s="552">
        <f>H149/DAY(B2)</f>
        <v>7.5075962187711009E-2</v>
      </c>
      <c r="N149" s="382"/>
      <c r="O149" s="382"/>
    </row>
    <row r="150" spans="1:15" ht="27.75">
      <c r="A150" s="1520" t="s">
        <v>259</v>
      </c>
      <c r="B150" s="1521"/>
      <c r="C150" s="1522"/>
      <c r="D150" s="523" t="s">
        <v>183</v>
      </c>
      <c r="E150" s="455"/>
      <c r="F150" s="455"/>
      <c r="G150" s="460">
        <f>G36+G50</f>
        <v>2502</v>
      </c>
      <c r="H150" s="460">
        <f t="shared" si="26"/>
        <v>2502</v>
      </c>
      <c r="I150" s="545"/>
      <c r="J150" s="552">
        <f>H150/DAY(B2)</f>
        <v>2502</v>
      </c>
      <c r="N150" s="382"/>
      <c r="O150" s="382"/>
    </row>
    <row r="151" spans="1:15" ht="27.75">
      <c r="A151" s="1520" t="s">
        <v>260</v>
      </c>
      <c r="B151" s="1521"/>
      <c r="C151" s="1522"/>
      <c r="D151" s="523" t="s">
        <v>24</v>
      </c>
      <c r="E151" s="455"/>
      <c r="F151" s="455"/>
      <c r="G151" s="543">
        <f>G150/G7</f>
        <v>0.10558744091829844</v>
      </c>
      <c r="H151" s="460">
        <f t="shared" si="26"/>
        <v>0.10558744091829844</v>
      </c>
      <c r="I151" s="480"/>
      <c r="J151" s="552">
        <f>H151/DAY(B2)</f>
        <v>0.10558744091829844</v>
      </c>
      <c r="N151" s="382"/>
      <c r="O151" s="382"/>
    </row>
    <row r="152" spans="1:15" ht="27.75">
      <c r="A152" s="1520" t="s">
        <v>261</v>
      </c>
      <c r="B152" s="1521"/>
      <c r="C152" s="1522"/>
      <c r="D152" s="523" t="s">
        <v>183</v>
      </c>
      <c r="E152" s="455"/>
      <c r="F152" s="455"/>
      <c r="G152" s="460">
        <f>G37+G51</f>
        <v>1448</v>
      </c>
      <c r="H152" s="460">
        <f t="shared" si="26"/>
        <v>1448</v>
      </c>
      <c r="I152" s="480"/>
      <c r="J152" s="552">
        <f>H152/DAY(B2)</f>
        <v>1448</v>
      </c>
      <c r="N152" s="382"/>
      <c r="O152" s="382"/>
    </row>
    <row r="153" spans="1:15" ht="28.5" thickBot="1">
      <c r="A153" s="1523" t="s">
        <v>262</v>
      </c>
      <c r="B153" s="1524"/>
      <c r="C153" s="1525"/>
      <c r="D153" s="625" t="s">
        <v>24</v>
      </c>
      <c r="E153" s="565"/>
      <c r="F153" s="565"/>
      <c r="G153" s="566">
        <f>G152/G7</f>
        <v>6.1107359891964891E-2</v>
      </c>
      <c r="H153" s="460">
        <f t="shared" si="26"/>
        <v>6.1107359891964891E-2</v>
      </c>
      <c r="I153" s="568"/>
      <c r="J153" s="569">
        <f>H153/DAY(B2)</f>
        <v>6.1107359891964891E-2</v>
      </c>
      <c r="N153" s="382"/>
      <c r="O153" s="382"/>
    </row>
    <row r="154" spans="1:15">
      <c r="A154" s="466"/>
      <c r="B154" s="456"/>
      <c r="C154" s="456"/>
      <c r="D154" s="546"/>
      <c r="E154" s="758"/>
      <c r="F154" s="546"/>
      <c r="G154" s="546"/>
      <c r="H154" s="547"/>
      <c r="I154" s="546"/>
      <c r="J154" s="548"/>
      <c r="O154" s="382"/>
    </row>
    <row r="160" spans="1:15">
      <c r="A160" s="788" t="s">
        <v>263</v>
      </c>
      <c r="B160" s="789"/>
      <c r="C160" s="789"/>
      <c r="D160" s="511" t="s">
        <v>187</v>
      </c>
      <c r="E160" s="661">
        <v>33432</v>
      </c>
      <c r="F160" s="661">
        <v>33516</v>
      </c>
      <c r="G160" s="473">
        <f t="shared" ref="G160:G171" si="27">F160-E160</f>
        <v>84</v>
      </c>
    </row>
    <row r="161" spans="1:7">
      <c r="A161" s="788" t="s">
        <v>264</v>
      </c>
      <c r="B161" s="789"/>
      <c r="C161" s="789"/>
      <c r="D161" s="511" t="s">
        <v>187</v>
      </c>
      <c r="E161" s="661">
        <v>68638</v>
      </c>
      <c r="F161" s="661">
        <v>69099</v>
      </c>
      <c r="G161" s="473">
        <f t="shared" si="27"/>
        <v>461</v>
      </c>
    </row>
    <row r="162" spans="1:7">
      <c r="A162" s="788" t="s">
        <v>265</v>
      </c>
      <c r="B162" s="789"/>
      <c r="C162" s="789"/>
      <c r="D162" s="511" t="s">
        <v>187</v>
      </c>
      <c r="E162" s="661">
        <v>29319</v>
      </c>
      <c r="F162" s="661">
        <v>29691</v>
      </c>
      <c r="G162" s="473">
        <f t="shared" si="27"/>
        <v>372</v>
      </c>
    </row>
    <row r="163" spans="1:7">
      <c r="A163" s="788" t="s">
        <v>266</v>
      </c>
      <c r="B163" s="789"/>
      <c r="C163" s="789"/>
      <c r="D163" s="511" t="s">
        <v>187</v>
      </c>
      <c r="E163" s="661">
        <v>5790</v>
      </c>
      <c r="F163" s="661">
        <v>5801</v>
      </c>
      <c r="G163" s="473">
        <f t="shared" si="27"/>
        <v>11</v>
      </c>
    </row>
    <row r="164" spans="1:7">
      <c r="A164" s="790" t="s">
        <v>98</v>
      </c>
      <c r="B164" s="604"/>
      <c r="C164" s="604"/>
      <c r="D164" s="511" t="s">
        <v>187</v>
      </c>
      <c r="E164" s="514">
        <f>E62</f>
        <v>0</v>
      </c>
      <c r="F164" s="514">
        <v>0</v>
      </c>
      <c r="G164" s="473">
        <f>F164-E164</f>
        <v>0</v>
      </c>
    </row>
    <row r="165" spans="1:7">
      <c r="A165" s="790" t="s">
        <v>188</v>
      </c>
      <c r="B165" s="604"/>
      <c r="C165" s="604"/>
      <c r="D165" s="511" t="s">
        <v>187</v>
      </c>
      <c r="E165" s="514">
        <f t="shared" ref="E165:E171" si="28">E63</f>
        <v>2096</v>
      </c>
      <c r="F165" s="514">
        <f t="shared" ref="F165:F171" si="29">F63</f>
        <v>2108</v>
      </c>
      <c r="G165" s="473">
        <f t="shared" si="27"/>
        <v>12</v>
      </c>
    </row>
    <row r="166" spans="1:7" ht="27.75">
      <c r="A166" s="1495" t="s">
        <v>99</v>
      </c>
      <c r="B166" s="1495"/>
      <c r="C166" s="1495"/>
      <c r="D166" s="523" t="s">
        <v>187</v>
      </c>
      <c r="E166" s="514">
        <f t="shared" si="28"/>
        <v>139180</v>
      </c>
      <c r="F166" s="514">
        <f t="shared" si="29"/>
        <v>139643</v>
      </c>
      <c r="G166" s="473">
        <f t="shared" si="27"/>
        <v>463</v>
      </c>
    </row>
    <row r="167" spans="1:7" ht="27.75">
      <c r="A167" s="1495" t="s">
        <v>100</v>
      </c>
      <c r="B167" s="1495"/>
      <c r="C167" s="1495"/>
      <c r="D167" s="523" t="s">
        <v>187</v>
      </c>
      <c r="E167" s="514">
        <f t="shared" si="28"/>
        <v>144205</v>
      </c>
      <c r="F167" s="514">
        <f t="shared" si="29"/>
        <v>144569</v>
      </c>
      <c r="G167" s="473">
        <f t="shared" si="27"/>
        <v>364</v>
      </c>
    </row>
    <row r="168" spans="1:7" ht="27.75">
      <c r="A168" s="1495" t="s">
        <v>101</v>
      </c>
      <c r="B168" s="1495"/>
      <c r="C168" s="1495"/>
      <c r="D168" s="523" t="s">
        <v>187</v>
      </c>
      <c r="E168" s="514">
        <f t="shared" si="28"/>
        <v>37208</v>
      </c>
      <c r="F168" s="514">
        <f t="shared" si="29"/>
        <v>37600</v>
      </c>
      <c r="G168" s="473">
        <f t="shared" si="27"/>
        <v>392</v>
      </c>
    </row>
    <row r="169" spans="1:7" ht="27.75">
      <c r="A169" s="1495" t="s">
        <v>102</v>
      </c>
      <c r="B169" s="1495"/>
      <c r="C169" s="1495"/>
      <c r="D169" s="523" t="s">
        <v>187</v>
      </c>
      <c r="E169" s="514">
        <f t="shared" si="28"/>
        <v>229100</v>
      </c>
      <c r="F169" s="514">
        <f t="shared" si="29"/>
        <v>229795</v>
      </c>
      <c r="G169" s="473">
        <f t="shared" si="27"/>
        <v>695</v>
      </c>
    </row>
    <row r="170" spans="1:7" ht="27.75">
      <c r="A170" s="1495" t="s">
        <v>103</v>
      </c>
      <c r="B170" s="1495"/>
      <c r="C170" s="1495"/>
      <c r="D170" s="523" t="s">
        <v>187</v>
      </c>
      <c r="E170" s="514">
        <f t="shared" si="28"/>
        <v>83087</v>
      </c>
      <c r="F170" s="514">
        <f t="shared" si="29"/>
        <v>83409</v>
      </c>
      <c r="G170" s="473">
        <f t="shared" si="27"/>
        <v>322</v>
      </c>
    </row>
    <row r="171" spans="1:7" ht="27.75">
      <c r="A171" s="1495" t="s">
        <v>104</v>
      </c>
      <c r="B171" s="1495"/>
      <c r="C171" s="1495"/>
      <c r="D171" s="523" t="s">
        <v>187</v>
      </c>
      <c r="E171" s="514">
        <f t="shared" si="28"/>
        <v>74329</v>
      </c>
      <c r="F171" s="514">
        <f t="shared" si="29"/>
        <v>74636</v>
      </c>
      <c r="G171" s="473">
        <f t="shared" si="27"/>
        <v>307</v>
      </c>
    </row>
    <row r="172" spans="1:7">
      <c r="G172" s="539">
        <f>SUM(G160:G171)</f>
        <v>3483</v>
      </c>
    </row>
  </sheetData>
  <mergeCells count="74"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10:B110"/>
    <mergeCell ref="A111:B111"/>
    <mergeCell ref="A112:B112"/>
    <mergeCell ref="A113:B113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88" zoomScale="50" zoomScaleSheetLayoutView="50" workbookViewId="0">
      <selection activeCell="E160" sqref="E160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528" t="s">
        <v>117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5" s="281" customFormat="1" ht="27">
      <c r="A2" s="575" t="s">
        <v>275</v>
      </c>
      <c r="B2" s="1036">
        <v>44288</v>
      </c>
      <c r="C2" s="1311" t="s">
        <v>69</v>
      </c>
      <c r="D2" s="611">
        <v>0.97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1" t="s">
        <v>120</v>
      </c>
      <c r="D3" s="612">
        <v>30</v>
      </c>
      <c r="E3" s="1537" t="s">
        <v>121</v>
      </c>
      <c r="F3" s="1538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1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31" t="s">
        <v>130</v>
      </c>
      <c r="B6" s="1532"/>
      <c r="C6" s="1533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'1'!F7</f>
        <v>5137619</v>
      </c>
      <c r="F7" s="455">
        <v>5159775</v>
      </c>
      <c r="G7" s="473">
        <f>F7-E7</f>
        <v>22156</v>
      </c>
      <c r="H7" s="460">
        <f>G7+'1'!H7</f>
        <v>45852</v>
      </c>
      <c r="I7" s="474">
        <f>'[3]1'!I7</f>
        <v>12000</v>
      </c>
      <c r="J7" s="552">
        <f>H7/DAY(B2)</f>
        <v>22926</v>
      </c>
      <c r="K7" s="549"/>
      <c r="L7" s="377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55">
        <f>'1'!F8</f>
        <v>5169102</v>
      </c>
      <c r="F8" s="475">
        <v>5191372</v>
      </c>
      <c r="G8" s="476">
        <f>F8-E8</f>
        <v>22270</v>
      </c>
      <c r="H8" s="460">
        <f>G8+'1'!H8</f>
        <v>46054</v>
      </c>
      <c r="I8" s="477">
        <v>12000</v>
      </c>
      <c r="J8" s="552">
        <f>H8/DAY(B2)</f>
        <v>23027</v>
      </c>
      <c r="K8" s="549"/>
      <c r="L8" s="425"/>
      <c r="M8" s="440"/>
      <c r="O8" s="382"/>
    </row>
    <row r="9" spans="1:15">
      <c r="A9" s="583" t="s">
        <v>134</v>
      </c>
      <c r="B9" s="584"/>
      <c r="C9" s="584"/>
      <c r="D9" s="523" t="s">
        <v>132</v>
      </c>
      <c r="E9" s="455">
        <f>'1'!F9</f>
        <v>418964</v>
      </c>
      <c r="F9" s="478">
        <v>440625</v>
      </c>
      <c r="G9" s="473">
        <f t="shared" ref="G9:G11" si="0">F9-E9</f>
        <v>21661</v>
      </c>
      <c r="H9" s="460">
        <f>G9+'1'!H9</f>
        <v>44556</v>
      </c>
      <c r="I9" s="479">
        <f>I8-J8</f>
        <v>-11027</v>
      </c>
      <c r="J9" s="552">
        <f>H9/DAY(B2)</f>
        <v>22278</v>
      </c>
      <c r="K9" s="428"/>
      <c r="L9" s="377"/>
      <c r="O9" s="382"/>
    </row>
    <row r="10" spans="1:15">
      <c r="A10" s="578" t="s">
        <v>135</v>
      </c>
      <c r="B10" s="579"/>
      <c r="C10" s="579"/>
      <c r="D10" s="523" t="s">
        <v>132</v>
      </c>
      <c r="E10" s="455">
        <f>'1'!F10</f>
        <v>2322.58</v>
      </c>
      <c r="F10" s="478">
        <v>2322.58</v>
      </c>
      <c r="G10" s="473">
        <f t="shared" si="0"/>
        <v>0</v>
      </c>
      <c r="H10" s="460">
        <f>G10+'1'!H10</f>
        <v>0</v>
      </c>
      <c r="I10" s="480"/>
      <c r="J10" s="552">
        <f>H10/DAY(B2)</f>
        <v>0</v>
      </c>
      <c r="K10" s="428"/>
      <c r="L10" s="377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'1'!F11</f>
        <v>37000</v>
      </c>
      <c r="F11" s="455">
        <v>37000</v>
      </c>
      <c r="G11" s="473">
        <f t="shared" si="0"/>
        <v>0</v>
      </c>
      <c r="H11" s="460">
        <f>G11+'[3]1'!H11</f>
        <v>0</v>
      </c>
      <c r="I11" s="480"/>
      <c r="J11" s="552">
        <f>H11/DAY(B2)</f>
        <v>0</v>
      </c>
      <c r="K11" s="428"/>
      <c r="L11" s="377"/>
      <c r="O11" s="382"/>
    </row>
    <row r="12" spans="1:15">
      <c r="A12" s="578" t="s">
        <v>137</v>
      </c>
      <c r="B12" s="579"/>
      <c r="C12" s="579"/>
      <c r="D12" s="523" t="s">
        <v>132</v>
      </c>
      <c r="E12" s="455">
        <f>'1'!F11</f>
        <v>37000</v>
      </c>
      <c r="F12" s="478">
        <v>40010</v>
      </c>
      <c r="G12" s="473">
        <v>0</v>
      </c>
      <c r="H12" s="460">
        <f>G12+'[3]1'!H12</f>
        <v>0</v>
      </c>
      <c r="I12" s="480"/>
      <c r="J12" s="552">
        <f>H12/DAY(B2)</f>
        <v>0</v>
      </c>
      <c r="K12" s="428"/>
      <c r="L12" s="377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21661</v>
      </c>
      <c r="H13" s="460">
        <f>G13+'1'!H13</f>
        <v>44556</v>
      </c>
      <c r="I13" s="482">
        <f>G7-G13</f>
        <v>495</v>
      </c>
      <c r="J13" s="552">
        <f>H13/DAY(B2)</f>
        <v>22278</v>
      </c>
      <c r="K13" s="428"/>
      <c r="L13" s="377"/>
      <c r="O13" s="382"/>
    </row>
    <row r="14" spans="1:15">
      <c r="A14" s="1534" t="s">
        <v>139</v>
      </c>
      <c r="B14" s="1535"/>
      <c r="C14" s="1536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1309" t="s">
        <v>140</v>
      </c>
      <c r="B15" s="589"/>
      <c r="C15" s="589"/>
      <c r="D15" s="523" t="s">
        <v>141</v>
      </c>
      <c r="E15" s="455">
        <f>'1'!F15</f>
        <v>1647658</v>
      </c>
      <c r="F15" s="654">
        <v>1648640</v>
      </c>
      <c r="G15" s="783">
        <f>(F15-E15)</f>
        <v>982</v>
      </c>
      <c r="H15" s="460">
        <f>G15+'1'!H15</f>
        <v>1951</v>
      </c>
      <c r="I15" s="474">
        <v>800</v>
      </c>
      <c r="J15" s="552">
        <f>H15/DAY(B2)</f>
        <v>975.5</v>
      </c>
      <c r="K15" s="428"/>
      <c r="L15" s="377"/>
      <c r="O15" s="38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-175.5</v>
      </c>
      <c r="J16" s="553"/>
      <c r="K16" s="428"/>
      <c r="L16" s="377"/>
      <c r="O16" s="382">
        <f>G15-150</f>
        <v>832</v>
      </c>
    </row>
    <row r="17" spans="1:15">
      <c r="A17" s="1534" t="s">
        <v>142</v>
      </c>
      <c r="B17" s="1535"/>
      <c r="C17" s="1536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20" t="s">
        <v>143</v>
      </c>
      <c r="B18" s="1521"/>
      <c r="C18" s="1522"/>
      <c r="D18" s="523" t="s">
        <v>144</v>
      </c>
      <c r="E18" s="484">
        <v>15</v>
      </c>
      <c r="F18" s="478">
        <v>12</v>
      </c>
      <c r="G18" s="481">
        <f>F18*10</f>
        <v>120</v>
      </c>
      <c r="H18" s="460">
        <f>G18+'1'!H18</f>
        <v>260</v>
      </c>
      <c r="I18" s="474">
        <f>'[3]1'!I18</f>
        <v>65</v>
      </c>
      <c r="J18" s="552">
        <f>H18/DAY(B2)</f>
        <v>130</v>
      </c>
      <c r="K18" s="428"/>
      <c r="L18" s="377"/>
      <c r="O18" s="382"/>
    </row>
    <row r="19" spans="1:15" ht="27.75">
      <c r="A19" s="1520" t="s">
        <v>71</v>
      </c>
      <c r="B19" s="1521"/>
      <c r="C19" s="1522"/>
      <c r="D19" s="523" t="s">
        <v>144</v>
      </c>
      <c r="E19" s="455">
        <f>'1'!F19</f>
        <v>136143</v>
      </c>
      <c r="F19" s="478">
        <v>136196</v>
      </c>
      <c r="G19" s="473">
        <f>F19-E19</f>
        <v>53</v>
      </c>
      <c r="H19" s="460">
        <f>G19+'1'!H19</f>
        <v>106</v>
      </c>
      <c r="I19" s="489"/>
      <c r="J19" s="552">
        <f>H19/DAY(B2)</f>
        <v>53</v>
      </c>
      <c r="K19" s="428"/>
      <c r="L19" s="377"/>
      <c r="O19" s="382"/>
    </row>
    <row r="20" spans="1:15">
      <c r="A20" s="585" t="s">
        <v>145</v>
      </c>
      <c r="B20" s="586"/>
      <c r="C20" s="586"/>
      <c r="D20" s="490"/>
      <c r="E20" s="490"/>
      <c r="F20" s="523"/>
      <c r="G20" s="1038">
        <f>G18+G19</f>
        <v>173</v>
      </c>
      <c r="H20" s="460">
        <f>G20+'1'!H20</f>
        <v>366</v>
      </c>
      <c r="I20" s="492">
        <f>I18-J20</f>
        <v>-118</v>
      </c>
      <c r="J20" s="552">
        <f>H20/DAY(B2)</f>
        <v>183</v>
      </c>
      <c r="K20" s="428"/>
      <c r="L20" s="377"/>
      <c r="O20" s="382"/>
    </row>
    <row r="21" spans="1:15">
      <c r="A21" s="1534" t="s">
        <v>146</v>
      </c>
      <c r="B21" s="1535"/>
      <c r="C21" s="1536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9" t="s">
        <v>147</v>
      </c>
      <c r="B22" s="589"/>
      <c r="C22" s="589"/>
      <c r="D22" s="523" t="s">
        <v>148</v>
      </c>
      <c r="E22" s="484">
        <f>'1'!F22</f>
        <v>1290</v>
      </c>
      <c r="F22" s="478">
        <v>1290</v>
      </c>
      <c r="G22" s="481">
        <f t="shared" ref="G22" si="1">(F22-E22)</f>
        <v>0</v>
      </c>
      <c r="H22" s="460">
        <f>G22+'1'!H22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9" t="s">
        <v>149</v>
      </c>
      <c r="B23" s="589"/>
      <c r="C23" s="589"/>
      <c r="D23" s="523" t="s">
        <v>148</v>
      </c>
      <c r="E23" s="484">
        <f>'1'!F23</f>
        <v>2000</v>
      </c>
      <c r="F23" s="478">
        <v>1900</v>
      </c>
      <c r="G23" s="481">
        <v>0</v>
      </c>
      <c r="H23" s="460">
        <f>G23+'1'!H23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4">
        <v>3290</v>
      </c>
      <c r="F24" s="485">
        <v>3290</v>
      </c>
      <c r="G24" s="481">
        <v>0</v>
      </c>
      <c r="H24" s="460">
        <f>G24+'1'!H24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39" t="s">
        <v>151</v>
      </c>
      <c r="B25" s="1540"/>
      <c r="C25" s="1541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22270</v>
      </c>
      <c r="F27" s="501">
        <v>9</v>
      </c>
      <c r="G27" s="502">
        <f>E27*F27</f>
        <v>200430</v>
      </c>
      <c r="H27" s="460">
        <f>G27+'1'!H27</f>
        <v>414486</v>
      </c>
      <c r="I27" s="503"/>
      <c r="J27" s="552">
        <f>H27/DAY(B2)</f>
        <v>207243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982</v>
      </c>
      <c r="F28" s="501">
        <v>51.45</v>
      </c>
      <c r="G28" s="502">
        <f>E28*F28</f>
        <v>50523.9</v>
      </c>
      <c r="H28" s="460">
        <f>G28+'1'!H28</f>
        <v>100378.95000000001</v>
      </c>
      <c r="I28" s="505"/>
      <c r="J28" s="552">
        <f>H28/DAY(B2)</f>
        <v>50189.475000000006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53</v>
      </c>
      <c r="F30" s="501">
        <v>134</v>
      </c>
      <c r="G30" s="502">
        <f>E30*F30</f>
        <v>7102</v>
      </c>
      <c r="H30" s="460">
        <f>G30+'1'!H30</f>
        <v>14204</v>
      </c>
      <c r="I30" s="505"/>
      <c r="J30" s="552">
        <f>H30/DAY(B2)</f>
        <v>7102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120</v>
      </c>
      <c r="F31" s="501">
        <v>80</v>
      </c>
      <c r="G31" s="502">
        <f>E31*F31</f>
        <v>9600</v>
      </c>
      <c r="H31" s="460">
        <f>G31+'1'!H31</f>
        <v>20800</v>
      </c>
      <c r="I31" s="505"/>
      <c r="J31" s="552">
        <f>H31/DAY(B2)</f>
        <v>10400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267655.90000000002</v>
      </c>
      <c r="H32" s="460">
        <f>G32+'1'!H32</f>
        <v>549868.94999999995</v>
      </c>
      <c r="I32" s="509"/>
      <c r="J32" s="552">
        <f>H32/DAY(B2)</f>
        <v>274934.47499999998</v>
      </c>
      <c r="K32" s="373"/>
      <c r="L32" s="443"/>
      <c r="O32" s="382"/>
    </row>
    <row r="33" spans="1:15" ht="25.5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  <c r="O33" s="382"/>
    </row>
    <row r="34" spans="1:15">
      <c r="A34" s="598" t="s">
        <v>163</v>
      </c>
      <c r="B34" s="1314"/>
      <c r="C34" s="1314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455">
        <f>'1'!F35</f>
        <v>801819</v>
      </c>
      <c r="F35" s="510">
        <v>805196</v>
      </c>
      <c r="G35" s="473">
        <f t="shared" ref="G35:G46" si="2">F35-E35</f>
        <v>3377</v>
      </c>
      <c r="H35" s="460">
        <f>G35+'1'!H35</f>
        <v>6807</v>
      </c>
      <c r="I35" s="455"/>
      <c r="J35" s="552">
        <f>H35/DAY(B2)</f>
        <v>3403.5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455">
        <f>'1'!F36</f>
        <v>318452</v>
      </c>
      <c r="F36" s="510">
        <v>319374</v>
      </c>
      <c r="G36" s="473">
        <f t="shared" si="2"/>
        <v>922</v>
      </c>
      <c r="H36" s="460">
        <f>G36+'1'!H36</f>
        <v>1938</v>
      </c>
      <c r="I36" s="455"/>
      <c r="J36" s="552">
        <f>H36/DAY(B2)</f>
        <v>969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455">
        <f>'1'!F37</f>
        <v>56245</v>
      </c>
      <c r="F37" s="510">
        <v>57690</v>
      </c>
      <c r="G37" s="473">
        <f t="shared" si="2"/>
        <v>1445</v>
      </c>
      <c r="H37" s="460">
        <f>G37+'1'!H37</f>
        <v>2893</v>
      </c>
      <c r="I37" s="455"/>
      <c r="J37" s="552">
        <f>H37/DAY(B2)</f>
        <v>1446.5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55">
        <f>'1'!F38</f>
        <v>74087</v>
      </c>
      <c r="F38" s="469">
        <v>75910</v>
      </c>
      <c r="G38" s="473">
        <f t="shared" si="2"/>
        <v>1823</v>
      </c>
      <c r="H38" s="460">
        <f>G38+'1'!H38</f>
        <v>3602</v>
      </c>
      <c r="I38" s="455"/>
      <c r="J38" s="552">
        <f>H38/DAY(B2)</f>
        <v>1801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455">
        <f>'1'!F39</f>
        <v>156914</v>
      </c>
      <c r="F39" s="510">
        <v>160797</v>
      </c>
      <c r="G39" s="473">
        <f t="shared" si="2"/>
        <v>3883</v>
      </c>
      <c r="H39" s="460">
        <f>G39+'1'!H39</f>
        <v>7975</v>
      </c>
      <c r="I39" s="455"/>
      <c r="J39" s="552">
        <f>H39/DAY(B2)</f>
        <v>3987.5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455">
        <f>'1'!F40</f>
        <v>0</v>
      </c>
      <c r="F40" s="510">
        <v>0</v>
      </c>
      <c r="G40" s="473">
        <f t="shared" si="2"/>
        <v>0</v>
      </c>
      <c r="H40" s="460">
        <f>G40+'1'!H40</f>
        <v>0</v>
      </c>
      <c r="I40" s="455"/>
      <c r="J40" s="552">
        <f>H40/DAY(B2)</f>
        <v>0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455">
        <f>'1'!F41</f>
        <v>138652</v>
      </c>
      <c r="F41" s="510">
        <v>143718</v>
      </c>
      <c r="G41" s="473">
        <f t="shared" si="2"/>
        <v>5066</v>
      </c>
      <c r="H41" s="460">
        <f>G41+'1'!H41</f>
        <v>10577</v>
      </c>
      <c r="I41" s="455"/>
      <c r="J41" s="552">
        <f>H41/DAY(B2)</f>
        <v>5288.5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455">
        <f>'1'!F42</f>
        <v>59128</v>
      </c>
      <c r="F42" s="510">
        <v>59128</v>
      </c>
      <c r="G42" s="473">
        <f t="shared" si="2"/>
        <v>0</v>
      </c>
      <c r="H42" s="460">
        <f>G42+'1'!H42</f>
        <v>-0.16000000000349246</v>
      </c>
      <c r="I42" s="455"/>
      <c r="J42" s="552">
        <f>H42/DAY(B2)</f>
        <v>-8.000000000174623E-2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455">
        <f>'1'!F43</f>
        <v>904644</v>
      </c>
      <c r="F43" s="510">
        <v>907332</v>
      </c>
      <c r="G43" s="473">
        <f t="shared" si="2"/>
        <v>2688</v>
      </c>
      <c r="H43" s="460">
        <f>G43+'1'!H43</f>
        <v>5284</v>
      </c>
      <c r="I43" s="455"/>
      <c r="J43" s="552">
        <f>H43/DAY(B2)</f>
        <v>2642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455">
        <f>'1'!F44</f>
        <v>0</v>
      </c>
      <c r="F44" s="510">
        <v>0</v>
      </c>
      <c r="G44" s="473">
        <f t="shared" si="2"/>
        <v>0</v>
      </c>
      <c r="H44" s="460">
        <f>G44+'1'!H44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455">
        <f>'1'!F45</f>
        <v>0</v>
      </c>
      <c r="F45" s="510">
        <v>614</v>
      </c>
      <c r="G45" s="473">
        <f t="shared" si="2"/>
        <v>614</v>
      </c>
      <c r="H45" s="460">
        <f>G45+'1'!H45</f>
        <v>614</v>
      </c>
      <c r="I45" s="455"/>
      <c r="J45" s="552">
        <f>H45/DAY(B2)</f>
        <v>307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455">
        <f>'1'!F46</f>
        <v>0</v>
      </c>
      <c r="F46" s="510">
        <v>187</v>
      </c>
      <c r="G46" s="473">
        <f t="shared" si="2"/>
        <v>187</v>
      </c>
      <c r="H46" s="460">
        <f>G46+'1'!H46</f>
        <v>187</v>
      </c>
      <c r="I46" s="455"/>
      <c r="J46" s="552">
        <f>H46/DAY(B2)</f>
        <v>93.5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20005</v>
      </c>
      <c r="H47" s="460">
        <f>G47+'1'!H47</f>
        <v>39876.839999999997</v>
      </c>
      <c r="I47" s="455"/>
      <c r="J47" s="552">
        <f>H47/DAY(B2)</f>
        <v>19938.419999999998</v>
      </c>
      <c r="K47" s="428"/>
      <c r="L47" s="377"/>
      <c r="N47" s="382"/>
      <c r="O47" s="382"/>
    </row>
    <row r="48" spans="1:15">
      <c r="A48" s="598" t="s">
        <v>177</v>
      </c>
      <c r="B48" s="1314"/>
      <c r="C48" s="1314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455">
        <f>'1'!F49</f>
        <v>260732</v>
      </c>
      <c r="F49" s="510">
        <v>260732.13</v>
      </c>
      <c r="G49" s="473">
        <f t="shared" ref="G49:G58" si="3">F49-E49</f>
        <v>0.13000000000465661</v>
      </c>
      <c r="H49" s="460">
        <f>G49+'1'!H49</f>
        <v>0.13000000000465661</v>
      </c>
      <c r="I49" s="455"/>
      <c r="J49" s="552">
        <f>H49/DAY(B2)</f>
        <v>6.5000000002328306E-2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455">
        <f>'1'!F50</f>
        <v>442718</v>
      </c>
      <c r="F50" s="510">
        <v>443804</v>
      </c>
      <c r="G50" s="473">
        <f t="shared" si="3"/>
        <v>1086</v>
      </c>
      <c r="H50" s="460">
        <f>G50+'1'!H50</f>
        <v>2572</v>
      </c>
      <c r="I50" s="455"/>
      <c r="J50" s="552">
        <f>H50/DAY(B2)</f>
        <v>1286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455">
        <f>'1'!F51</f>
        <v>144640</v>
      </c>
      <c r="F51" s="510">
        <v>144640</v>
      </c>
      <c r="G51" s="473">
        <f t="shared" si="3"/>
        <v>0</v>
      </c>
      <c r="H51" s="460">
        <f>G51+'1'!H51</f>
        <v>0</v>
      </c>
      <c r="I51" s="455"/>
      <c r="J51" s="552">
        <f>H51/DAY(B2)</f>
        <v>0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455">
        <f>'1'!F52</f>
        <v>539608</v>
      </c>
      <c r="F52" s="510">
        <v>539608</v>
      </c>
      <c r="G52" s="473">
        <f t="shared" si="3"/>
        <v>0</v>
      </c>
      <c r="H52" s="460">
        <f>G52+'1'!H52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455">
        <f>'1'!F53</f>
        <v>401785</v>
      </c>
      <c r="F53" s="510">
        <v>401785</v>
      </c>
      <c r="G53" s="473">
        <f t="shared" si="3"/>
        <v>0</v>
      </c>
      <c r="H53" s="460">
        <f>G53+'1'!H53</f>
        <v>521</v>
      </c>
      <c r="I53" s="455"/>
      <c r="J53" s="552">
        <f>H53/DAY(B2)</f>
        <v>260.5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455">
        <f>'1'!F54</f>
        <v>9232</v>
      </c>
      <c r="F54" s="510">
        <v>9307</v>
      </c>
      <c r="G54" s="473">
        <f t="shared" si="3"/>
        <v>75</v>
      </c>
      <c r="H54" s="460">
        <f>G54+'1'!H54</f>
        <v>141</v>
      </c>
      <c r="I54" s="455"/>
      <c r="J54" s="552">
        <f>H54/DAY(B2)</f>
        <v>70.5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455">
        <f>'1'!F55</f>
        <v>217525</v>
      </c>
      <c r="F55" s="1037">
        <v>218710</v>
      </c>
      <c r="G55" s="473">
        <f t="shared" si="3"/>
        <v>1185</v>
      </c>
      <c r="H55" s="460">
        <f>G55+'1'!H55</f>
        <v>2613</v>
      </c>
      <c r="I55" s="455"/>
      <c r="J55" s="552">
        <f>H55/DAY(B2)</f>
        <v>1306.5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455">
        <f>'1'!F56</f>
        <v>588985</v>
      </c>
      <c r="F56" s="1037">
        <v>588985</v>
      </c>
      <c r="G56" s="473">
        <f t="shared" si="3"/>
        <v>0</v>
      </c>
      <c r="H56" s="460">
        <f>G56+'1'!H56</f>
        <v>18</v>
      </c>
      <c r="I56" s="455"/>
      <c r="J56" s="552">
        <f>H56/DAY(B2)</f>
        <v>9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455">
        <f>'1'!F57</f>
        <v>7711</v>
      </c>
      <c r="F57" s="510">
        <v>7711</v>
      </c>
      <c r="G57" s="473">
        <f t="shared" si="3"/>
        <v>0</v>
      </c>
      <c r="H57" s="460">
        <f>G57+'1'!H57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455">
        <f>'1'!F58</f>
        <v>41719</v>
      </c>
      <c r="F58" s="656">
        <v>41937</v>
      </c>
      <c r="G58" s="473">
        <f t="shared" si="3"/>
        <v>218</v>
      </c>
      <c r="H58" s="460">
        <f>G58+'1'!H58</f>
        <v>390</v>
      </c>
      <c r="I58" s="455"/>
      <c r="J58" s="552">
        <f>H58/DAY(B2)</f>
        <v>195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2564.1300000000047</v>
      </c>
      <c r="H59" s="460">
        <f>G59+'1'!H59</f>
        <v>6255.1300000000047</v>
      </c>
      <c r="I59" s="455">
        <f>G7-G60</f>
        <v>-413.13000000000466</v>
      </c>
      <c r="J59" s="552">
        <f>H59/DAY(B2)</f>
        <v>3127.5650000000023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22569.130000000005</v>
      </c>
      <c r="H60" s="460">
        <f>G60+'1'!H60</f>
        <v>46131.97</v>
      </c>
      <c r="I60" s="455">
        <f>G13-G60</f>
        <v>-908.13000000000466</v>
      </c>
      <c r="J60" s="552">
        <f>H60/DAY(B2)</f>
        <v>23065.985000000001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455">
        <f>'1'!F62</f>
        <v>0</v>
      </c>
      <c r="F62" s="514">
        <v>0</v>
      </c>
      <c r="G62" s="473">
        <f t="shared" ref="G62:G69" si="4">F62-E62</f>
        <v>0</v>
      </c>
      <c r="H62" s="460">
        <f>G62+'1'!H62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455">
        <f>'1'!F63</f>
        <v>2108</v>
      </c>
      <c r="F63" s="514">
        <v>2118</v>
      </c>
      <c r="G63" s="473">
        <f t="shared" si="4"/>
        <v>10</v>
      </c>
      <c r="H63" s="460">
        <f>G63+'1'!H63</f>
        <v>22</v>
      </c>
      <c r="I63" s="515"/>
      <c r="J63" s="552">
        <f>H63/DAY(B2)</f>
        <v>11</v>
      </c>
      <c r="K63" s="428"/>
      <c r="L63" s="377"/>
      <c r="O63" s="382"/>
    </row>
    <row r="64" spans="1:15" ht="27.75">
      <c r="A64" s="1499" t="s">
        <v>99</v>
      </c>
      <c r="B64" s="1500"/>
      <c r="C64" s="1501"/>
      <c r="D64" s="523" t="s">
        <v>187</v>
      </c>
      <c r="E64" s="455">
        <f>'1'!F64</f>
        <v>139643</v>
      </c>
      <c r="F64" s="478">
        <v>140099</v>
      </c>
      <c r="G64" s="473">
        <f t="shared" si="4"/>
        <v>456</v>
      </c>
      <c r="H64" s="460">
        <f>G64+'1'!H64</f>
        <v>919</v>
      </c>
      <c r="I64" s="480"/>
      <c r="J64" s="552">
        <f>H64/DAY(B2)</f>
        <v>459.5</v>
      </c>
      <c r="K64" s="428"/>
      <c r="L64" s="377"/>
      <c r="O64" s="382"/>
    </row>
    <row r="65" spans="1:15" ht="27.75">
      <c r="A65" s="1499" t="s">
        <v>100</v>
      </c>
      <c r="B65" s="1500"/>
      <c r="C65" s="1501"/>
      <c r="D65" s="523" t="s">
        <v>187</v>
      </c>
      <c r="E65" s="455">
        <f>'1'!F65</f>
        <v>144569</v>
      </c>
      <c r="F65" s="654">
        <v>144931</v>
      </c>
      <c r="G65" s="473">
        <f t="shared" si="4"/>
        <v>362</v>
      </c>
      <c r="H65" s="460">
        <f>G65+'1'!H65</f>
        <v>726</v>
      </c>
      <c r="I65" s="489"/>
      <c r="J65" s="552">
        <f>H65/DAY(B2)</f>
        <v>363</v>
      </c>
      <c r="K65" s="428"/>
      <c r="L65" s="377"/>
      <c r="O65" s="382"/>
    </row>
    <row r="66" spans="1:15" ht="27.75">
      <c r="A66" s="1499" t="s">
        <v>101</v>
      </c>
      <c r="B66" s="1500"/>
      <c r="C66" s="1501"/>
      <c r="D66" s="523" t="s">
        <v>187</v>
      </c>
      <c r="E66" s="455">
        <f>'1'!F66</f>
        <v>37600</v>
      </c>
      <c r="F66" s="478">
        <v>37998</v>
      </c>
      <c r="G66" s="473">
        <f t="shared" si="4"/>
        <v>398</v>
      </c>
      <c r="H66" s="460">
        <f>G66+'1'!H66</f>
        <v>790</v>
      </c>
      <c r="I66" s="480"/>
      <c r="J66" s="552">
        <f>H66/DAY(B2)</f>
        <v>395</v>
      </c>
      <c r="K66" s="428"/>
      <c r="L66" s="377"/>
      <c r="O66" s="382"/>
    </row>
    <row r="67" spans="1:15" ht="27.75">
      <c r="A67" s="1499" t="s">
        <v>102</v>
      </c>
      <c r="B67" s="1500"/>
      <c r="C67" s="1501"/>
      <c r="D67" s="523" t="s">
        <v>187</v>
      </c>
      <c r="E67" s="455">
        <f>'1'!F67</f>
        <v>229795</v>
      </c>
      <c r="F67" s="478">
        <v>230424</v>
      </c>
      <c r="G67" s="473">
        <f t="shared" si="4"/>
        <v>629</v>
      </c>
      <c r="H67" s="460">
        <f>G67+'1'!H67</f>
        <v>1324</v>
      </c>
      <c r="I67" s="489"/>
      <c r="J67" s="552">
        <f>H67/DAY(B2)</f>
        <v>662</v>
      </c>
      <c r="K67" s="429"/>
      <c r="L67" s="377"/>
      <c r="O67" s="382"/>
    </row>
    <row r="68" spans="1:15" ht="27.75">
      <c r="A68" s="1499" t="s">
        <v>103</v>
      </c>
      <c r="B68" s="1500"/>
      <c r="C68" s="1501"/>
      <c r="D68" s="523" t="s">
        <v>187</v>
      </c>
      <c r="E68" s="455">
        <f>'1'!F68</f>
        <v>83409</v>
      </c>
      <c r="F68" s="478">
        <v>83715</v>
      </c>
      <c r="G68" s="473">
        <f t="shared" si="4"/>
        <v>306</v>
      </c>
      <c r="H68" s="460">
        <f>G68+'1'!H68</f>
        <v>628</v>
      </c>
      <c r="I68" s="516"/>
      <c r="J68" s="552">
        <f>H68/DAY(B2)</f>
        <v>314</v>
      </c>
      <c r="K68" s="430"/>
      <c r="L68" s="377"/>
      <c r="O68" s="382"/>
    </row>
    <row r="69" spans="1:15" ht="27.75">
      <c r="A69" s="1499" t="s">
        <v>104</v>
      </c>
      <c r="B69" s="1500"/>
      <c r="C69" s="1501"/>
      <c r="D69" s="523" t="s">
        <v>187</v>
      </c>
      <c r="E69" s="455">
        <f>'1'!F69</f>
        <v>74636</v>
      </c>
      <c r="F69" s="478">
        <v>74944</v>
      </c>
      <c r="G69" s="473">
        <f t="shared" si="4"/>
        <v>308</v>
      </c>
      <c r="H69" s="460">
        <f>G69+'1'!H69</f>
        <v>615</v>
      </c>
      <c r="I69" s="516"/>
      <c r="J69" s="552">
        <f>H69/DAY(B2)</f>
        <v>307.5</v>
      </c>
      <c r="K69" s="431"/>
      <c r="L69" s="377"/>
      <c r="O69" s="382"/>
    </row>
    <row r="70" spans="1:15" ht="27.75">
      <c r="A70" s="1505" t="s">
        <v>189</v>
      </c>
      <c r="B70" s="1506"/>
      <c r="C70" s="1507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02" t="s">
        <v>190</v>
      </c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  <c r="O71" s="382"/>
    </row>
    <row r="72" spans="1:15" ht="27.75">
      <c r="A72" s="1499" t="s">
        <v>191</v>
      </c>
      <c r="B72" s="1500"/>
      <c r="C72" s="1501"/>
      <c r="D72" s="523" t="s">
        <v>187</v>
      </c>
      <c r="E72" s="455">
        <f>'1'!F72</f>
        <v>853301</v>
      </c>
      <c r="F72" s="657">
        <v>853409</v>
      </c>
      <c r="G72" s="473">
        <f t="shared" ref="G72:G84" si="5">F72-E72</f>
        <v>108</v>
      </c>
      <c r="H72" s="460">
        <f>G72+'1'!H72</f>
        <v>230</v>
      </c>
      <c r="I72" s="480"/>
      <c r="J72" s="552">
        <f>H72/DAY(B2)</f>
        <v>115</v>
      </c>
      <c r="K72" s="431"/>
      <c r="L72" s="377"/>
      <c r="O72" s="382"/>
    </row>
    <row r="73" spans="1:15" ht="27.75">
      <c r="A73" s="1499" t="s">
        <v>192</v>
      </c>
      <c r="B73" s="1500"/>
      <c r="C73" s="1501"/>
      <c r="D73" s="523" t="s">
        <v>187</v>
      </c>
      <c r="E73" s="455">
        <f>'1'!F73</f>
        <v>885804</v>
      </c>
      <c r="F73" s="658">
        <v>885805</v>
      </c>
      <c r="G73" s="655">
        <f t="shared" si="5"/>
        <v>1</v>
      </c>
      <c r="H73" s="460">
        <f>G73+'1'!H73</f>
        <v>5</v>
      </c>
      <c r="I73" s="480"/>
      <c r="J73" s="552">
        <f>H73/DAY(B2)</f>
        <v>2.5</v>
      </c>
      <c r="K73" s="430"/>
      <c r="L73" s="377"/>
      <c r="O73" s="382"/>
    </row>
    <row r="74" spans="1:15" ht="27.75">
      <c r="A74" s="1499" t="s">
        <v>193</v>
      </c>
      <c r="B74" s="1500"/>
      <c r="C74" s="1501"/>
      <c r="D74" s="523" t="s">
        <v>187</v>
      </c>
      <c r="E74" s="455">
        <f>'1'!F74</f>
        <v>1389</v>
      </c>
      <c r="F74" s="657">
        <v>1409</v>
      </c>
      <c r="G74" s="473">
        <f t="shared" si="5"/>
        <v>20</v>
      </c>
      <c r="H74" s="460">
        <f>G74+'1'!H74</f>
        <v>39</v>
      </c>
      <c r="I74" s="480"/>
      <c r="J74" s="552">
        <f>H74/DAY(B2)</f>
        <v>19.5</v>
      </c>
      <c r="K74" s="431"/>
      <c r="L74" s="377"/>
      <c r="O74" s="382"/>
    </row>
    <row r="75" spans="1:15" ht="27.75">
      <c r="A75" s="1496" t="s">
        <v>194</v>
      </c>
      <c r="B75" s="1497"/>
      <c r="C75" s="1498"/>
      <c r="D75" s="523" t="s">
        <v>187</v>
      </c>
      <c r="E75" s="455">
        <f>'1'!F75</f>
        <v>8830</v>
      </c>
      <c r="F75" s="659">
        <v>8966</v>
      </c>
      <c r="G75" s="473">
        <f t="shared" si="5"/>
        <v>136</v>
      </c>
      <c r="H75" s="460">
        <f>G75+'1'!H75</f>
        <v>286</v>
      </c>
      <c r="I75" s="480"/>
      <c r="J75" s="552">
        <f>H75/DAY(B2)</f>
        <v>143</v>
      </c>
      <c r="K75" s="430"/>
      <c r="L75" s="377"/>
      <c r="O75" s="382"/>
    </row>
    <row r="76" spans="1:15" ht="27.75">
      <c r="A76" s="1496" t="s">
        <v>195</v>
      </c>
      <c r="B76" s="1497"/>
      <c r="C76" s="1498"/>
      <c r="D76" s="523" t="s">
        <v>187</v>
      </c>
      <c r="E76" s="455">
        <f>'1'!F76</f>
        <v>4096</v>
      </c>
      <c r="F76" s="658">
        <v>4155</v>
      </c>
      <c r="G76" s="473">
        <f t="shared" si="5"/>
        <v>59</v>
      </c>
      <c r="H76" s="460">
        <f>G76+'1'!H76</f>
        <v>118</v>
      </c>
      <c r="I76" s="505"/>
      <c r="J76" s="552">
        <f>H76/DAY(B2)</f>
        <v>59</v>
      </c>
      <c r="K76" s="430"/>
      <c r="L76" s="377"/>
      <c r="O76" s="382"/>
    </row>
    <row r="77" spans="1:15" ht="27.75">
      <c r="A77" s="1499" t="s">
        <v>196</v>
      </c>
      <c r="B77" s="1500"/>
      <c r="C77" s="1501"/>
      <c r="D77" s="523" t="s">
        <v>187</v>
      </c>
      <c r="E77" s="455">
        <f>'1'!F77</f>
        <v>700264</v>
      </c>
      <c r="F77" s="658">
        <v>700311</v>
      </c>
      <c r="G77" s="655">
        <f t="shared" si="5"/>
        <v>47</v>
      </c>
      <c r="H77" s="460">
        <f>G77+'1'!H77</f>
        <v>97</v>
      </c>
      <c r="I77" s="505"/>
      <c r="J77" s="552">
        <f>H77/DAY(B2)</f>
        <v>48.5</v>
      </c>
      <c r="K77" s="430"/>
      <c r="L77" s="377"/>
      <c r="O77" s="382"/>
    </row>
    <row r="78" spans="1:15" ht="27.75">
      <c r="A78" s="1312" t="s">
        <v>197</v>
      </c>
      <c r="B78" s="1305"/>
      <c r="C78" s="1305"/>
      <c r="D78" s="523" t="s">
        <v>187</v>
      </c>
      <c r="E78" s="455">
        <f>'1'!F78</f>
        <v>665775</v>
      </c>
      <c r="F78" s="659">
        <v>666103</v>
      </c>
      <c r="G78" s="473">
        <f t="shared" si="5"/>
        <v>328</v>
      </c>
      <c r="H78" s="460">
        <f>G78+'1'!H78</f>
        <v>723</v>
      </c>
      <c r="I78" s="505"/>
      <c r="J78" s="552">
        <f>H78/DAY(B2)</f>
        <v>361.5</v>
      </c>
      <c r="K78" s="430"/>
      <c r="L78" s="377"/>
      <c r="O78" s="382"/>
    </row>
    <row r="79" spans="1:15" ht="27.75">
      <c r="A79" s="1496" t="s">
        <v>92</v>
      </c>
      <c r="B79" s="1497"/>
      <c r="C79" s="1498"/>
      <c r="D79" s="524" t="s">
        <v>187</v>
      </c>
      <c r="E79" s="455">
        <f>'1'!F79</f>
        <v>821407</v>
      </c>
      <c r="F79" s="659">
        <v>821597</v>
      </c>
      <c r="G79" s="473">
        <f t="shared" si="5"/>
        <v>190</v>
      </c>
      <c r="H79" s="460">
        <f>G79+'1'!H79</f>
        <v>384</v>
      </c>
      <c r="I79" s="505"/>
      <c r="J79" s="552">
        <f>H79/DAY(B2)</f>
        <v>192</v>
      </c>
      <c r="K79" s="430"/>
      <c r="L79" s="377"/>
      <c r="O79" s="382"/>
    </row>
    <row r="80" spans="1:15" ht="27.75">
      <c r="A80" s="1496" t="s">
        <v>198</v>
      </c>
      <c r="B80" s="1497"/>
      <c r="C80" s="1498"/>
      <c r="D80" s="524" t="s">
        <v>187</v>
      </c>
      <c r="E80" s="455">
        <f>'1'!F80</f>
        <v>506079</v>
      </c>
      <c r="F80" s="658">
        <v>506412</v>
      </c>
      <c r="G80" s="473">
        <f t="shared" si="5"/>
        <v>333</v>
      </c>
      <c r="H80" s="460">
        <f>G80+'1'!H80</f>
        <v>713</v>
      </c>
      <c r="I80" s="505"/>
      <c r="J80" s="552">
        <f>H80/DAY(B2)</f>
        <v>356.5</v>
      </c>
      <c r="K80" s="430"/>
      <c r="L80" s="377"/>
      <c r="O80" s="382"/>
    </row>
    <row r="81" spans="1:15" ht="27.75">
      <c r="A81" s="1496" t="s">
        <v>199</v>
      </c>
      <c r="B81" s="1497"/>
      <c r="C81" s="1498"/>
      <c r="D81" s="524" t="s">
        <v>187</v>
      </c>
      <c r="E81" s="455">
        <f>'1'!F81</f>
        <v>630383</v>
      </c>
      <c r="F81" s="658">
        <v>630677</v>
      </c>
      <c r="G81" s="473">
        <f t="shared" si="5"/>
        <v>294</v>
      </c>
      <c r="H81" s="460">
        <f>G81+'1'!H81</f>
        <v>492</v>
      </c>
      <c r="I81" s="505"/>
      <c r="J81" s="552">
        <f>H81/DAY(B2)</f>
        <v>246</v>
      </c>
      <c r="K81" s="430"/>
      <c r="L81" s="377"/>
      <c r="O81" s="382"/>
    </row>
    <row r="82" spans="1:15" ht="27.75">
      <c r="A82" s="1496" t="s">
        <v>93</v>
      </c>
      <c r="B82" s="1497"/>
      <c r="C82" s="1498"/>
      <c r="D82" s="485" t="s">
        <v>132</v>
      </c>
      <c r="E82" s="455">
        <f>'1'!F82</f>
        <v>106918</v>
      </c>
      <c r="F82" s="654">
        <v>106945</v>
      </c>
      <c r="G82" s="473">
        <f t="shared" si="5"/>
        <v>27</v>
      </c>
      <c r="H82" s="460">
        <f>G82+'1'!H82</f>
        <v>50</v>
      </c>
      <c r="I82" s="486"/>
      <c r="J82" s="552">
        <f>H82/DAY(B2)</f>
        <v>25</v>
      </c>
      <c r="K82" s="430"/>
      <c r="L82" s="377"/>
      <c r="O82" s="382"/>
    </row>
    <row r="83" spans="1:15" ht="27.75">
      <c r="A83" s="1496" t="s">
        <v>200</v>
      </c>
      <c r="B83" s="1497"/>
      <c r="C83" s="1498"/>
      <c r="D83" s="620" t="s">
        <v>132</v>
      </c>
      <c r="E83" s="455">
        <f>'1'!F83</f>
        <v>7296</v>
      </c>
      <c r="F83" s="511">
        <v>7572</v>
      </c>
      <c r="G83" s="473">
        <f t="shared" si="5"/>
        <v>276</v>
      </c>
      <c r="H83" s="460">
        <f>G83+'1'!H83</f>
        <v>515</v>
      </c>
      <c r="I83" s="481"/>
      <c r="J83" s="552">
        <f>H83/DAY(B2)</f>
        <v>257.5</v>
      </c>
      <c r="K83" s="429"/>
      <c r="L83" s="377"/>
      <c r="O83" s="382"/>
    </row>
    <row r="84" spans="1:15">
      <c r="A84" s="1313" t="s">
        <v>201</v>
      </c>
      <c r="B84" s="571"/>
      <c r="C84" s="571"/>
      <c r="D84" s="478" t="s">
        <v>132</v>
      </c>
      <c r="E84" s="455">
        <f>'1'!F84</f>
        <v>455599</v>
      </c>
      <c r="F84" s="627">
        <v>456519</v>
      </c>
      <c r="G84" s="473">
        <f t="shared" si="5"/>
        <v>920</v>
      </c>
      <c r="H84" s="460">
        <f>G84+'1'!H84</f>
        <v>1835</v>
      </c>
      <c r="I84" s="481"/>
      <c r="J84" s="552">
        <f>H84/DAY(B2)</f>
        <v>917.5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455">
        <f>'1'!F85</f>
        <v>0</v>
      </c>
      <c r="F85" s="523"/>
      <c r="G85" s="460">
        <f xml:space="preserve"> SUM(G71:G84)</f>
        <v>2739</v>
      </c>
      <c r="H85" s="460">
        <f>G85+'1'!H85</f>
        <v>5487</v>
      </c>
      <c r="I85" s="481"/>
      <c r="J85" s="552">
        <f>H85/DAY(B2)</f>
        <v>2743.5</v>
      </c>
      <c r="K85" s="380"/>
      <c r="L85" s="378"/>
      <c r="O85" s="382"/>
    </row>
    <row r="86" spans="1:15" s="738" customFormat="1">
      <c r="A86" s="733" t="s">
        <v>94</v>
      </c>
      <c r="B86" s="734"/>
      <c r="C86" s="734"/>
      <c r="D86" s="735" t="s">
        <v>183</v>
      </c>
      <c r="E86" s="455">
        <f>'1'!F86</f>
        <v>454804</v>
      </c>
      <c r="F86" s="650">
        <v>454958</v>
      </c>
      <c r="G86" s="708">
        <f t="shared" ref="G86:G90" si="6">F86-E86</f>
        <v>154</v>
      </c>
      <c r="H86" s="460">
        <f>G86+'1'!H86</f>
        <v>377</v>
      </c>
      <c r="I86" s="655"/>
      <c r="J86" s="710">
        <f>H86/DAY(B2)</f>
        <v>188.5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455">
        <f>'1'!F87</f>
        <v>80219</v>
      </c>
      <c r="F87" s="650">
        <v>80252</v>
      </c>
      <c r="G87" s="708">
        <f t="shared" si="6"/>
        <v>33</v>
      </c>
      <c r="H87" s="460">
        <f>G87+'1'!H87</f>
        <v>67</v>
      </c>
      <c r="I87" s="655"/>
      <c r="J87" s="710">
        <f>H87/DAY(B2)</f>
        <v>33.5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455">
        <f>'1'!F88</f>
        <v>150668</v>
      </c>
      <c r="F88" s="650">
        <v>150775</v>
      </c>
      <c r="G88" s="708">
        <f t="shared" si="6"/>
        <v>107</v>
      </c>
      <c r="H88" s="460">
        <f>G88+'1'!H88</f>
        <v>176</v>
      </c>
      <c r="I88" s="655"/>
      <c r="J88" s="710">
        <f>H88/DAY(B2)</f>
        <v>88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455">
        <f>'1'!F89</f>
        <v>63598</v>
      </c>
      <c r="F89" s="650">
        <v>63641</v>
      </c>
      <c r="G89" s="708">
        <f t="shared" si="6"/>
        <v>43</v>
      </c>
      <c r="H89" s="460">
        <f>G89+'1'!H89</f>
        <v>87</v>
      </c>
      <c r="I89" s="655"/>
      <c r="J89" s="710">
        <f>H89/DAY(B2)</f>
        <v>43.5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455">
        <f>'1'!F90</f>
        <v>3271</v>
      </c>
      <c r="F90" s="650">
        <v>3271</v>
      </c>
      <c r="G90" s="708">
        <f t="shared" si="6"/>
        <v>0</v>
      </c>
      <c r="H90" s="460">
        <f>G90+'1'!H90</f>
        <v>1</v>
      </c>
      <c r="I90" s="655"/>
      <c r="J90" s="710">
        <f>H90/DAY(B2)</f>
        <v>0.5</v>
      </c>
      <c r="K90" s="736"/>
      <c r="L90" s="737"/>
      <c r="N90" s="781"/>
      <c r="O90" s="382"/>
    </row>
    <row r="91" spans="1:15" s="379" customFormat="1">
      <c r="A91" s="606" t="s">
        <v>205</v>
      </c>
      <c r="B91" s="1315"/>
      <c r="C91" s="1315"/>
      <c r="D91" s="472"/>
      <c r="E91" s="472"/>
      <c r="F91" s="472"/>
      <c r="G91" s="488"/>
      <c r="H91" s="472"/>
      <c r="I91" s="472"/>
      <c r="J91" s="551"/>
      <c r="K91" s="380"/>
      <c r="L91" s="378"/>
      <c r="O91" s="382"/>
    </row>
    <row r="92" spans="1:15" ht="27.75">
      <c r="A92" s="1520" t="s">
        <v>206</v>
      </c>
      <c r="B92" s="1521"/>
      <c r="C92" s="1522"/>
      <c r="D92" s="523" t="s">
        <v>144</v>
      </c>
      <c r="E92" s="455">
        <f>'1'!F92</f>
        <v>242738</v>
      </c>
      <c r="F92" s="478">
        <v>242821</v>
      </c>
      <c r="G92" s="473">
        <f t="shared" ref="G92:G93" si="7">F92-E92</f>
        <v>83</v>
      </c>
      <c r="H92" s="460">
        <f>G92+'1'!H92</f>
        <v>175</v>
      </c>
      <c r="I92" s="480"/>
      <c r="J92" s="552">
        <f>H92/DAY(B2)</f>
        <v>87.5</v>
      </c>
      <c r="K92" s="429"/>
      <c r="L92" s="377"/>
      <c r="O92" s="382"/>
    </row>
    <row r="93" spans="1:15" ht="27.75">
      <c r="A93" s="1520" t="s">
        <v>207</v>
      </c>
      <c r="B93" s="1521"/>
      <c r="C93" s="1522"/>
      <c r="D93" s="523" t="s">
        <v>144</v>
      </c>
      <c r="E93" s="455">
        <f>'1'!F93</f>
        <v>179806</v>
      </c>
      <c r="F93" s="478">
        <v>179949</v>
      </c>
      <c r="G93" s="473">
        <f t="shared" si="7"/>
        <v>143</v>
      </c>
      <c r="H93" s="460">
        <f>G93+'1'!H93</f>
        <v>270</v>
      </c>
      <c r="I93" s="480"/>
      <c r="J93" s="552">
        <f>H93/DAY(B2)</f>
        <v>135</v>
      </c>
      <c r="K93" s="380"/>
      <c r="L93" s="377"/>
      <c r="O93" s="382"/>
    </row>
    <row r="94" spans="1:15">
      <c r="A94" s="1548" t="s">
        <v>208</v>
      </c>
      <c r="B94" s="1549"/>
      <c r="C94" s="1550"/>
      <c r="D94" s="523"/>
      <c r="E94" s="455">
        <f>'1'!F94</f>
        <v>0</v>
      </c>
      <c r="F94" s="478"/>
      <c r="G94" s="473">
        <f>G92+G93</f>
        <v>226</v>
      </c>
      <c r="H94" s="460">
        <f>G94+'1'!H94</f>
        <v>226</v>
      </c>
      <c r="I94" s="480"/>
      <c r="J94" s="552">
        <f>H94/DAY(B2)</f>
        <v>113</v>
      </c>
      <c r="K94" s="380"/>
      <c r="L94" s="377"/>
      <c r="O94" s="382"/>
    </row>
    <row r="95" spans="1:15" ht="27.75">
      <c r="A95" s="1520" t="s">
        <v>209</v>
      </c>
      <c r="B95" s="1521"/>
      <c r="C95" s="1522"/>
      <c r="D95" s="523" t="s">
        <v>144</v>
      </c>
      <c r="E95" s="455">
        <f>'1'!F95</f>
        <v>410862</v>
      </c>
      <c r="F95" s="478">
        <v>410949</v>
      </c>
      <c r="G95" s="473">
        <f t="shared" ref="G95:G100" si="8">F95-E95</f>
        <v>87</v>
      </c>
      <c r="H95" s="460">
        <f>G95+'1'!H95</f>
        <v>164</v>
      </c>
      <c r="I95" s="480"/>
      <c r="J95" s="552">
        <f>H95/DAY(B2)</f>
        <v>82</v>
      </c>
      <c r="K95" s="380"/>
      <c r="L95" s="377"/>
      <c r="O95" s="382"/>
    </row>
    <row r="96" spans="1:15" ht="27.75">
      <c r="A96" s="1309" t="s">
        <v>210</v>
      </c>
      <c r="B96" s="1310"/>
      <c r="C96" s="1310"/>
      <c r="D96" s="523" t="s">
        <v>144</v>
      </c>
      <c r="E96" s="455">
        <f>'1'!F96</f>
        <v>101848</v>
      </c>
      <c r="F96" s="478">
        <v>101867</v>
      </c>
      <c r="G96" s="473">
        <f t="shared" si="8"/>
        <v>19</v>
      </c>
      <c r="H96" s="460">
        <f>G96+'1'!H96</f>
        <v>36</v>
      </c>
      <c r="I96" s="480"/>
      <c r="J96" s="552">
        <f>H96/DAY(B2)</f>
        <v>18</v>
      </c>
      <c r="K96" s="427"/>
      <c r="L96" s="377"/>
      <c r="O96" s="382"/>
    </row>
    <row r="97" spans="1:15" ht="27.75">
      <c r="A97" s="1309" t="s">
        <v>211</v>
      </c>
      <c r="B97" s="1310"/>
      <c r="C97" s="1310"/>
      <c r="D97" s="523" t="s">
        <v>144</v>
      </c>
      <c r="E97" s="455">
        <f>'1'!F97</f>
        <v>96948</v>
      </c>
      <c r="F97" s="478">
        <v>96962</v>
      </c>
      <c r="G97" s="473">
        <f t="shared" si="8"/>
        <v>14</v>
      </c>
      <c r="H97" s="460">
        <f>G97+'1'!H97</f>
        <v>34</v>
      </c>
      <c r="I97" s="480"/>
      <c r="J97" s="552">
        <f>H97/DAY(B2)</f>
        <v>17</v>
      </c>
      <c r="K97" s="432"/>
      <c r="L97" s="377"/>
      <c r="O97" s="382"/>
    </row>
    <row r="98" spans="1:15" ht="27.75">
      <c r="A98" s="1309" t="s">
        <v>212</v>
      </c>
      <c r="B98" s="1310"/>
      <c r="C98" s="1310"/>
      <c r="D98" s="523" t="s">
        <v>144</v>
      </c>
      <c r="E98" s="455">
        <f>'1'!F98</f>
        <v>148937</v>
      </c>
      <c r="F98" s="478">
        <v>148987</v>
      </c>
      <c r="G98" s="473">
        <f t="shared" si="8"/>
        <v>50</v>
      </c>
      <c r="H98" s="460">
        <f>G98+'1'!H98</f>
        <v>78</v>
      </c>
      <c r="I98" s="480"/>
      <c r="J98" s="552">
        <f>H98/DAY(B2)</f>
        <v>39</v>
      </c>
      <c r="K98" s="380"/>
      <c r="L98" s="377"/>
      <c r="O98" s="382"/>
    </row>
    <row r="99" spans="1:15" ht="27.75">
      <c r="A99" s="1309" t="s">
        <v>213</v>
      </c>
      <c r="B99" s="1310"/>
      <c r="C99" s="1310"/>
      <c r="D99" s="523" t="s">
        <v>144</v>
      </c>
      <c r="E99" s="455">
        <f>'1'!F99</f>
        <v>6871</v>
      </c>
      <c r="F99" s="478">
        <v>6882</v>
      </c>
      <c r="G99" s="473">
        <f t="shared" si="8"/>
        <v>11</v>
      </c>
      <c r="H99" s="460">
        <f>G99+'1'!H99</f>
        <v>27</v>
      </c>
      <c r="I99" s="480"/>
      <c r="J99" s="552">
        <f>H99/DAY(B2)</f>
        <v>13.5</v>
      </c>
      <c r="K99" s="380"/>
      <c r="L99" s="377"/>
      <c r="O99" s="382"/>
    </row>
    <row r="100" spans="1:15" ht="27.75">
      <c r="A100" s="1309" t="s">
        <v>214</v>
      </c>
      <c r="B100" s="1310"/>
      <c r="C100" s="1310"/>
      <c r="D100" s="523" t="s">
        <v>144</v>
      </c>
      <c r="E100" s="455">
        <f>'1'!F100</f>
        <v>4949</v>
      </c>
      <c r="F100" s="478">
        <v>4956</v>
      </c>
      <c r="G100" s="473">
        <f t="shared" si="8"/>
        <v>7</v>
      </c>
      <c r="H100" s="460">
        <f>G100+'1'!H100</f>
        <v>13</v>
      </c>
      <c r="I100" s="480"/>
      <c r="J100" s="552">
        <f>H100/DAY(B2)</f>
        <v>6.5</v>
      </c>
      <c r="K100" s="380"/>
      <c r="L100" s="377"/>
      <c r="O100" s="382"/>
    </row>
    <row r="101" spans="1:15">
      <c r="A101" s="1548" t="s">
        <v>216</v>
      </c>
      <c r="B101" s="1549"/>
      <c r="C101" s="1550"/>
      <c r="D101" s="524"/>
      <c r="E101" s="524"/>
      <c r="F101" s="524"/>
      <c r="G101" s="525">
        <f>SUM(G95:G100)</f>
        <v>188</v>
      </c>
      <c r="H101" s="460">
        <f>G101+'1'!H101</f>
        <v>352</v>
      </c>
      <c r="I101" s="526"/>
      <c r="J101" s="552">
        <f>H101/DAY(B2)</f>
        <v>176</v>
      </c>
      <c r="K101" s="380"/>
      <c r="L101" s="377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O102" s="382"/>
    </row>
    <row r="103" spans="1:15" s="442" customFormat="1" ht="27.75">
      <c r="A103" s="1551" t="s">
        <v>218</v>
      </c>
      <c r="B103" s="1552"/>
      <c r="C103" s="573"/>
      <c r="D103" s="622"/>
      <c r="E103" s="532"/>
      <c r="F103" s="661"/>
      <c r="G103" s="532"/>
      <c r="H103" s="533"/>
      <c r="I103" s="532"/>
      <c r="J103" s="558"/>
      <c r="O103" s="382"/>
    </row>
    <row r="104" spans="1:15" s="442" customFormat="1" ht="27.75">
      <c r="A104" s="1512" t="s">
        <v>219</v>
      </c>
      <c r="B104" s="1513"/>
      <c r="C104" s="1307"/>
      <c r="D104" s="622" t="s">
        <v>144</v>
      </c>
      <c r="E104" s="455">
        <f>'1'!F104</f>
        <v>7333</v>
      </c>
      <c r="F104" s="661">
        <v>7333</v>
      </c>
      <c r="G104" s="532">
        <f>F104-E104</f>
        <v>0</v>
      </c>
      <c r="H104" s="460">
        <f>G104+'1'!H104</f>
        <v>8</v>
      </c>
      <c r="I104" s="532"/>
      <c r="J104" s="558">
        <f>H104/DAY(B2)</f>
        <v>4</v>
      </c>
      <c r="O104" s="382"/>
    </row>
    <row r="105" spans="1:15" s="442" customFormat="1" ht="27.75">
      <c r="A105" s="1512" t="s">
        <v>77</v>
      </c>
      <c r="B105" s="1513"/>
      <c r="C105" s="1307"/>
      <c r="D105" s="622" t="s">
        <v>144</v>
      </c>
      <c r="E105" s="455">
        <f>'1'!F105</f>
        <v>35661</v>
      </c>
      <c r="F105" s="662">
        <v>35669</v>
      </c>
      <c r="G105" s="532">
        <f t="shared" ref="G105:G106" si="9">F105-E105</f>
        <v>8</v>
      </c>
      <c r="H105" s="460">
        <f>G105+'1'!H105</f>
        <v>13</v>
      </c>
      <c r="I105" s="532"/>
      <c r="J105" s="558">
        <f>H105/DAY(B2)</f>
        <v>6.5</v>
      </c>
      <c r="O105" s="382"/>
    </row>
    <row r="106" spans="1:15" s="442" customFormat="1" ht="27.75">
      <c r="A106" s="1512" t="s">
        <v>78</v>
      </c>
      <c r="B106" s="1553"/>
      <c r="C106" s="1513"/>
      <c r="D106" s="622" t="s">
        <v>144</v>
      </c>
      <c r="E106" s="455">
        <f>'1'!F106</f>
        <v>19423</v>
      </c>
      <c r="F106" s="661">
        <v>19430</v>
      </c>
      <c r="G106" s="532">
        <f t="shared" si="9"/>
        <v>7</v>
      </c>
      <c r="H106" s="460">
        <f>G106+'1'!H106</f>
        <v>12</v>
      </c>
      <c r="I106" s="532"/>
      <c r="J106" s="558">
        <f>H106/DAY(B2)</f>
        <v>6</v>
      </c>
      <c r="O106" s="382"/>
    </row>
    <row r="107" spans="1:15" s="442" customFormat="1" ht="27.75">
      <c r="A107" s="1514" t="s">
        <v>202</v>
      </c>
      <c r="B107" s="1515"/>
      <c r="C107" s="1307"/>
      <c r="D107" s="622"/>
      <c r="E107" s="532"/>
      <c r="F107" s="661"/>
      <c r="G107" s="532">
        <f>SUM(G104:G106)</f>
        <v>15</v>
      </c>
      <c r="H107" s="460">
        <f>G107+'1'!H107</f>
        <v>33</v>
      </c>
      <c r="I107" s="532"/>
      <c r="J107" s="558">
        <f>H107/DAY(B2)</f>
        <v>16.5</v>
      </c>
      <c r="O107" s="382"/>
    </row>
    <row r="108" spans="1:15" s="442" customFormat="1" ht="27.75">
      <c r="A108" s="1518" t="s">
        <v>79</v>
      </c>
      <c r="B108" s="1519"/>
      <c r="C108" s="1307"/>
      <c r="D108" s="622" t="s">
        <v>144</v>
      </c>
      <c r="E108" s="532"/>
      <c r="F108" s="661"/>
      <c r="G108" s="532"/>
      <c r="H108" s="460">
        <f>G108+'1'!H108</f>
        <v>0</v>
      </c>
      <c r="I108" s="532"/>
      <c r="J108" s="558"/>
      <c r="O108" s="382"/>
    </row>
    <row r="109" spans="1:15" s="442" customFormat="1" ht="27.75">
      <c r="A109" s="1512" t="s">
        <v>220</v>
      </c>
      <c r="B109" s="1513"/>
      <c r="C109" s="1307"/>
      <c r="D109" s="622" t="s">
        <v>144</v>
      </c>
      <c r="E109" s="455">
        <f>'1'!F109</f>
        <v>58960</v>
      </c>
      <c r="F109" s="661">
        <v>59054</v>
      </c>
      <c r="G109" s="532">
        <f>F109-E109</f>
        <v>94</v>
      </c>
      <c r="H109" s="460">
        <f>G109+'1'!H109</f>
        <v>181</v>
      </c>
      <c r="I109" s="532"/>
      <c r="J109" s="558">
        <f>H109/DAY(B2)</f>
        <v>90.5</v>
      </c>
      <c r="O109" s="382"/>
    </row>
    <row r="110" spans="1:15" s="442" customFormat="1" ht="27.75">
      <c r="A110" s="1512" t="s">
        <v>221</v>
      </c>
      <c r="B110" s="1513"/>
      <c r="C110" s="1307"/>
      <c r="D110" s="622" t="s">
        <v>144</v>
      </c>
      <c r="E110" s="455">
        <f>'1'!F110</f>
        <v>31676</v>
      </c>
      <c r="F110" s="661">
        <v>31690</v>
      </c>
      <c r="G110" s="532">
        <f t="shared" ref="G110:G111" si="10">F110-E110</f>
        <v>14</v>
      </c>
      <c r="H110" s="460">
        <f>G110+'1'!H110</f>
        <v>44</v>
      </c>
      <c r="I110" s="532"/>
      <c r="J110" s="558">
        <f>H110/DAY(B2)</f>
        <v>22</v>
      </c>
      <c r="O110" s="382"/>
    </row>
    <row r="111" spans="1:15" s="442" customFormat="1" ht="27.75">
      <c r="A111" s="1512" t="s">
        <v>222</v>
      </c>
      <c r="B111" s="1513"/>
      <c r="C111" s="1307"/>
      <c r="D111" s="622" t="s">
        <v>144</v>
      </c>
      <c r="E111" s="455">
        <f>'1'!F111</f>
        <v>4177</v>
      </c>
      <c r="F111" s="661">
        <v>4186</v>
      </c>
      <c r="G111" s="532">
        <f t="shared" si="10"/>
        <v>9</v>
      </c>
      <c r="H111" s="460">
        <f>G111+'1'!H111</f>
        <v>30</v>
      </c>
      <c r="I111" s="532"/>
      <c r="J111" s="558">
        <f>H111/DAY(B2)</f>
        <v>15</v>
      </c>
      <c r="O111" s="382"/>
    </row>
    <row r="112" spans="1:15" s="442" customFormat="1" ht="27.75">
      <c r="A112" s="1516" t="s">
        <v>110</v>
      </c>
      <c r="B112" s="1517"/>
      <c r="C112" s="1307"/>
      <c r="D112" s="622"/>
      <c r="E112" s="532"/>
      <c r="F112" s="661"/>
      <c r="G112" s="532">
        <f>SUM(G109:G111)</f>
        <v>117</v>
      </c>
      <c r="H112" s="460">
        <f>G112+'1'!H112</f>
        <v>255</v>
      </c>
      <c r="I112" s="532"/>
      <c r="J112" s="558">
        <f>H112/DAY(B2)</f>
        <v>127.5</v>
      </c>
      <c r="O112" s="382"/>
    </row>
    <row r="113" spans="1:15" s="442" customFormat="1" ht="27.75">
      <c r="A113" s="1518" t="s">
        <v>223</v>
      </c>
      <c r="B113" s="1519"/>
      <c r="C113" s="1307"/>
      <c r="D113" s="622"/>
      <c r="E113" s="532"/>
      <c r="F113" s="661"/>
      <c r="G113" s="532"/>
      <c r="H113" s="460">
        <f>G113+'1'!H113</f>
        <v>0</v>
      </c>
      <c r="I113" s="532"/>
      <c r="J113" s="558">
        <f>H113/DAY(B2)</f>
        <v>0</v>
      </c>
      <c r="O113" s="382"/>
    </row>
    <row r="114" spans="1:15" s="442" customFormat="1" ht="27.75">
      <c r="A114" s="1512" t="s">
        <v>224</v>
      </c>
      <c r="B114" s="1513"/>
      <c r="C114" s="574"/>
      <c r="D114" s="622" t="s">
        <v>144</v>
      </c>
      <c r="E114" s="455">
        <f>'1'!F114</f>
        <v>10877</v>
      </c>
      <c r="F114" s="662">
        <v>10891</v>
      </c>
      <c r="G114" s="534">
        <f>F114-E114</f>
        <v>14</v>
      </c>
      <c r="H114" s="460">
        <f>G114+'1'!H114</f>
        <v>34</v>
      </c>
      <c r="I114" s="532"/>
      <c r="J114" s="558">
        <f>H114/DAY(B2)</f>
        <v>17</v>
      </c>
      <c r="O114" s="382"/>
    </row>
    <row r="115" spans="1:15" s="442" customFormat="1" ht="27.75">
      <c r="A115" s="1512" t="s">
        <v>225</v>
      </c>
      <c r="B115" s="1513"/>
      <c r="C115" s="574"/>
      <c r="D115" s="622" t="s">
        <v>144</v>
      </c>
      <c r="E115" s="455">
        <f>'1'!F115</f>
        <v>7980</v>
      </c>
      <c r="F115" s="662">
        <v>7984</v>
      </c>
      <c r="G115" s="534">
        <f t="shared" ref="G115:G116" si="11">F115-E115</f>
        <v>4</v>
      </c>
      <c r="H115" s="460">
        <f>G115+'1'!H115</f>
        <v>9</v>
      </c>
      <c r="I115" s="532"/>
      <c r="J115" s="558">
        <f>H115/DAY(B2)</f>
        <v>4.5</v>
      </c>
      <c r="O115" s="382"/>
    </row>
    <row r="116" spans="1:15" s="442" customFormat="1" ht="27.75">
      <c r="A116" s="1512" t="s">
        <v>226</v>
      </c>
      <c r="B116" s="1513"/>
      <c r="C116" s="574"/>
      <c r="D116" s="622" t="s">
        <v>144</v>
      </c>
      <c r="E116" s="534"/>
      <c r="F116" s="662"/>
      <c r="G116" s="534">
        <f t="shared" si="11"/>
        <v>0</v>
      </c>
      <c r="H116" s="460">
        <f>G116+'1'!H116</f>
        <v>0</v>
      </c>
      <c r="I116" s="532"/>
      <c r="J116" s="558">
        <f>H116/DAY(B2)</f>
        <v>0</v>
      </c>
      <c r="O116" s="382"/>
    </row>
    <row r="117" spans="1:15" s="445" customFormat="1" ht="27.75">
      <c r="A117" s="1514" t="s">
        <v>202</v>
      </c>
      <c r="B117" s="1515"/>
      <c r="C117" s="574"/>
      <c r="D117" s="623"/>
      <c r="E117" s="534"/>
      <c r="F117" s="662"/>
      <c r="G117" s="534">
        <f>SUM(G114:G116)</f>
        <v>18</v>
      </c>
      <c r="H117" s="460">
        <f>G117+'1'!H117</f>
        <v>43</v>
      </c>
      <c r="I117" s="534"/>
      <c r="J117" s="558">
        <f>H117/DAY(B2)</f>
        <v>21.5</v>
      </c>
      <c r="O117" s="382"/>
    </row>
    <row r="118" spans="1:15" s="446" customFormat="1" ht="27.75">
      <c r="A118" s="1508" t="s">
        <v>227</v>
      </c>
      <c r="B118" s="1509"/>
      <c r="C118" s="1306"/>
      <c r="D118" s="624" t="s">
        <v>144</v>
      </c>
      <c r="E118" s="536"/>
      <c r="F118" s="663">
        <f>SUM(G19+G92)</f>
        <v>136</v>
      </c>
      <c r="G118" s="536">
        <f>SUM(G19+G92)</f>
        <v>136</v>
      </c>
      <c r="H118" s="460">
        <f>G118+'1'!H118</f>
        <v>281</v>
      </c>
      <c r="I118" s="535"/>
      <c r="J118" s="559">
        <f>H118/DAY(B2)</f>
        <v>140.5</v>
      </c>
      <c r="O118" s="382"/>
    </row>
    <row r="119" spans="1:15" s="446" customFormat="1" ht="27.75">
      <c r="A119" s="1508" t="s">
        <v>228</v>
      </c>
      <c r="B119" s="1509"/>
      <c r="C119" s="1306"/>
      <c r="D119" s="624" t="s">
        <v>144</v>
      </c>
      <c r="E119" s="536"/>
      <c r="F119" s="663">
        <f>SUM(G95,G96,G97,G99,G100)</f>
        <v>138</v>
      </c>
      <c r="G119" s="536">
        <f>SUM(G95,G96,G97,G99,G100)</f>
        <v>138</v>
      </c>
      <c r="H119" s="460">
        <f>G119+'1'!H119</f>
        <v>274</v>
      </c>
      <c r="I119" s="535"/>
      <c r="J119" s="559">
        <f>H119/DAY(B2)</f>
        <v>137</v>
      </c>
      <c r="O119" s="382"/>
    </row>
    <row r="120" spans="1:15" s="446" customFormat="1" ht="27.75">
      <c r="A120" s="1508" t="s">
        <v>229</v>
      </c>
      <c r="B120" s="1509"/>
      <c r="C120" s="1306"/>
      <c r="D120" s="624" t="s">
        <v>144</v>
      </c>
      <c r="E120" s="534"/>
      <c r="F120" s="662">
        <f>SUM(G112)</f>
        <v>117</v>
      </c>
      <c r="G120" s="534">
        <f>SUM(G112)</f>
        <v>117</v>
      </c>
      <c r="H120" s="460">
        <f>G120+'1'!H120</f>
        <v>255</v>
      </c>
      <c r="I120" s="535"/>
      <c r="J120" s="559">
        <f>H120/DAY(B2)</f>
        <v>127.5</v>
      </c>
      <c r="O120" s="382"/>
    </row>
    <row r="121" spans="1:15" s="442" customFormat="1" ht="27.75">
      <c r="A121" s="1510"/>
      <c r="B121" s="1511"/>
      <c r="C121" s="1307"/>
      <c r="D121" s="560"/>
      <c r="E121" s="560"/>
      <c r="F121" s="664" t="s">
        <v>215</v>
      </c>
      <c r="G121" s="560"/>
      <c r="H121" s="561"/>
      <c r="I121" s="560"/>
      <c r="J121" s="562"/>
      <c r="O121" s="382"/>
    </row>
    <row r="122" spans="1:15">
      <c r="A122" s="1545" t="s">
        <v>230</v>
      </c>
      <c r="B122" s="1546"/>
      <c r="C122" s="1547"/>
      <c r="D122" s="472"/>
      <c r="E122" s="472"/>
      <c r="F122" s="472"/>
      <c r="G122" s="483"/>
      <c r="H122" s="483"/>
      <c r="I122" s="483"/>
      <c r="J122" s="563"/>
      <c r="K122" s="380"/>
      <c r="L122" s="377"/>
      <c r="O122" s="382"/>
    </row>
    <row r="123" spans="1:15" ht="27.75">
      <c r="A123" s="1309" t="s">
        <v>231</v>
      </c>
      <c r="B123" s="1310"/>
      <c r="C123" s="1310"/>
      <c r="D123" s="523" t="s">
        <v>141</v>
      </c>
      <c r="E123" s="455">
        <f>'1'!F123</f>
        <v>819067</v>
      </c>
      <c r="F123" s="478">
        <v>819298</v>
      </c>
      <c r="G123" s="473">
        <f t="shared" ref="G123:G127" si="12">F123-E123</f>
        <v>231</v>
      </c>
      <c r="H123" s="460">
        <f>G123+'1'!H123</f>
        <v>488</v>
      </c>
      <c r="I123" s="526"/>
      <c r="J123" s="552">
        <f>H123/DAY(B2)</f>
        <v>244</v>
      </c>
      <c r="K123" s="380"/>
      <c r="L123" s="377"/>
      <c r="O123" s="382"/>
    </row>
    <row r="124" spans="1:15" ht="27.75">
      <c r="A124" s="1309" t="s">
        <v>232</v>
      </c>
      <c r="B124" s="1310"/>
      <c r="C124" s="1310"/>
      <c r="D124" s="523" t="s">
        <v>141</v>
      </c>
      <c r="E124" s="455">
        <f>'1'!F124</f>
        <v>73583.399999999994</v>
      </c>
      <c r="F124" s="626">
        <v>73583.399999999994</v>
      </c>
      <c r="G124" s="473">
        <f t="shared" si="12"/>
        <v>0</v>
      </c>
      <c r="H124" s="460">
        <f>G124+'1'!H124</f>
        <v>0</v>
      </c>
      <c r="I124" s="526"/>
      <c r="J124" s="552">
        <f>H124/DAY(B2)</f>
        <v>0</v>
      </c>
      <c r="K124" s="380"/>
      <c r="L124" s="377"/>
      <c r="O124" s="382"/>
    </row>
    <row r="125" spans="1:15" ht="27.75">
      <c r="A125" s="1499" t="s">
        <v>233</v>
      </c>
      <c r="B125" s="1500"/>
      <c r="C125" s="1501"/>
      <c r="D125" s="523" t="s">
        <v>141</v>
      </c>
      <c r="E125" s="455">
        <f>'1'!F125</f>
        <v>142232</v>
      </c>
      <c r="F125" s="478">
        <v>142314</v>
      </c>
      <c r="G125" s="473">
        <f t="shared" si="12"/>
        <v>82</v>
      </c>
      <c r="H125" s="460">
        <f>G125+'1'!H125</f>
        <v>178</v>
      </c>
      <c r="I125" s="526"/>
      <c r="J125" s="552">
        <f>H125/DAY(B2)</f>
        <v>89</v>
      </c>
      <c r="K125" s="380"/>
      <c r="L125" s="377"/>
      <c r="O125" s="382"/>
    </row>
    <row r="126" spans="1:15" ht="27.75">
      <c r="A126" s="609" t="s">
        <v>234</v>
      </c>
      <c r="B126" s="1310"/>
      <c r="C126" s="1310"/>
      <c r="D126" s="523" t="s">
        <v>141</v>
      </c>
      <c r="E126" s="455">
        <f>'1'!F126</f>
        <v>59888</v>
      </c>
      <c r="F126" s="626">
        <v>59888</v>
      </c>
      <c r="G126" s="473">
        <f t="shared" si="12"/>
        <v>0</v>
      </c>
      <c r="H126" s="460">
        <f>G126+'1'!H126</f>
        <v>0</v>
      </c>
      <c r="I126" s="526"/>
      <c r="J126" s="552">
        <f>H126/DAY(B2)</f>
        <v>0</v>
      </c>
      <c r="K126" s="380"/>
      <c r="L126" s="377"/>
      <c r="O126" s="382"/>
    </row>
    <row r="127" spans="1:15" ht="27.75">
      <c r="A127" s="609" t="s">
        <v>235</v>
      </c>
      <c r="B127" s="1310"/>
      <c r="C127" s="1310"/>
      <c r="D127" s="523" t="s">
        <v>141</v>
      </c>
      <c r="E127" s="455">
        <f>'1'!F127</f>
        <v>8963</v>
      </c>
      <c r="F127" s="626">
        <v>8966</v>
      </c>
      <c r="G127" s="473">
        <f t="shared" si="12"/>
        <v>3</v>
      </c>
      <c r="H127" s="460">
        <f>G127+'1'!H127</f>
        <v>4</v>
      </c>
      <c r="I127" s="480"/>
      <c r="J127" s="552">
        <f>H127/DAY(B2)</f>
        <v>2</v>
      </c>
      <c r="K127" s="380"/>
      <c r="L127" s="377"/>
      <c r="O127" s="382"/>
    </row>
    <row r="128" spans="1:15" s="281" customFormat="1" ht="27.75">
      <c r="A128" s="609" t="s">
        <v>236</v>
      </c>
      <c r="B128" s="1310"/>
      <c r="C128" s="1310"/>
      <c r="D128" s="523"/>
      <c r="E128" s="478"/>
      <c r="F128" s="478"/>
      <c r="G128" s="473">
        <f>G15-SUM(G123:G127)</f>
        <v>666</v>
      </c>
      <c r="H128" s="460">
        <f>G128+'1'!H128</f>
        <v>1281</v>
      </c>
      <c r="I128" s="480"/>
      <c r="J128" s="552">
        <f>H128/DAY(B2)</f>
        <v>640.5</v>
      </c>
      <c r="K128" s="364"/>
      <c r="L128" s="292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382"/>
    </row>
    <row r="130" spans="1:15" ht="27.75">
      <c r="A130" s="1309" t="s">
        <v>238</v>
      </c>
      <c r="B130" s="1310"/>
      <c r="C130" s="1310"/>
      <c r="D130" s="523" t="s">
        <v>239</v>
      </c>
      <c r="E130" s="455">
        <f>'1'!F130</f>
        <v>0</v>
      </c>
      <c r="F130" s="478">
        <v>0</v>
      </c>
      <c r="G130" s="473">
        <f t="shared" ref="G130:G140" si="13">F130-E130</f>
        <v>0</v>
      </c>
      <c r="H130" s="460">
        <f>G130+'1'!H130</f>
        <v>0</v>
      </c>
      <c r="I130" s="480"/>
      <c r="J130" s="552">
        <f>H130/DAY(B2)</f>
        <v>0</v>
      </c>
      <c r="O130" s="382"/>
    </row>
    <row r="131" spans="1:15" ht="27.75">
      <c r="A131" s="1309" t="s">
        <v>240</v>
      </c>
      <c r="B131" s="1310"/>
      <c r="C131" s="1310"/>
      <c r="D131" s="523" t="s">
        <v>239</v>
      </c>
      <c r="E131" s="455">
        <f>'1'!F131</f>
        <v>0</v>
      </c>
      <c r="F131" s="478">
        <v>0</v>
      </c>
      <c r="G131" s="473">
        <f t="shared" si="13"/>
        <v>0</v>
      </c>
      <c r="H131" s="460">
        <f>G131+'1'!H131</f>
        <v>0</v>
      </c>
      <c r="I131" s="480"/>
      <c r="J131" s="552">
        <f>H131/DAY(B2)</f>
        <v>0</v>
      </c>
      <c r="O131" s="382"/>
    </row>
    <row r="132" spans="1:15" ht="27.75">
      <c r="A132" s="1309" t="s">
        <v>241</v>
      </c>
      <c r="B132" s="1310"/>
      <c r="C132" s="1310"/>
      <c r="D132" s="523" t="s">
        <v>239</v>
      </c>
      <c r="E132" s="455">
        <f>'1'!F132</f>
        <v>39557</v>
      </c>
      <c r="F132" s="654">
        <v>39581.25</v>
      </c>
      <c r="G132" s="473">
        <f t="shared" si="13"/>
        <v>24.25</v>
      </c>
      <c r="H132" s="460">
        <f>G132+'1'!H132</f>
        <v>48.25</v>
      </c>
      <c r="I132" s="480"/>
      <c r="J132" s="552">
        <f>H132/DAY(B2)</f>
        <v>24.125</v>
      </c>
      <c r="O132" s="382"/>
    </row>
    <row r="133" spans="1:15" ht="27.75">
      <c r="A133" s="1309" t="s">
        <v>242</v>
      </c>
      <c r="B133" s="1310"/>
      <c r="C133" s="1310"/>
      <c r="D133" s="523" t="s">
        <v>239</v>
      </c>
      <c r="E133" s="455">
        <f>'1'!F133</f>
        <v>300</v>
      </c>
      <c r="F133" s="654">
        <v>300</v>
      </c>
      <c r="G133" s="473">
        <f t="shared" si="13"/>
        <v>0</v>
      </c>
      <c r="H133" s="460">
        <f>G133+'1'!H133</f>
        <v>0</v>
      </c>
      <c r="I133" s="480">
        <f>G132+G133+G134+G135</f>
        <v>31.620000000002619</v>
      </c>
      <c r="J133" s="552">
        <f>H133/DAY(B2)</f>
        <v>0</v>
      </c>
      <c r="O133" s="382"/>
    </row>
    <row r="134" spans="1:15" ht="27.75">
      <c r="A134" s="1309" t="s">
        <v>243</v>
      </c>
      <c r="B134" s="1310"/>
      <c r="C134" s="1310"/>
      <c r="D134" s="523" t="s">
        <v>239</v>
      </c>
      <c r="E134" s="455">
        <f>'1'!F134</f>
        <v>40846</v>
      </c>
      <c r="F134" s="654">
        <v>40853.370000000003</v>
      </c>
      <c r="G134" s="473">
        <f t="shared" si="13"/>
        <v>7.3700000000026193</v>
      </c>
      <c r="H134" s="460">
        <f>G134+'1'!H134</f>
        <v>14.370000000002619</v>
      </c>
      <c r="I134" s="480"/>
      <c r="J134" s="552">
        <f>H134/DAY(B2)</f>
        <v>7.1850000000013097</v>
      </c>
      <c r="O134" s="382"/>
    </row>
    <row r="135" spans="1:15" ht="27.75">
      <c r="A135" s="1309" t="s">
        <v>244</v>
      </c>
      <c r="B135" s="1310"/>
      <c r="C135" s="1310"/>
      <c r="D135" s="523" t="s">
        <v>239</v>
      </c>
      <c r="E135" s="455">
        <f>'1'!F135</f>
        <v>32583</v>
      </c>
      <c r="F135" s="654">
        <v>32583</v>
      </c>
      <c r="G135" s="473">
        <f t="shared" si="13"/>
        <v>0</v>
      </c>
      <c r="H135" s="460">
        <f>G135+'1'!H135</f>
        <v>0</v>
      </c>
      <c r="I135" s="480"/>
      <c r="J135" s="552">
        <f>H135/DAY(B2)</f>
        <v>0</v>
      </c>
      <c r="O135" s="382"/>
    </row>
    <row r="136" spans="1:15" ht="27.75">
      <c r="A136" s="1309" t="s">
        <v>245</v>
      </c>
      <c r="B136" s="1310"/>
      <c r="C136" s="1310"/>
      <c r="D136" s="523" t="s">
        <v>239</v>
      </c>
      <c r="E136" s="455">
        <f>'1'!F136</f>
        <v>22498.89</v>
      </c>
      <c r="F136" s="654">
        <v>22509.37</v>
      </c>
      <c r="G136" s="473">
        <f t="shared" si="13"/>
        <v>10.479999999999563</v>
      </c>
      <c r="H136" s="460">
        <f>G136+'1'!H136</f>
        <v>20.719999999997526</v>
      </c>
      <c r="I136" s="480"/>
      <c r="J136" s="552">
        <f>H136/DAY(B2)</f>
        <v>10.359999999998763</v>
      </c>
      <c r="O136" s="382"/>
    </row>
    <row r="137" spans="1:15" ht="27.75">
      <c r="A137" s="1309" t="s">
        <v>246</v>
      </c>
      <c r="B137" s="1310"/>
      <c r="C137" s="1310"/>
      <c r="D137" s="523" t="s">
        <v>239</v>
      </c>
      <c r="E137" s="455">
        <f>'1'!F137</f>
        <v>25048.97</v>
      </c>
      <c r="F137" s="654">
        <v>25048.97</v>
      </c>
      <c r="G137" s="473">
        <f t="shared" si="13"/>
        <v>0</v>
      </c>
      <c r="H137" s="460">
        <f>G137+'1'!H137</f>
        <v>0.18000000000029104</v>
      </c>
      <c r="I137" s="480"/>
      <c r="J137" s="552">
        <f>H137/DAY(B2)</f>
        <v>9.0000000000145519E-2</v>
      </c>
      <c r="O137" s="382"/>
    </row>
    <row r="138" spans="1:15" ht="27.75">
      <c r="A138" s="1309" t="s">
        <v>247</v>
      </c>
      <c r="B138" s="1310"/>
      <c r="C138" s="1310"/>
      <c r="D138" s="523" t="s">
        <v>239</v>
      </c>
      <c r="E138" s="455">
        <f>'1'!F138</f>
        <v>70256.570000000007</v>
      </c>
      <c r="F138" s="654">
        <v>70262.66</v>
      </c>
      <c r="G138" s="473">
        <f t="shared" si="13"/>
        <v>6.0899999999965075</v>
      </c>
      <c r="H138" s="460">
        <f>G138+'1'!H138</f>
        <v>8.6300000000046566</v>
      </c>
      <c r="I138" s="480">
        <f>G136+G137+G138</f>
        <v>16.569999999996071</v>
      </c>
      <c r="J138" s="552">
        <f>H138/DAY(B2)</f>
        <v>4.3150000000023283</v>
      </c>
      <c r="O138" s="382"/>
    </row>
    <row r="139" spans="1:15" ht="27.75">
      <c r="A139" s="1309" t="s">
        <v>248</v>
      </c>
      <c r="B139" s="1310"/>
      <c r="C139" s="1310"/>
      <c r="D139" s="523" t="s">
        <v>239</v>
      </c>
      <c r="E139" s="455">
        <f>'1'!F139</f>
        <v>1536.52</v>
      </c>
      <c r="F139" s="478">
        <v>1536.52</v>
      </c>
      <c r="G139" s="473">
        <f t="shared" si="13"/>
        <v>0</v>
      </c>
      <c r="H139" s="460">
        <f>G139+'1'!H139</f>
        <v>0</v>
      </c>
      <c r="I139" s="542"/>
      <c r="J139" s="552">
        <f>H139/DAY(B2)</f>
        <v>0</v>
      </c>
      <c r="O139" s="382"/>
    </row>
    <row r="140" spans="1:15" ht="27.75">
      <c r="A140" s="1309" t="s">
        <v>249</v>
      </c>
      <c r="B140" s="1310"/>
      <c r="C140" s="1310"/>
      <c r="D140" s="523" t="s">
        <v>239</v>
      </c>
      <c r="E140" s="455">
        <f>'1'!F140</f>
        <v>4476.8999999999996</v>
      </c>
      <c r="F140" s="478">
        <v>4484.4399999999996</v>
      </c>
      <c r="G140" s="473">
        <f t="shared" si="13"/>
        <v>7.5399999999999636</v>
      </c>
      <c r="H140" s="460">
        <f>G140+'1'!H140</f>
        <v>15.899999999999636</v>
      </c>
      <c r="I140" s="542">
        <f>G139+G140</f>
        <v>7.5399999999999636</v>
      </c>
      <c r="J140" s="552">
        <f>H140/DAY(B2)</f>
        <v>7.9499999999998181</v>
      </c>
      <c r="O140" s="382"/>
    </row>
    <row r="141" spans="1:15">
      <c r="A141" s="1526" t="s">
        <v>250</v>
      </c>
      <c r="B141" s="1527"/>
      <c r="C141" s="1315"/>
      <c r="D141" s="472"/>
      <c r="E141" s="472"/>
      <c r="F141" s="472"/>
      <c r="G141" s="483"/>
      <c r="H141" s="483"/>
      <c r="I141" s="483"/>
      <c r="J141" s="563"/>
      <c r="K141" s="380"/>
      <c r="L141" s="377"/>
      <c r="O141" s="382"/>
    </row>
    <row r="142" spans="1:15" ht="27.75">
      <c r="A142" s="1520" t="s">
        <v>251</v>
      </c>
      <c r="B142" s="1521"/>
      <c r="C142" s="1522"/>
      <c r="D142" s="523" t="s">
        <v>132</v>
      </c>
      <c r="E142" s="523"/>
      <c r="F142" s="523"/>
      <c r="G142" s="460">
        <f>G35+G43+G49+G57</f>
        <v>6065.1300000000047</v>
      </c>
      <c r="H142" s="460">
        <f>G142+'1'!H142</f>
        <v>12091.130000000005</v>
      </c>
      <c r="I142" s="480"/>
      <c r="J142" s="552">
        <f>H142/DAY(B2)</f>
        <v>6045.5650000000023</v>
      </c>
      <c r="K142" s="380"/>
      <c r="L142" s="377"/>
      <c r="O142" s="382"/>
    </row>
    <row r="143" spans="1:15" ht="27.75">
      <c r="A143" s="1520" t="s">
        <v>252</v>
      </c>
      <c r="B143" s="1521"/>
      <c r="C143" s="1522"/>
      <c r="D143" s="523" t="s">
        <v>24</v>
      </c>
      <c r="E143" s="511"/>
      <c r="F143" s="511"/>
      <c r="G143" s="543">
        <f>G142/G7</f>
        <v>0.27374661491243929</v>
      </c>
      <c r="H143" s="460">
        <f>G143+'1'!H143</f>
        <v>0.52805113888272959</v>
      </c>
      <c r="I143" s="544"/>
      <c r="J143" s="552">
        <f>H143/DAY(B2)</f>
        <v>0.26402556944136479</v>
      </c>
      <c r="K143" s="380"/>
      <c r="L143" s="377"/>
      <c r="O143" s="382"/>
    </row>
    <row r="144" spans="1:15" ht="27.75">
      <c r="A144" s="1520" t="s">
        <v>253</v>
      </c>
      <c r="B144" s="1521"/>
      <c r="C144" s="1522"/>
      <c r="D144" s="523" t="s">
        <v>132</v>
      </c>
      <c r="E144" s="455"/>
      <c r="F144" s="455"/>
      <c r="G144" s="460">
        <f>G41+G42+G55+G56</f>
        <v>6251</v>
      </c>
      <c r="H144" s="460">
        <f>G144+'1'!H144</f>
        <v>13207.839999999997</v>
      </c>
      <c r="I144" s="480"/>
      <c r="J144" s="552">
        <f>H144/DAY(B2)</f>
        <v>6603.9199999999983</v>
      </c>
      <c r="K144" s="380"/>
      <c r="L144" s="377"/>
      <c r="O144" s="382"/>
    </row>
    <row r="145" spans="1:15" ht="27.75">
      <c r="A145" s="1520" t="s">
        <v>254</v>
      </c>
      <c r="B145" s="1521"/>
      <c r="C145" s="1522"/>
      <c r="D145" s="523" t="s">
        <v>24</v>
      </c>
      <c r="E145" s="455"/>
      <c r="F145" s="455"/>
      <c r="G145" s="543">
        <f>G144/G7</f>
        <v>0.28213576457844375</v>
      </c>
      <c r="H145" s="460">
        <f>G145+'1'!H145</f>
        <v>0.57572286788701887</v>
      </c>
      <c r="I145" s="544"/>
      <c r="J145" s="552">
        <f>H145/DAY(B2)</f>
        <v>0.28786143394350944</v>
      </c>
      <c r="K145" s="380"/>
      <c r="L145" s="377"/>
      <c r="O145" s="382"/>
    </row>
    <row r="146" spans="1:15" ht="27.75">
      <c r="A146" s="1520" t="s">
        <v>255</v>
      </c>
      <c r="B146" s="1521"/>
      <c r="C146" s="1522"/>
      <c r="D146" s="523" t="s">
        <v>132</v>
      </c>
      <c r="E146" s="455"/>
      <c r="F146" s="455"/>
      <c r="G146" s="460">
        <f>G39+G53</f>
        <v>3883</v>
      </c>
      <c r="H146" s="460">
        <f>G146+'1'!H146</f>
        <v>8496</v>
      </c>
      <c r="I146" s="545"/>
      <c r="J146" s="552">
        <f>H146/DAY(B2)</f>
        <v>4248</v>
      </c>
      <c r="K146" s="380"/>
      <c r="L146" s="377"/>
      <c r="O146" s="382"/>
    </row>
    <row r="147" spans="1:15" ht="27.75">
      <c r="A147" s="1520" t="s">
        <v>256</v>
      </c>
      <c r="B147" s="1521"/>
      <c r="C147" s="1522"/>
      <c r="D147" s="523" t="s">
        <v>24</v>
      </c>
      <c r="E147" s="455"/>
      <c r="F147" s="455"/>
      <c r="G147" s="543">
        <f>G146/G7</f>
        <v>0.17525726665463079</v>
      </c>
      <c r="H147" s="460">
        <f>G147+'1'!H147</f>
        <v>0.36993147327178133</v>
      </c>
      <c r="I147" s="545"/>
      <c r="J147" s="552">
        <f>H147/DAY(B2)</f>
        <v>0.18496573663589067</v>
      </c>
      <c r="O147" s="382"/>
    </row>
    <row r="148" spans="1:15" ht="27.75">
      <c r="A148" s="1520" t="s">
        <v>257</v>
      </c>
      <c r="B148" s="1521"/>
      <c r="C148" s="1522"/>
      <c r="D148" s="523" t="s">
        <v>183</v>
      </c>
      <c r="E148" s="455"/>
      <c r="F148" s="455"/>
      <c r="G148" s="460">
        <f>G38+G52</f>
        <v>1823</v>
      </c>
      <c r="H148" s="460">
        <f>G148+'1'!H148</f>
        <v>3602</v>
      </c>
      <c r="I148" s="480"/>
      <c r="J148" s="552">
        <f>H148/DAY(B2)</f>
        <v>1801</v>
      </c>
      <c r="K148" s="381"/>
      <c r="O148" s="382"/>
    </row>
    <row r="149" spans="1:15" ht="27.75">
      <c r="A149" s="1520" t="s">
        <v>258</v>
      </c>
      <c r="B149" s="1521"/>
      <c r="C149" s="1522"/>
      <c r="D149" s="523" t="s">
        <v>24</v>
      </c>
      <c r="E149" s="455"/>
      <c r="F149" s="455"/>
      <c r="G149" s="543">
        <f>G148/G7</f>
        <v>8.2280194981043511E-2</v>
      </c>
      <c r="H149" s="460">
        <f>G149+'1'!H149</f>
        <v>0.15735615716875451</v>
      </c>
      <c r="I149" s="545"/>
      <c r="J149" s="552">
        <f>H149/DAY(B2)</f>
        <v>7.8678078584377253E-2</v>
      </c>
      <c r="O149" s="382"/>
    </row>
    <row r="150" spans="1:15" ht="27.75">
      <c r="A150" s="1520" t="s">
        <v>259</v>
      </c>
      <c r="B150" s="1521"/>
      <c r="C150" s="1522"/>
      <c r="D150" s="523" t="s">
        <v>183</v>
      </c>
      <c r="E150" s="455"/>
      <c r="F150" s="455"/>
      <c r="G150" s="460">
        <f>G36+G50</f>
        <v>2008</v>
      </c>
      <c r="H150" s="460">
        <f>G150+'1'!H150</f>
        <v>4510</v>
      </c>
      <c r="I150" s="545"/>
      <c r="J150" s="552">
        <f>H150/DAY(B2)</f>
        <v>2255</v>
      </c>
      <c r="O150" s="382"/>
    </row>
    <row r="151" spans="1:15" ht="27.75">
      <c r="A151" s="1520" t="s">
        <v>260</v>
      </c>
      <c r="B151" s="1521"/>
      <c r="C151" s="1522"/>
      <c r="D151" s="523" t="s">
        <v>24</v>
      </c>
      <c r="E151" s="455"/>
      <c r="F151" s="455"/>
      <c r="G151" s="543">
        <f>G150/G7</f>
        <v>9.0630077631341399E-2</v>
      </c>
      <c r="H151" s="460">
        <f>G151+'1'!H151</f>
        <v>0.19621751854963984</v>
      </c>
      <c r="I151" s="480"/>
      <c r="J151" s="552">
        <f>H151/DAY(B2)</f>
        <v>9.8108759274819921E-2</v>
      </c>
      <c r="O151" s="382"/>
    </row>
    <row r="152" spans="1:15" ht="27.75">
      <c r="A152" s="1520" t="s">
        <v>261</v>
      </c>
      <c r="B152" s="1521"/>
      <c r="C152" s="1522"/>
      <c r="D152" s="523" t="s">
        <v>183</v>
      </c>
      <c r="E152" s="455"/>
      <c r="F152" s="455"/>
      <c r="G152" s="460">
        <f>G37+G51</f>
        <v>1445</v>
      </c>
      <c r="H152" s="460">
        <f>G152+'1'!H152</f>
        <v>2893</v>
      </c>
      <c r="I152" s="480"/>
      <c r="J152" s="552">
        <f>H152/DAY(B2)</f>
        <v>1446.5</v>
      </c>
      <c r="O152" s="382"/>
    </row>
    <row r="153" spans="1:15" ht="28.5" thickBot="1">
      <c r="A153" s="1523" t="s">
        <v>262</v>
      </c>
      <c r="B153" s="1524"/>
      <c r="C153" s="1525"/>
      <c r="D153" s="625" t="s">
        <v>24</v>
      </c>
      <c r="E153" s="565"/>
      <c r="F153" s="565"/>
      <c r="G153" s="566">
        <f>G152/G7</f>
        <v>6.5219353673948363E-2</v>
      </c>
      <c r="H153" s="460">
        <f>G153+'1'!H153</f>
        <v>0.12632671356591324</v>
      </c>
      <c r="I153" s="568"/>
      <c r="J153" s="569">
        <f>H153/DAY(B2)</f>
        <v>6.316335678295662E-2</v>
      </c>
      <c r="O153" s="382"/>
    </row>
    <row r="154" spans="1:15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O154" s="382"/>
    </row>
    <row r="157" spans="1:15" ht="29.25" customHeight="1">
      <c r="A157" s="1554" t="s">
        <v>267</v>
      </c>
      <c r="B157" s="1555"/>
      <c r="C157" s="1555"/>
      <c r="D157" s="1555"/>
      <c r="E157" s="1555"/>
      <c r="F157" s="1555"/>
      <c r="G157" s="1556"/>
    </row>
    <row r="158" spans="1:15">
      <c r="A158" s="788"/>
      <c r="B158" s="789"/>
      <c r="C158" s="789"/>
      <c r="D158" s="511"/>
      <c r="E158" s="455"/>
      <c r="F158" s="661"/>
      <c r="G158" s="473"/>
    </row>
    <row r="159" spans="1:15">
      <c r="A159" s="788"/>
      <c r="B159" s="789"/>
      <c r="C159" s="789"/>
      <c r="D159" s="511"/>
      <c r="E159" s="455"/>
      <c r="F159" s="661"/>
      <c r="G159" s="473"/>
    </row>
    <row r="160" spans="1:15">
      <c r="A160" s="788" t="s">
        <v>263</v>
      </c>
      <c r="B160" s="789"/>
      <c r="C160" s="789"/>
      <c r="D160" s="511" t="s">
        <v>187</v>
      </c>
      <c r="E160" s="455">
        <f>'1'!F160</f>
        <v>33516</v>
      </c>
      <c r="F160" s="661">
        <v>33601</v>
      </c>
      <c r="G160" s="473">
        <f t="shared" ref="G160:G171" si="14">F160-E160</f>
        <v>85</v>
      </c>
    </row>
    <row r="161" spans="1:7">
      <c r="A161" s="788" t="s">
        <v>264</v>
      </c>
      <c r="B161" s="789"/>
      <c r="C161" s="789"/>
      <c r="D161" s="511" t="s">
        <v>187</v>
      </c>
      <c r="E161" s="455">
        <f>'1'!F161</f>
        <v>69099</v>
      </c>
      <c r="F161" s="661">
        <v>69507</v>
      </c>
      <c r="G161" s="473">
        <f t="shared" si="14"/>
        <v>408</v>
      </c>
    </row>
    <row r="162" spans="1:7">
      <c r="A162" s="788" t="s">
        <v>265</v>
      </c>
      <c r="B162" s="789"/>
      <c r="C162" s="789"/>
      <c r="D162" s="511" t="s">
        <v>187</v>
      </c>
      <c r="E162" s="455">
        <f>'1'!F162</f>
        <v>29691</v>
      </c>
      <c r="F162" s="661">
        <v>29959</v>
      </c>
      <c r="G162" s="473">
        <f t="shared" si="14"/>
        <v>268</v>
      </c>
    </row>
    <row r="163" spans="1:7">
      <c r="A163" s="788" t="s">
        <v>266</v>
      </c>
      <c r="B163" s="789"/>
      <c r="C163" s="789"/>
      <c r="D163" s="511" t="s">
        <v>187</v>
      </c>
      <c r="E163" s="455">
        <f>'1'!F163</f>
        <v>5801</v>
      </c>
      <c r="F163" s="661">
        <v>5815</v>
      </c>
      <c r="G163" s="473">
        <f t="shared" si="14"/>
        <v>14</v>
      </c>
    </row>
    <row r="164" spans="1:7">
      <c r="A164" s="790" t="s">
        <v>98</v>
      </c>
      <c r="B164" s="604"/>
      <c r="C164" s="604"/>
      <c r="D164" s="511" t="s">
        <v>187</v>
      </c>
      <c r="E164" s="455">
        <f>'1'!F164</f>
        <v>0</v>
      </c>
      <c r="F164" s="514">
        <f>F62</f>
        <v>0</v>
      </c>
      <c r="G164" s="473">
        <f t="shared" si="14"/>
        <v>0</v>
      </c>
    </row>
    <row r="165" spans="1:7">
      <c r="A165" s="790" t="s">
        <v>188</v>
      </c>
      <c r="B165" s="604"/>
      <c r="C165" s="604"/>
      <c r="D165" s="511" t="s">
        <v>187</v>
      </c>
      <c r="E165" s="455">
        <f>'1'!F165</f>
        <v>2108</v>
      </c>
      <c r="F165" s="514">
        <f t="shared" ref="F165:F171" si="15">F63</f>
        <v>2118</v>
      </c>
      <c r="G165" s="473">
        <f t="shared" si="14"/>
        <v>10</v>
      </c>
    </row>
    <row r="166" spans="1:7" ht="27.75">
      <c r="A166" s="1495" t="s">
        <v>99</v>
      </c>
      <c r="B166" s="1495"/>
      <c r="C166" s="1495"/>
      <c r="D166" s="523" t="s">
        <v>187</v>
      </c>
      <c r="E166" s="455">
        <f>'1'!F166</f>
        <v>139643</v>
      </c>
      <c r="F166" s="514">
        <f t="shared" si="15"/>
        <v>140099</v>
      </c>
      <c r="G166" s="473">
        <f t="shared" si="14"/>
        <v>456</v>
      </c>
    </row>
    <row r="167" spans="1:7" ht="27.75">
      <c r="A167" s="1495" t="s">
        <v>100</v>
      </c>
      <c r="B167" s="1495"/>
      <c r="C167" s="1495"/>
      <c r="D167" s="523" t="s">
        <v>187</v>
      </c>
      <c r="E167" s="455">
        <f>'1'!F167</f>
        <v>144569</v>
      </c>
      <c r="F167" s="514">
        <f t="shared" si="15"/>
        <v>144931</v>
      </c>
      <c r="G167" s="473">
        <f t="shared" si="14"/>
        <v>362</v>
      </c>
    </row>
    <row r="168" spans="1:7" ht="27.75">
      <c r="A168" s="1495" t="s">
        <v>101</v>
      </c>
      <c r="B168" s="1495"/>
      <c r="C168" s="1495"/>
      <c r="D168" s="523" t="s">
        <v>187</v>
      </c>
      <c r="E168" s="455">
        <f>'1'!F168</f>
        <v>37600</v>
      </c>
      <c r="F168" s="514">
        <f t="shared" si="15"/>
        <v>37998</v>
      </c>
      <c r="G168" s="473">
        <f t="shared" si="14"/>
        <v>398</v>
      </c>
    </row>
    <row r="169" spans="1:7" ht="27.75">
      <c r="A169" s="1495" t="s">
        <v>102</v>
      </c>
      <c r="B169" s="1495"/>
      <c r="C169" s="1495"/>
      <c r="D169" s="523" t="s">
        <v>187</v>
      </c>
      <c r="E169" s="455">
        <f>'1'!F169</f>
        <v>229795</v>
      </c>
      <c r="F169" s="514">
        <f t="shared" si="15"/>
        <v>230424</v>
      </c>
      <c r="G169" s="473">
        <f t="shared" si="14"/>
        <v>629</v>
      </c>
    </row>
    <row r="170" spans="1:7" ht="27.75">
      <c r="A170" s="1495" t="s">
        <v>103</v>
      </c>
      <c r="B170" s="1495"/>
      <c r="C170" s="1495"/>
      <c r="D170" s="523" t="s">
        <v>187</v>
      </c>
      <c r="E170" s="455">
        <f>'1'!F170</f>
        <v>83409</v>
      </c>
      <c r="F170" s="514">
        <f t="shared" si="15"/>
        <v>83715</v>
      </c>
      <c r="G170" s="473">
        <f t="shared" si="14"/>
        <v>306</v>
      </c>
    </row>
    <row r="171" spans="1:7" ht="27.75">
      <c r="A171" s="1495" t="s">
        <v>104</v>
      </c>
      <c r="B171" s="1495"/>
      <c r="C171" s="1495"/>
      <c r="D171" s="523" t="s">
        <v>187</v>
      </c>
      <c r="E171" s="455">
        <f>'1'!F171</f>
        <v>74636</v>
      </c>
      <c r="F171" s="514">
        <f t="shared" si="15"/>
        <v>74944</v>
      </c>
      <c r="G171" s="473">
        <f t="shared" si="14"/>
        <v>308</v>
      </c>
    </row>
    <row r="172" spans="1:7" ht="18.75" customHeight="1"/>
    <row r="173" spans="1:7" ht="18.75" customHeight="1"/>
    <row r="174" spans="1:7" ht="18.75" customHeight="1"/>
    <row r="175" spans="1:7" ht="18.75" customHeight="1"/>
    <row r="176" spans="1:7" ht="18.75" customHeight="1"/>
  </sheetData>
  <mergeCells count="75">
    <mergeCell ref="A168:C168"/>
    <mergeCell ref="A169:C169"/>
    <mergeCell ref="A170:C170"/>
    <mergeCell ref="A171:C171"/>
    <mergeCell ref="A166:C166"/>
    <mergeCell ref="A167:C167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7:G157"/>
    <mergeCell ref="A148:C148"/>
    <mergeCell ref="A152:C152"/>
    <mergeCell ref="A153:C153"/>
    <mergeCell ref="A149:C149"/>
    <mergeCell ref="A150:C150"/>
    <mergeCell ref="A151:C151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76" zoomScale="55" zoomScaleSheetLayoutView="55" workbookViewId="0">
      <selection activeCell="H9" sqref="H9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28" t="s">
        <v>117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5" s="281" customFormat="1" ht="27">
      <c r="A2" s="575" t="s">
        <v>344</v>
      </c>
      <c r="B2" s="1036">
        <v>44289</v>
      </c>
      <c r="C2" s="1311" t="s">
        <v>69</v>
      </c>
      <c r="D2" s="611">
        <v>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1" t="s">
        <v>120</v>
      </c>
      <c r="D3" s="612">
        <v>29</v>
      </c>
      <c r="E3" s="1537" t="s">
        <v>121</v>
      </c>
      <c r="F3" s="1538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1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31" t="s">
        <v>130</v>
      </c>
      <c r="B6" s="1532"/>
      <c r="C6" s="1533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9" t="s">
        <v>131</v>
      </c>
      <c r="B7" s="680"/>
      <c r="C7" s="680"/>
      <c r="D7" s="638" t="s">
        <v>132</v>
      </c>
      <c r="E7" s="455">
        <f>'2'!F7</f>
        <v>5159775</v>
      </c>
      <c r="F7" s="455">
        <v>5180846</v>
      </c>
      <c r="G7" s="692">
        <f>F7-E7</f>
        <v>21071</v>
      </c>
      <c r="H7" s="682">
        <f>G7+'2'!H7</f>
        <v>66923</v>
      </c>
      <c r="I7" s="683">
        <f>'[3]1'!I7</f>
        <v>12000</v>
      </c>
      <c r="J7" s="684">
        <f>H7/DAY(B2)</f>
        <v>22307.666666666668</v>
      </c>
      <c r="K7" s="549"/>
      <c r="L7" s="377"/>
      <c r="O7" s="382"/>
    </row>
    <row r="8" spans="1:15" ht="27.75" thickBot="1">
      <c r="A8" s="685" t="s">
        <v>133</v>
      </c>
      <c r="B8" s="686"/>
      <c r="C8" s="687"/>
      <c r="D8" s="688" t="s">
        <v>25</v>
      </c>
      <c r="E8" s="455">
        <f>'2'!F8</f>
        <v>5191372</v>
      </c>
      <c r="F8" s="475">
        <v>5212541</v>
      </c>
      <c r="G8" s="692">
        <f>F8-E8</f>
        <v>21169</v>
      </c>
      <c r="H8" s="682">
        <f>G8+'2'!H8</f>
        <v>67223</v>
      </c>
      <c r="I8" s="689">
        <v>12000</v>
      </c>
      <c r="J8" s="684">
        <f>H8/DAY(B2)</f>
        <v>22407.666666666668</v>
      </c>
      <c r="K8" s="549"/>
      <c r="L8" s="425"/>
      <c r="M8" s="440"/>
      <c r="O8" s="382"/>
    </row>
    <row r="9" spans="1:15">
      <c r="A9" s="690" t="s">
        <v>134</v>
      </c>
      <c r="B9" s="691"/>
      <c r="C9" s="691"/>
      <c r="D9" s="638" t="s">
        <v>132</v>
      </c>
      <c r="E9" s="455">
        <f>'2'!F9</f>
        <v>440625</v>
      </c>
      <c r="F9" s="478">
        <v>461045</v>
      </c>
      <c r="G9" s="705">
        <f t="shared" ref="G9:G12" si="0">F9-E9</f>
        <v>20420</v>
      </c>
      <c r="H9" s="682">
        <f>G9+'2'!H9</f>
        <v>64976</v>
      </c>
      <c r="I9" s="693">
        <f>I8-J8</f>
        <v>-10407.666666666668</v>
      </c>
      <c r="J9" s="684">
        <f>H9/DAY(B2)</f>
        <v>21658.666666666668</v>
      </c>
      <c r="K9" s="428"/>
      <c r="L9" s="377"/>
      <c r="O9" s="382"/>
    </row>
    <row r="10" spans="1:15">
      <c r="A10" s="679" t="s">
        <v>135</v>
      </c>
      <c r="B10" s="680"/>
      <c r="C10" s="680"/>
      <c r="D10" s="638" t="s">
        <v>132</v>
      </c>
      <c r="E10" s="455">
        <f>'2'!F10</f>
        <v>2322.58</v>
      </c>
      <c r="F10" s="478">
        <v>2322.58</v>
      </c>
      <c r="G10" s="692">
        <f t="shared" si="0"/>
        <v>0</v>
      </c>
      <c r="H10" s="682">
        <f>G10+'2'!H10</f>
        <v>0</v>
      </c>
      <c r="I10" s="694"/>
      <c r="J10" s="684">
        <f>H10/DAY(B2)</f>
        <v>0</v>
      </c>
      <c r="K10" s="428"/>
      <c r="L10" s="377"/>
      <c r="O10" s="382"/>
    </row>
    <row r="11" spans="1:15">
      <c r="A11" s="679" t="s">
        <v>136</v>
      </c>
      <c r="B11" s="680"/>
      <c r="C11" s="680"/>
      <c r="D11" s="638" t="s">
        <v>132</v>
      </c>
      <c r="E11" s="455">
        <f>'2'!F11</f>
        <v>37000</v>
      </c>
      <c r="F11" s="455">
        <v>37000</v>
      </c>
      <c r="G11" s="692">
        <f t="shared" si="0"/>
        <v>0</v>
      </c>
      <c r="H11" s="682">
        <f>G11+'2'!H11</f>
        <v>0</v>
      </c>
      <c r="I11" s="694"/>
      <c r="J11" s="684">
        <f>H11/DAY(B2)</f>
        <v>0</v>
      </c>
      <c r="K11" s="428"/>
      <c r="L11" s="377"/>
      <c r="O11" s="382"/>
    </row>
    <row r="12" spans="1:15">
      <c r="A12" s="679" t="s">
        <v>137</v>
      </c>
      <c r="B12" s="680"/>
      <c r="C12" s="680"/>
      <c r="D12" s="638" t="s">
        <v>132</v>
      </c>
      <c r="E12" s="455">
        <f>'2'!F12</f>
        <v>40010</v>
      </c>
      <c r="F12" s="478">
        <v>40010</v>
      </c>
      <c r="G12" s="692">
        <f t="shared" si="0"/>
        <v>0</v>
      </c>
      <c r="H12" s="682">
        <f>G12+'2'!H12</f>
        <v>0</v>
      </c>
      <c r="I12" s="694"/>
      <c r="J12" s="684">
        <f>H12/DAY(B2)</f>
        <v>0</v>
      </c>
      <c r="K12" s="428"/>
      <c r="L12" s="377"/>
      <c r="O12" s="382"/>
    </row>
    <row r="13" spans="1:15">
      <c r="A13" s="695" t="s">
        <v>138</v>
      </c>
      <c r="B13" s="696"/>
      <c r="C13" s="696"/>
      <c r="D13" s="638"/>
      <c r="E13" s="633"/>
      <c r="F13" s="455"/>
      <c r="G13" s="697">
        <f>G9+G10+G11+G12</f>
        <v>20420</v>
      </c>
      <c r="H13" s="682">
        <f>G13+'2'!H13</f>
        <v>64976</v>
      </c>
      <c r="I13" s="698">
        <f>G7-G13</f>
        <v>651</v>
      </c>
      <c r="J13" s="684">
        <f>H13/DAY(B2)</f>
        <v>21658.666666666668</v>
      </c>
      <c r="K13" s="428"/>
      <c r="L13" s="377"/>
      <c r="O13" s="382"/>
    </row>
    <row r="14" spans="1:15">
      <c r="A14" s="1534" t="s">
        <v>139</v>
      </c>
      <c r="B14" s="1535"/>
      <c r="C14" s="1536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796" t="s">
        <v>140</v>
      </c>
      <c r="B15" s="791"/>
      <c r="C15" s="791"/>
      <c r="D15" s="524" t="s">
        <v>141</v>
      </c>
      <c r="E15" s="455">
        <f>'2'!F15</f>
        <v>1648640</v>
      </c>
      <c r="F15" s="485">
        <v>1649643</v>
      </c>
      <c r="G15" s="783">
        <f>F15-E15</f>
        <v>1003</v>
      </c>
      <c r="H15" s="682">
        <f>G15+'2'!H15</f>
        <v>2954</v>
      </c>
      <c r="I15" s="474">
        <v>800</v>
      </c>
      <c r="J15" s="553">
        <f>H15/DAY(B2)</f>
        <v>984.66666666666663</v>
      </c>
      <c r="K15" s="428"/>
      <c r="L15" s="377"/>
      <c r="O15" s="382"/>
    </row>
    <row r="16" spans="1:15">
      <c r="A16" s="794"/>
      <c r="B16" s="795"/>
      <c r="C16" s="795"/>
      <c r="D16" s="792"/>
      <c r="E16" s="793"/>
      <c r="F16" s="485"/>
      <c r="G16" s="1039"/>
      <c r="H16" s="486"/>
      <c r="I16" s="487">
        <f>I15-J15</f>
        <v>-184.66666666666663</v>
      </c>
      <c r="J16" s="553"/>
      <c r="K16" s="428"/>
      <c r="L16" s="377"/>
      <c r="O16" s="382"/>
    </row>
    <row r="17" spans="1:15">
      <c r="A17" s="1534" t="s">
        <v>142</v>
      </c>
      <c r="B17" s="1535"/>
      <c r="C17" s="1536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60" t="s">
        <v>143</v>
      </c>
      <c r="B18" s="1561"/>
      <c r="C18" s="1562"/>
      <c r="D18" s="638" t="s">
        <v>144</v>
      </c>
      <c r="E18" s="478">
        <v>12</v>
      </c>
      <c r="F18" s="478">
        <v>10</v>
      </c>
      <c r="G18" s="697">
        <f>F18*10</f>
        <v>100</v>
      </c>
      <c r="H18" s="682">
        <f>G18+'2'!H18</f>
        <v>360</v>
      </c>
      <c r="I18" s="683">
        <f>'[3]1'!I18</f>
        <v>65</v>
      </c>
      <c r="J18" s="684">
        <f>H18/DAY(B2)</f>
        <v>120</v>
      </c>
      <c r="K18" s="428"/>
      <c r="L18" s="377"/>
      <c r="O18" s="382"/>
    </row>
    <row r="19" spans="1:15" ht="27.75">
      <c r="A19" s="1560" t="s">
        <v>71</v>
      </c>
      <c r="B19" s="1561"/>
      <c r="C19" s="1562"/>
      <c r="D19" s="638" t="s">
        <v>144</v>
      </c>
      <c r="E19" s="455">
        <f>'2'!F19</f>
        <v>136196</v>
      </c>
      <c r="F19" s="478">
        <v>136249</v>
      </c>
      <c r="G19" s="692">
        <f t="shared" ref="G19" si="1">F19-E19</f>
        <v>53</v>
      </c>
      <c r="H19" s="682">
        <f>G19+'2'!H19</f>
        <v>159</v>
      </c>
      <c r="I19" s="699"/>
      <c r="J19" s="684">
        <f>H19/DAY(B2)</f>
        <v>53</v>
      </c>
      <c r="K19" s="428"/>
      <c r="L19" s="377"/>
      <c r="O19" s="382"/>
    </row>
    <row r="20" spans="1:15">
      <c r="A20" s="695" t="s">
        <v>145</v>
      </c>
      <c r="B20" s="696"/>
      <c r="C20" s="696"/>
      <c r="D20" s="638"/>
      <c r="E20" s="638"/>
      <c r="F20" s="523"/>
      <c r="G20" s="1038">
        <f>G18+G19</f>
        <v>153</v>
      </c>
      <c r="H20" s="682">
        <f>G20+'2'!H20</f>
        <v>519</v>
      </c>
      <c r="I20" s="701">
        <f>I18-J20</f>
        <v>-108</v>
      </c>
      <c r="J20" s="684">
        <f>H20/DAY(B2)</f>
        <v>173</v>
      </c>
      <c r="K20" s="428"/>
      <c r="L20" s="377"/>
      <c r="O20" s="382"/>
    </row>
    <row r="21" spans="1:15">
      <c r="A21" s="1534" t="s">
        <v>146</v>
      </c>
      <c r="B21" s="1535"/>
      <c r="C21" s="1536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9" t="s">
        <v>147</v>
      </c>
      <c r="B22" s="589"/>
      <c r="C22" s="589"/>
      <c r="D22" s="523" t="s">
        <v>148</v>
      </c>
      <c r="E22" s="478">
        <v>1290</v>
      </c>
      <c r="F22" s="478">
        <v>1290</v>
      </c>
      <c r="G22" s="481">
        <f t="shared" ref="G22" si="2">(F22-E22)</f>
        <v>0</v>
      </c>
      <c r="H22" s="682">
        <f>G22+'2'!H22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9" t="s">
        <v>149</v>
      </c>
      <c r="B23" s="589"/>
      <c r="C23" s="589"/>
      <c r="D23" s="523" t="s">
        <v>148</v>
      </c>
      <c r="E23" s="478">
        <v>1900</v>
      </c>
      <c r="F23" s="478">
        <v>1900</v>
      </c>
      <c r="G23" s="481">
        <v>0</v>
      </c>
      <c r="H23" s="682">
        <f>G23+'2'!H23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5">
        <v>3290</v>
      </c>
      <c r="F24" s="485">
        <v>3290</v>
      </c>
      <c r="G24" s="481">
        <v>0</v>
      </c>
      <c r="H24" s="682">
        <f>G24+'2'!H24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39" t="s">
        <v>151</v>
      </c>
      <c r="B25" s="1540"/>
      <c r="C25" s="1541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2">
        <f>G8</f>
        <v>21169</v>
      </c>
      <c r="F27" s="501">
        <v>9</v>
      </c>
      <c r="G27" s="502">
        <f>E27*F27</f>
        <v>190521</v>
      </c>
      <c r="H27" s="682">
        <f>G27+'2'!H27</f>
        <v>605007</v>
      </c>
      <c r="I27" s="503"/>
      <c r="J27" s="552">
        <f>H27/DAY(B2)</f>
        <v>201669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2">
        <f>G15</f>
        <v>1003</v>
      </c>
      <c r="F28" s="501">
        <v>51.45</v>
      </c>
      <c r="G28" s="502">
        <f>E28*F28</f>
        <v>51604.350000000006</v>
      </c>
      <c r="H28" s="682">
        <f>G28+'2'!H28</f>
        <v>151983.30000000002</v>
      </c>
      <c r="I28" s="505"/>
      <c r="J28" s="552">
        <f>H28/DAY(B2)</f>
        <v>50661.100000000006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682">
        <f>G29+'2'!H29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2">
        <f>G19</f>
        <v>53</v>
      </c>
      <c r="F30" s="501">
        <v>134</v>
      </c>
      <c r="G30" s="502">
        <f>E30*F30</f>
        <v>7102</v>
      </c>
      <c r="H30" s="682">
        <f>G30+'2'!H30</f>
        <v>21306</v>
      </c>
      <c r="I30" s="505"/>
      <c r="J30" s="552">
        <f>H30/DAY(B2)</f>
        <v>7102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>E31*F31</f>
        <v>8000</v>
      </c>
      <c r="H31" s="682">
        <f>G31+'2'!H31</f>
        <v>28800</v>
      </c>
      <c r="I31" s="505"/>
      <c r="J31" s="552">
        <f>H31/DAY(B2)</f>
        <v>9600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257227.35</v>
      </c>
      <c r="H32" s="682">
        <f>G32+'2'!H32</f>
        <v>807096.29999999993</v>
      </c>
      <c r="I32" s="509"/>
      <c r="J32" s="552">
        <f>H32/DAY(B2)</f>
        <v>269032.09999999998</v>
      </c>
      <c r="K32" s="373"/>
      <c r="L32" s="443"/>
      <c r="O32" s="382"/>
    </row>
    <row r="33" spans="1:15" ht="25.5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  <c r="O33" s="382"/>
    </row>
    <row r="34" spans="1:15">
      <c r="A34" s="598" t="s">
        <v>163</v>
      </c>
      <c r="B34" s="1314"/>
      <c r="C34" s="1314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455">
        <f>'2'!F35</f>
        <v>805196</v>
      </c>
      <c r="F35" s="510">
        <v>808261</v>
      </c>
      <c r="G35" s="473">
        <f t="shared" ref="G35:G46" si="3">F35-E35</f>
        <v>3065</v>
      </c>
      <c r="H35" s="682">
        <f>G35+'2'!H35</f>
        <v>9872</v>
      </c>
      <c r="I35" s="455"/>
      <c r="J35" s="552">
        <f>H35/DAY(B2)</f>
        <v>3290.6666666666665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455">
        <f>'2'!F36</f>
        <v>319374</v>
      </c>
      <c r="F36" s="510">
        <v>320349</v>
      </c>
      <c r="G36" s="473">
        <f t="shared" si="3"/>
        <v>975</v>
      </c>
      <c r="H36" s="682">
        <f>G36+'2'!H36</f>
        <v>2913</v>
      </c>
      <c r="I36" s="455"/>
      <c r="J36" s="552">
        <f>H36/DAY(B2)</f>
        <v>971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455">
        <f>'2'!F37</f>
        <v>57690</v>
      </c>
      <c r="F37" s="510">
        <v>59122</v>
      </c>
      <c r="G37" s="473">
        <f t="shared" si="3"/>
        <v>1432</v>
      </c>
      <c r="H37" s="682">
        <f>G37+'2'!H37</f>
        <v>4325</v>
      </c>
      <c r="I37" s="455"/>
      <c r="J37" s="552">
        <f>H37/DAY(B2)</f>
        <v>1441.6666666666667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55">
        <f>'2'!F38</f>
        <v>75910</v>
      </c>
      <c r="F38" s="469">
        <v>77646</v>
      </c>
      <c r="G38" s="473">
        <f t="shared" si="3"/>
        <v>1736</v>
      </c>
      <c r="H38" s="682">
        <f>G38+'2'!H38</f>
        <v>5338</v>
      </c>
      <c r="I38" s="455"/>
      <c r="J38" s="552">
        <f>H38/DAY(B2)</f>
        <v>1779.3333333333333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455">
        <f>'2'!F39</f>
        <v>160797</v>
      </c>
      <c r="F39" s="510">
        <v>164652</v>
      </c>
      <c r="G39" s="473">
        <f t="shared" si="3"/>
        <v>3855</v>
      </c>
      <c r="H39" s="682">
        <f>G39+'2'!H39</f>
        <v>11830</v>
      </c>
      <c r="I39" s="455"/>
      <c r="J39" s="552">
        <f>H39/DAY(B2)</f>
        <v>3943.3333333333335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455">
        <f>'2'!F40</f>
        <v>0</v>
      </c>
      <c r="F40" s="510">
        <v>0</v>
      </c>
      <c r="G40" s="473">
        <f t="shared" si="3"/>
        <v>0</v>
      </c>
      <c r="H40" s="682">
        <f>G40+'2'!H40</f>
        <v>0</v>
      </c>
      <c r="I40" s="455"/>
      <c r="J40" s="552">
        <f>H40/DAY(B2)</f>
        <v>0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455">
        <f>'2'!F41</f>
        <v>143718</v>
      </c>
      <c r="F41" s="510">
        <v>149398</v>
      </c>
      <c r="G41" s="473">
        <f t="shared" si="3"/>
        <v>5680</v>
      </c>
      <c r="H41" s="682">
        <f>G41+'2'!H41</f>
        <v>16257</v>
      </c>
      <c r="I41" s="455"/>
      <c r="J41" s="552">
        <f>H41/DAY(B2)</f>
        <v>5419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455">
        <f>'2'!F42</f>
        <v>59128</v>
      </c>
      <c r="F42" s="510">
        <v>59128</v>
      </c>
      <c r="G42" s="473">
        <f>F42-E42</f>
        <v>0</v>
      </c>
      <c r="H42" s="682">
        <f>G42+'2'!H42</f>
        <v>-0.16000000000349246</v>
      </c>
      <c r="I42" s="455"/>
      <c r="J42" s="552">
        <f>H42/DAY(B2)</f>
        <v>-5.3333333334497489E-2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455">
        <f>'2'!F43</f>
        <v>907332</v>
      </c>
      <c r="F43" s="510">
        <v>909758</v>
      </c>
      <c r="G43" s="473">
        <f t="shared" si="3"/>
        <v>2426</v>
      </c>
      <c r="H43" s="682">
        <f>G43+'2'!H43</f>
        <v>7710</v>
      </c>
      <c r="I43" s="455"/>
      <c r="J43" s="552">
        <f>H43/DAY(B2)</f>
        <v>2570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455">
        <f>'2'!F44</f>
        <v>0</v>
      </c>
      <c r="F44" s="510">
        <v>0</v>
      </c>
      <c r="G44" s="473">
        <f t="shared" si="3"/>
        <v>0</v>
      </c>
      <c r="H44" s="682">
        <f>G44+'2'!H44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455">
        <f>'2'!F45</f>
        <v>614</v>
      </c>
      <c r="F45" s="510">
        <v>614</v>
      </c>
      <c r="G45" s="473">
        <f t="shared" si="3"/>
        <v>0</v>
      </c>
      <c r="H45" s="682">
        <f>G45+'2'!H45</f>
        <v>614</v>
      </c>
      <c r="I45" s="455"/>
      <c r="J45" s="552">
        <f>H45/DAY(B2)</f>
        <v>204.66666666666666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455">
        <f>'2'!F46</f>
        <v>187</v>
      </c>
      <c r="F46" s="510">
        <v>187</v>
      </c>
      <c r="G46" s="473">
        <f t="shared" si="3"/>
        <v>0</v>
      </c>
      <c r="H46" s="682">
        <f>G46+'2'!H46</f>
        <v>187</v>
      </c>
      <c r="I46" s="455"/>
      <c r="J46" s="552">
        <f>H46/DAY(B2)</f>
        <v>62.333333333333336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19169</v>
      </c>
      <c r="H47" s="682">
        <f>G47+'2'!H47</f>
        <v>59045.84</v>
      </c>
      <c r="I47" s="455"/>
      <c r="J47" s="552">
        <f>H47/DAY(B2)</f>
        <v>19681.946666666667</v>
      </c>
      <c r="K47" s="428"/>
      <c r="L47" s="377"/>
      <c r="N47" s="382"/>
      <c r="O47" s="382"/>
    </row>
    <row r="48" spans="1:15">
      <c r="A48" s="598" t="s">
        <v>177</v>
      </c>
      <c r="B48" s="1314"/>
      <c r="C48" s="1314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455">
        <f>'2'!F49</f>
        <v>260732.13</v>
      </c>
      <c r="F49" s="510">
        <v>260732.13</v>
      </c>
      <c r="G49" s="473">
        <f t="shared" ref="G49:G58" si="4">F49-E49</f>
        <v>0</v>
      </c>
      <c r="H49" s="682">
        <f>G49+'2'!H49</f>
        <v>0.13000000000465661</v>
      </c>
      <c r="I49" s="455"/>
      <c r="J49" s="552">
        <f>H49/DAY(B2)</f>
        <v>4.3333333334885538E-2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455">
        <f>'2'!F50</f>
        <v>443804</v>
      </c>
      <c r="F50" s="510">
        <v>444868</v>
      </c>
      <c r="G50" s="473">
        <f t="shared" si="4"/>
        <v>1064</v>
      </c>
      <c r="H50" s="682">
        <f>G50+'2'!H50</f>
        <v>3636</v>
      </c>
      <c r="I50" s="455"/>
      <c r="J50" s="552">
        <f>H50/DAY(B2)</f>
        <v>1212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455">
        <f>'2'!F51</f>
        <v>144640</v>
      </c>
      <c r="F51" s="510">
        <v>144640</v>
      </c>
      <c r="G51" s="473">
        <f t="shared" si="4"/>
        <v>0</v>
      </c>
      <c r="H51" s="682">
        <f>G51+'2'!H51</f>
        <v>0</v>
      </c>
      <c r="I51" s="455"/>
      <c r="J51" s="552">
        <f>H51/DAY(B2)</f>
        <v>0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455">
        <f>'2'!F52</f>
        <v>539608</v>
      </c>
      <c r="F52" s="510">
        <v>539608</v>
      </c>
      <c r="G52" s="473">
        <f>F52-E52</f>
        <v>0</v>
      </c>
      <c r="H52" s="682">
        <f>G52+'2'!H52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455">
        <f>'2'!F53</f>
        <v>401785</v>
      </c>
      <c r="F53" s="510">
        <v>401785</v>
      </c>
      <c r="G53" s="473">
        <f t="shared" si="4"/>
        <v>0</v>
      </c>
      <c r="H53" s="682">
        <f>G53+'2'!H53</f>
        <v>521</v>
      </c>
      <c r="I53" s="455"/>
      <c r="J53" s="552">
        <f>H53/DAY(B2)</f>
        <v>173.66666666666666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455">
        <f>'2'!F54</f>
        <v>9307</v>
      </c>
      <c r="F54" s="656">
        <v>9384</v>
      </c>
      <c r="G54" s="473">
        <f t="shared" si="4"/>
        <v>77</v>
      </c>
      <c r="H54" s="682">
        <f>G54+'2'!H54</f>
        <v>218</v>
      </c>
      <c r="I54" s="455"/>
      <c r="J54" s="552">
        <f>H54/DAY(B2)</f>
        <v>72.666666666666671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455">
        <f>'2'!F55</f>
        <v>218710</v>
      </c>
      <c r="F55" s="656">
        <v>218710</v>
      </c>
      <c r="G55" s="473">
        <f t="shared" si="4"/>
        <v>0</v>
      </c>
      <c r="H55" s="682">
        <f>G55+'2'!H55</f>
        <v>2613</v>
      </c>
      <c r="I55" s="455"/>
      <c r="J55" s="552">
        <f>H55/DAY(B2)</f>
        <v>871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455">
        <f>'2'!F56</f>
        <v>588985</v>
      </c>
      <c r="F56" s="656">
        <v>588985</v>
      </c>
      <c r="G56" s="473">
        <f t="shared" si="4"/>
        <v>0</v>
      </c>
      <c r="H56" s="682">
        <f>G56+'2'!H56</f>
        <v>18</v>
      </c>
      <c r="I56" s="455"/>
      <c r="J56" s="552">
        <f>H56/DAY(B2)</f>
        <v>6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455">
        <f>'2'!F57</f>
        <v>7711</v>
      </c>
      <c r="F57" s="656">
        <v>7711.33</v>
      </c>
      <c r="G57" s="473">
        <f t="shared" si="4"/>
        <v>0.32999999999992724</v>
      </c>
      <c r="H57" s="682">
        <f>G57+'2'!H57</f>
        <v>0.32999999999992724</v>
      </c>
      <c r="I57" s="455"/>
      <c r="J57" s="552">
        <f>H57/DAY(B2)</f>
        <v>0.10999999999997574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455">
        <f>'2'!F58</f>
        <v>41937</v>
      </c>
      <c r="F58" s="656">
        <v>42118</v>
      </c>
      <c r="G58" s="473">
        <f t="shared" si="4"/>
        <v>181</v>
      </c>
      <c r="H58" s="682">
        <f>G58+'2'!H58</f>
        <v>571</v>
      </c>
      <c r="I58" s="455"/>
      <c r="J58" s="552">
        <f>H58/DAY(B2)</f>
        <v>190.33333333333334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1322.33</v>
      </c>
      <c r="H59" s="682">
        <f>G59+'2'!H59</f>
        <v>7577.4600000000046</v>
      </c>
      <c r="I59" s="455">
        <f>G7-G60</f>
        <v>579.66999999999825</v>
      </c>
      <c r="J59" s="552">
        <f>H59/DAY(B2)</f>
        <v>2525.8200000000015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20491.330000000002</v>
      </c>
      <c r="H60" s="682">
        <f>G60+'2'!H60</f>
        <v>66623.3</v>
      </c>
      <c r="I60" s="455">
        <f>G13-G60</f>
        <v>-71.330000000001746</v>
      </c>
      <c r="J60" s="552">
        <f>H60/DAY(B2)</f>
        <v>22207.766666666666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0</v>
      </c>
      <c r="F62" s="514">
        <v>0</v>
      </c>
      <c r="G62" s="473">
        <f t="shared" ref="G62:G69" si="5">F62-E62</f>
        <v>0</v>
      </c>
      <c r="H62" s="682">
        <f>G62+'2'!H62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455">
        <f>'2'!F63</f>
        <v>2118</v>
      </c>
      <c r="F63" s="514">
        <v>2129</v>
      </c>
      <c r="G63" s="473">
        <f t="shared" si="5"/>
        <v>11</v>
      </c>
      <c r="H63" s="682">
        <f>G63+'2'!H63</f>
        <v>33</v>
      </c>
      <c r="I63" s="515"/>
      <c r="J63" s="552">
        <f>H63/DAY(B2)</f>
        <v>11</v>
      </c>
      <c r="K63" s="428"/>
      <c r="L63" s="377"/>
      <c r="O63" s="382"/>
    </row>
    <row r="64" spans="1:15" ht="27.75">
      <c r="A64" s="1499" t="s">
        <v>99</v>
      </c>
      <c r="B64" s="1500"/>
      <c r="C64" s="1501"/>
      <c r="D64" s="523" t="s">
        <v>187</v>
      </c>
      <c r="E64" s="455">
        <f>'2'!F64</f>
        <v>140099</v>
      </c>
      <c r="F64" s="478">
        <v>140552</v>
      </c>
      <c r="G64" s="473">
        <f t="shared" si="5"/>
        <v>453</v>
      </c>
      <c r="H64" s="682">
        <f>G64+'2'!H64</f>
        <v>1372</v>
      </c>
      <c r="I64" s="480"/>
      <c r="J64" s="552">
        <f>H64/DAY(B2)</f>
        <v>457.33333333333331</v>
      </c>
      <c r="K64" s="428"/>
      <c r="L64" s="377"/>
      <c r="O64" s="382"/>
    </row>
    <row r="65" spans="1:15" ht="27.75">
      <c r="A65" s="1499" t="s">
        <v>100</v>
      </c>
      <c r="B65" s="1500"/>
      <c r="C65" s="1501"/>
      <c r="D65" s="523" t="s">
        <v>187</v>
      </c>
      <c r="E65" s="455">
        <f>'2'!F65</f>
        <v>144931</v>
      </c>
      <c r="F65" s="654">
        <v>145286</v>
      </c>
      <c r="G65" s="473">
        <f t="shared" si="5"/>
        <v>355</v>
      </c>
      <c r="H65" s="682">
        <f>G65+'2'!H65</f>
        <v>1081</v>
      </c>
      <c r="I65" s="489"/>
      <c r="J65" s="552">
        <f>H65/DAY(B2)</f>
        <v>360.33333333333331</v>
      </c>
      <c r="K65" s="428"/>
      <c r="L65" s="377"/>
      <c r="O65" s="382"/>
    </row>
    <row r="66" spans="1:15" ht="27.75">
      <c r="A66" s="1499" t="s">
        <v>101</v>
      </c>
      <c r="B66" s="1500"/>
      <c r="C66" s="1501"/>
      <c r="D66" s="523" t="s">
        <v>187</v>
      </c>
      <c r="E66" s="455">
        <f>'2'!F66</f>
        <v>37998</v>
      </c>
      <c r="F66" s="478">
        <v>38431</v>
      </c>
      <c r="G66" s="473">
        <f t="shared" si="5"/>
        <v>433</v>
      </c>
      <c r="H66" s="682">
        <f>G66+'2'!H66</f>
        <v>1223</v>
      </c>
      <c r="I66" s="480"/>
      <c r="J66" s="552">
        <f>H66/DAY(B2)</f>
        <v>407.66666666666669</v>
      </c>
      <c r="K66" s="428"/>
      <c r="L66" s="377"/>
      <c r="O66" s="382"/>
    </row>
    <row r="67" spans="1:15" ht="27.75">
      <c r="A67" s="1499" t="s">
        <v>102</v>
      </c>
      <c r="B67" s="1500"/>
      <c r="C67" s="1501"/>
      <c r="D67" s="523" t="s">
        <v>187</v>
      </c>
      <c r="E67" s="455">
        <f>'2'!F67</f>
        <v>230424</v>
      </c>
      <c r="F67" s="478">
        <v>231034</v>
      </c>
      <c r="G67" s="473">
        <f t="shared" si="5"/>
        <v>610</v>
      </c>
      <c r="H67" s="682">
        <f>G67+'2'!H67</f>
        <v>1934</v>
      </c>
      <c r="I67" s="489"/>
      <c r="J67" s="552">
        <f>H67/DAY(B2)</f>
        <v>644.66666666666663</v>
      </c>
      <c r="K67" s="429"/>
      <c r="L67" s="377"/>
      <c r="O67" s="382"/>
    </row>
    <row r="68" spans="1:15" ht="27.75">
      <c r="A68" s="1499" t="s">
        <v>103</v>
      </c>
      <c r="B68" s="1500"/>
      <c r="C68" s="1501"/>
      <c r="D68" s="523" t="s">
        <v>187</v>
      </c>
      <c r="E68" s="455">
        <f>'2'!F68</f>
        <v>83715</v>
      </c>
      <c r="F68" s="478">
        <v>84031</v>
      </c>
      <c r="G68" s="473">
        <f t="shared" si="5"/>
        <v>316</v>
      </c>
      <c r="H68" s="682">
        <f>G68+'2'!H68</f>
        <v>944</v>
      </c>
      <c r="I68" s="516"/>
      <c r="J68" s="552">
        <f>H68/DAY(B2)</f>
        <v>314.66666666666669</v>
      </c>
      <c r="K68" s="430"/>
      <c r="L68" s="377"/>
      <c r="O68" s="382"/>
    </row>
    <row r="69" spans="1:15" ht="27.75">
      <c r="A69" s="1499" t="s">
        <v>104</v>
      </c>
      <c r="B69" s="1500"/>
      <c r="C69" s="1501"/>
      <c r="D69" s="523" t="s">
        <v>187</v>
      </c>
      <c r="E69" s="455">
        <f>'2'!F69</f>
        <v>74944</v>
      </c>
      <c r="F69" s="478">
        <v>75252</v>
      </c>
      <c r="G69" s="473">
        <f t="shared" si="5"/>
        <v>308</v>
      </c>
      <c r="H69" s="682">
        <f>G69+'2'!H69</f>
        <v>923</v>
      </c>
      <c r="I69" s="516"/>
      <c r="J69" s="552">
        <f>H69/DAY(B2)</f>
        <v>307.66666666666669</v>
      </c>
      <c r="K69" s="431"/>
      <c r="L69" s="377"/>
      <c r="O69" s="382"/>
    </row>
    <row r="70" spans="1:15" ht="27.75">
      <c r="A70" s="1505" t="s">
        <v>189</v>
      </c>
      <c r="B70" s="1506"/>
      <c r="C70" s="1507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02" t="s">
        <v>190</v>
      </c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  <c r="O71" s="382"/>
    </row>
    <row r="72" spans="1:15" ht="27.75">
      <c r="A72" s="1499" t="s">
        <v>191</v>
      </c>
      <c r="B72" s="1500"/>
      <c r="C72" s="1501"/>
      <c r="D72" s="523" t="s">
        <v>187</v>
      </c>
      <c r="E72" s="455">
        <f>'2'!F72</f>
        <v>853409</v>
      </c>
      <c r="F72" s="657">
        <v>853494</v>
      </c>
      <c r="G72" s="473">
        <f t="shared" ref="G72:G84" si="6">F72-E72</f>
        <v>85</v>
      </c>
      <c r="H72" s="682">
        <f>G72+'2'!H72</f>
        <v>315</v>
      </c>
      <c r="I72" s="480"/>
      <c r="J72" s="552">
        <f>H72/DAY(B2)</f>
        <v>105</v>
      </c>
      <c r="K72" s="431"/>
      <c r="L72" s="377"/>
      <c r="O72" s="382"/>
    </row>
    <row r="73" spans="1:15" ht="27.75">
      <c r="A73" s="1499" t="s">
        <v>192</v>
      </c>
      <c r="B73" s="1500"/>
      <c r="C73" s="1501"/>
      <c r="D73" s="523" t="s">
        <v>187</v>
      </c>
      <c r="E73" s="455">
        <f>'2'!F73</f>
        <v>885805</v>
      </c>
      <c r="F73" s="658">
        <v>885806</v>
      </c>
      <c r="G73" s="655">
        <f t="shared" si="6"/>
        <v>1</v>
      </c>
      <c r="H73" s="682">
        <f>G73+'2'!H73</f>
        <v>6</v>
      </c>
      <c r="I73" s="480"/>
      <c r="J73" s="552">
        <f>H73/DAY(B2)</f>
        <v>2</v>
      </c>
      <c r="K73" s="430"/>
      <c r="L73" s="377"/>
      <c r="O73" s="382"/>
    </row>
    <row r="74" spans="1:15" ht="27.75">
      <c r="A74" s="1499" t="s">
        <v>193</v>
      </c>
      <c r="B74" s="1500"/>
      <c r="C74" s="1501"/>
      <c r="D74" s="523" t="s">
        <v>187</v>
      </c>
      <c r="E74" s="455">
        <f>'2'!F74</f>
        <v>1409</v>
      </c>
      <c r="F74" s="659">
        <v>1438</v>
      </c>
      <c r="G74" s="473">
        <f t="shared" si="6"/>
        <v>29</v>
      </c>
      <c r="H74" s="682">
        <f>G74+'2'!H74</f>
        <v>68</v>
      </c>
      <c r="I74" s="480"/>
      <c r="J74" s="552">
        <f>H74/DAY(B2)</f>
        <v>22.666666666666668</v>
      </c>
      <c r="K74" s="431"/>
      <c r="L74" s="377"/>
      <c r="O74" s="382"/>
    </row>
    <row r="75" spans="1:15" ht="27.75">
      <c r="A75" s="1496" t="s">
        <v>194</v>
      </c>
      <c r="B75" s="1497"/>
      <c r="C75" s="1498"/>
      <c r="D75" s="523" t="s">
        <v>187</v>
      </c>
      <c r="E75" s="455">
        <f>'2'!F75</f>
        <v>8966</v>
      </c>
      <c r="F75" s="659">
        <v>9071</v>
      </c>
      <c r="G75" s="473">
        <f t="shared" si="6"/>
        <v>105</v>
      </c>
      <c r="H75" s="682">
        <f>G75+'2'!H75</f>
        <v>391</v>
      </c>
      <c r="I75" s="480"/>
      <c r="J75" s="552">
        <f>H75/DAY(B2)</f>
        <v>130.33333333333334</v>
      </c>
      <c r="K75" s="430"/>
      <c r="L75" s="377"/>
      <c r="O75" s="382"/>
    </row>
    <row r="76" spans="1:15" ht="27.75">
      <c r="A76" s="1496" t="s">
        <v>195</v>
      </c>
      <c r="B76" s="1497"/>
      <c r="C76" s="1498"/>
      <c r="D76" s="523" t="s">
        <v>187</v>
      </c>
      <c r="E76" s="455">
        <f>'2'!F76</f>
        <v>4155</v>
      </c>
      <c r="F76" s="658">
        <v>4224</v>
      </c>
      <c r="G76" s="473">
        <f t="shared" si="6"/>
        <v>69</v>
      </c>
      <c r="H76" s="682">
        <f>G76+'2'!H76</f>
        <v>187</v>
      </c>
      <c r="I76" s="505"/>
      <c r="J76" s="552">
        <f>H76/DAY(B2)</f>
        <v>62.333333333333336</v>
      </c>
      <c r="K76" s="430"/>
      <c r="L76" s="377"/>
      <c r="O76" s="382"/>
    </row>
    <row r="77" spans="1:15" ht="27.75">
      <c r="A77" s="1499" t="s">
        <v>196</v>
      </c>
      <c r="B77" s="1500"/>
      <c r="C77" s="1501"/>
      <c r="D77" s="523" t="s">
        <v>187</v>
      </c>
      <c r="E77" s="455">
        <f>'2'!F77</f>
        <v>700311</v>
      </c>
      <c r="F77" s="658">
        <v>700355</v>
      </c>
      <c r="G77" s="655">
        <f t="shared" si="6"/>
        <v>44</v>
      </c>
      <c r="H77" s="682">
        <f>G77+'2'!H77</f>
        <v>141</v>
      </c>
      <c r="I77" s="505"/>
      <c r="J77" s="552">
        <f>H77/DAY(B2)</f>
        <v>47</v>
      </c>
      <c r="K77" s="430"/>
      <c r="L77" s="377"/>
      <c r="O77" s="382"/>
    </row>
    <row r="78" spans="1:15" ht="27.75">
      <c r="A78" s="1312" t="s">
        <v>197</v>
      </c>
      <c r="B78" s="1305"/>
      <c r="C78" s="1305"/>
      <c r="D78" s="523" t="s">
        <v>187</v>
      </c>
      <c r="E78" s="455">
        <f>'2'!F78</f>
        <v>666103</v>
      </c>
      <c r="F78" s="659">
        <v>666393</v>
      </c>
      <c r="G78" s="473">
        <f t="shared" si="6"/>
        <v>290</v>
      </c>
      <c r="H78" s="682">
        <f>G78+'2'!H78</f>
        <v>1013</v>
      </c>
      <c r="I78" s="505"/>
      <c r="J78" s="552">
        <f>H78/DAY(B2)</f>
        <v>337.66666666666669</v>
      </c>
      <c r="K78" s="430"/>
      <c r="L78" s="377"/>
      <c r="O78" s="382"/>
    </row>
    <row r="79" spans="1:15" ht="27.75">
      <c r="A79" s="1496" t="s">
        <v>92</v>
      </c>
      <c r="B79" s="1497"/>
      <c r="C79" s="1498"/>
      <c r="D79" s="524" t="s">
        <v>187</v>
      </c>
      <c r="E79" s="455">
        <f>'2'!F79</f>
        <v>821597</v>
      </c>
      <c r="F79" s="659">
        <v>821789</v>
      </c>
      <c r="G79" s="473">
        <f t="shared" si="6"/>
        <v>192</v>
      </c>
      <c r="H79" s="682">
        <f>G79+'2'!H79</f>
        <v>576</v>
      </c>
      <c r="I79" s="505"/>
      <c r="J79" s="552">
        <f>H79/DAY(B2)</f>
        <v>192</v>
      </c>
      <c r="K79" s="430"/>
      <c r="L79" s="377"/>
      <c r="O79" s="382"/>
    </row>
    <row r="80" spans="1:15" ht="27.75">
      <c r="A80" s="1496" t="s">
        <v>198</v>
      </c>
      <c r="B80" s="1497"/>
      <c r="C80" s="1498"/>
      <c r="D80" s="524" t="s">
        <v>187</v>
      </c>
      <c r="E80" s="455">
        <f>'2'!F80</f>
        <v>506412</v>
      </c>
      <c r="F80" s="658">
        <v>506727</v>
      </c>
      <c r="G80" s="473">
        <f t="shared" si="6"/>
        <v>315</v>
      </c>
      <c r="H80" s="682">
        <f>G80+'2'!H80</f>
        <v>1028</v>
      </c>
      <c r="I80" s="505"/>
      <c r="J80" s="552">
        <f>H80/DAY(B2)</f>
        <v>342.66666666666669</v>
      </c>
      <c r="K80" s="430"/>
      <c r="L80" s="377"/>
      <c r="O80" s="382"/>
    </row>
    <row r="81" spans="1:15" ht="27.75">
      <c r="A81" s="1496" t="s">
        <v>199</v>
      </c>
      <c r="B81" s="1497"/>
      <c r="C81" s="1498"/>
      <c r="D81" s="524" t="s">
        <v>187</v>
      </c>
      <c r="E81" s="455">
        <f>'2'!F81</f>
        <v>630677</v>
      </c>
      <c r="F81" s="658">
        <v>630917</v>
      </c>
      <c r="G81" s="473">
        <f t="shared" si="6"/>
        <v>240</v>
      </c>
      <c r="H81" s="682">
        <f>G81+'2'!H81</f>
        <v>732</v>
      </c>
      <c r="I81" s="505"/>
      <c r="J81" s="552">
        <f>H81/DAY(B2)</f>
        <v>244</v>
      </c>
      <c r="K81" s="430"/>
      <c r="L81" s="377"/>
      <c r="O81" s="382"/>
    </row>
    <row r="82" spans="1:15" ht="27.75">
      <c r="A82" s="1496" t="s">
        <v>93</v>
      </c>
      <c r="B82" s="1497"/>
      <c r="C82" s="1498"/>
      <c r="D82" s="485" t="s">
        <v>132</v>
      </c>
      <c r="E82" s="455">
        <f>'2'!F82</f>
        <v>106945</v>
      </c>
      <c r="F82" s="654">
        <v>106965</v>
      </c>
      <c r="G82" s="473">
        <f t="shared" si="6"/>
        <v>20</v>
      </c>
      <c r="H82" s="682">
        <f>G82+'2'!H82</f>
        <v>70</v>
      </c>
      <c r="I82" s="486"/>
      <c r="J82" s="552">
        <f>H82/DAY(B2)</f>
        <v>23.333333333333332</v>
      </c>
      <c r="K82" s="430"/>
      <c r="L82" s="377"/>
      <c r="O82" s="382"/>
    </row>
    <row r="83" spans="1:15" ht="27.75">
      <c r="A83" s="1496" t="s">
        <v>200</v>
      </c>
      <c r="B83" s="1497"/>
      <c r="C83" s="1498"/>
      <c r="D83" s="620" t="s">
        <v>132</v>
      </c>
      <c r="E83" s="455">
        <f>'2'!F83</f>
        <v>7572</v>
      </c>
      <c r="F83" s="511">
        <v>7827</v>
      </c>
      <c r="G83" s="473">
        <f t="shared" si="6"/>
        <v>255</v>
      </c>
      <c r="H83" s="682">
        <f>G83+'2'!H83</f>
        <v>770</v>
      </c>
      <c r="I83" s="481"/>
      <c r="J83" s="552">
        <f>H83/DAY(B2)</f>
        <v>256.66666666666669</v>
      </c>
      <c r="K83" s="429"/>
      <c r="L83" s="377"/>
      <c r="O83" s="382"/>
    </row>
    <row r="84" spans="1:15">
      <c r="A84" s="1313" t="s">
        <v>201</v>
      </c>
      <c r="B84" s="571"/>
      <c r="C84" s="571"/>
      <c r="D84" s="478" t="s">
        <v>132</v>
      </c>
      <c r="E84" s="455">
        <f>'2'!F84</f>
        <v>456519</v>
      </c>
      <c r="F84" s="627">
        <v>457333</v>
      </c>
      <c r="G84" s="473">
        <f t="shared" si="6"/>
        <v>814</v>
      </c>
      <c r="H84" s="682">
        <f>G84+'2'!H84</f>
        <v>2649</v>
      </c>
      <c r="I84" s="481"/>
      <c r="J84" s="552">
        <f>H84/DAY(B2)</f>
        <v>883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455">
        <f>'2'!F85</f>
        <v>0</v>
      </c>
      <c r="F85" s="523"/>
      <c r="G85" s="460">
        <f xml:space="preserve"> SUM(G71:G84)</f>
        <v>2459</v>
      </c>
      <c r="H85" s="682">
        <f>G85+'2'!H85</f>
        <v>7946</v>
      </c>
      <c r="I85" s="481"/>
      <c r="J85" s="552">
        <f>H85/DAY(B2)</f>
        <v>2648.6666666666665</v>
      </c>
      <c r="K85" s="380"/>
      <c r="L85" s="378"/>
      <c r="O85" s="382"/>
    </row>
    <row r="86" spans="1:15" s="738" customFormat="1">
      <c r="A86" s="733" t="s">
        <v>94</v>
      </c>
      <c r="B86" s="734"/>
      <c r="C86" s="734"/>
      <c r="D86" s="735" t="s">
        <v>183</v>
      </c>
      <c r="E86" s="455">
        <f>'2'!F86</f>
        <v>454958</v>
      </c>
      <c r="F86" s="650">
        <v>455114</v>
      </c>
      <c r="G86" s="708">
        <f t="shared" ref="G86:G90" si="7">F86-E86</f>
        <v>156</v>
      </c>
      <c r="H86" s="682">
        <f>G86+'2'!H86</f>
        <v>533</v>
      </c>
      <c r="I86" s="655"/>
      <c r="J86" s="710">
        <f>H86/DAY(B2)</f>
        <v>177.66666666666666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455">
        <f>'2'!F87</f>
        <v>80252</v>
      </c>
      <c r="F87" s="650">
        <v>80280</v>
      </c>
      <c r="G87" s="708">
        <f t="shared" si="7"/>
        <v>28</v>
      </c>
      <c r="H87" s="682">
        <f>G87+'2'!H87</f>
        <v>95</v>
      </c>
      <c r="I87" s="655"/>
      <c r="J87" s="710">
        <f>H87/DAY(B2)</f>
        <v>31.666666666666668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455">
        <f>'2'!F88</f>
        <v>150775</v>
      </c>
      <c r="F88" s="650">
        <v>150867</v>
      </c>
      <c r="G88" s="708">
        <f t="shared" si="7"/>
        <v>92</v>
      </c>
      <c r="H88" s="682">
        <f>G88+'2'!H88</f>
        <v>268</v>
      </c>
      <c r="I88" s="655"/>
      <c r="J88" s="710">
        <f>H88/DAY(B2)</f>
        <v>89.333333333333329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455">
        <f>'2'!F89</f>
        <v>63641</v>
      </c>
      <c r="F89" s="650">
        <v>63682</v>
      </c>
      <c r="G89" s="708">
        <f t="shared" si="7"/>
        <v>41</v>
      </c>
      <c r="H89" s="682">
        <f>G89+'2'!H89</f>
        <v>128</v>
      </c>
      <c r="I89" s="655"/>
      <c r="J89" s="710">
        <f>H89/DAY(B2)</f>
        <v>42.666666666666664</v>
      </c>
      <c r="K89" s="736" t="e">
        <f t="shared" ref="K89:K90" si="8">I89/DAY(C3)</f>
        <v>#VALUE!</v>
      </c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455">
        <f>'2'!F90</f>
        <v>3271</v>
      </c>
      <c r="F90" s="650">
        <v>3271</v>
      </c>
      <c r="G90" s="708">
        <f t="shared" si="7"/>
        <v>0</v>
      </c>
      <c r="H90" s="682">
        <f>G90+'2'!H90</f>
        <v>1</v>
      </c>
      <c r="I90" s="655"/>
      <c r="J90" s="710">
        <f>H90/DAY(B2)</f>
        <v>0.33333333333333331</v>
      </c>
      <c r="K90" s="736" t="e">
        <f t="shared" si="8"/>
        <v>#VALUE!</v>
      </c>
      <c r="L90" s="737"/>
      <c r="N90" s="781"/>
      <c r="O90" s="382"/>
    </row>
    <row r="91" spans="1:15" s="379" customFormat="1">
      <c r="A91" s="606" t="s">
        <v>205</v>
      </c>
      <c r="B91" s="1315"/>
      <c r="C91" s="1315"/>
      <c r="D91" s="472"/>
      <c r="E91" s="472"/>
      <c r="F91" s="472"/>
      <c r="G91" s="488"/>
      <c r="H91" s="472"/>
      <c r="I91" s="472"/>
      <c r="J91" s="551"/>
      <c r="K91" s="380"/>
      <c r="L91" s="378"/>
      <c r="O91" s="382"/>
    </row>
    <row r="92" spans="1:15" ht="27.75">
      <c r="A92" s="1520" t="s">
        <v>206</v>
      </c>
      <c r="B92" s="1521"/>
      <c r="C92" s="1522"/>
      <c r="D92" s="523" t="s">
        <v>144</v>
      </c>
      <c r="E92" s="455">
        <f>'2'!F92</f>
        <v>242821</v>
      </c>
      <c r="F92" s="478">
        <v>242898</v>
      </c>
      <c r="G92" s="473">
        <f t="shared" ref="G92:G93" si="9">F92-E92</f>
        <v>77</v>
      </c>
      <c r="H92" s="682">
        <f>G92+'2'!H92</f>
        <v>252</v>
      </c>
      <c r="I92" s="480"/>
      <c r="J92" s="552">
        <f>H92/DAY(B2)</f>
        <v>84</v>
      </c>
      <c r="K92" s="429"/>
      <c r="L92" s="377"/>
      <c r="O92" s="382"/>
    </row>
    <row r="93" spans="1:15" ht="27.75">
      <c r="A93" s="1520" t="s">
        <v>207</v>
      </c>
      <c r="B93" s="1521"/>
      <c r="C93" s="1522"/>
      <c r="D93" s="523" t="s">
        <v>144</v>
      </c>
      <c r="E93" s="455">
        <f>'2'!F93</f>
        <v>179949</v>
      </c>
      <c r="F93" s="478">
        <v>180107</v>
      </c>
      <c r="G93" s="473">
        <f t="shared" si="9"/>
        <v>158</v>
      </c>
      <c r="H93" s="682">
        <f>G93+'2'!H93</f>
        <v>428</v>
      </c>
      <c r="I93" s="480"/>
      <c r="J93" s="552">
        <f>H93/DAY(B2)</f>
        <v>142.66666666666666</v>
      </c>
      <c r="K93" s="380"/>
      <c r="L93" s="377"/>
      <c r="O93" s="382"/>
    </row>
    <row r="94" spans="1:15">
      <c r="A94" s="1548" t="s">
        <v>208</v>
      </c>
      <c r="B94" s="1549"/>
      <c r="C94" s="1550"/>
      <c r="D94" s="523"/>
      <c r="E94" s="455">
        <f>'2'!F94</f>
        <v>0</v>
      </c>
      <c r="F94" s="478"/>
      <c r="G94" s="473">
        <f>G92+G93</f>
        <v>235</v>
      </c>
      <c r="H94" s="682">
        <f>G94+'2'!H94</f>
        <v>461</v>
      </c>
      <c r="I94" s="480"/>
      <c r="J94" s="552">
        <f>H94/DAY(B2)</f>
        <v>153.66666666666666</v>
      </c>
      <c r="K94" s="380"/>
      <c r="L94" s="377"/>
      <c r="O94" s="382"/>
    </row>
    <row r="95" spans="1:15" ht="27.75">
      <c r="A95" s="1520" t="s">
        <v>209</v>
      </c>
      <c r="B95" s="1521"/>
      <c r="C95" s="1522"/>
      <c r="D95" s="523" t="s">
        <v>144</v>
      </c>
      <c r="E95" s="455">
        <f>'2'!F95</f>
        <v>410949</v>
      </c>
      <c r="F95" s="478">
        <v>411021</v>
      </c>
      <c r="G95" s="473">
        <f t="shared" ref="G95:G100" si="10">F95-E95</f>
        <v>72</v>
      </c>
      <c r="H95" s="682">
        <f>G95+'2'!H95</f>
        <v>236</v>
      </c>
      <c r="I95" s="480"/>
      <c r="J95" s="552">
        <f>H95/DAY(B2)</f>
        <v>78.666666666666671</v>
      </c>
      <c r="K95" s="380"/>
      <c r="L95" s="377"/>
      <c r="O95" s="382"/>
    </row>
    <row r="96" spans="1:15" ht="27.75">
      <c r="A96" s="1309" t="s">
        <v>210</v>
      </c>
      <c r="B96" s="1310"/>
      <c r="C96" s="1310"/>
      <c r="D96" s="523" t="s">
        <v>144</v>
      </c>
      <c r="E96" s="455">
        <f>'2'!F96</f>
        <v>101867</v>
      </c>
      <c r="F96" s="478">
        <v>101887</v>
      </c>
      <c r="G96" s="473">
        <f t="shared" si="10"/>
        <v>20</v>
      </c>
      <c r="H96" s="682">
        <f>G96+'2'!H96</f>
        <v>56</v>
      </c>
      <c r="I96" s="480"/>
      <c r="J96" s="552">
        <f>H96/DAY(B2)</f>
        <v>18.666666666666668</v>
      </c>
      <c r="K96" s="427"/>
      <c r="L96" s="377"/>
      <c r="O96" s="382"/>
    </row>
    <row r="97" spans="1:15" ht="27.75">
      <c r="A97" s="1309" t="s">
        <v>211</v>
      </c>
      <c r="B97" s="1310"/>
      <c r="C97" s="1310"/>
      <c r="D97" s="523" t="s">
        <v>144</v>
      </c>
      <c r="E97" s="455">
        <f>'2'!F97</f>
        <v>96962</v>
      </c>
      <c r="F97" s="478">
        <v>96980</v>
      </c>
      <c r="G97" s="473">
        <f t="shared" si="10"/>
        <v>18</v>
      </c>
      <c r="H97" s="682">
        <f>G97+'2'!H97</f>
        <v>52</v>
      </c>
      <c r="I97" s="480"/>
      <c r="J97" s="552">
        <f>H97/DAY(B2)</f>
        <v>17.333333333333332</v>
      </c>
      <c r="K97" s="432"/>
      <c r="L97" s="377"/>
      <c r="O97" s="382"/>
    </row>
    <row r="98" spans="1:15" ht="27.75">
      <c r="A98" s="1309" t="s">
        <v>212</v>
      </c>
      <c r="B98" s="1310"/>
      <c r="C98" s="1310"/>
      <c r="D98" s="523" t="s">
        <v>144</v>
      </c>
      <c r="E98" s="455">
        <f>'2'!F98</f>
        <v>148987</v>
      </c>
      <c r="F98" s="478">
        <v>149043</v>
      </c>
      <c r="G98" s="473">
        <f t="shared" si="10"/>
        <v>56</v>
      </c>
      <c r="H98" s="682">
        <f>G98+'2'!H98</f>
        <v>134</v>
      </c>
      <c r="I98" s="480"/>
      <c r="J98" s="552">
        <f>H98/DAY(B2)</f>
        <v>44.666666666666664</v>
      </c>
      <c r="K98" s="380"/>
      <c r="L98" s="377"/>
      <c r="O98" s="382"/>
    </row>
    <row r="99" spans="1:15" ht="27.75">
      <c r="A99" s="1309" t="s">
        <v>213</v>
      </c>
      <c r="B99" s="1310"/>
      <c r="C99" s="1310"/>
      <c r="D99" s="523" t="s">
        <v>144</v>
      </c>
      <c r="E99" s="455">
        <f>'2'!F99</f>
        <v>6882</v>
      </c>
      <c r="F99" s="478">
        <v>6897</v>
      </c>
      <c r="G99" s="473">
        <f t="shared" si="10"/>
        <v>15</v>
      </c>
      <c r="H99" s="682">
        <f>G99+'2'!H99</f>
        <v>42</v>
      </c>
      <c r="I99" s="480"/>
      <c r="J99" s="552">
        <f>H99/DAY(B2)</f>
        <v>14</v>
      </c>
      <c r="K99" s="380"/>
      <c r="L99" s="377"/>
      <c r="O99" s="382"/>
    </row>
    <row r="100" spans="1:15" ht="27.75">
      <c r="A100" s="1309" t="s">
        <v>214</v>
      </c>
      <c r="B100" s="1310"/>
      <c r="C100" s="1310"/>
      <c r="D100" s="523" t="s">
        <v>144</v>
      </c>
      <c r="E100" s="455">
        <f>'2'!F100</f>
        <v>4956</v>
      </c>
      <c r="F100" s="478">
        <v>4962</v>
      </c>
      <c r="G100" s="473">
        <f t="shared" si="10"/>
        <v>6</v>
      </c>
      <c r="H100" s="682">
        <f>G100+'2'!H100</f>
        <v>19</v>
      </c>
      <c r="I100" s="480"/>
      <c r="J100" s="552">
        <f>H100/DAY(B2)</f>
        <v>6.333333333333333</v>
      </c>
      <c r="K100" s="380"/>
      <c r="L100" s="377"/>
      <c r="O100" s="382"/>
    </row>
    <row r="101" spans="1:15">
      <c r="A101" s="1548" t="s">
        <v>216</v>
      </c>
      <c r="B101" s="1549"/>
      <c r="C101" s="1550"/>
      <c r="D101" s="524"/>
      <c r="E101" s="524"/>
      <c r="F101" s="524"/>
      <c r="G101" s="525">
        <f>SUM(G95:G100)</f>
        <v>187</v>
      </c>
      <c r="H101" s="682">
        <f>G101+'2'!H101</f>
        <v>539</v>
      </c>
      <c r="I101" s="526"/>
      <c r="J101" s="552">
        <f>H101/DAY(B2)</f>
        <v>179.66666666666666</v>
      </c>
      <c r="K101" s="380"/>
      <c r="L101" s="377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O102" s="382"/>
    </row>
    <row r="103" spans="1:15" s="442" customFormat="1" ht="27.75">
      <c r="A103" s="1551" t="s">
        <v>218</v>
      </c>
      <c r="B103" s="1552"/>
      <c r="C103" s="573"/>
      <c r="D103" s="622"/>
      <c r="E103" s="455">
        <f>'2'!F103</f>
        <v>0</v>
      </c>
      <c r="F103" s="661"/>
      <c r="G103" s="532"/>
      <c r="H103" s="533"/>
      <c r="I103" s="532"/>
      <c r="J103" s="558"/>
      <c r="O103" s="382"/>
    </row>
    <row r="104" spans="1:15" s="442" customFormat="1" ht="27.75">
      <c r="A104" s="1510" t="s">
        <v>219</v>
      </c>
      <c r="B104" s="1511"/>
      <c r="C104" s="1307"/>
      <c r="D104" s="622" t="s">
        <v>144</v>
      </c>
      <c r="E104" s="455">
        <f>'2'!F104</f>
        <v>7333</v>
      </c>
      <c r="F104" s="661">
        <v>7333</v>
      </c>
      <c r="G104" s="532">
        <f>F104-E104</f>
        <v>0</v>
      </c>
      <c r="H104" s="682">
        <f>G104+'2'!H104</f>
        <v>8</v>
      </c>
      <c r="I104" s="532"/>
      <c r="J104" s="558">
        <f>H108/DAY(B2)</f>
        <v>0</v>
      </c>
      <c r="O104" s="382"/>
    </row>
    <row r="105" spans="1:15" s="442" customFormat="1" ht="27.75">
      <c r="A105" s="1510" t="s">
        <v>77</v>
      </c>
      <c r="B105" s="1511"/>
      <c r="C105" s="1307"/>
      <c r="D105" s="622" t="s">
        <v>144</v>
      </c>
      <c r="E105" s="455">
        <f>'2'!F105</f>
        <v>35669</v>
      </c>
      <c r="F105" s="662">
        <v>35676</v>
      </c>
      <c r="G105" s="532">
        <f t="shared" ref="G105:G106" si="11">F105-E105</f>
        <v>7</v>
      </c>
      <c r="H105" s="682">
        <f>G105+'2'!H105</f>
        <v>20</v>
      </c>
      <c r="I105" s="532"/>
      <c r="J105" s="558">
        <f>H105/DAY(B2)</f>
        <v>6.666666666666667</v>
      </c>
      <c r="O105" s="382"/>
    </row>
    <row r="106" spans="1:15" s="442" customFormat="1" ht="27.75">
      <c r="A106" s="1510" t="s">
        <v>78</v>
      </c>
      <c r="B106" s="1559"/>
      <c r="C106" s="1511"/>
      <c r="D106" s="622" t="s">
        <v>144</v>
      </c>
      <c r="E106" s="455">
        <f>'2'!F106</f>
        <v>19430</v>
      </c>
      <c r="F106" s="661">
        <v>19436</v>
      </c>
      <c r="G106" s="532">
        <f t="shared" si="11"/>
        <v>6</v>
      </c>
      <c r="H106" s="682">
        <f>G106+'2'!H106</f>
        <v>18</v>
      </c>
      <c r="I106" s="532"/>
      <c r="J106" s="558">
        <f>H106/DAY(B2)</f>
        <v>6</v>
      </c>
      <c r="O106" s="382"/>
    </row>
    <row r="107" spans="1:15" s="442" customFormat="1" ht="27.75">
      <c r="A107" s="1516" t="s">
        <v>202</v>
      </c>
      <c r="B107" s="1517"/>
      <c r="C107" s="1307"/>
      <c r="D107" s="622"/>
      <c r="E107" s="455">
        <f>'2'!F107</f>
        <v>0</v>
      </c>
      <c r="F107" s="661" t="s">
        <v>268</v>
      </c>
      <c r="G107" s="532">
        <f>SUM(G104:G106)</f>
        <v>13</v>
      </c>
      <c r="H107" s="682">
        <f>G107+'2'!H107</f>
        <v>46</v>
      </c>
      <c r="I107" s="532"/>
      <c r="J107" s="558">
        <f>H107/DAY(B2)</f>
        <v>15.333333333333334</v>
      </c>
      <c r="O107" s="382"/>
    </row>
    <row r="108" spans="1:15" s="442" customFormat="1" ht="27.75">
      <c r="A108" s="1557" t="s">
        <v>79</v>
      </c>
      <c r="B108" s="1558"/>
      <c r="C108" s="1307"/>
      <c r="D108" s="622" t="s">
        <v>144</v>
      </c>
      <c r="E108" s="455">
        <f>'2'!F108</f>
        <v>0</v>
      </c>
      <c r="F108" s="661"/>
      <c r="G108" s="532"/>
      <c r="H108" s="682">
        <f>G108+'2'!H108</f>
        <v>0</v>
      </c>
      <c r="I108" s="532"/>
      <c r="J108" s="558"/>
      <c r="O108" s="382"/>
    </row>
    <row r="109" spans="1:15" s="442" customFormat="1" ht="27.75">
      <c r="A109" s="1510" t="s">
        <v>220</v>
      </c>
      <c r="B109" s="1511"/>
      <c r="C109" s="1307"/>
      <c r="D109" s="622" t="s">
        <v>144</v>
      </c>
      <c r="E109" s="455">
        <f>'2'!F109</f>
        <v>59054</v>
      </c>
      <c r="F109" s="787">
        <v>59142</v>
      </c>
      <c r="G109" s="532">
        <f>F109-E109</f>
        <v>88</v>
      </c>
      <c r="H109" s="682">
        <f>G109+'2'!H109</f>
        <v>269</v>
      </c>
      <c r="I109" s="532"/>
      <c r="J109" s="558">
        <f>H109/DAY(B2)</f>
        <v>89.666666666666671</v>
      </c>
      <c r="O109" s="382"/>
    </row>
    <row r="110" spans="1:15" s="442" customFormat="1" ht="27.75">
      <c r="A110" s="1510" t="s">
        <v>221</v>
      </c>
      <c r="B110" s="1511"/>
      <c r="C110" s="1307"/>
      <c r="D110" s="622" t="s">
        <v>144</v>
      </c>
      <c r="E110" s="455">
        <f>'2'!F110</f>
        <v>31690</v>
      </c>
      <c r="F110" s="661">
        <v>31761</v>
      </c>
      <c r="G110" s="532">
        <f t="shared" ref="G110:G111" si="12">F110-E110</f>
        <v>71</v>
      </c>
      <c r="H110" s="682">
        <f>G110+'2'!H110</f>
        <v>115</v>
      </c>
      <c r="I110" s="532"/>
      <c r="J110" s="558">
        <f>H110/DAY(B2)</f>
        <v>38.333333333333336</v>
      </c>
      <c r="O110" s="382"/>
    </row>
    <row r="111" spans="1:15" s="442" customFormat="1" ht="27.75">
      <c r="A111" s="1510" t="s">
        <v>222</v>
      </c>
      <c r="B111" s="1511"/>
      <c r="C111" s="1307"/>
      <c r="D111" s="622" t="s">
        <v>144</v>
      </c>
      <c r="E111" s="455">
        <f>'2'!F111</f>
        <v>4186</v>
      </c>
      <c r="F111" s="661">
        <v>4198</v>
      </c>
      <c r="G111" s="532">
        <f t="shared" si="12"/>
        <v>12</v>
      </c>
      <c r="H111" s="682">
        <f>G111+'2'!H111</f>
        <v>42</v>
      </c>
      <c r="I111" s="532"/>
      <c r="J111" s="558">
        <f>H111/DAY(B2)</f>
        <v>14</v>
      </c>
      <c r="O111" s="382"/>
    </row>
    <row r="112" spans="1:15" s="442" customFormat="1" ht="27.75">
      <c r="A112" s="1516" t="s">
        <v>110</v>
      </c>
      <c r="B112" s="1517"/>
      <c r="C112" s="1307"/>
      <c r="D112" s="622"/>
      <c r="E112" s="455">
        <f>'2'!F112</f>
        <v>0</v>
      </c>
      <c r="F112" s="661"/>
      <c r="G112" s="532">
        <f>SUM(G109:G111)</f>
        <v>171</v>
      </c>
      <c r="H112" s="682">
        <f>G112+'2'!H112</f>
        <v>426</v>
      </c>
      <c r="I112" s="532"/>
      <c r="J112" s="558">
        <f>H112/DAY(B2)</f>
        <v>142</v>
      </c>
      <c r="O112" s="382"/>
    </row>
    <row r="113" spans="1:15" s="442" customFormat="1" ht="27.75">
      <c r="A113" s="1557" t="s">
        <v>223</v>
      </c>
      <c r="B113" s="1558"/>
      <c r="C113" s="1307"/>
      <c r="D113" s="622"/>
      <c r="E113" s="455">
        <f>'2'!F113</f>
        <v>0</v>
      </c>
      <c r="F113" s="661"/>
      <c r="G113" s="532"/>
      <c r="H113" s="682">
        <f>G113+'2'!H113</f>
        <v>0</v>
      </c>
      <c r="I113" s="532"/>
      <c r="J113" s="558">
        <f>H113/DAY(B2)</f>
        <v>0</v>
      </c>
      <c r="O113" s="382"/>
    </row>
    <row r="114" spans="1:15" s="442" customFormat="1" ht="27.75">
      <c r="A114" s="1510" t="s">
        <v>224</v>
      </c>
      <c r="B114" s="1511"/>
      <c r="C114" s="1306"/>
      <c r="D114" s="622" t="s">
        <v>144</v>
      </c>
      <c r="E114" s="455">
        <f>'2'!F114</f>
        <v>10891</v>
      </c>
      <c r="F114" s="662">
        <v>10908</v>
      </c>
      <c r="G114" s="534">
        <f>F114-E114</f>
        <v>17</v>
      </c>
      <c r="H114" s="682">
        <f>G114+'2'!H114</f>
        <v>51</v>
      </c>
      <c r="I114" s="532"/>
      <c r="J114" s="558">
        <f>H114/DAY(B2)</f>
        <v>17</v>
      </c>
      <c r="O114" s="382"/>
    </row>
    <row r="115" spans="1:15" s="442" customFormat="1" ht="27.75">
      <c r="A115" s="1510" t="s">
        <v>225</v>
      </c>
      <c r="B115" s="1511"/>
      <c r="C115" s="1306"/>
      <c r="D115" s="622" t="s">
        <v>144</v>
      </c>
      <c r="E115" s="455">
        <f>'2'!F115</f>
        <v>7984</v>
      </c>
      <c r="F115" s="662">
        <v>7989</v>
      </c>
      <c r="G115" s="534">
        <f t="shared" ref="G115:G116" si="13">F115-E115</f>
        <v>5</v>
      </c>
      <c r="H115" s="682">
        <f>G115+'2'!H115</f>
        <v>14</v>
      </c>
      <c r="I115" s="532"/>
      <c r="J115" s="558">
        <f>H115/DAY(B2)</f>
        <v>4.666666666666667</v>
      </c>
      <c r="O115" s="382"/>
    </row>
    <row r="116" spans="1:15" s="442" customFormat="1" ht="27.75">
      <c r="A116" s="1510" t="s">
        <v>226</v>
      </c>
      <c r="B116" s="1511"/>
      <c r="C116" s="1306"/>
      <c r="D116" s="622" t="s">
        <v>144</v>
      </c>
      <c r="E116" s="455">
        <f>'2'!F116</f>
        <v>0</v>
      </c>
      <c r="F116" s="662"/>
      <c r="G116" s="534">
        <f t="shared" si="13"/>
        <v>0</v>
      </c>
      <c r="H116" s="682">
        <f>G116+'2'!H116</f>
        <v>0</v>
      </c>
      <c r="I116" s="532"/>
      <c r="J116" s="558">
        <f>H116/DAY(B2)</f>
        <v>0</v>
      </c>
      <c r="O116" s="382"/>
    </row>
    <row r="117" spans="1:15" s="445" customFormat="1" ht="27.75">
      <c r="A117" s="1516" t="s">
        <v>202</v>
      </c>
      <c r="B117" s="1517"/>
      <c r="C117" s="1306"/>
      <c r="D117" s="784"/>
      <c r="E117" s="455">
        <f>'2'!F117</f>
        <v>0</v>
      </c>
      <c r="F117" s="662"/>
      <c r="G117" s="534">
        <f>SUM(G114:G116)</f>
        <v>22</v>
      </c>
      <c r="H117" s="682">
        <f>G117+'2'!H117</f>
        <v>65</v>
      </c>
      <c r="I117" s="534"/>
      <c r="J117" s="558">
        <f>H117/DAY(B2)</f>
        <v>21.666666666666668</v>
      </c>
      <c r="O117" s="382"/>
    </row>
    <row r="118" spans="1:15" s="445" customFormat="1" ht="27.75">
      <c r="A118" s="1508" t="s">
        <v>227</v>
      </c>
      <c r="B118" s="1509"/>
      <c r="C118" s="1306"/>
      <c r="D118" s="624" t="s">
        <v>144</v>
      </c>
      <c r="E118" s="455">
        <f>'2'!F118</f>
        <v>136</v>
      </c>
      <c r="F118" s="663">
        <f>SUM(G19+G92)</f>
        <v>130</v>
      </c>
      <c r="G118" s="536">
        <f>SUM(G19+G92)</f>
        <v>130</v>
      </c>
      <c r="H118" s="682">
        <f>G118+'2'!H118</f>
        <v>411</v>
      </c>
      <c r="I118" s="535"/>
      <c r="J118" s="559">
        <f>H118/DAY(B2)</f>
        <v>137</v>
      </c>
      <c r="O118" s="382"/>
    </row>
    <row r="119" spans="1:15" s="445" customFormat="1" ht="27.75">
      <c r="A119" s="1508" t="s">
        <v>228</v>
      </c>
      <c r="B119" s="1509"/>
      <c r="C119" s="1306"/>
      <c r="D119" s="624" t="s">
        <v>144</v>
      </c>
      <c r="E119" s="536"/>
      <c r="F119" s="663">
        <f>SUM(G95,G96,G97,G99,G100)</f>
        <v>131</v>
      </c>
      <c r="G119" s="536">
        <f>SUM(G95,G96,G97,G99,G100)</f>
        <v>131</v>
      </c>
      <c r="H119" s="682">
        <f>G119+'2'!H119</f>
        <v>405</v>
      </c>
      <c r="I119" s="535"/>
      <c r="J119" s="559">
        <f>H119/DAY(B2)</f>
        <v>135</v>
      </c>
      <c r="O119" s="382"/>
    </row>
    <row r="120" spans="1:15" s="445" customFormat="1" ht="27.75">
      <c r="A120" s="1508" t="s">
        <v>229</v>
      </c>
      <c r="B120" s="1509"/>
      <c r="C120" s="1306"/>
      <c r="D120" s="624" t="s">
        <v>144</v>
      </c>
      <c r="E120" s="534"/>
      <c r="F120" s="662">
        <f>SUM(G112)</f>
        <v>171</v>
      </c>
      <c r="G120" s="534">
        <f>SUM(G112)</f>
        <v>171</v>
      </c>
      <c r="H120" s="682">
        <f>G120+'2'!H120</f>
        <v>426</v>
      </c>
      <c r="I120" s="535"/>
      <c r="J120" s="559">
        <f>H120/DAY(B2)</f>
        <v>142</v>
      </c>
      <c r="O120" s="382"/>
    </row>
    <row r="121" spans="1:15" s="442" customFormat="1" ht="27.75">
      <c r="A121" s="1510"/>
      <c r="B121" s="1511"/>
      <c r="C121" s="1307"/>
      <c r="D121" s="560"/>
      <c r="E121" s="560"/>
      <c r="F121" s="664" t="s">
        <v>215</v>
      </c>
      <c r="G121" s="560"/>
      <c r="H121" s="561"/>
      <c r="I121" s="560"/>
      <c r="J121" s="562"/>
      <c r="O121" s="382"/>
    </row>
    <row r="122" spans="1:15">
      <c r="A122" s="1545" t="s">
        <v>230</v>
      </c>
      <c r="B122" s="1546"/>
      <c r="C122" s="1547"/>
      <c r="D122" s="472"/>
      <c r="E122" s="472"/>
      <c r="F122" s="472"/>
      <c r="G122" s="483"/>
      <c r="H122" s="483"/>
      <c r="I122" s="483"/>
      <c r="J122" s="563"/>
      <c r="K122" s="380"/>
      <c r="L122" s="377"/>
      <c r="O122" s="382"/>
    </row>
    <row r="123" spans="1:15" ht="27.75">
      <c r="A123" s="1309" t="s">
        <v>231</v>
      </c>
      <c r="B123" s="1310"/>
      <c r="C123" s="1310"/>
      <c r="D123" s="523" t="s">
        <v>141</v>
      </c>
      <c r="E123" s="455">
        <f>'2'!F123</f>
        <v>819298</v>
      </c>
      <c r="F123" s="478">
        <v>819570</v>
      </c>
      <c r="G123" s="473">
        <f t="shared" ref="G123:G127" si="14">F123-E123</f>
        <v>272</v>
      </c>
      <c r="H123" s="682">
        <f>G123+'2'!H123</f>
        <v>760</v>
      </c>
      <c r="I123" s="526"/>
      <c r="J123" s="552">
        <f>H123/DAY(B2)</f>
        <v>253.33333333333334</v>
      </c>
      <c r="K123" s="380"/>
      <c r="L123" s="377"/>
      <c r="O123" s="382"/>
    </row>
    <row r="124" spans="1:15" ht="27.75">
      <c r="A124" s="1309" t="s">
        <v>232</v>
      </c>
      <c r="B124" s="1310"/>
      <c r="C124" s="1310"/>
      <c r="D124" s="523" t="s">
        <v>141</v>
      </c>
      <c r="E124" s="455">
        <f>'2'!F124</f>
        <v>73583.399999999994</v>
      </c>
      <c r="F124" s="626">
        <v>73583</v>
      </c>
      <c r="G124" s="473">
        <f t="shared" si="14"/>
        <v>-0.39999999999417923</v>
      </c>
      <c r="H124" s="682">
        <f>G124+'2'!H124</f>
        <v>-0.39999999999417923</v>
      </c>
      <c r="I124" s="526"/>
      <c r="J124" s="552">
        <f>H124/DAY(B2)</f>
        <v>-0.13333333333139308</v>
      </c>
      <c r="K124" s="380"/>
      <c r="L124" s="377"/>
      <c r="O124" s="382"/>
    </row>
    <row r="125" spans="1:15" ht="27.75">
      <c r="A125" s="1499" t="s">
        <v>233</v>
      </c>
      <c r="B125" s="1500"/>
      <c r="C125" s="1501"/>
      <c r="D125" s="523" t="s">
        <v>141</v>
      </c>
      <c r="E125" s="455">
        <f>'2'!F125</f>
        <v>142314</v>
      </c>
      <c r="F125" s="478">
        <v>142407</v>
      </c>
      <c r="G125" s="473">
        <f t="shared" si="14"/>
        <v>93</v>
      </c>
      <c r="H125" s="682">
        <f>G125+'2'!H125</f>
        <v>271</v>
      </c>
      <c r="I125" s="526"/>
      <c r="J125" s="552">
        <f>H125/DAY(B2)</f>
        <v>90.333333333333329</v>
      </c>
      <c r="K125" s="380"/>
      <c r="L125" s="377"/>
      <c r="O125" s="382"/>
    </row>
    <row r="126" spans="1:15" ht="27.75">
      <c r="A126" s="609" t="s">
        <v>234</v>
      </c>
      <c r="B126" s="1310"/>
      <c r="C126" s="1310"/>
      <c r="D126" s="523" t="s">
        <v>141</v>
      </c>
      <c r="E126" s="455">
        <v>31318.7</v>
      </c>
      <c r="F126" s="1387">
        <v>31329.200000000001</v>
      </c>
      <c r="G126" s="473">
        <f t="shared" si="14"/>
        <v>10.5</v>
      </c>
      <c r="H126" s="682">
        <f>G126+'2'!H126</f>
        <v>10.5</v>
      </c>
      <c r="I126" s="526"/>
      <c r="J126" s="552">
        <f>H126/DAY(B2)</f>
        <v>3.5</v>
      </c>
      <c r="K126" s="380"/>
      <c r="L126" s="377"/>
      <c r="O126" s="382"/>
    </row>
    <row r="127" spans="1:15" ht="27.75">
      <c r="A127" s="609" t="s">
        <v>235</v>
      </c>
      <c r="B127" s="1310"/>
      <c r="C127" s="1310"/>
      <c r="D127" s="523" t="s">
        <v>141</v>
      </c>
      <c r="E127" s="455">
        <f>'2'!F127</f>
        <v>8966</v>
      </c>
      <c r="F127" s="626">
        <v>8966</v>
      </c>
      <c r="G127" s="473">
        <f t="shared" si="14"/>
        <v>0</v>
      </c>
      <c r="H127" s="682">
        <f>G127+'2'!H127</f>
        <v>4</v>
      </c>
      <c r="I127" s="480"/>
      <c r="J127" s="552">
        <f>H127/DAY(B2)</f>
        <v>1.3333333333333333</v>
      </c>
      <c r="K127" s="380"/>
      <c r="L127" s="377"/>
      <c r="O127" s="382"/>
    </row>
    <row r="128" spans="1:15" s="281" customFormat="1" ht="27.75">
      <c r="A128" s="609" t="s">
        <v>236</v>
      </c>
      <c r="B128" s="1310"/>
      <c r="C128" s="1310"/>
      <c r="D128" s="523"/>
      <c r="E128" s="455">
        <f>'2'!F128</f>
        <v>0</v>
      </c>
      <c r="F128" s="478"/>
      <c r="G128" s="473">
        <f>G15-SUM(G123:G127)</f>
        <v>627.89999999999418</v>
      </c>
      <c r="H128" s="682">
        <f>G128+'2'!H128</f>
        <v>1908.8999999999942</v>
      </c>
      <c r="I128" s="480"/>
      <c r="J128" s="552">
        <f>H128/DAY(B2)</f>
        <v>636.29999999999802</v>
      </c>
      <c r="K128" s="364"/>
      <c r="L128" s="292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382"/>
    </row>
    <row r="130" spans="1:15" ht="27.75">
      <c r="A130" s="1309" t="s">
        <v>238</v>
      </c>
      <c r="B130" s="1310"/>
      <c r="C130" s="1310"/>
      <c r="D130" s="523" t="s">
        <v>239</v>
      </c>
      <c r="E130" s="455">
        <f>'2'!F130</f>
        <v>0</v>
      </c>
      <c r="F130" s="478">
        <v>0</v>
      </c>
      <c r="G130" s="473">
        <f t="shared" ref="G130:G140" si="15">F130-E130</f>
        <v>0</v>
      </c>
      <c r="H130" s="682">
        <f>G130+'2'!H130</f>
        <v>0</v>
      </c>
      <c r="I130" s="480"/>
      <c r="J130" s="552">
        <f>H130/DAY(B2)</f>
        <v>0</v>
      </c>
      <c r="O130" s="382"/>
    </row>
    <row r="131" spans="1:15" ht="27.75">
      <c r="A131" s="1309" t="s">
        <v>240</v>
      </c>
      <c r="B131" s="1310"/>
      <c r="C131" s="1310"/>
      <c r="D131" s="523" t="s">
        <v>239</v>
      </c>
      <c r="E131" s="455">
        <f>'2'!F131</f>
        <v>0</v>
      </c>
      <c r="F131" s="478">
        <v>0</v>
      </c>
      <c r="G131" s="473">
        <f t="shared" si="15"/>
        <v>0</v>
      </c>
      <c r="H131" s="682">
        <f>G131+'2'!H131</f>
        <v>0</v>
      </c>
      <c r="I131" s="480"/>
      <c r="J131" s="552">
        <f>H131/DAY(B2)</f>
        <v>0</v>
      </c>
      <c r="O131" s="382"/>
    </row>
    <row r="132" spans="1:15" ht="27.75">
      <c r="A132" s="1309" t="s">
        <v>241</v>
      </c>
      <c r="B132" s="1310"/>
      <c r="C132" s="1310"/>
      <c r="D132" s="523" t="s">
        <v>239</v>
      </c>
      <c r="E132" s="455">
        <f>'2'!F132</f>
        <v>39581.25</v>
      </c>
      <c r="F132" s="654">
        <v>39605.199999999997</v>
      </c>
      <c r="G132" s="473">
        <f t="shared" si="15"/>
        <v>23.94999999999709</v>
      </c>
      <c r="H132" s="682">
        <f>G132+'2'!H132</f>
        <v>72.19999999999709</v>
      </c>
      <c r="I132" s="480"/>
      <c r="J132" s="552">
        <f>H132/DAY(B2)</f>
        <v>24.066666666665697</v>
      </c>
      <c r="O132" s="382"/>
    </row>
    <row r="133" spans="1:15" ht="27.75">
      <c r="A133" s="1309" t="s">
        <v>242</v>
      </c>
      <c r="B133" s="1310"/>
      <c r="C133" s="1310"/>
      <c r="D133" s="523" t="s">
        <v>239</v>
      </c>
      <c r="E133" s="455">
        <f>'2'!F133</f>
        <v>300</v>
      </c>
      <c r="F133" s="626">
        <v>300</v>
      </c>
      <c r="G133" s="473">
        <f t="shared" si="15"/>
        <v>0</v>
      </c>
      <c r="H133" s="682">
        <f>G133+'2'!H133</f>
        <v>0</v>
      </c>
      <c r="I133" s="480"/>
      <c r="J133" s="552">
        <f>H133/DAY(B2)</f>
        <v>0</v>
      </c>
      <c r="O133" s="382"/>
    </row>
    <row r="134" spans="1:15" ht="27.75">
      <c r="A134" s="1309" t="s">
        <v>243</v>
      </c>
      <c r="B134" s="1310"/>
      <c r="C134" s="1310"/>
      <c r="D134" s="523" t="s">
        <v>239</v>
      </c>
      <c r="E134" s="455">
        <f>'2'!F134</f>
        <v>40853.370000000003</v>
      </c>
      <c r="F134" s="626">
        <v>40853.370000000003</v>
      </c>
      <c r="G134" s="473">
        <f t="shared" si="15"/>
        <v>0</v>
      </c>
      <c r="H134" s="682">
        <f>G134+'2'!H134</f>
        <v>14.370000000002619</v>
      </c>
      <c r="I134" s="480"/>
      <c r="J134" s="552">
        <f>H134/DAY(B2)</f>
        <v>4.7900000000008731</v>
      </c>
      <c r="O134" s="382"/>
    </row>
    <row r="135" spans="1:15" ht="27.75">
      <c r="A135" s="1309" t="s">
        <v>244</v>
      </c>
      <c r="B135" s="1310"/>
      <c r="C135" s="1310"/>
      <c r="D135" s="523" t="s">
        <v>239</v>
      </c>
      <c r="E135" s="455">
        <f>'2'!F135</f>
        <v>32583</v>
      </c>
      <c r="F135" s="626">
        <v>32583</v>
      </c>
      <c r="G135" s="473">
        <f t="shared" si="15"/>
        <v>0</v>
      </c>
      <c r="H135" s="682">
        <f>G135+'2'!H135</f>
        <v>0</v>
      </c>
      <c r="I135" s="480">
        <f t="shared" ref="I135" si="16">G132+G133+G134+G135</f>
        <v>23.94999999999709</v>
      </c>
      <c r="J135" s="552">
        <f>H135/DAY(B2)</f>
        <v>0</v>
      </c>
      <c r="O135" s="382"/>
    </row>
    <row r="136" spans="1:15" ht="27.75">
      <c r="A136" s="1309" t="s">
        <v>245</v>
      </c>
      <c r="B136" s="1310"/>
      <c r="C136" s="1310"/>
      <c r="D136" s="523" t="s">
        <v>239</v>
      </c>
      <c r="E136" s="455">
        <f>'2'!F136</f>
        <v>22509.37</v>
      </c>
      <c r="F136" s="654">
        <v>22519.53</v>
      </c>
      <c r="G136" s="473">
        <f t="shared" si="15"/>
        <v>10.159999999999854</v>
      </c>
      <c r="H136" s="682">
        <f>G136+'2'!H136</f>
        <v>30.879999999997381</v>
      </c>
      <c r="I136" s="480"/>
      <c r="J136" s="552">
        <f>H136/DAY(B2)</f>
        <v>10.293333333332461</v>
      </c>
      <c r="O136" s="382"/>
    </row>
    <row r="137" spans="1:15" ht="27.75">
      <c r="A137" s="1309" t="s">
        <v>246</v>
      </c>
      <c r="B137" s="1310"/>
      <c r="C137" s="1310"/>
      <c r="D137" s="523" t="s">
        <v>239</v>
      </c>
      <c r="E137" s="455">
        <f>'2'!F137</f>
        <v>25048.97</v>
      </c>
      <c r="F137" s="654">
        <v>25048.97</v>
      </c>
      <c r="G137" s="473">
        <f t="shared" si="15"/>
        <v>0</v>
      </c>
      <c r="H137" s="682">
        <f>G137+'2'!H137</f>
        <v>0.18000000000029104</v>
      </c>
      <c r="I137" s="480"/>
      <c r="J137" s="552">
        <f>H137/DAY(B2)</f>
        <v>6.000000000009701E-2</v>
      </c>
      <c r="O137" s="382"/>
    </row>
    <row r="138" spans="1:15" ht="27.75">
      <c r="A138" s="1309" t="s">
        <v>247</v>
      </c>
      <c r="B138" s="1310"/>
      <c r="C138" s="1310"/>
      <c r="D138" s="523" t="s">
        <v>239</v>
      </c>
      <c r="E138" s="455">
        <f>'2'!F138</f>
        <v>70262.66</v>
      </c>
      <c r="F138" s="654">
        <v>70266.899999999994</v>
      </c>
      <c r="G138" s="473">
        <f t="shared" si="15"/>
        <v>4.2399999999906868</v>
      </c>
      <c r="H138" s="682">
        <f>G138+'2'!H138</f>
        <v>12.869999999995343</v>
      </c>
      <c r="I138" s="480">
        <f>G136+G137+G138</f>
        <v>14.399999999990541</v>
      </c>
      <c r="J138" s="552">
        <f>H138/DAY(B2)</f>
        <v>4.2899999999984475</v>
      </c>
      <c r="O138" s="382"/>
    </row>
    <row r="139" spans="1:15" ht="27.75">
      <c r="A139" s="1309" t="s">
        <v>248</v>
      </c>
      <c r="B139" s="1310"/>
      <c r="C139" s="1310"/>
      <c r="D139" s="523" t="s">
        <v>239</v>
      </c>
      <c r="E139" s="455">
        <f>'2'!F139</f>
        <v>1536.52</v>
      </c>
      <c r="F139" s="626">
        <v>1536.52</v>
      </c>
      <c r="G139" s="473">
        <f t="shared" si="15"/>
        <v>0</v>
      </c>
      <c r="H139" s="682">
        <f>G139+'2'!H139</f>
        <v>0</v>
      </c>
      <c r="I139" s="542"/>
      <c r="J139" s="552">
        <f>H139/DAY(B2)</f>
        <v>0</v>
      </c>
      <c r="O139" s="382"/>
    </row>
    <row r="140" spans="1:15" ht="27.75">
      <c r="A140" s="1309" t="s">
        <v>249</v>
      </c>
      <c r="B140" s="1310"/>
      <c r="C140" s="1310"/>
      <c r="D140" s="523" t="s">
        <v>239</v>
      </c>
      <c r="E140" s="455">
        <f>'2'!F140</f>
        <v>4484.4399999999996</v>
      </c>
      <c r="F140" s="478">
        <v>4493.25</v>
      </c>
      <c r="G140" s="473">
        <f t="shared" si="15"/>
        <v>8.8100000000004002</v>
      </c>
      <c r="H140" s="682">
        <f>G140+'2'!H140</f>
        <v>24.710000000000036</v>
      </c>
      <c r="I140" s="542">
        <f>G140+G177</f>
        <v>8.8100000000004002</v>
      </c>
      <c r="J140" s="552">
        <f>H140/DAY(B2)</f>
        <v>8.2366666666666788</v>
      </c>
      <c r="O140" s="382"/>
    </row>
    <row r="141" spans="1:15">
      <c r="A141" s="1526" t="s">
        <v>250</v>
      </c>
      <c r="B141" s="1527"/>
      <c r="C141" s="1315"/>
      <c r="D141" s="472"/>
      <c r="E141" s="472"/>
      <c r="F141" s="472"/>
      <c r="G141" s="483"/>
      <c r="H141" s="483"/>
      <c r="I141" s="483"/>
      <c r="J141" s="563"/>
      <c r="K141" s="380"/>
      <c r="L141" s="377"/>
      <c r="O141" s="382"/>
    </row>
    <row r="142" spans="1:15" ht="27.75">
      <c r="A142" s="1520" t="s">
        <v>251</v>
      </c>
      <c r="B142" s="1521"/>
      <c r="C142" s="1522"/>
      <c r="D142" s="523" t="s">
        <v>132</v>
      </c>
      <c r="E142" s="523"/>
      <c r="F142" s="523"/>
      <c r="G142" s="460">
        <f>G35+G43+G49+G57</f>
        <v>5491.33</v>
      </c>
      <c r="H142" s="682">
        <f>G142+'2'!H142</f>
        <v>17582.460000000006</v>
      </c>
      <c r="I142" s="480"/>
      <c r="J142" s="552">
        <f>H142/DAY(B2)</f>
        <v>5860.8200000000024</v>
      </c>
      <c r="K142" s="380"/>
      <c r="L142" s="377"/>
      <c r="O142" s="382"/>
    </row>
    <row r="143" spans="1:15" ht="27.75">
      <c r="A143" s="1520" t="s">
        <v>252</v>
      </c>
      <c r="B143" s="1521"/>
      <c r="C143" s="1522"/>
      <c r="D143" s="523" t="s">
        <v>24</v>
      </c>
      <c r="E143" s="511"/>
      <c r="F143" s="511"/>
      <c r="G143" s="543">
        <f>G142/G7</f>
        <v>0.26061079208390681</v>
      </c>
      <c r="H143" s="682">
        <f>G143+'2'!H143</f>
        <v>0.78866193096663639</v>
      </c>
      <c r="I143" s="544"/>
      <c r="J143" s="552">
        <f>H143/DAY(B2)</f>
        <v>0.26288731032221213</v>
      </c>
      <c r="K143" s="380"/>
      <c r="L143" s="377"/>
      <c r="O143" s="382"/>
    </row>
    <row r="144" spans="1:15" ht="27.75">
      <c r="A144" s="1520" t="s">
        <v>253</v>
      </c>
      <c r="B144" s="1521"/>
      <c r="C144" s="1522"/>
      <c r="D144" s="523" t="s">
        <v>132</v>
      </c>
      <c r="E144" s="455"/>
      <c r="F144" s="455"/>
      <c r="G144" s="460">
        <f>G41+G42+G55+G56</f>
        <v>5680</v>
      </c>
      <c r="H144" s="682">
        <f>G144+'2'!H144</f>
        <v>18887.839999999997</v>
      </c>
      <c r="I144" s="480"/>
      <c r="J144" s="552">
        <f>H144/DAY(B2)</f>
        <v>6295.9466666666658</v>
      </c>
      <c r="K144" s="380"/>
      <c r="L144" s="377"/>
      <c r="O144" s="382"/>
    </row>
    <row r="145" spans="1:15" ht="27.75">
      <c r="A145" s="1520" t="s">
        <v>254</v>
      </c>
      <c r="B145" s="1521"/>
      <c r="C145" s="1522"/>
      <c r="D145" s="523" t="s">
        <v>24</v>
      </c>
      <c r="E145" s="455"/>
      <c r="F145" s="455"/>
      <c r="G145" s="543">
        <f>G144/G7</f>
        <v>0.26956480470789235</v>
      </c>
      <c r="H145" s="682">
        <f>G145+'2'!H145</f>
        <v>0.84528767259491122</v>
      </c>
      <c r="I145" s="544"/>
      <c r="J145" s="552">
        <f>H145/DAY(B2)</f>
        <v>0.28176255753163709</v>
      </c>
      <c r="K145" s="380"/>
      <c r="L145" s="377"/>
      <c r="O145" s="382"/>
    </row>
    <row r="146" spans="1:15" ht="27.75">
      <c r="A146" s="1520" t="s">
        <v>255</v>
      </c>
      <c r="B146" s="1521"/>
      <c r="C146" s="1522"/>
      <c r="D146" s="523" t="s">
        <v>132</v>
      </c>
      <c r="E146" s="455"/>
      <c r="F146" s="455"/>
      <c r="G146" s="460">
        <f>G39+G53</f>
        <v>3855</v>
      </c>
      <c r="H146" s="682">
        <f>G146+'2'!H146</f>
        <v>12351</v>
      </c>
      <c r="I146" s="545"/>
      <c r="J146" s="552">
        <f>H146/DAY(B2)</f>
        <v>4117</v>
      </c>
      <c r="K146" s="380"/>
      <c r="L146" s="377"/>
      <c r="O146" s="382"/>
    </row>
    <row r="147" spans="1:15" ht="27.75">
      <c r="A147" s="1520" t="s">
        <v>256</v>
      </c>
      <c r="B147" s="1521"/>
      <c r="C147" s="1522"/>
      <c r="D147" s="523" t="s">
        <v>24</v>
      </c>
      <c r="E147" s="455"/>
      <c r="F147" s="455"/>
      <c r="G147" s="543">
        <f>G146/G7</f>
        <v>0.18295287361776849</v>
      </c>
      <c r="H147" s="682">
        <f>G147+'2'!H147</f>
        <v>0.55288434688954979</v>
      </c>
      <c r="I147" s="545"/>
      <c r="J147" s="552">
        <f>H147/DAY(B2)</f>
        <v>0.18429478229651661</v>
      </c>
      <c r="O147" s="382"/>
    </row>
    <row r="148" spans="1:15" ht="27.75">
      <c r="A148" s="1520" t="s">
        <v>257</v>
      </c>
      <c r="B148" s="1521"/>
      <c r="C148" s="1522"/>
      <c r="D148" s="523" t="s">
        <v>183</v>
      </c>
      <c r="E148" s="455"/>
      <c r="F148" s="455"/>
      <c r="G148" s="460">
        <f>G38+G52</f>
        <v>1736</v>
      </c>
      <c r="H148" s="682">
        <f>G148+'2'!H148</f>
        <v>5338</v>
      </c>
      <c r="I148" s="480"/>
      <c r="J148" s="552">
        <f>H148/DAY(B2)</f>
        <v>1779.3333333333333</v>
      </c>
      <c r="K148" s="381"/>
      <c r="O148" s="382"/>
    </row>
    <row r="149" spans="1:15" ht="27.75">
      <c r="A149" s="1520" t="s">
        <v>258</v>
      </c>
      <c r="B149" s="1521"/>
      <c r="C149" s="1522"/>
      <c r="D149" s="523" t="s">
        <v>24</v>
      </c>
      <c r="E149" s="455"/>
      <c r="F149" s="455"/>
      <c r="G149" s="543">
        <f>G148/G7</f>
        <v>8.2388116368468517E-2</v>
      </c>
      <c r="H149" s="682">
        <f>G149+'2'!H149</f>
        <v>0.23974427353722302</v>
      </c>
      <c r="I149" s="545"/>
      <c r="J149" s="552">
        <f>H149/DAY(B2)</f>
        <v>7.9914757845741008E-2</v>
      </c>
      <c r="O149" s="382"/>
    </row>
    <row r="150" spans="1:15" ht="27.75">
      <c r="A150" s="1520" t="s">
        <v>259</v>
      </c>
      <c r="B150" s="1521"/>
      <c r="C150" s="1522"/>
      <c r="D150" s="523" t="s">
        <v>183</v>
      </c>
      <c r="E150" s="455"/>
      <c r="F150" s="455"/>
      <c r="G150" s="460">
        <f>G36+G50</f>
        <v>2039</v>
      </c>
      <c r="H150" s="682">
        <f>G150+'2'!H150</f>
        <v>6549</v>
      </c>
      <c r="I150" s="545"/>
      <c r="J150" s="552">
        <f>H150/DAY(B2)</f>
        <v>2183</v>
      </c>
      <c r="O150" s="382"/>
    </row>
    <row r="151" spans="1:15" ht="27.75">
      <c r="A151" s="1520" t="s">
        <v>260</v>
      </c>
      <c r="B151" s="1521"/>
      <c r="C151" s="1522"/>
      <c r="D151" s="523" t="s">
        <v>24</v>
      </c>
      <c r="E151" s="455"/>
      <c r="F151" s="455"/>
      <c r="G151" s="543">
        <f>G150/G7</f>
        <v>9.6768069859047984E-2</v>
      </c>
      <c r="H151" s="682">
        <f>G151+'2'!H151</f>
        <v>0.29298558840868782</v>
      </c>
      <c r="I151" s="480"/>
      <c r="J151" s="552">
        <f>H151/DAY(B2)</f>
        <v>9.7661862802895946E-2</v>
      </c>
      <c r="O151" s="382"/>
    </row>
    <row r="152" spans="1:15" ht="27.75">
      <c r="A152" s="1520" t="s">
        <v>261</v>
      </c>
      <c r="B152" s="1521"/>
      <c r="C152" s="1522"/>
      <c r="D152" s="523" t="s">
        <v>183</v>
      </c>
      <c r="E152" s="455"/>
      <c r="F152" s="455"/>
      <c r="G152" s="460">
        <f>G37+G51</f>
        <v>1432</v>
      </c>
      <c r="H152" s="682">
        <f>G152+'2'!H152</f>
        <v>4325</v>
      </c>
      <c r="I152" s="480"/>
      <c r="J152" s="552">
        <f>H152/DAY(B2)</f>
        <v>1441.6666666666667</v>
      </c>
      <c r="O152" s="382"/>
    </row>
    <row r="153" spans="1:15" ht="28.5" thickBot="1">
      <c r="A153" s="1523" t="s">
        <v>262</v>
      </c>
      <c r="B153" s="1524"/>
      <c r="C153" s="1525"/>
      <c r="D153" s="625" t="s">
        <v>24</v>
      </c>
      <c r="E153" s="565"/>
      <c r="F153" s="565"/>
      <c r="G153" s="566">
        <f>G152/G7</f>
        <v>6.7960704285510889E-2</v>
      </c>
      <c r="H153" s="682">
        <f>G153+'2'!H153</f>
        <v>0.19428741785142412</v>
      </c>
      <c r="I153" s="568"/>
      <c r="J153" s="569">
        <f>H153/DAY(B2)</f>
        <v>6.4762472617141367E-2</v>
      </c>
      <c r="O153" s="382"/>
    </row>
    <row r="154" spans="1:15">
      <c r="O154" s="382"/>
    </row>
    <row r="157" spans="1:15" ht="27.75">
      <c r="A157" s="1554" t="s">
        <v>267</v>
      </c>
      <c r="B157" s="1555"/>
      <c r="C157" s="1555"/>
      <c r="D157" s="1555"/>
      <c r="E157" s="1555"/>
      <c r="F157" s="1555"/>
      <c r="G157" s="1556"/>
    </row>
    <row r="158" spans="1:15">
      <c r="A158" s="788"/>
      <c r="B158" s="789"/>
      <c r="C158" s="789"/>
      <c r="D158" s="511"/>
      <c r="E158" s="455"/>
      <c r="F158" s="661"/>
      <c r="G158" s="473"/>
    </row>
    <row r="159" spans="1:15">
      <c r="A159" s="788"/>
      <c r="B159" s="789"/>
      <c r="C159" s="789"/>
      <c r="D159" s="511"/>
      <c r="E159" s="455"/>
      <c r="F159" s="661"/>
      <c r="G159" s="473"/>
    </row>
    <row r="160" spans="1:15">
      <c r="A160" s="788" t="s">
        <v>263</v>
      </c>
      <c r="B160" s="789"/>
      <c r="C160" s="789"/>
      <c r="D160" s="511" t="s">
        <v>187</v>
      </c>
      <c r="E160" s="455">
        <f>'2'!F160</f>
        <v>33601</v>
      </c>
      <c r="F160" s="661">
        <v>33684</v>
      </c>
      <c r="G160" s="473">
        <f t="shared" ref="G160:G171" si="17">F160-E160</f>
        <v>83</v>
      </c>
    </row>
    <row r="161" spans="1:7">
      <c r="A161" s="788" t="s">
        <v>264</v>
      </c>
      <c r="B161" s="789"/>
      <c r="C161" s="789"/>
      <c r="D161" s="511" t="s">
        <v>187</v>
      </c>
      <c r="E161" s="455">
        <f>'2'!F161</f>
        <v>69507</v>
      </c>
      <c r="F161" s="661">
        <v>69958</v>
      </c>
      <c r="G161" s="473">
        <f t="shared" si="17"/>
        <v>451</v>
      </c>
    </row>
    <row r="162" spans="1:7">
      <c r="A162" s="788" t="s">
        <v>265</v>
      </c>
      <c r="B162" s="789"/>
      <c r="C162" s="789"/>
      <c r="D162" s="511" t="s">
        <v>187</v>
      </c>
      <c r="E162" s="455">
        <f>'2'!F162</f>
        <v>29959</v>
      </c>
      <c r="F162" s="661">
        <v>30145</v>
      </c>
      <c r="G162" s="473">
        <f t="shared" si="17"/>
        <v>186</v>
      </c>
    </row>
    <row r="163" spans="1:7">
      <c r="A163" s="788" t="s">
        <v>266</v>
      </c>
      <c r="B163" s="789"/>
      <c r="C163" s="789"/>
      <c r="D163" s="511" t="s">
        <v>187</v>
      </c>
      <c r="E163" s="455">
        <f>'2'!F163</f>
        <v>5815</v>
      </c>
      <c r="F163" s="661">
        <v>5829</v>
      </c>
      <c r="G163" s="473">
        <f t="shared" si="17"/>
        <v>14</v>
      </c>
    </row>
    <row r="164" spans="1:7">
      <c r="A164" s="790" t="s">
        <v>98</v>
      </c>
      <c r="B164" s="604"/>
      <c r="C164" s="604"/>
      <c r="D164" s="511" t="s">
        <v>187</v>
      </c>
      <c r="E164" s="455">
        <f>'2'!F164</f>
        <v>0</v>
      </c>
      <c r="F164" s="514">
        <f>F62</f>
        <v>0</v>
      </c>
      <c r="G164" s="473">
        <f t="shared" si="17"/>
        <v>0</v>
      </c>
    </row>
    <row r="165" spans="1:7">
      <c r="A165" s="790" t="s">
        <v>188</v>
      </c>
      <c r="B165" s="604"/>
      <c r="C165" s="604"/>
      <c r="D165" s="511" t="s">
        <v>187</v>
      </c>
      <c r="E165" s="455">
        <f>'2'!F165</f>
        <v>2118</v>
      </c>
      <c r="F165" s="514">
        <v>1745.37</v>
      </c>
      <c r="G165" s="473">
        <f t="shared" si="17"/>
        <v>-372.63000000000011</v>
      </c>
    </row>
    <row r="166" spans="1:7" ht="21.75" customHeight="1">
      <c r="A166" s="1495" t="s">
        <v>99</v>
      </c>
      <c r="B166" s="1495"/>
      <c r="C166" s="1495"/>
      <c r="D166" s="523" t="s">
        <v>187</v>
      </c>
      <c r="E166" s="455">
        <f>'2'!F166</f>
        <v>140099</v>
      </c>
      <c r="F166" s="514">
        <v>125180.16</v>
      </c>
      <c r="G166" s="473">
        <f t="shared" si="17"/>
        <v>-14918.839999999997</v>
      </c>
    </row>
    <row r="167" spans="1:7" ht="21.75" customHeight="1">
      <c r="A167" s="1495" t="s">
        <v>100</v>
      </c>
      <c r="B167" s="1495"/>
      <c r="C167" s="1495"/>
      <c r="D167" s="523" t="s">
        <v>187</v>
      </c>
      <c r="E167" s="455">
        <f>'2'!F167</f>
        <v>144931</v>
      </c>
      <c r="F167" s="514">
        <f t="shared" ref="F167:F171" si="18">F65</f>
        <v>145286</v>
      </c>
      <c r="G167" s="473">
        <f t="shared" si="17"/>
        <v>355</v>
      </c>
    </row>
    <row r="168" spans="1:7" ht="21.75" customHeight="1">
      <c r="A168" s="1495" t="s">
        <v>101</v>
      </c>
      <c r="B168" s="1495"/>
      <c r="C168" s="1495"/>
      <c r="D168" s="523" t="s">
        <v>187</v>
      </c>
      <c r="E168" s="455">
        <f>'2'!F168</f>
        <v>37998</v>
      </c>
      <c r="F168" s="514">
        <f t="shared" si="18"/>
        <v>38431</v>
      </c>
      <c r="G168" s="473">
        <f t="shared" si="17"/>
        <v>433</v>
      </c>
    </row>
    <row r="169" spans="1:7" ht="27.75" customHeight="1">
      <c r="A169" s="1495" t="s">
        <v>102</v>
      </c>
      <c r="B169" s="1495"/>
      <c r="C169" s="1495"/>
      <c r="D169" s="523" t="s">
        <v>187</v>
      </c>
      <c r="E169" s="455">
        <f>'2'!F169</f>
        <v>230424</v>
      </c>
      <c r="F169" s="514">
        <f t="shared" si="18"/>
        <v>231034</v>
      </c>
      <c r="G169" s="473">
        <f t="shared" si="17"/>
        <v>610</v>
      </c>
    </row>
    <row r="170" spans="1:7" ht="24" customHeight="1">
      <c r="A170" s="1495" t="s">
        <v>103</v>
      </c>
      <c r="B170" s="1495"/>
      <c r="C170" s="1495"/>
      <c r="D170" s="523" t="s">
        <v>187</v>
      </c>
      <c r="E170" s="455">
        <f>'2'!F170</f>
        <v>83715</v>
      </c>
      <c r="F170" s="514">
        <f t="shared" si="18"/>
        <v>84031</v>
      </c>
      <c r="G170" s="473">
        <f t="shared" si="17"/>
        <v>316</v>
      </c>
    </row>
    <row r="171" spans="1:7" ht="22.5" customHeight="1">
      <c r="A171" s="1495" t="s">
        <v>104</v>
      </c>
      <c r="B171" s="1495"/>
      <c r="C171" s="1495"/>
      <c r="D171" s="523" t="s">
        <v>187</v>
      </c>
      <c r="E171" s="455">
        <f>'2'!F171</f>
        <v>74944</v>
      </c>
      <c r="F171" s="514">
        <f t="shared" si="18"/>
        <v>75252</v>
      </c>
      <c r="G171" s="473">
        <f t="shared" si="17"/>
        <v>308</v>
      </c>
    </row>
    <row r="176" spans="1:7" ht="18.7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76" zoomScale="55" zoomScaleNormal="48" zoomScaleSheetLayoutView="55" workbookViewId="0">
      <selection activeCell="G32" sqref="G32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28" t="s">
        <v>117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4" s="281" customFormat="1" ht="27">
      <c r="A2" s="575" t="s">
        <v>345</v>
      </c>
      <c r="B2" s="1036">
        <v>44290</v>
      </c>
      <c r="C2" s="1311" t="s">
        <v>69</v>
      </c>
      <c r="D2" s="611">
        <v>0.8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311" t="s">
        <v>120</v>
      </c>
      <c r="D3" s="612">
        <v>28</v>
      </c>
      <c r="E3" s="1537" t="s">
        <v>121</v>
      </c>
      <c r="F3" s="1538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311" t="s">
        <v>122</v>
      </c>
      <c r="D4" s="611">
        <v>0.78</v>
      </c>
      <c r="E4" s="464"/>
      <c r="F4" s="631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31" t="s">
        <v>130</v>
      </c>
      <c r="B6" s="1532"/>
      <c r="C6" s="1533"/>
      <c r="D6" s="471"/>
      <c r="E6" s="471"/>
      <c r="F6" s="494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'3'!F7</f>
        <v>5180846</v>
      </c>
      <c r="F7" s="633">
        <v>5202563</v>
      </c>
      <c r="G7" s="692">
        <f>F7-E7</f>
        <v>21717</v>
      </c>
      <c r="H7" s="682">
        <f>G7+'3'!H7</f>
        <v>88640</v>
      </c>
      <c r="I7" s="683">
        <f>'[3]1'!I7</f>
        <v>12000</v>
      </c>
      <c r="J7" s="684">
        <f>H7/DAY(B2)</f>
        <v>22160</v>
      </c>
      <c r="K7" s="549"/>
      <c r="L7" s="377"/>
      <c r="N7" s="382"/>
    </row>
    <row r="8" spans="1:14" ht="27.75" thickBot="1">
      <c r="A8" s="685" t="s">
        <v>133</v>
      </c>
      <c r="B8" s="686"/>
      <c r="C8" s="687"/>
      <c r="D8" s="688" t="s">
        <v>25</v>
      </c>
      <c r="E8" s="633">
        <f>'3'!F8</f>
        <v>5212541</v>
      </c>
      <c r="F8" s="634">
        <v>5234378</v>
      </c>
      <c r="G8" s="1053">
        <f>F8-E8</f>
        <v>21837</v>
      </c>
      <c r="H8" s="682">
        <f>G8+'3'!H8</f>
        <v>89060</v>
      </c>
      <c r="I8" s="689">
        <v>12000</v>
      </c>
      <c r="J8" s="684">
        <f>H8/DAY(B2)</f>
        <v>22265</v>
      </c>
      <c r="K8" s="549"/>
      <c r="L8" s="425"/>
      <c r="M8" s="440"/>
      <c r="N8" s="706">
        <f>G7/G8</f>
        <v>0.99450473966204145</v>
      </c>
    </row>
    <row r="9" spans="1:14">
      <c r="A9" s="690" t="s">
        <v>134</v>
      </c>
      <c r="B9" s="691"/>
      <c r="C9" s="691"/>
      <c r="D9" s="638" t="s">
        <v>132</v>
      </c>
      <c r="E9" s="633">
        <f>'3'!F9</f>
        <v>461045</v>
      </c>
      <c r="F9" s="635">
        <v>482078</v>
      </c>
      <c r="G9" s="705">
        <f t="shared" ref="G9:G12" si="0">F9-E9</f>
        <v>21033</v>
      </c>
      <c r="H9" s="682">
        <f>G9+'3'!H9</f>
        <v>86009</v>
      </c>
      <c r="I9" s="693">
        <f>I8-J8</f>
        <v>-10265</v>
      </c>
      <c r="J9" s="684">
        <f>H9/DAY(B2)</f>
        <v>21502.25</v>
      </c>
      <c r="K9" s="428"/>
      <c r="L9" s="377"/>
      <c r="N9" s="382"/>
    </row>
    <row r="10" spans="1:14">
      <c r="A10" s="679" t="s">
        <v>135</v>
      </c>
      <c r="B10" s="680"/>
      <c r="C10" s="680"/>
      <c r="D10" s="638" t="s">
        <v>132</v>
      </c>
      <c r="E10" s="633">
        <f>'3'!F10</f>
        <v>2322.58</v>
      </c>
      <c r="F10" s="635">
        <v>2322.58</v>
      </c>
      <c r="G10" s="692">
        <f t="shared" si="0"/>
        <v>0</v>
      </c>
      <c r="H10" s="682">
        <f>G10+'3'!H10</f>
        <v>0</v>
      </c>
      <c r="I10" s="694"/>
      <c r="J10" s="684">
        <f>H10/DAY(B2)</f>
        <v>0</v>
      </c>
      <c r="K10" s="428"/>
      <c r="L10" s="377"/>
      <c r="N10" s="382"/>
    </row>
    <row r="11" spans="1:14">
      <c r="A11" s="679" t="s">
        <v>136</v>
      </c>
      <c r="B11" s="680"/>
      <c r="C11" s="680"/>
      <c r="D11" s="638" t="s">
        <v>132</v>
      </c>
      <c r="E11" s="633">
        <f>'3'!F11</f>
        <v>37000</v>
      </c>
      <c r="F11" s="633">
        <v>37000</v>
      </c>
      <c r="G11" s="692">
        <f t="shared" si="0"/>
        <v>0</v>
      </c>
      <c r="H11" s="682">
        <f>G11+'[3]3'!H11</f>
        <v>0</v>
      </c>
      <c r="I11" s="694"/>
      <c r="J11" s="684">
        <f>H11/DAY(B2)</f>
        <v>0</v>
      </c>
      <c r="K11" s="428"/>
      <c r="L11" s="377"/>
      <c r="N11" s="382"/>
    </row>
    <row r="12" spans="1:14">
      <c r="A12" s="679" t="s">
        <v>137</v>
      </c>
      <c r="B12" s="680"/>
      <c r="C12" s="680"/>
      <c r="D12" s="638" t="s">
        <v>132</v>
      </c>
      <c r="E12" s="633">
        <f>'3'!F12</f>
        <v>40010</v>
      </c>
      <c r="F12" s="635">
        <v>40010</v>
      </c>
      <c r="G12" s="692">
        <f t="shared" si="0"/>
        <v>0</v>
      </c>
      <c r="H12" s="682">
        <f>G12+'[3]3'!H12</f>
        <v>0</v>
      </c>
      <c r="I12" s="694"/>
      <c r="J12" s="684">
        <f>H12/DAY(B2)</f>
        <v>0</v>
      </c>
      <c r="K12" s="428"/>
      <c r="L12" s="377"/>
      <c r="N12" s="382"/>
    </row>
    <row r="13" spans="1:14">
      <c r="A13" s="695" t="s">
        <v>138</v>
      </c>
      <c r="B13" s="696"/>
      <c r="C13" s="696"/>
      <c r="D13" s="638"/>
      <c r="E13" s="633"/>
      <c r="F13" s="633"/>
      <c r="G13" s="697">
        <f>G9+G10+G11+G12</f>
        <v>21033</v>
      </c>
      <c r="H13" s="682">
        <f>G13+'3'!H13</f>
        <v>86009</v>
      </c>
      <c r="I13" s="698">
        <f>G7-G13</f>
        <v>684</v>
      </c>
      <c r="J13" s="684">
        <f>H13/DAY(B2)</f>
        <v>21502.25</v>
      </c>
      <c r="K13" s="428"/>
      <c r="L13" s="377"/>
      <c r="N13" s="382"/>
    </row>
    <row r="14" spans="1:14">
      <c r="A14" s="1534" t="s">
        <v>139</v>
      </c>
      <c r="B14" s="1535"/>
      <c r="C14" s="1536"/>
      <c r="D14" s="472"/>
      <c r="E14" s="472"/>
      <c r="F14" s="483"/>
      <c r="G14" s="483"/>
      <c r="H14" s="472"/>
      <c r="I14" s="472"/>
      <c r="J14" s="551"/>
      <c r="K14" s="429"/>
      <c r="L14" s="377"/>
      <c r="N14" s="382"/>
    </row>
    <row r="15" spans="1:14">
      <c r="A15" s="796" t="s">
        <v>140</v>
      </c>
      <c r="B15" s="791"/>
      <c r="C15" s="791"/>
      <c r="D15" s="524" t="s">
        <v>141</v>
      </c>
      <c r="E15" s="485">
        <f>'3'!F15</f>
        <v>1649643</v>
      </c>
      <c r="F15" s="626">
        <v>1650621</v>
      </c>
      <c r="G15" s="777">
        <f>(F15-E15)</f>
        <v>978</v>
      </c>
      <c r="H15" s="682">
        <f>G15+'3'!H15</f>
        <v>3932</v>
      </c>
      <c r="I15" s="474">
        <v>800</v>
      </c>
      <c r="J15" s="553">
        <f>H15/DAY(B2)</f>
        <v>983</v>
      </c>
      <c r="K15" s="428"/>
      <c r="L15" s="377"/>
      <c r="N15" s="382"/>
    </row>
    <row r="16" spans="1:14">
      <c r="A16" s="794"/>
      <c r="B16" s="795"/>
      <c r="C16" s="795"/>
      <c r="D16" s="524"/>
      <c r="E16" s="485"/>
      <c r="F16" s="485"/>
      <c r="G16" s="473"/>
      <c r="H16" s="486"/>
      <c r="I16" s="487">
        <f>I15-J15</f>
        <v>-183</v>
      </c>
      <c r="J16" s="553"/>
      <c r="K16" s="428"/>
      <c r="L16" s="377"/>
      <c r="N16" s="382"/>
    </row>
    <row r="17" spans="1:14">
      <c r="A17" s="1534" t="s">
        <v>142</v>
      </c>
      <c r="B17" s="1535"/>
      <c r="C17" s="1536"/>
      <c r="D17" s="472"/>
      <c r="E17" s="472"/>
      <c r="F17" s="483"/>
      <c r="G17" s="488" t="s">
        <v>215</v>
      </c>
      <c r="H17" s="472"/>
      <c r="I17" s="472"/>
      <c r="J17" s="551"/>
      <c r="K17" s="428"/>
      <c r="L17" s="377"/>
      <c r="N17" s="382"/>
    </row>
    <row r="18" spans="1:14" ht="27.75">
      <c r="A18" s="1560" t="s">
        <v>143</v>
      </c>
      <c r="B18" s="1561"/>
      <c r="C18" s="1562"/>
      <c r="D18" s="638" t="s">
        <v>144</v>
      </c>
      <c r="E18" s="635">
        <f>'3'!F18</f>
        <v>10</v>
      </c>
      <c r="F18" s="635">
        <v>12</v>
      </c>
      <c r="G18" s="697">
        <f>F18*10</f>
        <v>120</v>
      </c>
      <c r="H18" s="682">
        <f>G18+'3'!H18</f>
        <v>480</v>
      </c>
      <c r="I18" s="683">
        <f>'[3]1'!I18</f>
        <v>65</v>
      </c>
      <c r="J18" s="684">
        <f>H18/DAY(B2)</f>
        <v>120</v>
      </c>
      <c r="K18" s="428"/>
      <c r="L18" s="377"/>
      <c r="N18" s="382"/>
    </row>
    <row r="19" spans="1:14" ht="27.75">
      <c r="A19" s="1560" t="s">
        <v>71</v>
      </c>
      <c r="B19" s="1561"/>
      <c r="C19" s="1562"/>
      <c r="D19" s="638" t="s">
        <v>144</v>
      </c>
      <c r="E19" s="635">
        <f>'3'!F19</f>
        <v>136249</v>
      </c>
      <c r="F19" s="635">
        <v>136303</v>
      </c>
      <c r="G19" s="692">
        <f t="shared" ref="G19" si="1">F19-E19</f>
        <v>54</v>
      </c>
      <c r="H19" s="682">
        <f>G19+'3'!H19</f>
        <v>213</v>
      </c>
      <c r="I19" s="699"/>
      <c r="J19" s="684">
        <f>H19/DAY(B2)</f>
        <v>53.25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5">
        <f>'3'!F20</f>
        <v>0</v>
      </c>
      <c r="F20" s="638"/>
      <c r="G20" s="1052">
        <f>G18+G19</f>
        <v>174</v>
      </c>
      <c r="H20" s="682">
        <f>G20+'3'!H20</f>
        <v>693</v>
      </c>
      <c r="I20" s="701">
        <f>I18-J20</f>
        <v>-108.25</v>
      </c>
      <c r="J20" s="684">
        <f>H20/DAY(B2)</f>
        <v>173.25</v>
      </c>
      <c r="K20" s="428"/>
      <c r="L20" s="377"/>
      <c r="N20" s="382"/>
    </row>
    <row r="21" spans="1:14">
      <c r="A21" s="1534" t="s">
        <v>146</v>
      </c>
      <c r="B21" s="1535"/>
      <c r="C21" s="1536"/>
      <c r="D21" s="472"/>
      <c r="E21" s="472"/>
      <c r="F21" s="483"/>
      <c r="G21" s="483"/>
      <c r="H21" s="472"/>
      <c r="I21" s="472"/>
      <c r="J21" s="551"/>
      <c r="K21" s="428"/>
      <c r="L21" s="377"/>
      <c r="N21" s="382"/>
    </row>
    <row r="22" spans="1:14">
      <c r="A22" s="1309" t="s">
        <v>147</v>
      </c>
      <c r="B22" s="589"/>
      <c r="C22" s="589"/>
      <c r="D22" s="523" t="s">
        <v>148</v>
      </c>
      <c r="E22" s="478">
        <v>1290</v>
      </c>
      <c r="F22" s="635">
        <v>1290</v>
      </c>
      <c r="G22" s="692">
        <f t="shared" ref="G22" si="2">F22-E22</f>
        <v>0</v>
      </c>
      <c r="H22" s="682">
        <f>G22+'3'!H22</f>
        <v>0</v>
      </c>
      <c r="I22" s="480"/>
      <c r="J22" s="552">
        <f>H22/DAY(B2)</f>
        <v>0</v>
      </c>
      <c r="K22" s="428"/>
      <c r="L22" s="377"/>
      <c r="M22" s="376" t="s">
        <v>269</v>
      </c>
      <c r="N22" s="382"/>
    </row>
    <row r="23" spans="1:14">
      <c r="A23" s="1309" t="s">
        <v>149</v>
      </c>
      <c r="B23" s="589"/>
      <c r="C23" s="589"/>
      <c r="D23" s="523" t="s">
        <v>148</v>
      </c>
      <c r="E23" s="478">
        <v>1900</v>
      </c>
      <c r="F23" s="635">
        <v>1900</v>
      </c>
      <c r="G23" s="692">
        <v>0</v>
      </c>
      <c r="H23" s="682">
        <f>G23+'3'!H23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v>3290</v>
      </c>
      <c r="F24" s="637">
        <v>3290</v>
      </c>
      <c r="G24" s="692">
        <v>0</v>
      </c>
      <c r="H24" s="682">
        <f>G24+'3'!H24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39" t="s">
        <v>151</v>
      </c>
      <c r="B25" s="1540"/>
      <c r="C25" s="1541"/>
      <c r="D25" s="471"/>
      <c r="E25" s="471"/>
      <c r="F25" s="494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21837</v>
      </c>
      <c r="F27" s="501">
        <v>9</v>
      </c>
      <c r="G27" s="502">
        <f>E27*F27</f>
        <v>196533</v>
      </c>
      <c r="H27" s="682">
        <f>G27+'3'!H27</f>
        <v>801540</v>
      </c>
      <c r="I27" s="503"/>
      <c r="J27" s="552">
        <f>H27/DAY(B2)</f>
        <v>200385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978</v>
      </c>
      <c r="F28" s="501">
        <v>51.45</v>
      </c>
      <c r="G28" s="502">
        <f>E28*F28</f>
        <v>50318.100000000006</v>
      </c>
      <c r="H28" s="682">
        <f>G28+'3'!H28</f>
        <v>202301.40000000002</v>
      </c>
      <c r="I28" s="505"/>
      <c r="J28" s="552">
        <f>H28/DAY(B2)</f>
        <v>50575.350000000006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682">
        <f>G29+'3'!H29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54</v>
      </c>
      <c r="F30" s="501">
        <v>134</v>
      </c>
      <c r="G30" s="502">
        <f>E30*F30</f>
        <v>7236</v>
      </c>
      <c r="H30" s="682">
        <f>G30+'3'!H30</f>
        <v>28542</v>
      </c>
      <c r="I30" s="505"/>
      <c r="J30" s="552">
        <f>H30/DAY(B2)</f>
        <v>7135.5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120</v>
      </c>
      <c r="F31" s="501">
        <v>80</v>
      </c>
      <c r="G31" s="502">
        <f>E31*F31</f>
        <v>9600</v>
      </c>
      <c r="H31" s="682">
        <f>G31+'3'!H31</f>
        <v>38400</v>
      </c>
      <c r="I31" s="505"/>
      <c r="J31" s="552">
        <f>H31/DAY(B2)</f>
        <v>9600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639"/>
      <c r="G32" s="508">
        <f>G27+G28+G29+G30+G31</f>
        <v>263687.09999999998</v>
      </c>
      <c r="H32" s="682">
        <f>G32+'3'!H32</f>
        <v>1070783.3999999999</v>
      </c>
      <c r="I32" s="509"/>
      <c r="J32" s="552">
        <f>H32/DAY(B2)</f>
        <v>267695.84999999998</v>
      </c>
      <c r="K32" s="373"/>
      <c r="L32" s="443"/>
      <c r="N32" s="382"/>
    </row>
    <row r="33" spans="1:14" ht="25.5" customHeight="1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  <c r="N33" s="382"/>
    </row>
    <row r="34" spans="1:14">
      <c r="A34" s="598" t="s">
        <v>163</v>
      </c>
      <c r="B34" s="1314"/>
      <c r="C34" s="1314"/>
      <c r="D34" s="472"/>
      <c r="E34" s="471"/>
      <c r="F34" s="494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'3'!F35</f>
        <v>808261</v>
      </c>
      <c r="F35" s="640">
        <v>811737</v>
      </c>
      <c r="G35" s="473">
        <f t="shared" ref="G35:G46" si="3">F35-E35</f>
        <v>3476</v>
      </c>
      <c r="H35" s="682">
        <f>G35+'3'!H35</f>
        <v>13348</v>
      </c>
      <c r="I35" s="455"/>
      <c r="J35" s="552">
        <f>H35/DAY(B2)</f>
        <v>3337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'3'!F36</f>
        <v>320349</v>
      </c>
      <c r="F36" s="640">
        <v>321206</v>
      </c>
      <c r="G36" s="473">
        <f t="shared" si="3"/>
        <v>857</v>
      </c>
      <c r="H36" s="682">
        <f>G36+'3'!H36</f>
        <v>3770</v>
      </c>
      <c r="I36" s="455"/>
      <c r="J36" s="552">
        <f>H36/DAY(B2)</f>
        <v>942.5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'3'!F37</f>
        <v>59122</v>
      </c>
      <c r="F37" s="640">
        <v>60512</v>
      </c>
      <c r="G37" s="473">
        <f t="shared" si="3"/>
        <v>1390</v>
      </c>
      <c r="H37" s="682">
        <f>G37+'3'!H37</f>
        <v>5715</v>
      </c>
      <c r="I37" s="455"/>
      <c r="J37" s="552">
        <f>H37/DAY(B2)</f>
        <v>1428.75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'3'!F38</f>
        <v>77646</v>
      </c>
      <c r="F38" s="641">
        <v>79329.7</v>
      </c>
      <c r="G38" s="473">
        <f t="shared" si="3"/>
        <v>1683.6999999999971</v>
      </c>
      <c r="H38" s="682">
        <f>G38+'3'!H38</f>
        <v>7021.6999999999971</v>
      </c>
      <c r="I38" s="455"/>
      <c r="J38" s="552">
        <f>H38/DAY(B2)</f>
        <v>1755.4249999999993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'3'!F39</f>
        <v>164652</v>
      </c>
      <c r="F39" s="640">
        <v>168584</v>
      </c>
      <c r="G39" s="473">
        <f t="shared" si="3"/>
        <v>3932</v>
      </c>
      <c r="H39" s="682">
        <f>G39+'3'!H39</f>
        <v>15762</v>
      </c>
      <c r="I39" s="455"/>
      <c r="J39" s="552">
        <f>H39/DAY(B2)</f>
        <v>3940.5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'3'!F40</f>
        <v>0</v>
      </c>
      <c r="F40" s="640">
        <v>0</v>
      </c>
      <c r="G40" s="473">
        <f t="shared" si="3"/>
        <v>0</v>
      </c>
      <c r="H40" s="682">
        <f>G40+'3'!H40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'3'!F41</f>
        <v>149398</v>
      </c>
      <c r="F41" s="640">
        <v>155174</v>
      </c>
      <c r="G41" s="473">
        <f t="shared" si="3"/>
        <v>5776</v>
      </c>
      <c r="H41" s="682">
        <f>G41+'3'!H41</f>
        <v>22033</v>
      </c>
      <c r="I41" s="455"/>
      <c r="J41" s="552">
        <f>H41/DAY(B2)</f>
        <v>5508.25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'3'!F42</f>
        <v>59128</v>
      </c>
      <c r="F42" s="640">
        <v>59128</v>
      </c>
      <c r="G42" s="473">
        <f t="shared" si="3"/>
        <v>0</v>
      </c>
      <c r="H42" s="682">
        <f>G42+'3'!H42</f>
        <v>-0.16000000000349246</v>
      </c>
      <c r="I42" s="455"/>
      <c r="J42" s="552">
        <f>H42/DAY(B2)</f>
        <v>-4.0000000000873115E-2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'3'!F43</f>
        <v>909758</v>
      </c>
      <c r="F43" s="640">
        <v>912234</v>
      </c>
      <c r="G43" s="473">
        <f t="shared" si="3"/>
        <v>2476</v>
      </c>
      <c r="H43" s="682">
        <f>G43+'3'!H43</f>
        <v>10186</v>
      </c>
      <c r="I43" s="455"/>
      <c r="J43" s="552">
        <f>H43/DAY(B2)</f>
        <v>2546.5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'3'!F44</f>
        <v>0</v>
      </c>
      <c r="F44" s="640">
        <v>0</v>
      </c>
      <c r="G44" s="473">
        <f t="shared" si="3"/>
        <v>0</v>
      </c>
      <c r="H44" s="682">
        <f>G44+'3'!H44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'3'!F45</f>
        <v>614</v>
      </c>
      <c r="F45" s="640">
        <v>614</v>
      </c>
      <c r="G45" s="473">
        <f t="shared" si="3"/>
        <v>0</v>
      </c>
      <c r="H45" s="682">
        <f>G45+'3'!H45</f>
        <v>614</v>
      </c>
      <c r="I45" s="455"/>
      <c r="J45" s="552">
        <f>H45/DAY(B2)</f>
        <v>153.5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'3'!F46</f>
        <v>187</v>
      </c>
      <c r="F46" s="640">
        <v>187</v>
      </c>
      <c r="G46" s="473">
        <f t="shared" si="3"/>
        <v>0</v>
      </c>
      <c r="H46" s="682">
        <f>G46+'3'!H46</f>
        <v>187</v>
      </c>
      <c r="I46" s="455"/>
      <c r="J46" s="552">
        <f>H46/DAY(B2)</f>
        <v>46.75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642"/>
      <c r="G47" s="481">
        <f>G35+G36+G37+G38+G39+G40+G41+G42+G43+G44+G45+G46</f>
        <v>19590.699999999997</v>
      </c>
      <c r="H47" s="682">
        <f>G47+'3'!H47</f>
        <v>78636.539999999994</v>
      </c>
      <c r="I47" s="455"/>
      <c r="J47" s="552">
        <f>H47/DAY(B2)</f>
        <v>19659.134999999998</v>
      </c>
      <c r="K47" s="428"/>
      <c r="L47" s="377"/>
      <c r="N47" s="382"/>
    </row>
    <row r="48" spans="1:14">
      <c r="A48" s="598" t="s">
        <v>177</v>
      </c>
      <c r="B48" s="1314"/>
      <c r="C48" s="1314"/>
      <c r="D48" s="472"/>
      <c r="E48" s="471"/>
      <c r="F48" s="494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'3'!F49</f>
        <v>260732.13</v>
      </c>
      <c r="F49" s="640">
        <v>260732</v>
      </c>
      <c r="G49" s="473">
        <f t="shared" ref="G49:G58" si="4">F49-E49</f>
        <v>-0.13000000000465661</v>
      </c>
      <c r="H49" s="682">
        <f>G49+'3'!H49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'3'!F50</f>
        <v>444868</v>
      </c>
      <c r="F50" s="640">
        <v>445922</v>
      </c>
      <c r="G50" s="473">
        <f t="shared" si="4"/>
        <v>1054</v>
      </c>
      <c r="H50" s="682">
        <f>G50+'3'!H50</f>
        <v>4690</v>
      </c>
      <c r="I50" s="455"/>
      <c r="J50" s="552">
        <f>H50/DAY(B2)</f>
        <v>1172.5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'3'!F51</f>
        <v>144640</v>
      </c>
      <c r="F51" s="640">
        <v>144640</v>
      </c>
      <c r="G51" s="473">
        <f t="shared" si="4"/>
        <v>0</v>
      </c>
      <c r="H51" s="682">
        <f>G51+'3'!H51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'3'!F52</f>
        <v>539608</v>
      </c>
      <c r="F52" s="640">
        <v>539608</v>
      </c>
      <c r="G52" s="473">
        <f t="shared" si="4"/>
        <v>0</v>
      </c>
      <c r="H52" s="682">
        <f>G52+'3'!H52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'3'!F53</f>
        <v>401785</v>
      </c>
      <c r="F53" s="640">
        <v>402124</v>
      </c>
      <c r="G53" s="473">
        <f t="shared" si="4"/>
        <v>339</v>
      </c>
      <c r="H53" s="682">
        <f>G53+'3'!H53</f>
        <v>860</v>
      </c>
      <c r="I53" s="455"/>
      <c r="J53" s="552">
        <f>H53/DAY(B2)</f>
        <v>215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'3'!F54</f>
        <v>9384</v>
      </c>
      <c r="F54" s="640">
        <v>9451</v>
      </c>
      <c r="G54" s="473">
        <f t="shared" si="4"/>
        <v>67</v>
      </c>
      <c r="H54" s="682">
        <f>G54+'3'!H54</f>
        <v>285</v>
      </c>
      <c r="I54" s="455"/>
      <c r="J54" s="552">
        <f>H54/DAY(B2)</f>
        <v>71.25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'3'!F55</f>
        <v>218710</v>
      </c>
      <c r="F55" s="643">
        <v>218939</v>
      </c>
      <c r="G55" s="473">
        <f t="shared" si="4"/>
        <v>229</v>
      </c>
      <c r="H55" s="682">
        <f>G55+'3'!H55</f>
        <v>2842</v>
      </c>
      <c r="I55" s="455"/>
      <c r="J55" s="552">
        <f>H55/DAY(B2)</f>
        <v>710.5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'3'!F56</f>
        <v>588985</v>
      </c>
      <c r="F56" s="643">
        <v>589013</v>
      </c>
      <c r="G56" s="473">
        <f t="shared" si="4"/>
        <v>28</v>
      </c>
      <c r="H56" s="682">
        <f>G56+'3'!H56</f>
        <v>46</v>
      </c>
      <c r="I56" s="455"/>
      <c r="J56" s="552">
        <f>H56/DAY(B2)</f>
        <v>11.5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'3'!F57</f>
        <v>7711.33</v>
      </c>
      <c r="F57" s="643">
        <v>7711</v>
      </c>
      <c r="G57" s="473">
        <f t="shared" si="4"/>
        <v>-0.32999999999992724</v>
      </c>
      <c r="H57" s="682">
        <f>G57+'3'!H57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'3'!F58</f>
        <v>42118</v>
      </c>
      <c r="F58" s="643">
        <v>42332</v>
      </c>
      <c r="G58" s="473">
        <f t="shared" si="4"/>
        <v>214</v>
      </c>
      <c r="H58" s="682">
        <f>G58+'3'!H58</f>
        <v>785</v>
      </c>
      <c r="I58" s="455"/>
      <c r="J58" s="552">
        <f>H58/DAY(B2)</f>
        <v>196.25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642"/>
      <c r="G59" s="481">
        <f>G49+G50+G51+G52+G53+G54+G55+G56+G57+G58</f>
        <v>1930.5399999999954</v>
      </c>
      <c r="H59" s="682">
        <f>G59+'3'!H59</f>
        <v>9508</v>
      </c>
      <c r="I59" s="455">
        <f>G7-G60</f>
        <v>195.76000000000931</v>
      </c>
      <c r="J59" s="552">
        <f>H59/DAY(B2)</f>
        <v>2377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642"/>
      <c r="G60" s="481">
        <f>G47+G59</f>
        <v>21521.239999999991</v>
      </c>
      <c r="H60" s="682">
        <f>G60+'3'!H60</f>
        <v>88144.54</v>
      </c>
      <c r="I60" s="455">
        <f>G13-G60</f>
        <v>-488.23999999999069</v>
      </c>
      <c r="J60" s="552">
        <f>H60/DAY(B2)</f>
        <v>22036.134999999998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644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'3'!F62</f>
        <v>0</v>
      </c>
      <c r="F62" s="645">
        <v>0</v>
      </c>
      <c r="G62" s="473">
        <f t="shared" ref="G62:G69" si="5">F62-E62</f>
        <v>0</v>
      </c>
      <c r="H62" s="460">
        <f>G62+'[3]3'!H62</f>
        <v>1.9999999967694748E-3</v>
      </c>
      <c r="I62" s="515"/>
      <c r="J62" s="552">
        <f>H62/DAY(B2)</f>
        <v>4.999999991923687E-4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'3'!F63</f>
        <v>2129</v>
      </c>
      <c r="F63" s="645">
        <v>2140</v>
      </c>
      <c r="G63" s="473">
        <f t="shared" si="5"/>
        <v>11</v>
      </c>
      <c r="H63" s="682">
        <f>G63+'3'!H63</f>
        <v>44</v>
      </c>
      <c r="I63" s="515"/>
      <c r="J63" s="552">
        <f>H63/DAY(B2)</f>
        <v>11</v>
      </c>
      <c r="K63" s="428"/>
      <c r="L63" s="377"/>
      <c r="N63" s="382"/>
    </row>
    <row r="64" spans="1:14" ht="27.75">
      <c r="A64" s="1499" t="s">
        <v>99</v>
      </c>
      <c r="B64" s="1500"/>
      <c r="C64" s="1501"/>
      <c r="D64" s="523" t="s">
        <v>187</v>
      </c>
      <c r="E64" s="514">
        <f>'3'!F64</f>
        <v>140552</v>
      </c>
      <c r="F64" s="635">
        <v>141006</v>
      </c>
      <c r="G64" s="473">
        <f t="shared" si="5"/>
        <v>454</v>
      </c>
      <c r="H64" s="682">
        <f>G64+'3'!H64</f>
        <v>1826</v>
      </c>
      <c r="I64" s="480"/>
      <c r="J64" s="552">
        <f>H64/DAY(B2)</f>
        <v>456.5</v>
      </c>
      <c r="K64" s="428"/>
      <c r="L64" s="377"/>
      <c r="N64" s="382"/>
    </row>
    <row r="65" spans="1:14" ht="27.75">
      <c r="A65" s="1499" t="s">
        <v>100</v>
      </c>
      <c r="B65" s="1500"/>
      <c r="C65" s="1501"/>
      <c r="D65" s="523" t="s">
        <v>187</v>
      </c>
      <c r="E65" s="514">
        <f>'3'!F65</f>
        <v>145286</v>
      </c>
      <c r="F65" s="636">
        <v>145662</v>
      </c>
      <c r="G65" s="473">
        <f t="shared" si="5"/>
        <v>376</v>
      </c>
      <c r="H65" s="682">
        <f>G65+'3'!H65</f>
        <v>1457</v>
      </c>
      <c r="I65" s="489"/>
      <c r="J65" s="552">
        <f>H65/DAY(B2)</f>
        <v>364.25</v>
      </c>
      <c r="K65" s="428"/>
      <c r="L65" s="377"/>
      <c r="N65" s="382"/>
    </row>
    <row r="66" spans="1:14" ht="27.75">
      <c r="A66" s="1499" t="s">
        <v>101</v>
      </c>
      <c r="B66" s="1500"/>
      <c r="C66" s="1501"/>
      <c r="D66" s="523" t="s">
        <v>187</v>
      </c>
      <c r="E66" s="514">
        <f>'3'!F66</f>
        <v>38431</v>
      </c>
      <c r="F66" s="635">
        <v>38814</v>
      </c>
      <c r="G66" s="473">
        <f t="shared" si="5"/>
        <v>383</v>
      </c>
      <c r="H66" s="682">
        <f>G66+'3'!H66</f>
        <v>1606</v>
      </c>
      <c r="I66" s="480"/>
      <c r="J66" s="552">
        <f>H66/DAY(B2)</f>
        <v>401.5</v>
      </c>
      <c r="K66" s="428"/>
      <c r="L66" s="377"/>
      <c r="N66" s="382"/>
    </row>
    <row r="67" spans="1:14" ht="27.75">
      <c r="A67" s="1499" t="s">
        <v>102</v>
      </c>
      <c r="B67" s="1500"/>
      <c r="C67" s="1501"/>
      <c r="D67" s="523" t="s">
        <v>187</v>
      </c>
      <c r="E67" s="514">
        <f>'3'!F67</f>
        <v>231034</v>
      </c>
      <c r="F67" s="635">
        <v>231671</v>
      </c>
      <c r="G67" s="473">
        <f t="shared" si="5"/>
        <v>637</v>
      </c>
      <c r="H67" s="682">
        <f>G67+'3'!H67</f>
        <v>2571</v>
      </c>
      <c r="I67" s="489"/>
      <c r="J67" s="552">
        <f>H67/DAY(B2)</f>
        <v>642.75</v>
      </c>
      <c r="K67" s="429"/>
      <c r="L67" s="377"/>
      <c r="N67" s="382"/>
    </row>
    <row r="68" spans="1:14" ht="27.75">
      <c r="A68" s="1499" t="s">
        <v>103</v>
      </c>
      <c r="B68" s="1500"/>
      <c r="C68" s="1501"/>
      <c r="D68" s="523" t="s">
        <v>187</v>
      </c>
      <c r="E68" s="514">
        <f>'3'!F68</f>
        <v>84031</v>
      </c>
      <c r="F68" s="635">
        <v>84386</v>
      </c>
      <c r="G68" s="473">
        <f t="shared" si="5"/>
        <v>355</v>
      </c>
      <c r="H68" s="682">
        <f>G68+'3'!H68</f>
        <v>1299</v>
      </c>
      <c r="I68" s="516"/>
      <c r="J68" s="552">
        <f>H68/DAY(B2)</f>
        <v>324.75</v>
      </c>
      <c r="K68" s="430"/>
      <c r="L68" s="377"/>
      <c r="N68" s="382"/>
    </row>
    <row r="69" spans="1:14" ht="27.75">
      <c r="A69" s="1499" t="s">
        <v>104</v>
      </c>
      <c r="B69" s="1500"/>
      <c r="C69" s="1501"/>
      <c r="D69" s="523" t="s">
        <v>187</v>
      </c>
      <c r="E69" s="514">
        <f>'3'!F69</f>
        <v>75252</v>
      </c>
      <c r="F69" s="635">
        <v>75574.58</v>
      </c>
      <c r="G69" s="473">
        <f t="shared" si="5"/>
        <v>322.58000000000175</v>
      </c>
      <c r="H69" s="682">
        <f>G69+'3'!H69</f>
        <v>1245.5800000000017</v>
      </c>
      <c r="I69" s="516"/>
      <c r="J69" s="552">
        <f>H69/DAY(B2)</f>
        <v>311.39500000000044</v>
      </c>
      <c r="K69" s="431"/>
      <c r="L69" s="377"/>
      <c r="N69" s="382"/>
    </row>
    <row r="70" spans="1:14" ht="27.75">
      <c r="A70" s="1505" t="s">
        <v>189</v>
      </c>
      <c r="B70" s="1506"/>
      <c r="C70" s="1507"/>
      <c r="D70" s="523" t="s">
        <v>187</v>
      </c>
      <c r="E70" s="518"/>
      <c r="F70" s="646"/>
      <c r="G70" s="518"/>
      <c r="H70" s="460">
        <f>G70+'[3]3'!H70</f>
        <v>0</v>
      </c>
      <c r="I70" s="518"/>
      <c r="J70" s="556">
        <f>H70/DAY(B2)</f>
        <v>0</v>
      </c>
      <c r="K70" s="431"/>
      <c r="L70" s="377"/>
      <c r="N70" s="382"/>
    </row>
    <row r="71" spans="1:14" ht="31.5">
      <c r="A71" s="1502" t="s">
        <v>190</v>
      </c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  <c r="N71" s="382"/>
    </row>
    <row r="72" spans="1:14" ht="27.75">
      <c r="A72" s="1499" t="s">
        <v>191</v>
      </c>
      <c r="B72" s="1500"/>
      <c r="C72" s="1501"/>
      <c r="D72" s="523" t="s">
        <v>187</v>
      </c>
      <c r="E72" s="657">
        <v>853494</v>
      </c>
      <c r="F72" s="647">
        <v>853593</v>
      </c>
      <c r="G72" s="473">
        <f t="shared" ref="G72:G84" si="6">F72-E72</f>
        <v>99</v>
      </c>
      <c r="H72" s="682">
        <f>G72+'3'!H72</f>
        <v>414</v>
      </c>
      <c r="I72" s="480"/>
      <c r="J72" s="552">
        <f>H72/DAY(B2)</f>
        <v>103.5</v>
      </c>
      <c r="K72" s="431"/>
      <c r="L72" s="377"/>
      <c r="N72" s="382"/>
    </row>
    <row r="73" spans="1:14" ht="27.75">
      <c r="A73" s="1499" t="s">
        <v>192</v>
      </c>
      <c r="B73" s="1500"/>
      <c r="C73" s="1501"/>
      <c r="D73" s="523" t="s">
        <v>187</v>
      </c>
      <c r="E73" s="658">
        <v>885806</v>
      </c>
      <c r="F73" s="648">
        <v>885808</v>
      </c>
      <c r="G73" s="655">
        <f t="shared" si="6"/>
        <v>2</v>
      </c>
      <c r="H73" s="682">
        <f>G73+'3'!H73</f>
        <v>8</v>
      </c>
      <c r="I73" s="480"/>
      <c r="J73" s="552">
        <f>H73/DAY(B2)</f>
        <v>2</v>
      </c>
      <c r="K73" s="430"/>
      <c r="L73" s="377"/>
      <c r="N73" s="382"/>
    </row>
    <row r="74" spans="1:14" ht="27.75">
      <c r="A74" s="1499" t="s">
        <v>193</v>
      </c>
      <c r="B74" s="1500"/>
      <c r="C74" s="1501"/>
      <c r="D74" s="523" t="s">
        <v>187</v>
      </c>
      <c r="E74" s="659">
        <v>1438</v>
      </c>
      <c r="F74" s="649">
        <v>1456</v>
      </c>
      <c r="G74" s="473">
        <f>F74-E74</f>
        <v>18</v>
      </c>
      <c r="H74" s="682">
        <f>G74+'3'!H74</f>
        <v>86</v>
      </c>
      <c r="I74" s="480"/>
      <c r="J74" s="552">
        <f>H74/DAY(B2)</f>
        <v>21.5</v>
      </c>
      <c r="K74" s="431"/>
      <c r="L74" s="377"/>
      <c r="N74" s="382"/>
    </row>
    <row r="75" spans="1:14" ht="27.75">
      <c r="A75" s="1496" t="s">
        <v>194</v>
      </c>
      <c r="B75" s="1497"/>
      <c r="C75" s="1498"/>
      <c r="D75" s="523" t="s">
        <v>187</v>
      </c>
      <c r="E75" s="659">
        <v>9071</v>
      </c>
      <c r="F75" s="649">
        <v>9195</v>
      </c>
      <c r="G75" s="473">
        <f t="shared" si="6"/>
        <v>124</v>
      </c>
      <c r="H75" s="682">
        <f>G75+'3'!H75</f>
        <v>515</v>
      </c>
      <c r="I75" s="480"/>
      <c r="J75" s="552">
        <f>H75/DAY(B2)</f>
        <v>128.75</v>
      </c>
      <c r="K75" s="430"/>
      <c r="L75" s="377"/>
      <c r="N75" s="382"/>
    </row>
    <row r="76" spans="1:14" ht="27.75">
      <c r="A76" s="1496" t="s">
        <v>195</v>
      </c>
      <c r="B76" s="1497"/>
      <c r="C76" s="1498"/>
      <c r="D76" s="523" t="s">
        <v>187</v>
      </c>
      <c r="E76" s="658">
        <v>4224</v>
      </c>
      <c r="F76" s="648">
        <v>4298</v>
      </c>
      <c r="G76" s="473">
        <f t="shared" si="6"/>
        <v>74</v>
      </c>
      <c r="H76" s="682">
        <f>G76+'3'!H76</f>
        <v>261</v>
      </c>
      <c r="I76" s="505"/>
      <c r="J76" s="552">
        <f>H76/DAY(B2)</f>
        <v>65.25</v>
      </c>
      <c r="K76" s="430"/>
      <c r="L76" s="377"/>
      <c r="N76" s="382"/>
    </row>
    <row r="77" spans="1:14" ht="27.75">
      <c r="A77" s="1499" t="s">
        <v>196</v>
      </c>
      <c r="B77" s="1500"/>
      <c r="C77" s="1501"/>
      <c r="D77" s="523" t="s">
        <v>187</v>
      </c>
      <c r="E77" s="658">
        <v>700355</v>
      </c>
      <c r="F77" s="648">
        <v>700400</v>
      </c>
      <c r="G77" s="655">
        <f t="shared" si="6"/>
        <v>45</v>
      </c>
      <c r="H77" s="682">
        <f>G77+'3'!H77</f>
        <v>186</v>
      </c>
      <c r="I77" s="505"/>
      <c r="J77" s="552">
        <f>H77/DAY(B2)</f>
        <v>46.5</v>
      </c>
      <c r="K77" s="430"/>
      <c r="L77" s="377"/>
      <c r="N77" s="382"/>
    </row>
    <row r="78" spans="1:14" ht="27.75">
      <c r="A78" s="1312" t="s">
        <v>197</v>
      </c>
      <c r="B78" s="1305"/>
      <c r="C78" s="1305"/>
      <c r="D78" s="523" t="s">
        <v>187</v>
      </c>
      <c r="E78" s="659">
        <v>666393</v>
      </c>
      <c r="F78" s="649">
        <v>666750</v>
      </c>
      <c r="G78" s="473">
        <f t="shared" si="6"/>
        <v>357</v>
      </c>
      <c r="H78" s="682">
        <f>G78+'3'!H78</f>
        <v>1370</v>
      </c>
      <c r="I78" s="505"/>
      <c r="J78" s="552">
        <f>H78/DAY(B2)</f>
        <v>342.5</v>
      </c>
      <c r="K78" s="430"/>
      <c r="L78" s="377"/>
      <c r="N78" s="382"/>
    </row>
    <row r="79" spans="1:14" ht="27.75">
      <c r="A79" s="1496" t="s">
        <v>92</v>
      </c>
      <c r="B79" s="1497"/>
      <c r="C79" s="1498"/>
      <c r="D79" s="524" t="s">
        <v>187</v>
      </c>
      <c r="E79" s="659">
        <v>821789</v>
      </c>
      <c r="F79" s="1316">
        <v>821973</v>
      </c>
      <c r="G79" s="473">
        <f t="shared" si="6"/>
        <v>184</v>
      </c>
      <c r="H79" s="682">
        <f>G79+'3'!H79</f>
        <v>760</v>
      </c>
      <c r="I79" s="505"/>
      <c r="J79" s="552">
        <f>H79/DAY(B2)</f>
        <v>190</v>
      </c>
      <c r="K79" s="430"/>
      <c r="L79" s="377"/>
      <c r="N79" s="382"/>
    </row>
    <row r="80" spans="1:14" ht="27.75">
      <c r="A80" s="1496" t="s">
        <v>198</v>
      </c>
      <c r="B80" s="1497"/>
      <c r="C80" s="1498"/>
      <c r="D80" s="524" t="s">
        <v>187</v>
      </c>
      <c r="E80" s="658">
        <v>506727</v>
      </c>
      <c r="F80" s="648">
        <v>507074.76</v>
      </c>
      <c r="G80" s="473">
        <f t="shared" si="6"/>
        <v>347.76000000000931</v>
      </c>
      <c r="H80" s="682">
        <f>G80+'3'!H80</f>
        <v>1375.7600000000093</v>
      </c>
      <c r="I80" s="505"/>
      <c r="J80" s="552">
        <f>H80/DAY(B2)</f>
        <v>343.94000000000233</v>
      </c>
      <c r="K80" s="430"/>
      <c r="L80" s="377"/>
      <c r="N80" s="382"/>
    </row>
    <row r="81" spans="1:15" ht="27.75">
      <c r="A81" s="1496" t="s">
        <v>199</v>
      </c>
      <c r="B81" s="1497"/>
      <c r="C81" s="1498"/>
      <c r="D81" s="524" t="s">
        <v>187</v>
      </c>
      <c r="E81" s="658">
        <v>630917</v>
      </c>
      <c r="F81" s="648">
        <v>631241</v>
      </c>
      <c r="G81" s="473">
        <f t="shared" si="6"/>
        <v>324</v>
      </c>
      <c r="H81" s="682">
        <f>G81+'3'!H81</f>
        <v>1056</v>
      </c>
      <c r="I81" s="505"/>
      <c r="J81" s="552">
        <f>H81/DAY(B2)</f>
        <v>264</v>
      </c>
      <c r="K81" s="430"/>
      <c r="L81" s="377"/>
      <c r="N81" s="382"/>
    </row>
    <row r="82" spans="1:15" ht="27.75">
      <c r="A82" s="1496" t="s">
        <v>93</v>
      </c>
      <c r="B82" s="1497"/>
      <c r="C82" s="1498"/>
      <c r="D82" s="485" t="s">
        <v>132</v>
      </c>
      <c r="E82" s="654">
        <v>106965</v>
      </c>
      <c r="F82" s="636">
        <v>106990</v>
      </c>
      <c r="G82" s="473">
        <f t="shared" si="6"/>
        <v>25</v>
      </c>
      <c r="H82" s="682">
        <f>G82+'3'!H82</f>
        <v>95</v>
      </c>
      <c r="I82" s="486"/>
      <c r="J82" s="552">
        <f>H82/DAY(B2)</f>
        <v>23.75</v>
      </c>
      <c r="K82" s="430"/>
      <c r="L82" s="377"/>
      <c r="N82" s="382"/>
    </row>
    <row r="83" spans="1:15" ht="27.75">
      <c r="A83" s="1496" t="s">
        <v>200</v>
      </c>
      <c r="B83" s="1497"/>
      <c r="C83" s="1498"/>
      <c r="D83" s="620" t="s">
        <v>132</v>
      </c>
      <c r="E83" s="511">
        <v>7827</v>
      </c>
      <c r="F83" s="1317">
        <v>8087</v>
      </c>
      <c r="G83" s="473">
        <f t="shared" si="6"/>
        <v>260</v>
      </c>
      <c r="H83" s="682">
        <f>G83+'3'!H83</f>
        <v>1030</v>
      </c>
      <c r="I83" s="481"/>
      <c r="J83" s="552">
        <f>H83/DAY(B2)</f>
        <v>257.5</v>
      </c>
      <c r="K83" s="429"/>
      <c r="L83" s="377"/>
      <c r="N83" s="382"/>
    </row>
    <row r="84" spans="1:15">
      <c r="A84" s="1313" t="s">
        <v>201</v>
      </c>
      <c r="B84" s="571"/>
      <c r="C84" s="571"/>
      <c r="D84" s="478" t="s">
        <v>132</v>
      </c>
      <c r="E84" s="627">
        <v>457333</v>
      </c>
      <c r="F84" s="650">
        <v>458295</v>
      </c>
      <c r="G84" s="473">
        <f t="shared" si="6"/>
        <v>962</v>
      </c>
      <c r="H84" s="682">
        <f>G84+'3'!H84</f>
        <v>3611</v>
      </c>
      <c r="I84" s="481"/>
      <c r="J84" s="552">
        <f>H84/DAY(B2)</f>
        <v>902.75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638"/>
      <c r="G85" s="460">
        <f xml:space="preserve"> SUM(G71:G84)</f>
        <v>2821.7600000000093</v>
      </c>
      <c r="H85" s="682">
        <f>G85+'3'!H85</f>
        <v>10767.760000000009</v>
      </c>
      <c r="I85" s="481"/>
      <c r="J85" s="552">
        <f>H85/DAY(B2)</f>
        <v>2691.9400000000023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'3'!F86</f>
        <v>455114</v>
      </c>
      <c r="F86" s="650">
        <v>455237</v>
      </c>
      <c r="G86" s="708">
        <f t="shared" ref="G86:G87" si="7">F86-E86</f>
        <v>123</v>
      </c>
      <c r="H86" s="682">
        <f>G86+'3'!H86</f>
        <v>656</v>
      </c>
      <c r="I86" s="655"/>
      <c r="J86" s="710">
        <f>H86/DAY(B2)</f>
        <v>164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'3'!F87</f>
        <v>80280</v>
      </c>
      <c r="F87" s="650">
        <v>80295</v>
      </c>
      <c r="G87" s="708">
        <f t="shared" si="7"/>
        <v>15</v>
      </c>
      <c r="H87" s="682">
        <f>G87+'3'!H87</f>
        <v>110</v>
      </c>
      <c r="I87" s="655"/>
      <c r="J87" s="710">
        <f>H87/DAY(B2)</f>
        <v>27.5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'3'!F88</f>
        <v>150867</v>
      </c>
      <c r="F88" s="650">
        <v>150903</v>
      </c>
      <c r="G88" s="708">
        <f>F88-E88</f>
        <v>36</v>
      </c>
      <c r="H88" s="682">
        <f>G88+'3'!H88</f>
        <v>304</v>
      </c>
      <c r="I88" s="655"/>
      <c r="J88" s="710">
        <f>H88/DAY(B2)</f>
        <v>76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'3'!F89</f>
        <v>63682</v>
      </c>
      <c r="F89" s="650">
        <v>63728</v>
      </c>
      <c r="G89" s="708">
        <f>F89-E89</f>
        <v>46</v>
      </c>
      <c r="H89" s="682">
        <f>G89+'3'!H89</f>
        <v>174</v>
      </c>
      <c r="I89" s="655"/>
      <c r="J89" s="710">
        <f>H89/DAY(B2)</f>
        <v>43.5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'3'!F90</f>
        <v>3271</v>
      </c>
      <c r="F90" s="650">
        <v>3271</v>
      </c>
      <c r="G90" s="708">
        <f t="shared" ref="G90" si="8">F90-E90</f>
        <v>0</v>
      </c>
      <c r="H90" s="682">
        <f>G90+'3'!H90</f>
        <v>1</v>
      </c>
      <c r="I90" s="655"/>
      <c r="J90" s="710">
        <f>H90/DAY(B2)</f>
        <v>0.25</v>
      </c>
      <c r="K90" s="736"/>
      <c r="L90" s="737"/>
      <c r="N90" s="781"/>
      <c r="O90" s="382"/>
    </row>
    <row r="91" spans="1:15" s="379" customFormat="1">
      <c r="A91" s="606" t="s">
        <v>205</v>
      </c>
      <c r="B91" s="1315"/>
      <c r="C91" s="1315"/>
      <c r="D91" s="472"/>
      <c r="E91" s="472"/>
      <c r="F91" s="483"/>
      <c r="G91" s="488"/>
      <c r="H91" s="472"/>
      <c r="I91" s="472"/>
      <c r="J91" s="551"/>
      <c r="K91" s="380"/>
      <c r="L91" s="378"/>
      <c r="N91" s="382"/>
    </row>
    <row r="92" spans="1:15" ht="27.75">
      <c r="A92" s="1520" t="s">
        <v>206</v>
      </c>
      <c r="B92" s="1521"/>
      <c r="C92" s="1522"/>
      <c r="D92" s="523" t="s">
        <v>144</v>
      </c>
      <c r="E92" s="484">
        <f>'3'!F92</f>
        <v>242898</v>
      </c>
      <c r="F92" s="635">
        <v>242974</v>
      </c>
      <c r="G92" s="473">
        <f t="shared" ref="G92:G93" si="9">F92-E92</f>
        <v>76</v>
      </c>
      <c r="H92" s="682">
        <f>G92+'3'!H92</f>
        <v>328</v>
      </c>
      <c r="I92" s="480"/>
      <c r="J92" s="552">
        <f>H92/DAY(B2)</f>
        <v>82</v>
      </c>
      <c r="K92" s="429"/>
      <c r="L92" s="377"/>
      <c r="N92" s="382"/>
    </row>
    <row r="93" spans="1:15" ht="27.75">
      <c r="A93" s="1520" t="s">
        <v>207</v>
      </c>
      <c r="B93" s="1521"/>
      <c r="C93" s="1522"/>
      <c r="D93" s="523" t="s">
        <v>144</v>
      </c>
      <c r="E93" s="484">
        <f>'3'!F93</f>
        <v>180107</v>
      </c>
      <c r="F93" s="635">
        <v>180273</v>
      </c>
      <c r="G93" s="473">
        <f t="shared" si="9"/>
        <v>166</v>
      </c>
      <c r="H93" s="682">
        <f>G93+'3'!H93</f>
        <v>594</v>
      </c>
      <c r="I93" s="480"/>
      <c r="J93" s="552">
        <f>H93/DAY(B2)</f>
        <v>148.5</v>
      </c>
      <c r="K93" s="380"/>
      <c r="L93" s="377"/>
      <c r="N93" s="382"/>
    </row>
    <row r="94" spans="1:15">
      <c r="A94" s="1548" t="s">
        <v>208</v>
      </c>
      <c r="B94" s="1549"/>
      <c r="C94" s="1550"/>
      <c r="D94" s="523"/>
      <c r="E94" s="484"/>
      <c r="F94" s="635"/>
      <c r="G94" s="473">
        <f>G92+G93</f>
        <v>242</v>
      </c>
      <c r="H94" s="682">
        <f>G94+'3'!H94</f>
        <v>703</v>
      </c>
      <c r="I94" s="480"/>
      <c r="J94" s="552">
        <f>H94/DAY(B2)</f>
        <v>175.75</v>
      </c>
      <c r="K94" s="380"/>
      <c r="L94" s="377"/>
      <c r="N94" s="382"/>
    </row>
    <row r="95" spans="1:15" ht="27.75">
      <c r="A95" s="1520" t="s">
        <v>209</v>
      </c>
      <c r="B95" s="1521"/>
      <c r="C95" s="1522"/>
      <c r="D95" s="523" t="s">
        <v>144</v>
      </c>
      <c r="E95" s="484">
        <f>'3'!F95</f>
        <v>411021</v>
      </c>
      <c r="F95" s="635">
        <v>411092</v>
      </c>
      <c r="G95" s="473">
        <f t="shared" ref="G95:G100" si="10">F95-E95</f>
        <v>71</v>
      </c>
      <c r="H95" s="682">
        <f>G95+'3'!H95</f>
        <v>307</v>
      </c>
      <c r="I95" s="480"/>
      <c r="J95" s="552">
        <f>H95/DAY(B2)</f>
        <v>76.75</v>
      </c>
      <c r="K95" s="380"/>
      <c r="L95" s="377"/>
      <c r="N95" s="382"/>
    </row>
    <row r="96" spans="1:15" ht="27.75">
      <c r="A96" s="1309" t="s">
        <v>210</v>
      </c>
      <c r="B96" s="1310"/>
      <c r="C96" s="1310"/>
      <c r="D96" s="523" t="s">
        <v>144</v>
      </c>
      <c r="E96" s="484">
        <f>'3'!F96</f>
        <v>101887</v>
      </c>
      <c r="F96" s="635">
        <v>101906</v>
      </c>
      <c r="G96" s="473">
        <f t="shared" si="10"/>
        <v>19</v>
      </c>
      <c r="H96" s="682">
        <f>G96+'3'!H96</f>
        <v>75</v>
      </c>
      <c r="I96" s="480"/>
      <c r="J96" s="552">
        <f>H96/DAY(B2)</f>
        <v>18.75</v>
      </c>
      <c r="K96" s="427"/>
      <c r="L96" s="377"/>
      <c r="N96" s="382"/>
    </row>
    <row r="97" spans="1:14" ht="27.75">
      <c r="A97" s="1309" t="s">
        <v>211</v>
      </c>
      <c r="B97" s="1310"/>
      <c r="C97" s="1310"/>
      <c r="D97" s="523" t="s">
        <v>144</v>
      </c>
      <c r="E97" s="484">
        <f>'3'!F97</f>
        <v>96980</v>
      </c>
      <c r="F97" s="635">
        <v>96998</v>
      </c>
      <c r="G97" s="473">
        <f t="shared" si="10"/>
        <v>18</v>
      </c>
      <c r="H97" s="682">
        <f>G97+'3'!H97</f>
        <v>70</v>
      </c>
      <c r="I97" s="480"/>
      <c r="J97" s="552">
        <f>H97/DAY(B2)</f>
        <v>17.5</v>
      </c>
      <c r="K97" s="432"/>
      <c r="L97" s="377"/>
      <c r="N97" s="382"/>
    </row>
    <row r="98" spans="1:14" ht="27.75">
      <c r="A98" s="1309" t="s">
        <v>212</v>
      </c>
      <c r="B98" s="1310"/>
      <c r="C98" s="1310"/>
      <c r="D98" s="523" t="s">
        <v>144</v>
      </c>
      <c r="E98" s="484">
        <f>'3'!F98</f>
        <v>149043</v>
      </c>
      <c r="F98" s="635">
        <v>149097</v>
      </c>
      <c r="G98" s="473">
        <f t="shared" si="10"/>
        <v>54</v>
      </c>
      <c r="H98" s="682">
        <f>G98+'3'!H98</f>
        <v>188</v>
      </c>
      <c r="I98" s="480"/>
      <c r="J98" s="552">
        <f>H98/DAY(B2)</f>
        <v>47</v>
      </c>
      <c r="K98" s="380"/>
      <c r="L98" s="377"/>
      <c r="N98" s="382"/>
    </row>
    <row r="99" spans="1:14" ht="27.75">
      <c r="A99" s="1309" t="s">
        <v>213</v>
      </c>
      <c r="B99" s="1310"/>
      <c r="C99" s="1310"/>
      <c r="D99" s="523" t="s">
        <v>144</v>
      </c>
      <c r="E99" s="484">
        <f>'3'!F99</f>
        <v>6897</v>
      </c>
      <c r="F99" s="635">
        <v>6916</v>
      </c>
      <c r="G99" s="473">
        <f t="shared" si="10"/>
        <v>19</v>
      </c>
      <c r="H99" s="682">
        <f>G99+'3'!H99</f>
        <v>61</v>
      </c>
      <c r="I99" s="480"/>
      <c r="J99" s="552">
        <f>H99/DAY(B2)</f>
        <v>15.25</v>
      </c>
      <c r="K99" s="380"/>
      <c r="L99" s="377"/>
      <c r="N99" s="382"/>
    </row>
    <row r="100" spans="1:14" ht="27.75">
      <c r="A100" s="1309" t="s">
        <v>214</v>
      </c>
      <c r="B100" s="1310"/>
      <c r="C100" s="1310"/>
      <c r="D100" s="523" t="s">
        <v>144</v>
      </c>
      <c r="E100" s="484">
        <f>'3'!F100</f>
        <v>4962</v>
      </c>
      <c r="F100" s="635">
        <v>4969</v>
      </c>
      <c r="G100" s="473">
        <f t="shared" si="10"/>
        <v>7</v>
      </c>
      <c r="H100" s="682">
        <f>G100+'3'!H100</f>
        <v>26</v>
      </c>
      <c r="I100" s="480"/>
      <c r="J100" s="552">
        <f>H100/DAY(B2)</f>
        <v>6.5</v>
      </c>
      <c r="K100" s="380"/>
      <c r="L100" s="377"/>
      <c r="N100" s="382"/>
    </row>
    <row r="101" spans="1:14">
      <c r="A101" s="1548" t="s">
        <v>216</v>
      </c>
      <c r="B101" s="1549"/>
      <c r="C101" s="1550"/>
      <c r="D101" s="524"/>
      <c r="E101" s="524"/>
      <c r="F101" s="639"/>
      <c r="G101" s="525">
        <f>SUM(G95:G100)</f>
        <v>188</v>
      </c>
      <c r="H101" s="682">
        <f>G101+'3'!H101</f>
        <v>727</v>
      </c>
      <c r="I101" s="526"/>
      <c r="J101" s="552">
        <f>H101/DAY(B2)</f>
        <v>181.75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51"/>
      <c r="G102" s="529"/>
      <c r="H102" s="530"/>
      <c r="I102" s="531"/>
      <c r="J102" s="557"/>
      <c r="N102" s="382"/>
    </row>
    <row r="103" spans="1:14" s="442" customFormat="1" ht="27.75">
      <c r="A103" s="1551" t="s">
        <v>218</v>
      </c>
      <c r="B103" s="1552"/>
      <c r="C103" s="573"/>
      <c r="D103" s="622"/>
      <c r="E103" s="532"/>
      <c r="F103" s="532"/>
      <c r="G103" s="532"/>
      <c r="H103" s="533"/>
      <c r="I103" s="532"/>
      <c r="J103" s="558"/>
      <c r="N103" s="382"/>
    </row>
    <row r="104" spans="1:14" s="442" customFormat="1" ht="27.75">
      <c r="A104" s="1512" t="s">
        <v>219</v>
      </c>
      <c r="B104" s="1513"/>
      <c r="C104" s="1308"/>
      <c r="D104" s="622" t="s">
        <v>144</v>
      </c>
      <c r="E104" s="532">
        <f>'3'!F104</f>
        <v>7333</v>
      </c>
      <c r="F104" s="532">
        <v>7333</v>
      </c>
      <c r="G104" s="532">
        <f>F104-E104</f>
        <v>0</v>
      </c>
      <c r="H104" s="682">
        <f>G104+'3'!H104</f>
        <v>8</v>
      </c>
      <c r="I104" s="532"/>
      <c r="J104" s="558">
        <f>H104/DAY(B2)</f>
        <v>2</v>
      </c>
      <c r="N104" s="382"/>
    </row>
    <row r="105" spans="1:14" s="442" customFormat="1" ht="27.75">
      <c r="A105" s="1512" t="s">
        <v>77</v>
      </c>
      <c r="B105" s="1513"/>
      <c r="C105" s="1308"/>
      <c r="D105" s="622" t="s">
        <v>144</v>
      </c>
      <c r="E105" s="532">
        <f>'3'!F105</f>
        <v>35676</v>
      </c>
      <c r="F105" s="534">
        <v>35681</v>
      </c>
      <c r="G105" s="532">
        <f t="shared" ref="G105:G106" si="11">F105-E105</f>
        <v>5</v>
      </c>
      <c r="H105" s="682">
        <f>G105+'3'!H105</f>
        <v>25</v>
      </c>
      <c r="I105" s="532"/>
      <c r="J105" s="558">
        <f>H105/DAY(B2)</f>
        <v>6.25</v>
      </c>
      <c r="N105" s="382"/>
    </row>
    <row r="106" spans="1:14" s="442" customFormat="1" ht="27.75">
      <c r="A106" s="1512" t="s">
        <v>78</v>
      </c>
      <c r="B106" s="1553"/>
      <c r="C106" s="1513"/>
      <c r="D106" s="622" t="s">
        <v>144</v>
      </c>
      <c r="E106" s="532">
        <f>'3'!F106</f>
        <v>19436</v>
      </c>
      <c r="F106" s="1051">
        <v>19443</v>
      </c>
      <c r="G106" s="532">
        <f t="shared" si="11"/>
        <v>7</v>
      </c>
      <c r="H106" s="682">
        <f>G106+'3'!H106</f>
        <v>25</v>
      </c>
      <c r="I106" s="532"/>
      <c r="J106" s="558">
        <f>H106/DAY(B2)</f>
        <v>6.25</v>
      </c>
      <c r="N106" s="382"/>
    </row>
    <row r="107" spans="1:14" s="442" customFormat="1" ht="27.75">
      <c r="A107" s="1514" t="s">
        <v>202</v>
      </c>
      <c r="B107" s="1515"/>
      <c r="C107" s="1308"/>
      <c r="D107" s="622"/>
      <c r="E107" s="532" t="str">
        <f>'3'!F107</f>
        <v>.</v>
      </c>
      <c r="F107" s="532"/>
      <c r="G107" s="532">
        <f>SUM(G104:G106)</f>
        <v>12</v>
      </c>
      <c r="H107" s="682">
        <f>G107+'3'!H107</f>
        <v>58</v>
      </c>
      <c r="I107" s="532"/>
      <c r="J107" s="558">
        <f>H107/DAY(B2)</f>
        <v>14.5</v>
      </c>
      <c r="N107" s="382"/>
    </row>
    <row r="108" spans="1:14" s="442" customFormat="1" ht="27.75">
      <c r="A108" s="1518" t="s">
        <v>79</v>
      </c>
      <c r="B108" s="1519"/>
      <c r="C108" s="1308"/>
      <c r="D108" s="622" t="s">
        <v>144</v>
      </c>
      <c r="E108" s="532">
        <f>'3'!F108</f>
        <v>0</v>
      </c>
      <c r="F108" s="532"/>
      <c r="G108" s="532"/>
      <c r="H108" s="682">
        <f>G108+'3'!H108</f>
        <v>0</v>
      </c>
      <c r="I108" s="532"/>
      <c r="J108" s="558"/>
      <c r="N108" s="382"/>
    </row>
    <row r="109" spans="1:14" s="442" customFormat="1" ht="27.75">
      <c r="A109" s="1512" t="s">
        <v>220</v>
      </c>
      <c r="B109" s="1513"/>
      <c r="C109" s="1308"/>
      <c r="D109" s="622" t="s">
        <v>144</v>
      </c>
      <c r="E109" s="532">
        <f>'3'!F109</f>
        <v>59142</v>
      </c>
      <c r="F109" s="532">
        <v>59204</v>
      </c>
      <c r="G109" s="532">
        <f>F109-E109</f>
        <v>62</v>
      </c>
      <c r="H109" s="682">
        <f>G109+'3'!H109</f>
        <v>331</v>
      </c>
      <c r="I109" s="532"/>
      <c r="J109" s="558">
        <f>H109/DAY(B2)</f>
        <v>82.75</v>
      </c>
      <c r="N109" s="382"/>
    </row>
    <row r="110" spans="1:14" s="442" customFormat="1" ht="27.75">
      <c r="A110" s="1512" t="s">
        <v>221</v>
      </c>
      <c r="B110" s="1513"/>
      <c r="C110" s="1308"/>
      <c r="D110" s="622" t="s">
        <v>144</v>
      </c>
      <c r="E110" s="532">
        <f>'3'!F110</f>
        <v>31761</v>
      </c>
      <c r="F110" s="532">
        <v>31805</v>
      </c>
      <c r="G110" s="532">
        <f t="shared" ref="G110:G111" si="12">F110-E110</f>
        <v>44</v>
      </c>
      <c r="H110" s="682">
        <f>G110+'3'!H110</f>
        <v>159</v>
      </c>
      <c r="I110" s="532"/>
      <c r="J110" s="558">
        <f>H110/DAY(B2)</f>
        <v>39.75</v>
      </c>
      <c r="N110" s="382"/>
    </row>
    <row r="111" spans="1:14" s="442" customFormat="1" ht="27.75">
      <c r="A111" s="1512" t="s">
        <v>222</v>
      </c>
      <c r="B111" s="1513"/>
      <c r="C111" s="1308"/>
      <c r="D111" s="622" t="s">
        <v>144</v>
      </c>
      <c r="E111" s="532">
        <f>'3'!F111</f>
        <v>4198</v>
      </c>
      <c r="F111" s="532">
        <v>4198</v>
      </c>
      <c r="G111" s="532">
        <f t="shared" si="12"/>
        <v>0</v>
      </c>
      <c r="H111" s="682">
        <f>G111+'3'!H111</f>
        <v>42</v>
      </c>
      <c r="I111" s="532"/>
      <c r="J111" s="558">
        <f>H111/DAY(B2)</f>
        <v>10.5</v>
      </c>
      <c r="N111" s="382"/>
    </row>
    <row r="112" spans="1:14" s="442" customFormat="1" ht="27.75">
      <c r="A112" s="1514" t="s">
        <v>110</v>
      </c>
      <c r="B112" s="1515"/>
      <c r="C112" s="1308"/>
      <c r="D112" s="622"/>
      <c r="E112" s="532">
        <f>'3'!F112</f>
        <v>0</v>
      </c>
      <c r="F112" s="532"/>
      <c r="G112" s="532">
        <f>SUM(G109:G111)</f>
        <v>106</v>
      </c>
      <c r="H112" s="682">
        <f>G112+'3'!H112</f>
        <v>532</v>
      </c>
      <c r="I112" s="532"/>
      <c r="J112" s="558">
        <f>H112/DAY(B2)</f>
        <v>133</v>
      </c>
      <c r="N112" s="382"/>
    </row>
    <row r="113" spans="1:14" s="442" customFormat="1" ht="27.75">
      <c r="A113" s="1518" t="s">
        <v>223</v>
      </c>
      <c r="B113" s="1519"/>
      <c r="C113" s="1308"/>
      <c r="D113" s="622"/>
      <c r="E113" s="532">
        <f>'3'!F113</f>
        <v>0</v>
      </c>
      <c r="F113" s="532"/>
      <c r="G113" s="532"/>
      <c r="H113" s="682">
        <f>G113+'3'!H113</f>
        <v>0</v>
      </c>
      <c r="I113" s="532"/>
      <c r="J113" s="558">
        <f>H113/DAY(B2)</f>
        <v>0</v>
      </c>
      <c r="N113" s="382"/>
    </row>
    <row r="114" spans="1:14" s="442" customFormat="1" ht="27.75">
      <c r="A114" s="1512" t="s">
        <v>224</v>
      </c>
      <c r="B114" s="1513"/>
      <c r="C114" s="574"/>
      <c r="D114" s="622" t="s">
        <v>144</v>
      </c>
      <c r="E114" s="532">
        <f>'3'!F114</f>
        <v>10908</v>
      </c>
      <c r="F114" s="534">
        <v>10929</v>
      </c>
      <c r="G114" s="534">
        <f>F114-E114</f>
        <v>21</v>
      </c>
      <c r="H114" s="682">
        <f>G114+'3'!H114</f>
        <v>72</v>
      </c>
      <c r="I114" s="532"/>
      <c r="J114" s="558">
        <f>H114/DAY(B2)</f>
        <v>18</v>
      </c>
      <c r="N114" s="382"/>
    </row>
    <row r="115" spans="1:14" s="442" customFormat="1" ht="27.75">
      <c r="A115" s="1512" t="s">
        <v>225</v>
      </c>
      <c r="B115" s="1513"/>
      <c r="C115" s="574"/>
      <c r="D115" s="622" t="s">
        <v>144</v>
      </c>
      <c r="E115" s="532">
        <f>'3'!F115</f>
        <v>7989</v>
      </c>
      <c r="F115" s="534">
        <v>7995</v>
      </c>
      <c r="G115" s="534">
        <f t="shared" ref="G115:G116" si="13">F115-E115</f>
        <v>6</v>
      </c>
      <c r="H115" s="682">
        <f>G115+'3'!H115</f>
        <v>20</v>
      </c>
      <c r="I115" s="532"/>
      <c r="J115" s="558">
        <f>H115/DAY(B2)</f>
        <v>5</v>
      </c>
      <c r="N115" s="382"/>
    </row>
    <row r="116" spans="1:14" s="442" customFormat="1" ht="27.75">
      <c r="A116" s="1512" t="s">
        <v>226</v>
      </c>
      <c r="B116" s="1513"/>
      <c r="C116" s="574"/>
      <c r="D116" s="622" t="s">
        <v>144</v>
      </c>
      <c r="E116" s="534"/>
      <c r="F116" s="534"/>
      <c r="G116" s="534">
        <f t="shared" si="13"/>
        <v>0</v>
      </c>
      <c r="H116" s="682">
        <f>G116+'3'!H116</f>
        <v>0</v>
      </c>
      <c r="I116" s="532"/>
      <c r="J116" s="558">
        <f>H116/DAY(B2)</f>
        <v>0</v>
      </c>
      <c r="N116" s="382"/>
    </row>
    <row r="117" spans="1:14" s="445" customFormat="1" ht="27.75">
      <c r="A117" s="1514" t="s">
        <v>202</v>
      </c>
      <c r="B117" s="1515"/>
      <c r="C117" s="574"/>
      <c r="D117" s="623"/>
      <c r="E117" s="534"/>
      <c r="F117" s="534"/>
      <c r="G117" s="534">
        <f>SUM(G114:G116)</f>
        <v>27</v>
      </c>
      <c r="H117" s="682">
        <f>G117+'3'!H117</f>
        <v>92</v>
      </c>
      <c r="I117" s="534"/>
      <c r="J117" s="558">
        <f>H117/DAY(B2)</f>
        <v>23</v>
      </c>
      <c r="N117" s="382"/>
    </row>
    <row r="118" spans="1:14" s="446" customFormat="1" ht="27.75">
      <c r="A118" s="1508" t="s">
        <v>227</v>
      </c>
      <c r="B118" s="1509"/>
      <c r="C118" s="1306"/>
      <c r="D118" s="624" t="s">
        <v>144</v>
      </c>
      <c r="E118" s="536"/>
      <c r="F118" s="536">
        <f>SUM(G19+G92)</f>
        <v>130</v>
      </c>
      <c r="G118" s="536">
        <f>SUM(G19+G92)</f>
        <v>130</v>
      </c>
      <c r="H118" s="682">
        <f>G118+'3'!H118</f>
        <v>541</v>
      </c>
      <c r="I118" s="535"/>
      <c r="J118" s="559">
        <f>H118/DAY(B2)</f>
        <v>135.25</v>
      </c>
      <c r="N118" s="382"/>
    </row>
    <row r="119" spans="1:14" s="446" customFormat="1" ht="27.75">
      <c r="A119" s="1508" t="s">
        <v>228</v>
      </c>
      <c r="B119" s="1509"/>
      <c r="C119" s="1306"/>
      <c r="D119" s="624" t="s">
        <v>144</v>
      </c>
      <c r="E119" s="536"/>
      <c r="F119" s="536">
        <f>SUM(G95,G96,G97,G99,G100)</f>
        <v>134</v>
      </c>
      <c r="G119" s="536">
        <f>SUM(G95,G96,G97,G99,G100)</f>
        <v>134</v>
      </c>
      <c r="H119" s="682">
        <f>G119+'3'!H119</f>
        <v>539</v>
      </c>
      <c r="I119" s="535"/>
      <c r="J119" s="559">
        <f>H119/DAY(B2)</f>
        <v>134.75</v>
      </c>
      <c r="N119" s="382"/>
    </row>
    <row r="120" spans="1:14" s="446" customFormat="1" ht="27.75">
      <c r="A120" s="1508" t="s">
        <v>229</v>
      </c>
      <c r="B120" s="1509"/>
      <c r="C120" s="1306"/>
      <c r="D120" s="624" t="s">
        <v>144</v>
      </c>
      <c r="E120" s="534"/>
      <c r="F120" s="534">
        <f>SUM(G112)</f>
        <v>106</v>
      </c>
      <c r="G120" s="534">
        <f>SUM(G112)</f>
        <v>106</v>
      </c>
      <c r="H120" s="682">
        <f>G120+'3'!H120</f>
        <v>532</v>
      </c>
      <c r="I120" s="535"/>
      <c r="J120" s="559">
        <f>H120/DAY(B2)</f>
        <v>133</v>
      </c>
      <c r="N120" s="382"/>
    </row>
    <row r="121" spans="1:14" s="442" customFormat="1" ht="27.75">
      <c r="A121" s="1510"/>
      <c r="B121" s="1511"/>
      <c r="C121" s="1307"/>
      <c r="D121" s="560"/>
      <c r="E121" s="560"/>
      <c r="F121" s="560" t="s">
        <v>215</v>
      </c>
      <c r="G121" s="560"/>
      <c r="H121" s="561"/>
      <c r="I121" s="560"/>
      <c r="J121" s="562"/>
      <c r="N121" s="382"/>
    </row>
    <row r="122" spans="1:14">
      <c r="A122" s="1545" t="s">
        <v>230</v>
      </c>
      <c r="B122" s="1546"/>
      <c r="C122" s="1547"/>
      <c r="D122" s="472"/>
      <c r="E122" s="472"/>
      <c r="F122" s="483"/>
      <c r="G122" s="483"/>
      <c r="H122" s="483"/>
      <c r="I122" s="483"/>
      <c r="J122" s="563"/>
      <c r="K122" s="380"/>
      <c r="L122" s="377"/>
      <c r="N122" s="382"/>
    </row>
    <row r="123" spans="1:14" ht="27.75">
      <c r="A123" s="1309" t="s">
        <v>231</v>
      </c>
      <c r="B123" s="1310"/>
      <c r="C123" s="1310"/>
      <c r="D123" s="523" t="s">
        <v>141</v>
      </c>
      <c r="E123" s="478">
        <f>'3'!F123</f>
        <v>819570</v>
      </c>
      <c r="F123" s="635">
        <v>819834</v>
      </c>
      <c r="G123" s="473">
        <f t="shared" ref="G123:G127" si="14">F123-E123</f>
        <v>264</v>
      </c>
      <c r="H123" s="682">
        <f>G123+'3'!H123</f>
        <v>1024</v>
      </c>
      <c r="I123" s="526"/>
      <c r="J123" s="552">
        <f>H123/DAY(B2)</f>
        <v>256</v>
      </c>
      <c r="K123" s="380"/>
      <c r="L123" s="377"/>
      <c r="N123" s="382"/>
    </row>
    <row r="124" spans="1:14" ht="27.75">
      <c r="A124" s="1309" t="s">
        <v>232</v>
      </c>
      <c r="B124" s="1310"/>
      <c r="C124" s="1310"/>
      <c r="D124" s="523" t="s">
        <v>141</v>
      </c>
      <c r="E124" s="478">
        <f>'3'!F124</f>
        <v>73583</v>
      </c>
      <c r="F124" s="652">
        <v>73583</v>
      </c>
      <c r="G124" s="473">
        <f t="shared" si="14"/>
        <v>0</v>
      </c>
      <c r="H124" s="682">
        <f>G124+'3'!H124</f>
        <v>-0.39999999999417923</v>
      </c>
      <c r="I124" s="526"/>
      <c r="J124" s="552">
        <f>H124/DAY(B2)</f>
        <v>-9.9999999998544808E-2</v>
      </c>
      <c r="K124" s="380"/>
      <c r="L124" s="377"/>
      <c r="N124" s="382"/>
    </row>
    <row r="125" spans="1:14" ht="27.75">
      <c r="A125" s="1499" t="s">
        <v>233</v>
      </c>
      <c r="B125" s="1500"/>
      <c r="C125" s="1501"/>
      <c r="D125" s="523" t="s">
        <v>141</v>
      </c>
      <c r="E125" s="478">
        <f>'3'!F125</f>
        <v>142407</v>
      </c>
      <c r="F125" s="635">
        <v>142512</v>
      </c>
      <c r="G125" s="473">
        <f t="shared" si="14"/>
        <v>105</v>
      </c>
      <c r="H125" s="682">
        <f>G125+'3'!H125</f>
        <v>376</v>
      </c>
      <c r="I125" s="526"/>
      <c r="J125" s="552">
        <f>H125/DAY(B2)</f>
        <v>94</v>
      </c>
      <c r="K125" s="380"/>
      <c r="L125" s="377"/>
      <c r="N125" s="382"/>
    </row>
    <row r="126" spans="1:14" ht="27.75">
      <c r="A126" s="609" t="s">
        <v>234</v>
      </c>
      <c r="B126" s="1310"/>
      <c r="C126" s="1310"/>
      <c r="D126" s="523" t="s">
        <v>141</v>
      </c>
      <c r="E126" s="478">
        <f>'3'!F126</f>
        <v>31329.200000000001</v>
      </c>
      <c r="F126" s="652">
        <v>31353</v>
      </c>
      <c r="G126" s="473">
        <f t="shared" si="14"/>
        <v>23.799999999999272</v>
      </c>
      <c r="H126" s="682">
        <f>G126+'3'!H126</f>
        <v>34.299999999999272</v>
      </c>
      <c r="I126" s="526"/>
      <c r="J126" s="552">
        <f>H126/DAY(B2)</f>
        <v>8.5749999999998181</v>
      </c>
      <c r="K126" s="380"/>
      <c r="L126" s="377"/>
      <c r="N126" s="382"/>
    </row>
    <row r="127" spans="1:14" ht="27.75">
      <c r="A127" s="609" t="s">
        <v>235</v>
      </c>
      <c r="B127" s="1310"/>
      <c r="C127" s="1310"/>
      <c r="D127" s="523" t="s">
        <v>141</v>
      </c>
      <c r="E127" s="478">
        <f>'3'!F127</f>
        <v>8966</v>
      </c>
      <c r="F127" s="652">
        <v>8966</v>
      </c>
      <c r="G127" s="473">
        <f t="shared" si="14"/>
        <v>0</v>
      </c>
      <c r="H127" s="682">
        <f>G127+'3'!H127</f>
        <v>4</v>
      </c>
      <c r="I127" s="480"/>
      <c r="J127" s="552">
        <f>H127/DAY(B2)</f>
        <v>1</v>
      </c>
      <c r="K127" s="380"/>
      <c r="L127" s="377"/>
      <c r="N127" s="382"/>
    </row>
    <row r="128" spans="1:14" s="281" customFormat="1" ht="27.75">
      <c r="A128" s="609" t="s">
        <v>236</v>
      </c>
      <c r="B128" s="1310"/>
      <c r="C128" s="1310"/>
      <c r="D128" s="523"/>
      <c r="E128" s="478"/>
      <c r="F128" s="635"/>
      <c r="G128" s="473">
        <f>G15-SUM(G123:G127)</f>
        <v>585.20000000000073</v>
      </c>
      <c r="H128" s="682">
        <f>G128+'3'!H128</f>
        <v>2494.0999999999949</v>
      </c>
      <c r="I128" s="480"/>
      <c r="J128" s="552">
        <f>H128/DAY(B2)</f>
        <v>623.52499999999873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94"/>
      <c r="G129" s="540"/>
      <c r="H129" s="540"/>
      <c r="I129" s="540"/>
      <c r="J129" s="564"/>
      <c r="N129" s="382"/>
    </row>
    <row r="130" spans="1:14" ht="27.75">
      <c r="A130" s="1309" t="s">
        <v>238</v>
      </c>
      <c r="B130" s="1310"/>
      <c r="C130" s="1310"/>
      <c r="D130" s="523" t="s">
        <v>239</v>
      </c>
      <c r="E130" s="484">
        <f>'3'!F130</f>
        <v>0</v>
      </c>
      <c r="F130" s="635">
        <v>0</v>
      </c>
      <c r="G130" s="473">
        <f t="shared" ref="G130:G140" si="15">F130-E130</f>
        <v>0</v>
      </c>
      <c r="H130" s="682">
        <f>G130+'3'!H130</f>
        <v>0</v>
      </c>
      <c r="I130" s="480"/>
      <c r="J130" s="552">
        <f>H130/DAY(B2)</f>
        <v>0</v>
      </c>
      <c r="N130" s="382"/>
    </row>
    <row r="131" spans="1:14" ht="27.75">
      <c r="A131" s="1309" t="s">
        <v>240</v>
      </c>
      <c r="B131" s="1310"/>
      <c r="C131" s="1310"/>
      <c r="D131" s="523" t="s">
        <v>239</v>
      </c>
      <c r="E131" s="484">
        <f>'3'!F131</f>
        <v>0</v>
      </c>
      <c r="F131" s="635">
        <v>0</v>
      </c>
      <c r="G131" s="473">
        <f t="shared" si="15"/>
        <v>0</v>
      </c>
      <c r="H131" s="682">
        <f>G131+'3'!H131</f>
        <v>0</v>
      </c>
      <c r="I131" s="480"/>
      <c r="J131" s="552">
        <f>H131/DAY(B2)</f>
        <v>0</v>
      </c>
      <c r="N131" s="382"/>
    </row>
    <row r="132" spans="1:14" ht="27.75">
      <c r="A132" s="1309" t="s">
        <v>241</v>
      </c>
      <c r="B132" s="1310"/>
      <c r="C132" s="1310"/>
      <c r="D132" s="523" t="s">
        <v>239</v>
      </c>
      <c r="E132" s="484">
        <f>'3'!F132</f>
        <v>39605.199999999997</v>
      </c>
      <c r="F132" s="636">
        <v>39629</v>
      </c>
      <c r="G132" s="473">
        <f t="shared" si="15"/>
        <v>23.80000000000291</v>
      </c>
      <c r="H132" s="682">
        <f>G132+'3'!H132</f>
        <v>96</v>
      </c>
      <c r="I132" s="480"/>
      <c r="J132" s="552">
        <f>H132/DAY(B2)</f>
        <v>24</v>
      </c>
      <c r="N132" s="382"/>
    </row>
    <row r="133" spans="1:14" ht="27.75">
      <c r="A133" s="1309" t="s">
        <v>242</v>
      </c>
      <c r="B133" s="1310"/>
      <c r="C133" s="1310"/>
      <c r="D133" s="523" t="s">
        <v>239</v>
      </c>
      <c r="E133" s="484">
        <f>'3'!F133</f>
        <v>300</v>
      </c>
      <c r="F133" s="652">
        <v>300</v>
      </c>
      <c r="G133" s="473">
        <f t="shared" si="15"/>
        <v>0</v>
      </c>
      <c r="H133" s="682">
        <f>G133+'3'!H133</f>
        <v>0</v>
      </c>
      <c r="I133" s="480">
        <f>G132+G133+G134+G135</f>
        <v>25.430000000000291</v>
      </c>
      <c r="J133" s="552">
        <f>H133/DAY(B2)</f>
        <v>0</v>
      </c>
      <c r="N133" s="382"/>
    </row>
    <row r="134" spans="1:14" ht="27.75">
      <c r="A134" s="1309" t="s">
        <v>243</v>
      </c>
      <c r="B134" s="1310"/>
      <c r="C134" s="1310"/>
      <c r="D134" s="523" t="s">
        <v>239</v>
      </c>
      <c r="E134" s="484">
        <f>'3'!F134</f>
        <v>40853.370000000003</v>
      </c>
      <c r="F134" s="652">
        <v>40855</v>
      </c>
      <c r="G134" s="473">
        <f t="shared" si="15"/>
        <v>1.6299999999973807</v>
      </c>
      <c r="H134" s="682">
        <f>G134+'3'!H134</f>
        <v>16</v>
      </c>
      <c r="I134" s="480"/>
      <c r="J134" s="552">
        <f>H134/DAY(B2)</f>
        <v>4</v>
      </c>
      <c r="N134" s="382"/>
    </row>
    <row r="135" spans="1:14" ht="27.75">
      <c r="A135" s="1309" t="s">
        <v>244</v>
      </c>
      <c r="B135" s="1310"/>
      <c r="C135" s="1310"/>
      <c r="D135" s="523" t="s">
        <v>239</v>
      </c>
      <c r="E135" s="484">
        <f>'3'!F135</f>
        <v>32583</v>
      </c>
      <c r="F135" s="652">
        <v>32583</v>
      </c>
      <c r="G135" s="473">
        <f t="shared" si="15"/>
        <v>0</v>
      </c>
      <c r="H135" s="682">
        <f>G135+'3'!H135</f>
        <v>0</v>
      </c>
      <c r="I135" s="480"/>
      <c r="J135" s="552">
        <f>H135/DAY(B2)</f>
        <v>0</v>
      </c>
      <c r="N135" s="382"/>
    </row>
    <row r="136" spans="1:14" ht="27.75">
      <c r="A136" s="1309" t="s">
        <v>245</v>
      </c>
      <c r="B136" s="1310"/>
      <c r="C136" s="1310"/>
      <c r="D136" s="523" t="s">
        <v>239</v>
      </c>
      <c r="E136" s="484">
        <f>'3'!F136</f>
        <v>22519.53</v>
      </c>
      <c r="F136" s="636">
        <v>22529.69</v>
      </c>
      <c r="G136" s="473">
        <f t="shared" si="15"/>
        <v>10.159999999999854</v>
      </c>
      <c r="H136" s="682">
        <f>G136+'3'!H136</f>
        <v>41.039999999997235</v>
      </c>
      <c r="I136" s="480">
        <f>G136+G137+G138</f>
        <v>13.409999999999854</v>
      </c>
      <c r="J136" s="552">
        <f>H136/DAY(B2)</f>
        <v>10.259999999999309</v>
      </c>
      <c r="N136" s="382"/>
    </row>
    <row r="137" spans="1:14" ht="27.75">
      <c r="A137" s="1309" t="s">
        <v>246</v>
      </c>
      <c r="B137" s="1310"/>
      <c r="C137" s="1310"/>
      <c r="D137" s="523" t="s">
        <v>239</v>
      </c>
      <c r="E137" s="484">
        <f>'3'!F137</f>
        <v>25048.97</v>
      </c>
      <c r="F137" s="636">
        <v>25048.97</v>
      </c>
      <c r="G137" s="473">
        <f t="shared" si="15"/>
        <v>0</v>
      </c>
      <c r="H137" s="682">
        <f>G137+'3'!H137</f>
        <v>0.18000000000029104</v>
      </c>
      <c r="I137" s="480"/>
      <c r="J137" s="552">
        <f>H137/DAY(B2)</f>
        <v>4.500000000007276E-2</v>
      </c>
      <c r="N137" s="382"/>
    </row>
    <row r="138" spans="1:14" ht="27.75">
      <c r="A138" s="1309" t="s">
        <v>247</v>
      </c>
      <c r="B138" s="1310"/>
      <c r="C138" s="1310"/>
      <c r="D138" s="523" t="s">
        <v>239</v>
      </c>
      <c r="E138" s="484">
        <f>'3'!F138</f>
        <v>70266.899999999994</v>
      </c>
      <c r="F138" s="636">
        <v>70270.149999999994</v>
      </c>
      <c r="G138" s="473">
        <f t="shared" si="15"/>
        <v>3.25</v>
      </c>
      <c r="H138" s="682">
        <f>G138+'3'!H138</f>
        <v>16.119999999995343</v>
      </c>
      <c r="I138" s="480"/>
      <c r="J138" s="552">
        <f>H138/DAY(B2)</f>
        <v>4.0299999999988358</v>
      </c>
      <c r="N138" s="382"/>
    </row>
    <row r="139" spans="1:14" ht="27.75">
      <c r="A139" s="1309" t="s">
        <v>248</v>
      </c>
      <c r="B139" s="1310"/>
      <c r="C139" s="1310"/>
      <c r="D139" s="523" t="s">
        <v>239</v>
      </c>
      <c r="E139" s="484">
        <f>'3'!F139</f>
        <v>1536.52</v>
      </c>
      <c r="F139" s="652">
        <v>1536.52</v>
      </c>
      <c r="G139" s="473">
        <f t="shared" si="15"/>
        <v>0</v>
      </c>
      <c r="H139" s="682">
        <f>G139+'3'!H139</f>
        <v>0</v>
      </c>
      <c r="I139" s="542">
        <f>G139+G140</f>
        <v>8.6000000000003638</v>
      </c>
      <c r="J139" s="552">
        <f>H139/DAY(B2)</f>
        <v>0</v>
      </c>
      <c r="N139" s="382"/>
    </row>
    <row r="140" spans="1:14" ht="27.75">
      <c r="A140" s="1309" t="s">
        <v>249</v>
      </c>
      <c r="B140" s="1310"/>
      <c r="C140" s="1310"/>
      <c r="D140" s="523" t="s">
        <v>239</v>
      </c>
      <c r="E140" s="484">
        <f>'3'!F140</f>
        <v>4493.25</v>
      </c>
      <c r="F140" s="635">
        <v>4501.8500000000004</v>
      </c>
      <c r="G140" s="473">
        <f t="shared" si="15"/>
        <v>8.6000000000003638</v>
      </c>
      <c r="H140" s="682">
        <f>G140+'3'!H140</f>
        <v>33.3100000000004</v>
      </c>
      <c r="I140" s="542"/>
      <c r="J140" s="552">
        <f>H140/DAY(B2)</f>
        <v>8.3275000000001</v>
      </c>
      <c r="N140" s="382"/>
    </row>
    <row r="141" spans="1:14">
      <c r="A141" s="1526" t="s">
        <v>250</v>
      </c>
      <c r="B141" s="1527"/>
      <c r="C141" s="1315"/>
      <c r="D141" s="472"/>
      <c r="E141" s="472"/>
      <c r="F141" s="483"/>
      <c r="G141" s="483"/>
      <c r="H141" s="483"/>
      <c r="I141" s="483"/>
      <c r="J141" s="563"/>
      <c r="K141" s="380"/>
      <c r="L141" s="377"/>
      <c r="N141" s="382"/>
    </row>
    <row r="142" spans="1:14" ht="27.75">
      <c r="A142" s="1520" t="s">
        <v>251</v>
      </c>
      <c r="B142" s="1521"/>
      <c r="C142" s="1522"/>
      <c r="D142" s="523" t="s">
        <v>132</v>
      </c>
      <c r="E142" s="523"/>
      <c r="F142" s="638"/>
      <c r="G142" s="460">
        <f>G35+G43+G49+G57</f>
        <v>5951.5399999999954</v>
      </c>
      <c r="H142" s="682">
        <f>G142+'3'!H142</f>
        <v>23534</v>
      </c>
      <c r="I142" s="480"/>
      <c r="J142" s="552">
        <f>H142/DAY(B2)</f>
        <v>5883.5</v>
      </c>
      <c r="K142" s="380"/>
      <c r="L142" s="377"/>
      <c r="N142" s="382"/>
    </row>
    <row r="143" spans="1:14" ht="27.75">
      <c r="A143" s="1520" t="s">
        <v>252</v>
      </c>
      <c r="B143" s="1521"/>
      <c r="C143" s="1522"/>
      <c r="D143" s="523" t="s">
        <v>24</v>
      </c>
      <c r="E143" s="511"/>
      <c r="F143" s="642"/>
      <c r="G143" s="543">
        <f>G142/G7</f>
        <v>0.27404982271952827</v>
      </c>
      <c r="H143" s="682">
        <f>G143+'3'!H143</f>
        <v>1.0627117536861648</v>
      </c>
      <c r="I143" s="544"/>
      <c r="J143" s="552">
        <f>H143/DAY(B2)</f>
        <v>0.26567793842154119</v>
      </c>
      <c r="K143" s="380"/>
      <c r="L143" s="377"/>
      <c r="N143" s="382"/>
    </row>
    <row r="144" spans="1:14" ht="27.75">
      <c r="A144" s="1520" t="s">
        <v>253</v>
      </c>
      <c r="B144" s="1521"/>
      <c r="C144" s="1522"/>
      <c r="D144" s="523" t="s">
        <v>132</v>
      </c>
      <c r="E144" s="455"/>
      <c r="F144" s="633"/>
      <c r="G144" s="460">
        <f>G41+G42+G55+G56</f>
        <v>6033</v>
      </c>
      <c r="H144" s="682">
        <f>G144+'3'!H144</f>
        <v>24920.839999999997</v>
      </c>
      <c r="I144" s="480"/>
      <c r="J144" s="552">
        <f>H144/DAY(B2)</f>
        <v>6230.2099999999991</v>
      </c>
      <c r="K144" s="380"/>
      <c r="L144" s="377"/>
      <c r="N144" s="382"/>
    </row>
    <row r="145" spans="1:14" ht="27.75">
      <c r="A145" s="1520" t="s">
        <v>254</v>
      </c>
      <c r="B145" s="1521"/>
      <c r="C145" s="1522"/>
      <c r="D145" s="523" t="s">
        <v>24</v>
      </c>
      <c r="E145" s="455"/>
      <c r="F145" s="633"/>
      <c r="G145" s="543">
        <f>G144/G7</f>
        <v>0.27780080121563749</v>
      </c>
      <c r="H145" s="682">
        <f>G145+'3'!H145</f>
        <v>1.1230884738105487</v>
      </c>
      <c r="I145" s="544"/>
      <c r="J145" s="552">
        <f>H145/DAY(B2)</f>
        <v>0.28077211845263716</v>
      </c>
      <c r="K145" s="380"/>
      <c r="L145" s="377"/>
      <c r="N145" s="382"/>
    </row>
    <row r="146" spans="1:14" ht="27.75">
      <c r="A146" s="1520" t="s">
        <v>255</v>
      </c>
      <c r="B146" s="1521"/>
      <c r="C146" s="1522"/>
      <c r="D146" s="523" t="s">
        <v>132</v>
      </c>
      <c r="E146" s="455"/>
      <c r="F146" s="633"/>
      <c r="G146" s="460">
        <f>G39+G53</f>
        <v>4271</v>
      </c>
      <c r="H146" s="682">
        <f>G146+'3'!H146</f>
        <v>16622</v>
      </c>
      <c r="I146" s="545"/>
      <c r="J146" s="552">
        <f>H146/DAY(B2)</f>
        <v>4155.5</v>
      </c>
      <c r="K146" s="380"/>
      <c r="L146" s="377"/>
      <c r="N146" s="382"/>
    </row>
    <row r="147" spans="1:14" ht="27.75">
      <c r="A147" s="1520" t="s">
        <v>256</v>
      </c>
      <c r="B147" s="1521"/>
      <c r="C147" s="1522"/>
      <c r="D147" s="523" t="s">
        <v>24</v>
      </c>
      <c r="E147" s="455"/>
      <c r="F147" s="633"/>
      <c r="G147" s="543">
        <f>G146/G7</f>
        <v>0.19666620619790948</v>
      </c>
      <c r="H147" s="682">
        <f>G147+'3'!H147</f>
        <v>0.74955055308745933</v>
      </c>
      <c r="I147" s="545"/>
      <c r="J147" s="552">
        <f>H147/DAY(B2)</f>
        <v>0.18738763827186483</v>
      </c>
      <c r="N147" s="382"/>
    </row>
    <row r="148" spans="1:14" ht="27.75">
      <c r="A148" s="1520" t="s">
        <v>257</v>
      </c>
      <c r="B148" s="1521"/>
      <c r="C148" s="1522"/>
      <c r="D148" s="523" t="s">
        <v>183</v>
      </c>
      <c r="E148" s="455"/>
      <c r="F148" s="633"/>
      <c r="G148" s="460">
        <f>G38+G52</f>
        <v>1683.6999999999971</v>
      </c>
      <c r="H148" s="682">
        <f>G148+'3'!H148</f>
        <v>7021.6999999999971</v>
      </c>
      <c r="I148" s="480"/>
      <c r="J148" s="552">
        <f>H148/DAY(B2)</f>
        <v>1755.4249999999993</v>
      </c>
      <c r="K148" s="381"/>
      <c r="N148" s="382"/>
    </row>
    <row r="149" spans="1:14" ht="27.75">
      <c r="A149" s="1520" t="s">
        <v>258</v>
      </c>
      <c r="B149" s="1521"/>
      <c r="C149" s="1522"/>
      <c r="D149" s="523" t="s">
        <v>24</v>
      </c>
      <c r="E149" s="455"/>
      <c r="F149" s="633"/>
      <c r="G149" s="543">
        <f>G148/G7</f>
        <v>7.7529124648892445E-2</v>
      </c>
      <c r="H149" s="682">
        <f>G149+'3'!H149</f>
        <v>0.31727339818611544</v>
      </c>
      <c r="I149" s="545"/>
      <c r="J149" s="552">
        <f>H149/DAY(B2)</f>
        <v>7.931834954652886E-2</v>
      </c>
      <c r="N149" s="382"/>
    </row>
    <row r="150" spans="1:14" ht="27.75">
      <c r="A150" s="1520" t="s">
        <v>259</v>
      </c>
      <c r="B150" s="1521"/>
      <c r="C150" s="1522"/>
      <c r="D150" s="523" t="s">
        <v>183</v>
      </c>
      <c r="E150" s="455"/>
      <c r="F150" s="633"/>
      <c r="G150" s="460">
        <f>G36+G50</f>
        <v>1911</v>
      </c>
      <c r="H150" s="682">
        <f>G150+'3'!H150</f>
        <v>8460</v>
      </c>
      <c r="I150" s="545"/>
      <c r="J150" s="552">
        <f>H150/DAY(B2)</f>
        <v>2115</v>
      </c>
      <c r="N150" s="382"/>
    </row>
    <row r="151" spans="1:14" ht="27.75">
      <c r="A151" s="1520" t="s">
        <v>260</v>
      </c>
      <c r="B151" s="1521"/>
      <c r="C151" s="1522"/>
      <c r="D151" s="523" t="s">
        <v>24</v>
      </c>
      <c r="E151" s="455"/>
      <c r="F151" s="633"/>
      <c r="G151" s="543">
        <f>G150/G7</f>
        <v>8.7995579499930934E-2</v>
      </c>
      <c r="H151" s="682">
        <f>G151+'3'!H151</f>
        <v>0.38098116790861875</v>
      </c>
      <c r="I151" s="480"/>
      <c r="J151" s="552">
        <f>H151/DAY(B2)</f>
        <v>9.5245291977154686E-2</v>
      </c>
      <c r="N151" s="382"/>
    </row>
    <row r="152" spans="1:14" ht="27.75">
      <c r="A152" s="1520" t="s">
        <v>261</v>
      </c>
      <c r="B152" s="1521"/>
      <c r="C152" s="1522"/>
      <c r="D152" s="523" t="s">
        <v>183</v>
      </c>
      <c r="E152" s="455"/>
      <c r="F152" s="633"/>
      <c r="G152" s="460">
        <f>G37+G51</f>
        <v>1390</v>
      </c>
      <c r="H152" s="682">
        <f>G152+'3'!H152</f>
        <v>5715</v>
      </c>
      <c r="I152" s="480"/>
      <c r="J152" s="552">
        <f>H152/DAY(B2)</f>
        <v>1428.75</v>
      </c>
      <c r="N152" s="382"/>
    </row>
    <row r="153" spans="1:14" ht="28.5" thickBot="1">
      <c r="A153" s="1523" t="s">
        <v>262</v>
      </c>
      <c r="B153" s="1524"/>
      <c r="C153" s="1525"/>
      <c r="D153" s="625" t="s">
        <v>24</v>
      </c>
      <c r="E153" s="565"/>
      <c r="F153" s="653"/>
      <c r="G153" s="566">
        <f>G152/G7</f>
        <v>6.4005157250080588E-2</v>
      </c>
      <c r="H153" s="682">
        <f>G153+'3'!H153</f>
        <v>0.25829257510150472</v>
      </c>
      <c r="I153" s="568"/>
      <c r="J153" s="569">
        <f>H153/DAY(B2)</f>
        <v>6.4573143775376179E-2</v>
      </c>
      <c r="N153" s="382"/>
    </row>
    <row r="154" spans="1:14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N154" s="382"/>
    </row>
    <row r="157" spans="1:14" ht="27.75">
      <c r="A157" s="1554" t="s">
        <v>267</v>
      </c>
      <c r="B157" s="1555"/>
      <c r="C157" s="1555"/>
      <c r="D157" s="1555"/>
      <c r="E157" s="1555"/>
      <c r="F157" s="1555"/>
      <c r="G157" s="1556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661">
        <f>'3'!F160</f>
        <v>33684</v>
      </c>
      <c r="F160" s="661">
        <v>33762</v>
      </c>
      <c r="G160" s="473">
        <f t="shared" ref="G160:G171" si="16">F160-E160</f>
        <v>78</v>
      </c>
    </row>
    <row r="161" spans="1:7">
      <c r="A161" s="788" t="s">
        <v>264</v>
      </c>
      <c r="B161" s="789"/>
      <c r="C161" s="789"/>
      <c r="D161" s="511" t="s">
        <v>187</v>
      </c>
      <c r="E161" s="661">
        <f>'3'!F161</f>
        <v>69958</v>
      </c>
      <c r="F161" s="661">
        <v>70410</v>
      </c>
      <c r="G161" s="473">
        <f t="shared" si="16"/>
        <v>452</v>
      </c>
    </row>
    <row r="162" spans="1:7">
      <c r="A162" s="788" t="s">
        <v>265</v>
      </c>
      <c r="B162" s="789"/>
      <c r="C162" s="789"/>
      <c r="D162" s="511" t="s">
        <v>187</v>
      </c>
      <c r="E162" s="661">
        <f>'3'!F162</f>
        <v>30145</v>
      </c>
      <c r="F162" s="661">
        <v>30492</v>
      </c>
      <c r="G162" s="473">
        <f t="shared" si="16"/>
        <v>347</v>
      </c>
    </row>
    <row r="163" spans="1:7">
      <c r="A163" s="788" t="s">
        <v>266</v>
      </c>
      <c r="B163" s="789"/>
      <c r="C163" s="789"/>
      <c r="D163" s="511" t="s">
        <v>187</v>
      </c>
      <c r="E163" s="661">
        <f>'3'!F163</f>
        <v>5829</v>
      </c>
      <c r="F163" s="661">
        <v>5840</v>
      </c>
      <c r="G163" s="473">
        <f t="shared" si="16"/>
        <v>11</v>
      </c>
    </row>
    <row r="164" spans="1:7">
      <c r="A164" s="790" t="s">
        <v>98</v>
      </c>
      <c r="B164" s="604"/>
      <c r="C164" s="604"/>
      <c r="D164" s="511" t="s">
        <v>187</v>
      </c>
      <c r="E164" s="661">
        <f>'3'!F164</f>
        <v>0</v>
      </c>
      <c r="F164" s="514">
        <f>F62</f>
        <v>0</v>
      </c>
      <c r="G164" s="473">
        <f t="shared" si="16"/>
        <v>0</v>
      </c>
    </row>
    <row r="165" spans="1:7">
      <c r="A165" s="790" t="s">
        <v>188</v>
      </c>
      <c r="B165" s="604"/>
      <c r="C165" s="604"/>
      <c r="D165" s="511" t="s">
        <v>187</v>
      </c>
      <c r="E165" s="661">
        <f>'3'!F165</f>
        <v>1745.37</v>
      </c>
      <c r="F165" s="514">
        <f t="shared" ref="F165:F171" si="17">F63</f>
        <v>2140</v>
      </c>
      <c r="G165" s="473">
        <f t="shared" si="16"/>
        <v>394.63000000000011</v>
      </c>
    </row>
    <row r="166" spans="1:7" ht="25.5" customHeight="1">
      <c r="A166" s="1495" t="s">
        <v>99</v>
      </c>
      <c r="B166" s="1495"/>
      <c r="C166" s="1495"/>
      <c r="D166" s="523" t="s">
        <v>187</v>
      </c>
      <c r="E166" s="661">
        <f>'3'!F166</f>
        <v>125180.16</v>
      </c>
      <c r="F166" s="514">
        <f t="shared" si="17"/>
        <v>141006</v>
      </c>
      <c r="G166" s="473">
        <f t="shared" si="16"/>
        <v>15825.839999999997</v>
      </c>
    </row>
    <row r="167" spans="1:7" ht="24.75" customHeight="1">
      <c r="A167" s="1495" t="s">
        <v>100</v>
      </c>
      <c r="B167" s="1495"/>
      <c r="C167" s="1495"/>
      <c r="D167" s="523" t="s">
        <v>187</v>
      </c>
      <c r="E167" s="661">
        <f>'3'!F167</f>
        <v>145286</v>
      </c>
      <c r="F167" s="514">
        <f t="shared" si="17"/>
        <v>145662</v>
      </c>
      <c r="G167" s="473">
        <f t="shared" si="16"/>
        <v>376</v>
      </c>
    </row>
    <row r="168" spans="1:7" ht="28.5" customHeight="1">
      <c r="A168" s="1495" t="s">
        <v>101</v>
      </c>
      <c r="B168" s="1495"/>
      <c r="C168" s="1495"/>
      <c r="D168" s="523" t="s">
        <v>187</v>
      </c>
      <c r="E168" s="661">
        <f>'3'!F168</f>
        <v>38431</v>
      </c>
      <c r="F168" s="514">
        <f t="shared" si="17"/>
        <v>38814</v>
      </c>
      <c r="G168" s="473">
        <f t="shared" si="16"/>
        <v>383</v>
      </c>
    </row>
    <row r="169" spans="1:7" ht="24.75" customHeight="1">
      <c r="A169" s="1495" t="s">
        <v>102</v>
      </c>
      <c r="B169" s="1495"/>
      <c r="C169" s="1495"/>
      <c r="D169" s="523" t="s">
        <v>187</v>
      </c>
      <c r="E169" s="661">
        <f>'3'!F169</f>
        <v>231034</v>
      </c>
      <c r="F169" s="514">
        <f t="shared" si="17"/>
        <v>231671</v>
      </c>
      <c r="G169" s="473">
        <f t="shared" si="16"/>
        <v>637</v>
      </c>
    </row>
    <row r="170" spans="1:7" ht="24" customHeight="1">
      <c r="A170" s="1495" t="s">
        <v>103</v>
      </c>
      <c r="B170" s="1495"/>
      <c r="C170" s="1495"/>
      <c r="D170" s="523" t="s">
        <v>187</v>
      </c>
      <c r="E170" s="661">
        <f>'3'!F170</f>
        <v>84031</v>
      </c>
      <c r="F170" s="514">
        <f t="shared" si="17"/>
        <v>84386</v>
      </c>
      <c r="G170" s="473">
        <f t="shared" si="16"/>
        <v>355</v>
      </c>
    </row>
    <row r="171" spans="1:7" ht="27.75">
      <c r="A171" s="1495" t="s">
        <v>104</v>
      </c>
      <c r="B171" s="1495"/>
      <c r="C171" s="1495"/>
      <c r="D171" s="523" t="s">
        <v>187</v>
      </c>
      <c r="E171" s="661">
        <f>'3'!F171</f>
        <v>75252</v>
      </c>
      <c r="F171" s="514">
        <f t="shared" si="17"/>
        <v>75574.58</v>
      </c>
      <c r="G171" s="473">
        <f t="shared" si="16"/>
        <v>322.58000000000175</v>
      </c>
    </row>
    <row r="176" spans="1:7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6:C106"/>
    <mergeCell ref="A107:B107"/>
    <mergeCell ref="A108:B108"/>
    <mergeCell ref="A109:B109"/>
    <mergeCell ref="A110:B110"/>
    <mergeCell ref="A94:C94"/>
    <mergeCell ref="A95:C95"/>
    <mergeCell ref="A103:B103"/>
    <mergeCell ref="A104:B104"/>
    <mergeCell ref="A105:B105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topLeftCell="A83" zoomScale="55" zoomScaleNormal="48" zoomScaleSheetLayoutView="55" workbookViewId="0">
      <selection activeCell="H30" sqref="H30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28" t="s">
        <v>117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5" s="281" customFormat="1" ht="27">
      <c r="A2" s="575" t="s">
        <v>346</v>
      </c>
      <c r="B2" s="1036">
        <v>44291</v>
      </c>
      <c r="C2" s="1146" t="s">
        <v>69</v>
      </c>
      <c r="D2" s="611">
        <v>0.85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6" t="s">
        <v>120</v>
      </c>
      <c r="D3" s="612">
        <v>32</v>
      </c>
      <c r="E3" s="1537" t="s">
        <v>121</v>
      </c>
      <c r="F3" s="1538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6" t="s">
        <v>122</v>
      </c>
      <c r="D4" s="611">
        <v>0.78</v>
      </c>
      <c r="E4" s="464"/>
      <c r="F4" s="631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31" t="s">
        <v>130</v>
      </c>
      <c r="B6" s="1532"/>
      <c r="C6" s="1533"/>
      <c r="D6" s="471"/>
      <c r="E6" s="471"/>
      <c r="F6" s="494"/>
      <c r="G6" s="471"/>
      <c r="H6" s="472"/>
      <c r="I6" s="472"/>
      <c r="J6" s="551"/>
      <c r="K6" s="427"/>
      <c r="L6" s="377"/>
    </row>
    <row r="7" spans="1:15" ht="30" thickBot="1">
      <c r="A7" s="679" t="s">
        <v>131</v>
      </c>
      <c r="B7" s="680"/>
      <c r="C7" s="680"/>
      <c r="D7" s="638" t="s">
        <v>337</v>
      </c>
      <c r="E7" s="633">
        <f>'4'!F7</f>
        <v>5202563</v>
      </c>
      <c r="F7" s="1253">
        <v>5224161</v>
      </c>
      <c r="G7" s="1258">
        <f>F7-E7</f>
        <v>21598</v>
      </c>
      <c r="H7" s="682">
        <f>G7+'4'!H7</f>
        <v>110238</v>
      </c>
      <c r="I7" s="683">
        <f>'1'!I7</f>
        <v>12000</v>
      </c>
      <c r="J7" s="684">
        <f>H7/DAY(B2)</f>
        <v>22047.599999999999</v>
      </c>
      <c r="K7" s="549"/>
      <c r="L7" s="377"/>
      <c r="N7" s="382"/>
      <c r="O7" s="382"/>
    </row>
    <row r="8" spans="1:15" ht="27.75" thickBot="1">
      <c r="A8" s="685" t="s">
        <v>133</v>
      </c>
      <c r="B8" s="686"/>
      <c r="C8" s="687"/>
      <c r="D8" s="688" t="s">
        <v>25</v>
      </c>
      <c r="E8" s="633">
        <f>'4'!F8</f>
        <v>5234378</v>
      </c>
      <c r="F8" s="1254">
        <v>5256061</v>
      </c>
      <c r="G8" s="1258">
        <f t="shared" ref="G8:G9" si="0">F8-E8</f>
        <v>21683</v>
      </c>
      <c r="H8" s="682">
        <f>G8+'4'!H8</f>
        <v>110743</v>
      </c>
      <c r="I8" s="689">
        <v>12000</v>
      </c>
      <c r="J8" s="684">
        <f>H8/DAY(B2)</f>
        <v>22148.6</v>
      </c>
      <c r="K8" s="549"/>
      <c r="L8" s="425"/>
      <c r="M8" s="440"/>
      <c r="N8" s="706"/>
      <c r="O8" s="382"/>
    </row>
    <row r="9" spans="1:15">
      <c r="A9" s="690" t="s">
        <v>134</v>
      </c>
      <c r="B9" s="691"/>
      <c r="C9" s="691"/>
      <c r="D9" s="638" t="s">
        <v>132</v>
      </c>
      <c r="E9" s="635">
        <f>'4'!F9</f>
        <v>482078</v>
      </c>
      <c r="F9" s="1250">
        <v>502970</v>
      </c>
      <c r="G9" s="1258">
        <f t="shared" si="0"/>
        <v>20892</v>
      </c>
      <c r="H9" s="682">
        <f>G9+'4'!H9</f>
        <v>106901</v>
      </c>
      <c r="I9" s="693">
        <f>I8-J8</f>
        <v>-10148.599999999999</v>
      </c>
      <c r="J9" s="684">
        <f>H9/DAY(B2)</f>
        <v>21380.2</v>
      </c>
      <c r="K9" s="428"/>
      <c r="L9" s="377"/>
      <c r="N9" s="382"/>
      <c r="O9" s="382"/>
    </row>
    <row r="10" spans="1:15">
      <c r="A10" s="679" t="s">
        <v>135</v>
      </c>
      <c r="B10" s="680"/>
      <c r="C10" s="680"/>
      <c r="D10" s="638" t="s">
        <v>132</v>
      </c>
      <c r="E10" s="635">
        <f>'4'!F10</f>
        <v>2322.58</v>
      </c>
      <c r="F10" s="1250">
        <v>2322.58</v>
      </c>
      <c r="G10" s="1258">
        <f>F10-E10</f>
        <v>0</v>
      </c>
      <c r="H10" s="682">
        <f>G10+'4'!H10</f>
        <v>0</v>
      </c>
      <c r="I10" s="694"/>
      <c r="J10" s="684">
        <f>H10/DAY(B2)</f>
        <v>0</v>
      </c>
      <c r="K10" s="428"/>
      <c r="L10" s="377"/>
      <c r="N10" s="382">
        <v>108</v>
      </c>
      <c r="O10" s="382"/>
    </row>
    <row r="11" spans="1:15">
      <c r="A11" s="679" t="s">
        <v>136</v>
      </c>
      <c r="B11" s="680"/>
      <c r="C11" s="680"/>
      <c r="D11" s="638" t="s">
        <v>132</v>
      </c>
      <c r="E11" s="633">
        <f>'4'!F11</f>
        <v>37000</v>
      </c>
      <c r="F11" s="1253">
        <v>37000</v>
      </c>
      <c r="G11" s="1258">
        <f>F11-E11</f>
        <v>0</v>
      </c>
      <c r="H11" s="682">
        <f>G11+'4'!H11</f>
        <v>0</v>
      </c>
      <c r="I11" s="694"/>
      <c r="J11" s="684">
        <f>H11/DAY(B2)</f>
        <v>0</v>
      </c>
      <c r="K11" s="428"/>
      <c r="L11" s="377"/>
      <c r="N11" s="382">
        <v>28</v>
      </c>
      <c r="O11" s="382"/>
    </row>
    <row r="12" spans="1:15">
      <c r="A12" s="679" t="s">
        <v>137</v>
      </c>
      <c r="B12" s="680"/>
      <c r="C12" s="680"/>
      <c r="D12" s="638" t="s">
        <v>132</v>
      </c>
      <c r="E12" s="635">
        <f>'4'!F12</f>
        <v>40010</v>
      </c>
      <c r="F12" s="1250">
        <v>40010</v>
      </c>
      <c r="G12" s="1258">
        <f t="shared" ref="G12" si="1">F12-E12</f>
        <v>0</v>
      </c>
      <c r="H12" s="682">
        <f>G12+'4'!H12</f>
        <v>0</v>
      </c>
      <c r="I12" s="694"/>
      <c r="J12" s="684">
        <f>H12/DAY(B2)</f>
        <v>0</v>
      </c>
      <c r="K12" s="428"/>
      <c r="L12" s="377"/>
      <c r="N12" s="382">
        <v>342</v>
      </c>
      <c r="O12" s="382"/>
    </row>
    <row r="13" spans="1:15">
      <c r="A13" s="695" t="s">
        <v>138</v>
      </c>
      <c r="B13" s="696"/>
      <c r="C13" s="696"/>
      <c r="D13" s="638"/>
      <c r="E13" s="633"/>
      <c r="F13" s="1253"/>
      <c r="G13" s="1258">
        <f>G9+G10+G11+G12</f>
        <v>20892</v>
      </c>
      <c r="H13" s="682">
        <f>G13+'4'!H13</f>
        <v>106901</v>
      </c>
      <c r="I13" s="698">
        <f>G7-G13</f>
        <v>706</v>
      </c>
      <c r="J13" s="684">
        <f>H13/DAY(B2)</f>
        <v>21380.2</v>
      </c>
      <c r="K13" s="428"/>
      <c r="L13" s="377"/>
      <c r="N13" s="382">
        <v>349</v>
      </c>
      <c r="O13" s="382"/>
    </row>
    <row r="14" spans="1:15">
      <c r="A14" s="1534" t="s">
        <v>139</v>
      </c>
      <c r="B14" s="1535"/>
      <c r="C14" s="1536"/>
      <c r="D14" s="472"/>
      <c r="E14" s="472"/>
      <c r="F14" s="1098"/>
      <c r="G14" s="1261"/>
      <c r="H14" s="472"/>
      <c r="I14" s="472"/>
      <c r="J14" s="551"/>
      <c r="K14" s="429"/>
      <c r="L14" s="377"/>
      <c r="N14" s="382">
        <v>432</v>
      </c>
      <c r="O14" s="382"/>
    </row>
    <row r="15" spans="1:15">
      <c r="A15" s="1256" t="s">
        <v>140</v>
      </c>
      <c r="B15" s="791"/>
      <c r="C15" s="791"/>
      <c r="D15" s="792" t="s">
        <v>141</v>
      </c>
      <c r="E15" s="1257">
        <f>'4'!F15</f>
        <v>1650621</v>
      </c>
      <c r="F15" s="1257">
        <v>1651556</v>
      </c>
      <c r="G15" s="1258">
        <f t="shared" ref="G15" si="2">F15-E15</f>
        <v>935</v>
      </c>
      <c r="H15" s="1259">
        <f>G15+'4'!H15</f>
        <v>4867</v>
      </c>
      <c r="I15" s="1100">
        <v>800</v>
      </c>
      <c r="J15" s="1260">
        <f>H15/DAY(B2)</f>
        <v>973.4</v>
      </c>
      <c r="K15" s="428"/>
      <c r="L15" s="377"/>
      <c r="N15" s="382"/>
      <c r="O15" s="382"/>
    </row>
    <row r="16" spans="1:15">
      <c r="A16" s="794"/>
      <c r="B16" s="795"/>
      <c r="C16" s="795"/>
      <c r="D16" s="792"/>
      <c r="E16" s="1257"/>
      <c r="F16" s="1257"/>
      <c r="G16" s="1258"/>
      <c r="H16" s="1259"/>
      <c r="I16" s="1096">
        <f>I15-J15</f>
        <v>-173.39999999999998</v>
      </c>
      <c r="J16" s="1260"/>
      <c r="K16" s="428"/>
      <c r="L16" s="377"/>
      <c r="N16" s="382"/>
      <c r="O16" s="382"/>
    </row>
    <row r="17" spans="1:15">
      <c r="A17" s="1534" t="s">
        <v>142</v>
      </c>
      <c r="B17" s="1535"/>
      <c r="C17" s="1536"/>
      <c r="D17" s="472"/>
      <c r="E17" s="472"/>
      <c r="F17" s="1098"/>
      <c r="G17" s="1259"/>
      <c r="H17" s="472"/>
      <c r="I17" s="472"/>
      <c r="J17" s="551"/>
      <c r="K17" s="428"/>
      <c r="L17" s="377"/>
      <c r="N17" s="382"/>
      <c r="O17" s="382"/>
    </row>
    <row r="18" spans="1:15" ht="27.75">
      <c r="A18" s="1560" t="s">
        <v>143</v>
      </c>
      <c r="B18" s="1561"/>
      <c r="C18" s="1562"/>
      <c r="D18" s="638" t="s">
        <v>144</v>
      </c>
      <c r="E18" s="635">
        <v>12</v>
      </c>
      <c r="F18" s="1250">
        <v>12</v>
      </c>
      <c r="G18" s="1258">
        <f>F18*10</f>
        <v>120</v>
      </c>
      <c r="H18" s="682">
        <f>G18+'4'!H18</f>
        <v>600</v>
      </c>
      <c r="I18" s="683">
        <f>'1'!I18</f>
        <v>65</v>
      </c>
      <c r="J18" s="684">
        <f>H18/DAY(B2)</f>
        <v>120</v>
      </c>
      <c r="K18" s="428"/>
      <c r="L18" s="377"/>
      <c r="N18" s="382"/>
      <c r="O18" s="382"/>
    </row>
    <row r="19" spans="1:15" ht="27.75">
      <c r="A19" s="1560" t="s">
        <v>71</v>
      </c>
      <c r="B19" s="1561"/>
      <c r="C19" s="1562"/>
      <c r="D19" s="638" t="s">
        <v>144</v>
      </c>
      <c r="E19" s="635">
        <f>'4'!F19</f>
        <v>136303</v>
      </c>
      <c r="F19" s="1250">
        <v>136361</v>
      </c>
      <c r="G19" s="1258">
        <f t="shared" ref="G19" si="3">F19-E19</f>
        <v>58</v>
      </c>
      <c r="H19" s="682">
        <f>G19+'4'!H19</f>
        <v>271</v>
      </c>
      <c r="I19" s="699"/>
      <c r="J19" s="684">
        <f>H19/DAY(B2)</f>
        <v>54.2</v>
      </c>
      <c r="K19" s="428"/>
      <c r="L19" s="377"/>
      <c r="N19" s="382"/>
      <c r="O19" s="382"/>
    </row>
    <row r="20" spans="1:15">
      <c r="A20" s="695" t="s">
        <v>145</v>
      </c>
      <c r="B20" s="696"/>
      <c r="C20" s="696"/>
      <c r="D20" s="638"/>
      <c r="E20" s="638"/>
      <c r="F20" s="638"/>
      <c r="G20" s="1262">
        <f>G18+G19</f>
        <v>178</v>
      </c>
      <c r="H20" s="682">
        <f>G20+'4'!H20</f>
        <v>871</v>
      </c>
      <c r="I20" s="701">
        <f>I18-J20</f>
        <v>-109.19999999999999</v>
      </c>
      <c r="J20" s="684">
        <f>H20/DAY(B2)</f>
        <v>174.2</v>
      </c>
      <c r="K20" s="428"/>
      <c r="L20" s="377"/>
      <c r="N20" s="382"/>
      <c r="O20" s="382"/>
    </row>
    <row r="21" spans="1:15">
      <c r="A21" s="1534" t="s">
        <v>146</v>
      </c>
      <c r="B21" s="1535"/>
      <c r="C21" s="1536"/>
      <c r="D21" s="472"/>
      <c r="E21" s="472"/>
      <c r="F21" s="483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4" t="s">
        <v>147</v>
      </c>
      <c r="B22" s="589"/>
      <c r="C22" s="589"/>
      <c r="D22" s="523" t="s">
        <v>148</v>
      </c>
      <c r="E22" s="478">
        <v>1290</v>
      </c>
      <c r="F22" s="635">
        <v>1290</v>
      </c>
      <c r="G22" s="481">
        <f t="shared" ref="G22" si="4">(F22-E22)</f>
        <v>0</v>
      </c>
      <c r="H22" s="460">
        <f>G22+'4'!H22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4" t="s">
        <v>149</v>
      </c>
      <c r="B23" s="589"/>
      <c r="C23" s="589"/>
      <c r="D23" s="523" t="s">
        <v>148</v>
      </c>
      <c r="E23" s="478">
        <v>1900</v>
      </c>
      <c r="F23" s="635">
        <v>1900</v>
      </c>
      <c r="G23" s="481">
        <v>0</v>
      </c>
      <c r="H23" s="460">
        <f>G23+'4'!H23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85">
        <v>3290</v>
      </c>
      <c r="F24" s="637">
        <v>3290</v>
      </c>
      <c r="G24" s="481">
        <v>0</v>
      </c>
      <c r="H24" s="460">
        <f>G24+'4'!H24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39" t="s">
        <v>151</v>
      </c>
      <c r="B25" s="1540"/>
      <c r="C25" s="1541"/>
      <c r="D25" s="471"/>
      <c r="E25" s="471"/>
      <c r="F25" s="494"/>
      <c r="G25" s="494"/>
      <c r="H25" s="495"/>
      <c r="I25" s="496"/>
      <c r="J25" s="554"/>
      <c r="K25" s="373"/>
      <c r="L25" s="443"/>
      <c r="N25" s="382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2">
        <f>G8</f>
        <v>21683</v>
      </c>
      <c r="F27" s="501">
        <v>9</v>
      </c>
      <c r="G27" s="502">
        <f>E27*F27</f>
        <v>195147</v>
      </c>
      <c r="H27" s="460">
        <f>G27+'4'!H27</f>
        <v>996687</v>
      </c>
      <c r="I27" s="503"/>
      <c r="J27" s="552">
        <f>H27/DAY(B2)</f>
        <v>199337.4</v>
      </c>
      <c r="K27" s="373"/>
      <c r="L27" s="443"/>
      <c r="N27" s="382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2">
        <f>G15</f>
        <v>935</v>
      </c>
      <c r="F28" s="501">
        <v>51.45</v>
      </c>
      <c r="G28" s="502">
        <f>E28*F28</f>
        <v>48105.75</v>
      </c>
      <c r="H28" s="460">
        <f>G28+'4'!H28</f>
        <v>250407.15000000002</v>
      </c>
      <c r="I28" s="505"/>
      <c r="J28" s="552">
        <f>H28/DAY(B2)</f>
        <v>50081.430000000008</v>
      </c>
      <c r="K28" s="373"/>
      <c r="L28" s="443"/>
      <c r="N28" s="382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G29+'4'!H29</f>
        <v>0</v>
      </c>
      <c r="I29" s="505"/>
      <c r="J29" s="552">
        <f>H29/DAY(B2)</f>
        <v>0</v>
      </c>
      <c r="K29" s="373"/>
      <c r="L29" s="443"/>
      <c r="N29" s="382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2">
        <f>G19</f>
        <v>58</v>
      </c>
      <c r="F30" s="501">
        <v>146</v>
      </c>
      <c r="G30" s="502">
        <f>E30*F30</f>
        <v>8468</v>
      </c>
      <c r="H30" s="460">
        <f>G30+'4'!H30</f>
        <v>37010</v>
      </c>
      <c r="I30" s="505"/>
      <c r="J30" s="552">
        <f>H30/DAY(B2)</f>
        <v>7402</v>
      </c>
      <c r="K30" s="373"/>
      <c r="L30" s="443"/>
      <c r="N30" s="382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2">
        <f>G18</f>
        <v>120</v>
      </c>
      <c r="F31" s="501">
        <v>80</v>
      </c>
      <c r="G31" s="502">
        <f>E31*F31</f>
        <v>9600</v>
      </c>
      <c r="H31" s="460">
        <f>G31+'4'!H31</f>
        <v>48000</v>
      </c>
      <c r="I31" s="505"/>
      <c r="J31" s="552">
        <f>H31/DAY(B2)</f>
        <v>9600</v>
      </c>
      <c r="K31" s="373"/>
      <c r="L31" s="443"/>
      <c r="N31" s="382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639"/>
      <c r="G32" s="508">
        <f>G27+G28+G29+G30+G31</f>
        <v>261320.75</v>
      </c>
      <c r="H32" s="460">
        <f>G32+'4'!H32</f>
        <v>1332104.1499999999</v>
      </c>
      <c r="I32" s="509"/>
      <c r="J32" s="552">
        <f>H32/DAY(B2)</f>
        <v>266420.82999999996</v>
      </c>
      <c r="K32" s="373"/>
      <c r="L32" s="443"/>
      <c r="N32" s="382"/>
      <c r="O32" s="382"/>
    </row>
    <row r="33" spans="1:15" ht="25.5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  <c r="N33" s="382"/>
      <c r="O33" s="382"/>
    </row>
    <row r="34" spans="1:15">
      <c r="A34" s="598" t="s">
        <v>163</v>
      </c>
      <c r="B34" s="1149"/>
      <c r="C34" s="1149"/>
      <c r="D34" s="472"/>
      <c r="E34" s="471"/>
      <c r="F34" s="494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'4'!F35</f>
        <v>811737</v>
      </c>
      <c r="F35" s="1243">
        <v>815332</v>
      </c>
      <c r="G35" s="473">
        <f t="shared" ref="G35:G46" si="5">F35-E35</f>
        <v>3595</v>
      </c>
      <c r="H35" s="460">
        <f>G35+'4'!H35</f>
        <v>16943</v>
      </c>
      <c r="I35" s="455"/>
      <c r="J35" s="552">
        <f>H35/DAY(B2)</f>
        <v>3388.6</v>
      </c>
      <c r="K35" s="428"/>
      <c r="L35" s="377"/>
      <c r="N35" s="382"/>
      <c r="O35" s="382"/>
    </row>
    <row r="36" spans="1:15">
      <c r="A36" s="578" t="s">
        <v>165</v>
      </c>
      <c r="B36" s="579"/>
      <c r="C36" s="579"/>
      <c r="D36" s="523" t="s">
        <v>132</v>
      </c>
      <c r="E36" s="510">
        <f>'4'!F36</f>
        <v>321206</v>
      </c>
      <c r="F36" s="1243">
        <v>322075</v>
      </c>
      <c r="G36" s="473">
        <f t="shared" si="5"/>
        <v>869</v>
      </c>
      <c r="H36" s="460">
        <f>G36+'4'!H36</f>
        <v>4639</v>
      </c>
      <c r="I36" s="455"/>
      <c r="J36" s="552">
        <f>H36/DAY(B2)</f>
        <v>927.8</v>
      </c>
      <c r="K36" s="428"/>
      <c r="L36" s="377"/>
      <c r="N36" s="628"/>
      <c r="O36" s="382"/>
    </row>
    <row r="37" spans="1:15">
      <c r="A37" s="578" t="s">
        <v>166</v>
      </c>
      <c r="B37" s="579"/>
      <c r="C37" s="579"/>
      <c r="D37" s="523" t="s">
        <v>132</v>
      </c>
      <c r="E37" s="640">
        <v>60512</v>
      </c>
      <c r="F37" s="1243">
        <v>61873</v>
      </c>
      <c r="G37" s="473">
        <f t="shared" si="5"/>
        <v>1361</v>
      </c>
      <c r="H37" s="460">
        <f>G37+'4'!H37</f>
        <v>7076</v>
      </c>
      <c r="I37" s="455"/>
      <c r="J37" s="552">
        <f>H37/DAY(B2)</f>
        <v>1415.2</v>
      </c>
      <c r="K37" s="428"/>
      <c r="L37" s="377"/>
      <c r="N37" s="629"/>
      <c r="O37" s="382"/>
    </row>
    <row r="38" spans="1:15">
      <c r="A38" s="578" t="s">
        <v>167</v>
      </c>
      <c r="B38" s="579"/>
      <c r="C38" s="579"/>
      <c r="D38" s="523" t="s">
        <v>132</v>
      </c>
      <c r="E38" s="641">
        <v>79329.7</v>
      </c>
      <c r="F38" s="1244">
        <v>81061</v>
      </c>
      <c r="G38" s="473">
        <f t="shared" si="5"/>
        <v>1731.3000000000029</v>
      </c>
      <c r="H38" s="460">
        <f>G38+'4'!H38</f>
        <v>8753</v>
      </c>
      <c r="I38" s="455"/>
      <c r="J38" s="552">
        <f>H38/DAY(B2)</f>
        <v>1750.6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640">
        <v>168584</v>
      </c>
      <c r="F39" s="1243">
        <v>172455</v>
      </c>
      <c r="G39" s="473">
        <f t="shared" si="5"/>
        <v>3871</v>
      </c>
      <c r="H39" s="460">
        <f>G39+'4'!H39</f>
        <v>19633</v>
      </c>
      <c r="I39" s="455"/>
      <c r="J39" s="552">
        <f>H39/DAY(B2)</f>
        <v>3926.6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'4'!F40</f>
        <v>0</v>
      </c>
      <c r="F40" s="1243">
        <v>0</v>
      </c>
      <c r="G40" s="473">
        <f t="shared" si="5"/>
        <v>0</v>
      </c>
      <c r="H40" s="460">
        <f>G40+'4'!H40</f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'4'!F41</f>
        <v>155174</v>
      </c>
      <c r="F41" s="1243">
        <v>159474</v>
      </c>
      <c r="G41" s="473">
        <f t="shared" si="5"/>
        <v>4300</v>
      </c>
      <c r="H41" s="460">
        <f>G41+'4'!H41</f>
        <v>26333</v>
      </c>
      <c r="I41" s="455"/>
      <c r="J41" s="552">
        <f>H41/DAY(B2)</f>
        <v>5266.6</v>
      </c>
      <c r="K41" s="428"/>
      <c r="L41" s="377"/>
      <c r="N41" s="382"/>
      <c r="O41" s="382"/>
    </row>
    <row r="42" spans="1:15">
      <c r="A42" s="578" t="s">
        <v>171</v>
      </c>
      <c r="B42" s="579"/>
      <c r="C42" s="579"/>
      <c r="D42" s="523" t="s">
        <v>132</v>
      </c>
      <c r="E42" s="510">
        <f>'4'!F42</f>
        <v>59128</v>
      </c>
      <c r="F42" s="1243">
        <v>59128</v>
      </c>
      <c r="G42" s="473">
        <f t="shared" si="5"/>
        <v>0</v>
      </c>
      <c r="H42" s="460">
        <f>G42+'4'!H42</f>
        <v>-0.16000000000349246</v>
      </c>
      <c r="I42" s="455"/>
      <c r="J42" s="552">
        <f>H42/DAY(B2)</f>
        <v>-3.2000000000698491E-2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'4'!F43</f>
        <v>912234</v>
      </c>
      <c r="F43" s="1243">
        <v>914662</v>
      </c>
      <c r="G43" s="473">
        <f t="shared" si="5"/>
        <v>2428</v>
      </c>
      <c r="H43" s="460">
        <f>G43+'4'!H43</f>
        <v>12614</v>
      </c>
      <c r="I43" s="455"/>
      <c r="J43" s="552">
        <f>H43/DAY(B2)</f>
        <v>2522.8000000000002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'4'!F44</f>
        <v>0</v>
      </c>
      <c r="F44" s="1243">
        <v>0</v>
      </c>
      <c r="G44" s="473">
        <f t="shared" si="5"/>
        <v>0</v>
      </c>
      <c r="H44" s="460">
        <f>G44+'4'!H44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'4'!F45</f>
        <v>614</v>
      </c>
      <c r="F45" s="1243">
        <v>614</v>
      </c>
      <c r="G45" s="473">
        <f t="shared" si="5"/>
        <v>0</v>
      </c>
      <c r="H45" s="460">
        <f>G45+'4'!H45</f>
        <v>614</v>
      </c>
      <c r="I45" s="455"/>
      <c r="J45" s="552">
        <f>H45/DAY(B2)</f>
        <v>122.8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'4'!F46</f>
        <v>187</v>
      </c>
      <c r="F46" s="1243">
        <v>187</v>
      </c>
      <c r="G46" s="473">
        <f t="shared" si="5"/>
        <v>0</v>
      </c>
      <c r="H46" s="460">
        <f>G46+'4'!H46</f>
        <v>187</v>
      </c>
      <c r="I46" s="455"/>
      <c r="J46" s="552">
        <f>H46/DAY(B2)</f>
        <v>37.4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1245"/>
      <c r="G47" s="481">
        <f>G35+G36+G37+G38+G39+G40+G41+G42+G43+G44+G45+G46</f>
        <v>18155.300000000003</v>
      </c>
      <c r="H47" s="460">
        <f>G47+'4'!H47</f>
        <v>96791.84</v>
      </c>
      <c r="I47" s="455"/>
      <c r="J47" s="552">
        <f>H47/DAY(B2)</f>
        <v>19358.367999999999</v>
      </c>
      <c r="K47" s="428"/>
      <c r="L47" s="377"/>
      <c r="N47" s="382"/>
      <c r="O47" s="382"/>
    </row>
    <row r="48" spans="1:15">
      <c r="A48" s="598" t="s">
        <v>177</v>
      </c>
      <c r="B48" s="1149"/>
      <c r="C48" s="1149"/>
      <c r="D48" s="472"/>
      <c r="E48" s="471"/>
      <c r="F48" s="1246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'4'!F49</f>
        <v>260732</v>
      </c>
      <c r="F49" s="1243">
        <v>260732</v>
      </c>
      <c r="G49" s="473">
        <f t="shared" ref="G49:G58" si="6">F49-E49</f>
        <v>0</v>
      </c>
      <c r="H49" s="460">
        <f>G49+'4'!H49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'4'!F50</f>
        <v>445922</v>
      </c>
      <c r="F50" s="1243">
        <v>446969</v>
      </c>
      <c r="G50" s="473">
        <f t="shared" si="6"/>
        <v>1047</v>
      </c>
      <c r="H50" s="460">
        <f>G50+'4'!H50</f>
        <v>5737</v>
      </c>
      <c r="I50" s="455"/>
      <c r="J50" s="552">
        <f>H50/DAY(B2)</f>
        <v>1147.4000000000001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'4'!F51</f>
        <v>144640</v>
      </c>
      <c r="F51" s="1243">
        <v>144640</v>
      </c>
      <c r="G51" s="473">
        <f t="shared" si="6"/>
        <v>0</v>
      </c>
      <c r="H51" s="460">
        <f>G51+'4'!H51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'4'!F52</f>
        <v>539608</v>
      </c>
      <c r="F52" s="1243">
        <v>539608</v>
      </c>
      <c r="G52" s="473">
        <f t="shared" si="6"/>
        <v>0</v>
      </c>
      <c r="H52" s="460">
        <f>G52+'4'!H52</f>
        <v>0</v>
      </c>
      <c r="I52" s="455"/>
      <c r="J52" s="552">
        <f>H52/DAY(B2)</f>
        <v>0</v>
      </c>
      <c r="K52" s="428"/>
      <c r="L52" s="377"/>
      <c r="N52" s="382"/>
      <c r="O52" s="382"/>
    </row>
    <row r="53" spans="1:15">
      <c r="A53" s="578" t="s">
        <v>168</v>
      </c>
      <c r="B53" s="601"/>
      <c r="C53" s="601"/>
      <c r="D53" s="523" t="s">
        <v>132</v>
      </c>
      <c r="E53" s="510">
        <f>'4'!F53</f>
        <v>402124</v>
      </c>
      <c r="F53" s="1243">
        <v>402339</v>
      </c>
      <c r="G53" s="473">
        <f t="shared" si="6"/>
        <v>215</v>
      </c>
      <c r="H53" s="460">
        <f>G53+'4'!H53</f>
        <v>1075</v>
      </c>
      <c r="I53" s="455"/>
      <c r="J53" s="552">
        <f>H53/DAY(B2)</f>
        <v>215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'4'!F54</f>
        <v>9451</v>
      </c>
      <c r="F54" s="1243">
        <v>9527</v>
      </c>
      <c r="G54" s="473">
        <f t="shared" si="6"/>
        <v>76</v>
      </c>
      <c r="H54" s="460">
        <f>G54+'4'!H54</f>
        <v>361</v>
      </c>
      <c r="I54" s="455"/>
      <c r="J54" s="552">
        <f>H54/DAY(B2)</f>
        <v>72.2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'4'!F55</f>
        <v>218939</v>
      </c>
      <c r="F55" s="1255">
        <v>220420</v>
      </c>
      <c r="G55" s="473">
        <f t="shared" si="6"/>
        <v>1481</v>
      </c>
      <c r="H55" s="460">
        <f>G55+'4'!H55</f>
        <v>4323</v>
      </c>
      <c r="I55" s="455"/>
      <c r="J55" s="552">
        <f>H55/DAY(B2)</f>
        <v>864.6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'4'!F56</f>
        <v>589013</v>
      </c>
      <c r="F56" s="1255">
        <v>589022</v>
      </c>
      <c r="G56" s="473">
        <f t="shared" si="6"/>
        <v>9</v>
      </c>
      <c r="H56" s="460">
        <f>G56+'4'!H56</f>
        <v>55</v>
      </c>
      <c r="I56" s="455"/>
      <c r="J56" s="552">
        <f>H56/DAY(B2)</f>
        <v>11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'4'!F57</f>
        <v>7711</v>
      </c>
      <c r="F57" s="1243">
        <v>7711</v>
      </c>
      <c r="G57" s="473">
        <f t="shared" si="6"/>
        <v>0</v>
      </c>
      <c r="H57" s="460">
        <f>G57+'4'!H57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'4'!F58</f>
        <v>42332</v>
      </c>
      <c r="F58" s="1247">
        <v>42520</v>
      </c>
      <c r="G58" s="473">
        <f t="shared" si="6"/>
        <v>188</v>
      </c>
      <c r="H58" s="460">
        <f>G58+'4'!H58</f>
        <v>973</v>
      </c>
      <c r="I58" s="455"/>
      <c r="J58" s="552">
        <f>H58/DAY(B2)</f>
        <v>194.6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1245"/>
      <c r="G59" s="481">
        <f>G49+G50+G51+G52+G53+G54+G55+G56+G57+G58</f>
        <v>3016</v>
      </c>
      <c r="H59" s="460">
        <f>G59+'4'!H59</f>
        <v>12524</v>
      </c>
      <c r="I59" s="455">
        <f>G7-G60</f>
        <v>426.69999999999709</v>
      </c>
      <c r="J59" s="552">
        <f>H59/DAY(B2)</f>
        <v>2504.8000000000002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1245"/>
      <c r="G60" s="481">
        <f>G47+G59</f>
        <v>21171.300000000003</v>
      </c>
      <c r="H60" s="460">
        <f>G60+'4'!H60</f>
        <v>109315.84</v>
      </c>
      <c r="I60" s="455">
        <f>G13-G60</f>
        <v>-279.30000000000291</v>
      </c>
      <c r="J60" s="552">
        <f>H60/DAY(B2)</f>
        <v>21863.167999999998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1248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'4'!F62</f>
        <v>0</v>
      </c>
      <c r="F62" s="1249">
        <v>0</v>
      </c>
      <c r="G62" s="473">
        <f t="shared" ref="G62:G69" si="7">F62-E62</f>
        <v>0</v>
      </c>
      <c r="H62" s="460">
        <f>G62+'4'!H62</f>
        <v>1.9999999967694748E-3</v>
      </c>
      <c r="I62" s="515"/>
      <c r="J62" s="552">
        <f>H62/DAY(B2)</f>
        <v>3.9999999935389494E-4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'4'!F63</f>
        <v>2140</v>
      </c>
      <c r="F63" s="1249">
        <v>2154</v>
      </c>
      <c r="G63" s="473">
        <f t="shared" si="7"/>
        <v>14</v>
      </c>
      <c r="H63" s="460">
        <f>G63+'4'!H63</f>
        <v>58</v>
      </c>
      <c r="I63" s="515"/>
      <c r="J63" s="552">
        <f>H63/DAY(B2)</f>
        <v>11.6</v>
      </c>
      <c r="K63" s="428"/>
      <c r="L63" s="377"/>
      <c r="N63" s="382"/>
      <c r="O63" s="382"/>
    </row>
    <row r="64" spans="1:15" ht="27.75">
      <c r="A64" s="1499" t="s">
        <v>99</v>
      </c>
      <c r="B64" s="1500"/>
      <c r="C64" s="1501"/>
      <c r="D64" s="523" t="s">
        <v>187</v>
      </c>
      <c r="E64" s="484">
        <f>'4'!F64</f>
        <v>141006</v>
      </c>
      <c r="F64" s="1250">
        <v>141481</v>
      </c>
      <c r="G64" s="473">
        <f t="shared" si="7"/>
        <v>475</v>
      </c>
      <c r="H64" s="460">
        <f>G64+'4'!H64</f>
        <v>2301</v>
      </c>
      <c r="I64" s="480"/>
      <c r="J64" s="552">
        <f>H64/DAY(B2)</f>
        <v>460.2</v>
      </c>
      <c r="K64" s="428"/>
      <c r="L64" s="377"/>
      <c r="N64" s="382"/>
      <c r="O64" s="382"/>
    </row>
    <row r="65" spans="1:15" ht="27.75">
      <c r="A65" s="1499" t="s">
        <v>100</v>
      </c>
      <c r="B65" s="1500"/>
      <c r="C65" s="1501"/>
      <c r="D65" s="523" t="s">
        <v>187</v>
      </c>
      <c r="E65" s="484">
        <f>'4'!F65</f>
        <v>145662</v>
      </c>
      <c r="F65" s="1251">
        <v>146027</v>
      </c>
      <c r="G65" s="473">
        <f t="shared" si="7"/>
        <v>365</v>
      </c>
      <c r="H65" s="460">
        <f>G65+'4'!H65</f>
        <v>1822</v>
      </c>
      <c r="I65" s="489"/>
      <c r="J65" s="552">
        <f>H65/DAY(B2)</f>
        <v>364.4</v>
      </c>
      <c r="K65" s="428"/>
      <c r="L65" s="377"/>
      <c r="N65" s="382"/>
      <c r="O65" s="382"/>
    </row>
    <row r="66" spans="1:15" ht="27.75">
      <c r="A66" s="1499" t="s">
        <v>101</v>
      </c>
      <c r="B66" s="1500"/>
      <c r="C66" s="1501"/>
      <c r="D66" s="523" t="s">
        <v>187</v>
      </c>
      <c r="E66" s="484">
        <f>'4'!F66</f>
        <v>38814</v>
      </c>
      <c r="F66" s="1250">
        <v>39214</v>
      </c>
      <c r="G66" s="473">
        <f t="shared" si="7"/>
        <v>400</v>
      </c>
      <c r="H66" s="460">
        <f>G66+'4'!H66</f>
        <v>2006</v>
      </c>
      <c r="I66" s="480"/>
      <c r="J66" s="552">
        <f>H66/DAY(B2)</f>
        <v>401.2</v>
      </c>
      <c r="K66" s="428"/>
      <c r="L66" s="377"/>
      <c r="N66" s="382"/>
      <c r="O66" s="382"/>
    </row>
    <row r="67" spans="1:15" ht="27.75">
      <c r="A67" s="1499" t="s">
        <v>102</v>
      </c>
      <c r="B67" s="1500"/>
      <c r="C67" s="1501"/>
      <c r="D67" s="523" t="s">
        <v>187</v>
      </c>
      <c r="E67" s="484">
        <f>'4'!F67</f>
        <v>231671</v>
      </c>
      <c r="F67" s="1250">
        <v>232292</v>
      </c>
      <c r="G67" s="473">
        <f t="shared" si="7"/>
        <v>621</v>
      </c>
      <c r="H67" s="460">
        <f>G67+'4'!H67</f>
        <v>3192</v>
      </c>
      <c r="I67" s="489"/>
      <c r="J67" s="552">
        <f>H67/DAY(B2)</f>
        <v>638.4</v>
      </c>
      <c r="K67" s="429"/>
      <c r="L67" s="377"/>
      <c r="N67" s="382"/>
      <c r="O67" s="382"/>
    </row>
    <row r="68" spans="1:15" ht="27.75">
      <c r="A68" s="1499" t="s">
        <v>103</v>
      </c>
      <c r="B68" s="1500"/>
      <c r="C68" s="1501"/>
      <c r="D68" s="523" t="s">
        <v>187</v>
      </c>
      <c r="E68" s="484">
        <f>'4'!F68</f>
        <v>84386</v>
      </c>
      <c r="F68" s="1250">
        <v>84713</v>
      </c>
      <c r="G68" s="473">
        <f t="shared" si="7"/>
        <v>327</v>
      </c>
      <c r="H68" s="460">
        <f>G68+'4'!H68</f>
        <v>1626</v>
      </c>
      <c r="I68" s="516"/>
      <c r="J68" s="552">
        <f>H68/DAY(B2)</f>
        <v>325.2</v>
      </c>
      <c r="K68" s="430"/>
      <c r="L68" s="377"/>
      <c r="N68" s="382"/>
      <c r="O68" s="382"/>
    </row>
    <row r="69" spans="1:15" ht="27.75">
      <c r="A69" s="1499" t="s">
        <v>104</v>
      </c>
      <c r="B69" s="1500"/>
      <c r="C69" s="1501"/>
      <c r="D69" s="523" t="s">
        <v>187</v>
      </c>
      <c r="E69" s="484">
        <f>'4'!F69</f>
        <v>75574.58</v>
      </c>
      <c r="F69" s="1250">
        <v>75877</v>
      </c>
      <c r="G69" s="473">
        <f t="shared" si="7"/>
        <v>302.41999999999825</v>
      </c>
      <c r="H69" s="460">
        <f>G69+'4'!H69</f>
        <v>1548</v>
      </c>
      <c r="I69" s="516"/>
      <c r="J69" s="552">
        <f>H69/DAY(B2)</f>
        <v>309.60000000000002</v>
      </c>
      <c r="K69" s="431"/>
      <c r="L69" s="377"/>
      <c r="N69" s="382"/>
      <c r="O69" s="382"/>
    </row>
    <row r="70" spans="1:15" ht="27.75">
      <c r="A70" s="1505" t="s">
        <v>189</v>
      </c>
      <c r="B70" s="1506"/>
      <c r="C70" s="1507"/>
      <c r="D70" s="523" t="s">
        <v>187</v>
      </c>
      <c r="E70" s="518"/>
      <c r="F70" s="1252"/>
      <c r="G70" s="518"/>
      <c r="H70" s="460"/>
      <c r="I70" s="518"/>
      <c r="J70" s="556"/>
      <c r="K70" s="431"/>
      <c r="L70" s="377"/>
      <c r="N70" s="382"/>
      <c r="O70" s="382"/>
    </row>
    <row r="71" spans="1:15" ht="31.5">
      <c r="A71" s="1502" t="s">
        <v>190</v>
      </c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  <c r="N71" s="382"/>
      <c r="O71" s="382"/>
    </row>
    <row r="72" spans="1:15" ht="27.75">
      <c r="A72" s="1499" t="s">
        <v>191</v>
      </c>
      <c r="B72" s="1500"/>
      <c r="C72" s="1501"/>
      <c r="D72" s="523" t="s">
        <v>187</v>
      </c>
      <c r="E72" s="519">
        <f>'4'!F72</f>
        <v>853593</v>
      </c>
      <c r="F72" s="1263">
        <v>853693</v>
      </c>
      <c r="G72" s="473">
        <f t="shared" ref="G72:G84" si="8">F72-E72</f>
        <v>100</v>
      </c>
      <c r="H72" s="460">
        <f>G72+'4'!H72</f>
        <v>514</v>
      </c>
      <c r="I72" s="480"/>
      <c r="J72" s="552">
        <f>H72/DAY(B2)</f>
        <v>102.8</v>
      </c>
      <c r="K72" s="431"/>
      <c r="L72" s="377"/>
      <c r="N72" s="382"/>
      <c r="O72" s="382"/>
    </row>
    <row r="73" spans="1:15" ht="27.75">
      <c r="A73" s="1499" t="s">
        <v>192</v>
      </c>
      <c r="B73" s="1500"/>
      <c r="C73" s="1501"/>
      <c r="D73" s="523" t="s">
        <v>187</v>
      </c>
      <c r="E73" s="520">
        <f>'4'!F73</f>
        <v>885808</v>
      </c>
      <c r="F73" s="1264">
        <v>885809</v>
      </c>
      <c r="G73" s="655">
        <f t="shared" si="8"/>
        <v>1</v>
      </c>
      <c r="H73" s="460">
        <f>G73+'4'!H73</f>
        <v>9</v>
      </c>
      <c r="I73" s="480"/>
      <c r="J73" s="552">
        <f>H73/DAY(B2)</f>
        <v>1.8</v>
      </c>
      <c r="K73" s="430"/>
      <c r="L73" s="377"/>
      <c r="N73" s="382"/>
      <c r="O73" s="382"/>
    </row>
    <row r="74" spans="1:15" ht="27.75">
      <c r="A74" s="1499" t="s">
        <v>193</v>
      </c>
      <c r="B74" s="1500"/>
      <c r="C74" s="1501"/>
      <c r="D74" s="523" t="s">
        <v>187</v>
      </c>
      <c r="E74" s="521">
        <f>'4'!F74</f>
        <v>1456</v>
      </c>
      <c r="F74" s="1263">
        <v>1491</v>
      </c>
      <c r="G74" s="473">
        <f t="shared" si="8"/>
        <v>35</v>
      </c>
      <c r="H74" s="460">
        <f>G74+'4'!H74</f>
        <v>121</v>
      </c>
      <c r="I74" s="480"/>
      <c r="J74" s="552">
        <f>H74/DAY(B2)</f>
        <v>24.2</v>
      </c>
      <c r="K74" s="431"/>
      <c r="L74" s="377"/>
      <c r="N74" s="382"/>
      <c r="O74" s="382"/>
    </row>
    <row r="75" spans="1:15" ht="27.75">
      <c r="A75" s="1496" t="s">
        <v>194</v>
      </c>
      <c r="B75" s="1497"/>
      <c r="C75" s="1498"/>
      <c r="D75" s="523" t="s">
        <v>187</v>
      </c>
      <c r="E75" s="521">
        <f>'4'!F75</f>
        <v>9195</v>
      </c>
      <c r="F75" s="1265">
        <v>9307</v>
      </c>
      <c r="G75" s="473">
        <f t="shared" si="8"/>
        <v>112</v>
      </c>
      <c r="H75" s="460">
        <f>G75+'4'!H75</f>
        <v>627</v>
      </c>
      <c r="I75" s="480"/>
      <c r="J75" s="552">
        <f>H75/DAY(B2)</f>
        <v>125.4</v>
      </c>
      <c r="K75" s="430"/>
      <c r="L75" s="377"/>
      <c r="N75" s="382"/>
      <c r="O75" s="382"/>
    </row>
    <row r="76" spans="1:15" ht="27.75">
      <c r="A76" s="1496" t="s">
        <v>195</v>
      </c>
      <c r="B76" s="1497"/>
      <c r="C76" s="1498"/>
      <c r="D76" s="523" t="s">
        <v>187</v>
      </c>
      <c r="E76" s="520">
        <f>'4'!F76</f>
        <v>4298</v>
      </c>
      <c r="F76" s="1264">
        <v>4365</v>
      </c>
      <c r="G76" s="473">
        <f t="shared" si="8"/>
        <v>67</v>
      </c>
      <c r="H76" s="460">
        <f>G76+'4'!H76</f>
        <v>328</v>
      </c>
      <c r="I76" s="505"/>
      <c r="J76" s="552">
        <f>H76/DAY(B2)</f>
        <v>65.599999999999994</v>
      </c>
      <c r="K76" s="430"/>
      <c r="L76" s="377"/>
      <c r="N76" s="382"/>
      <c r="O76" s="382"/>
    </row>
    <row r="77" spans="1:15" ht="27.75">
      <c r="A77" s="1499" t="s">
        <v>196</v>
      </c>
      <c r="B77" s="1500"/>
      <c r="C77" s="1501"/>
      <c r="D77" s="523" t="s">
        <v>187</v>
      </c>
      <c r="E77" s="520">
        <f>'4'!F77</f>
        <v>700400</v>
      </c>
      <c r="F77" s="1264">
        <v>700442</v>
      </c>
      <c r="G77" s="655">
        <f t="shared" si="8"/>
        <v>42</v>
      </c>
      <c r="H77" s="460">
        <f>G77+'4'!H77</f>
        <v>228</v>
      </c>
      <c r="I77" s="505"/>
      <c r="J77" s="552">
        <f>H77/DAY(B2)</f>
        <v>45.6</v>
      </c>
      <c r="K77" s="430"/>
      <c r="L77" s="377"/>
      <c r="N77" s="382"/>
      <c r="O77" s="382"/>
    </row>
    <row r="78" spans="1:15" ht="27.75">
      <c r="A78" s="1147" t="s">
        <v>197</v>
      </c>
      <c r="B78" s="1120"/>
      <c r="C78" s="1120"/>
      <c r="D78" s="523" t="s">
        <v>187</v>
      </c>
      <c r="E78" s="521">
        <f>'4'!F78</f>
        <v>666750</v>
      </c>
      <c r="F78" s="1265">
        <v>667075</v>
      </c>
      <c r="G78" s="473">
        <f t="shared" si="8"/>
        <v>325</v>
      </c>
      <c r="H78" s="460">
        <f>G78+'4'!H78</f>
        <v>1695</v>
      </c>
      <c r="I78" s="505"/>
      <c r="J78" s="552">
        <f>H78/DAY(B2)</f>
        <v>339</v>
      </c>
      <c r="K78" s="430"/>
      <c r="L78" s="377"/>
      <c r="N78" s="382"/>
      <c r="O78" s="382"/>
    </row>
    <row r="79" spans="1:15" ht="27.75">
      <c r="A79" s="1496" t="s">
        <v>92</v>
      </c>
      <c r="B79" s="1497"/>
      <c r="C79" s="1498"/>
      <c r="D79" s="524" t="s">
        <v>187</v>
      </c>
      <c r="E79" s="521">
        <f>'4'!F79</f>
        <v>821973</v>
      </c>
      <c r="F79" s="1265">
        <v>822160</v>
      </c>
      <c r="G79" s="473">
        <f t="shared" si="8"/>
        <v>187</v>
      </c>
      <c r="H79" s="460">
        <f>G79+'4'!H79</f>
        <v>947</v>
      </c>
      <c r="I79" s="505"/>
      <c r="J79" s="552">
        <f>H79/DAY(B2)</f>
        <v>189.4</v>
      </c>
      <c r="K79" s="430"/>
      <c r="L79" s="377"/>
      <c r="N79" s="382"/>
      <c r="O79" s="382"/>
    </row>
    <row r="80" spans="1:15" ht="27.75">
      <c r="A80" s="1496" t="s">
        <v>198</v>
      </c>
      <c r="B80" s="1497"/>
      <c r="C80" s="1498"/>
      <c r="D80" s="524" t="s">
        <v>187</v>
      </c>
      <c r="E80" s="520">
        <f>'4'!F80</f>
        <v>507074.76</v>
      </c>
      <c r="F80" s="1264">
        <v>507397</v>
      </c>
      <c r="G80" s="473">
        <f t="shared" si="8"/>
        <v>322.23999999999069</v>
      </c>
      <c r="H80" s="460">
        <f>G80+'4'!H80</f>
        <v>1698</v>
      </c>
      <c r="I80" s="505"/>
      <c r="J80" s="552">
        <f>H80/DAY(B2)</f>
        <v>339.6</v>
      </c>
      <c r="K80" s="430"/>
      <c r="L80" s="377"/>
      <c r="N80" s="382"/>
      <c r="O80" s="382"/>
    </row>
    <row r="81" spans="1:15" ht="27.75">
      <c r="A81" s="1496" t="s">
        <v>199</v>
      </c>
      <c r="B81" s="1497"/>
      <c r="C81" s="1498"/>
      <c r="D81" s="524" t="s">
        <v>187</v>
      </c>
      <c r="E81" s="520">
        <f>'4'!F81</f>
        <v>631241</v>
      </c>
      <c r="F81" s="1264">
        <v>631464</v>
      </c>
      <c r="G81" s="473">
        <f t="shared" si="8"/>
        <v>223</v>
      </c>
      <c r="H81" s="460">
        <f>G81+'4'!H81</f>
        <v>1279</v>
      </c>
      <c r="I81" s="505"/>
      <c r="J81" s="552">
        <f>H81/DAY(B2)</f>
        <v>255.8</v>
      </c>
      <c r="K81" s="430"/>
      <c r="L81" s="377"/>
      <c r="N81" s="382"/>
      <c r="O81" s="382"/>
    </row>
    <row r="82" spans="1:15" ht="27.75">
      <c r="A82" s="1496" t="s">
        <v>93</v>
      </c>
      <c r="B82" s="1497"/>
      <c r="C82" s="1498"/>
      <c r="D82" s="485" t="s">
        <v>132</v>
      </c>
      <c r="E82" s="522">
        <f>'4'!F82</f>
        <v>106990</v>
      </c>
      <c r="F82" s="1251">
        <v>107013</v>
      </c>
      <c r="G82" s="473">
        <f t="shared" si="8"/>
        <v>23</v>
      </c>
      <c r="H82" s="460">
        <f>G82+'4'!H82</f>
        <v>118</v>
      </c>
      <c r="I82" s="486"/>
      <c r="J82" s="552">
        <f>H82/DAY(B2)</f>
        <v>23.6</v>
      </c>
      <c r="K82" s="430"/>
      <c r="L82" s="377"/>
      <c r="N82" s="382"/>
      <c r="O82" s="382"/>
    </row>
    <row r="83" spans="1:15" ht="27.75">
      <c r="A83" s="1496" t="s">
        <v>200</v>
      </c>
      <c r="B83" s="1497"/>
      <c r="C83" s="1498"/>
      <c r="D83" s="620" t="s">
        <v>132</v>
      </c>
      <c r="E83" s="511">
        <f>'4'!F83</f>
        <v>8087</v>
      </c>
      <c r="F83" s="1245">
        <v>8365</v>
      </c>
      <c r="G83" s="473">
        <f t="shared" si="8"/>
        <v>278</v>
      </c>
      <c r="H83" s="460">
        <f>G83+'4'!H83</f>
        <v>1308</v>
      </c>
      <c r="I83" s="481"/>
      <c r="J83" s="552">
        <f>H83/DAY(B2)</f>
        <v>261.60000000000002</v>
      </c>
      <c r="K83" s="429"/>
      <c r="L83" s="377"/>
      <c r="N83" s="382"/>
      <c r="O83" s="382"/>
    </row>
    <row r="84" spans="1:15">
      <c r="A84" s="1148" t="s">
        <v>201</v>
      </c>
      <c r="B84" s="571"/>
      <c r="C84" s="571"/>
      <c r="D84" s="478" t="s">
        <v>132</v>
      </c>
      <c r="E84" s="627">
        <f>'4'!F84</f>
        <v>458295</v>
      </c>
      <c r="F84" s="1266">
        <v>459300</v>
      </c>
      <c r="G84" s="473">
        <f t="shared" si="8"/>
        <v>1005</v>
      </c>
      <c r="H84" s="460">
        <f>G84+'4'!H84</f>
        <v>4616</v>
      </c>
      <c r="I84" s="481"/>
      <c r="J84" s="552">
        <f>H84/DAY(B2)</f>
        <v>923.2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627">
        <f>'4'!F85</f>
        <v>0</v>
      </c>
      <c r="F85" s="1101"/>
      <c r="G85" s="460">
        <f xml:space="preserve"> SUM(G71:G84)</f>
        <v>2720.2399999999907</v>
      </c>
      <c r="H85" s="460">
        <f>G85+'4'!H85</f>
        <v>13488</v>
      </c>
      <c r="I85" s="481"/>
      <c r="J85" s="552">
        <f>H85/DAY(B2)</f>
        <v>2697.6</v>
      </c>
      <c r="K85" s="380"/>
      <c r="L85" s="378"/>
      <c r="N85" s="382"/>
      <c r="O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'4'!F86</f>
        <v>455237</v>
      </c>
      <c r="F86" s="1266">
        <v>455433</v>
      </c>
      <c r="G86" s="708">
        <f t="shared" ref="G86:G90" si="9">F86-E86</f>
        <v>196</v>
      </c>
      <c r="H86" s="460">
        <f>G86+'4'!H86</f>
        <v>852</v>
      </c>
      <c r="I86" s="655"/>
      <c r="J86" s="710">
        <f>H86/DAY(B2)</f>
        <v>170.4</v>
      </c>
      <c r="K86" s="736"/>
      <c r="L86" s="737"/>
      <c r="N86" s="781">
        <f>G86-173</f>
        <v>23</v>
      </c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'4'!F87</f>
        <v>80295</v>
      </c>
      <c r="F87" s="1266">
        <v>80330</v>
      </c>
      <c r="G87" s="708">
        <f t="shared" si="9"/>
        <v>35</v>
      </c>
      <c r="H87" s="460">
        <f>G87+'4'!H87</f>
        <v>145</v>
      </c>
      <c r="I87" s="655"/>
      <c r="J87" s="710">
        <f>H87/DAY(B2)</f>
        <v>29</v>
      </c>
      <c r="K87" s="736"/>
      <c r="L87" s="737"/>
      <c r="N87" s="738">
        <v>108</v>
      </c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'4'!F88</f>
        <v>150903</v>
      </c>
      <c r="F88" s="1266">
        <v>150937</v>
      </c>
      <c r="G88" s="708">
        <f t="shared" si="9"/>
        <v>34</v>
      </c>
      <c r="H88" s="460">
        <f>G88+'4'!H88</f>
        <v>338</v>
      </c>
      <c r="I88" s="655"/>
      <c r="J88" s="710">
        <f>H88/DAY(B2)</f>
        <v>67.599999999999994</v>
      </c>
      <c r="K88" s="736"/>
      <c r="L88" s="737"/>
      <c r="N88" s="738">
        <v>28</v>
      </c>
      <c r="O88" s="382"/>
    </row>
    <row r="89" spans="1:15" s="738" customFormat="1">
      <c r="A89" s="733" t="s">
        <v>203</v>
      </c>
      <c r="B89" s="734"/>
      <c r="C89" s="734"/>
      <c r="D89" s="735" t="s">
        <v>183</v>
      </c>
      <c r="E89" s="627">
        <f>'4'!F89</f>
        <v>63728</v>
      </c>
      <c r="F89" s="1266">
        <v>63772</v>
      </c>
      <c r="G89" s="708">
        <f t="shared" si="9"/>
        <v>44</v>
      </c>
      <c r="H89" s="460">
        <f>G89+'4'!H89</f>
        <v>218</v>
      </c>
      <c r="I89" s="655"/>
      <c r="J89" s="710">
        <f>H89/DAY(B2)</f>
        <v>43.6</v>
      </c>
      <c r="K89" s="736"/>
      <c r="L89" s="737"/>
      <c r="N89" s="781">
        <v>342</v>
      </c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'4'!F90</f>
        <v>3271</v>
      </c>
      <c r="F90" s="1266">
        <v>3272</v>
      </c>
      <c r="G90" s="708">
        <f t="shared" si="9"/>
        <v>1</v>
      </c>
      <c r="H90" s="460">
        <f>G90+'4'!H90</f>
        <v>2</v>
      </c>
      <c r="I90" s="655"/>
      <c r="J90" s="710">
        <f>H90/DAY(B2)</f>
        <v>0.4</v>
      </c>
      <c r="K90" s="736"/>
      <c r="L90" s="737"/>
      <c r="N90" s="781">
        <v>349</v>
      </c>
      <c r="O90" s="382"/>
    </row>
    <row r="91" spans="1:15" s="379" customFormat="1">
      <c r="A91" s="606" t="s">
        <v>205</v>
      </c>
      <c r="B91" s="1150"/>
      <c r="C91" s="1150"/>
      <c r="D91" s="472"/>
      <c r="E91" s="472"/>
      <c r="F91" s="1098"/>
      <c r="G91" s="488"/>
      <c r="H91" s="472"/>
      <c r="I91" s="472"/>
      <c r="J91" s="551"/>
      <c r="K91" s="380"/>
      <c r="L91" s="378"/>
      <c r="N91" s="382"/>
      <c r="O91" s="382"/>
    </row>
    <row r="92" spans="1:15" ht="27.75">
      <c r="A92" s="1520" t="s">
        <v>206</v>
      </c>
      <c r="B92" s="1521"/>
      <c r="C92" s="1522"/>
      <c r="D92" s="523" t="s">
        <v>144</v>
      </c>
      <c r="E92" s="484">
        <f>'4'!F92</f>
        <v>242974</v>
      </c>
      <c r="F92" s="1250">
        <v>243053</v>
      </c>
      <c r="G92" s="473">
        <f t="shared" ref="G92:G93" si="10">F92-E92</f>
        <v>79</v>
      </c>
      <c r="H92" s="460">
        <f>G92+'4'!H92</f>
        <v>407</v>
      </c>
      <c r="I92" s="480"/>
      <c r="J92" s="552">
        <f>H92/DAY(B2)</f>
        <v>81.400000000000006</v>
      </c>
      <c r="K92" s="429"/>
      <c r="L92" s="377"/>
      <c r="N92" s="382"/>
      <c r="O92" s="382"/>
    </row>
    <row r="93" spans="1:15" ht="27.75">
      <c r="A93" s="1520" t="s">
        <v>207</v>
      </c>
      <c r="B93" s="1521"/>
      <c r="C93" s="1522"/>
      <c r="D93" s="523" t="s">
        <v>144</v>
      </c>
      <c r="E93" s="484">
        <f>'4'!F93</f>
        <v>180273</v>
      </c>
      <c r="F93" s="1250">
        <v>180441</v>
      </c>
      <c r="G93" s="473">
        <f t="shared" si="10"/>
        <v>168</v>
      </c>
      <c r="H93" s="460">
        <f>G93+'4'!H93</f>
        <v>762</v>
      </c>
      <c r="I93" s="480"/>
      <c r="J93" s="552">
        <f>H93/DAY(B2)</f>
        <v>152.4</v>
      </c>
      <c r="K93" s="380"/>
      <c r="L93" s="377"/>
      <c r="N93" s="382"/>
      <c r="O93" s="382"/>
    </row>
    <row r="94" spans="1:15">
      <c r="A94" s="1548" t="s">
        <v>208</v>
      </c>
      <c r="B94" s="1549"/>
      <c r="C94" s="1550"/>
      <c r="D94" s="523"/>
      <c r="E94" s="484"/>
      <c r="F94" s="1250"/>
      <c r="G94" s="473">
        <f>G92+G93</f>
        <v>247</v>
      </c>
      <c r="H94" s="460">
        <f>G94+'4'!H94</f>
        <v>950</v>
      </c>
      <c r="I94" s="480"/>
      <c r="J94" s="552">
        <f>H94/DAY(B2)</f>
        <v>190</v>
      </c>
      <c r="K94" s="380"/>
      <c r="L94" s="377"/>
      <c r="N94" s="382"/>
      <c r="O94" s="382"/>
    </row>
    <row r="95" spans="1:15" ht="27.75">
      <c r="A95" s="1520" t="s">
        <v>209</v>
      </c>
      <c r="B95" s="1521"/>
      <c r="C95" s="1522"/>
      <c r="D95" s="523" t="s">
        <v>144</v>
      </c>
      <c r="E95" s="484">
        <f>'4'!F95</f>
        <v>411092</v>
      </c>
      <c r="F95" s="1250">
        <v>411160</v>
      </c>
      <c r="G95" s="473">
        <f t="shared" ref="G95:G100" si="11">F95-E95</f>
        <v>68</v>
      </c>
      <c r="H95" s="460">
        <f>G95+'4'!H95</f>
        <v>375</v>
      </c>
      <c r="I95" s="480"/>
      <c r="J95" s="552">
        <f>H95/DAY(B2)</f>
        <v>75</v>
      </c>
      <c r="K95" s="380"/>
      <c r="L95" s="377"/>
      <c r="N95" s="382"/>
      <c r="O95" s="382"/>
    </row>
    <row r="96" spans="1:15" ht="27.75">
      <c r="A96" s="1144" t="s">
        <v>210</v>
      </c>
      <c r="B96" s="1145"/>
      <c r="C96" s="1145"/>
      <c r="D96" s="523" t="s">
        <v>144</v>
      </c>
      <c r="E96" s="484">
        <f>'4'!F96</f>
        <v>101906</v>
      </c>
      <c r="F96" s="1250">
        <v>101921</v>
      </c>
      <c r="G96" s="473">
        <f t="shared" si="11"/>
        <v>15</v>
      </c>
      <c r="H96" s="460">
        <f>G96+'4'!H96</f>
        <v>90</v>
      </c>
      <c r="I96" s="480"/>
      <c r="J96" s="552">
        <f>H96/DAY(B2)</f>
        <v>18</v>
      </c>
      <c r="K96" s="427"/>
      <c r="L96" s="377"/>
      <c r="N96" s="382"/>
      <c r="O96" s="382"/>
    </row>
    <row r="97" spans="1:15" ht="27.75">
      <c r="A97" s="1144" t="s">
        <v>211</v>
      </c>
      <c r="B97" s="1145"/>
      <c r="C97" s="1145"/>
      <c r="D97" s="523" t="s">
        <v>144</v>
      </c>
      <c r="E97" s="484">
        <f>'4'!F97</f>
        <v>96998</v>
      </c>
      <c r="F97" s="1250">
        <v>97020</v>
      </c>
      <c r="G97" s="473">
        <f t="shared" si="11"/>
        <v>22</v>
      </c>
      <c r="H97" s="460">
        <f>G97+'4'!H97</f>
        <v>92</v>
      </c>
      <c r="I97" s="480"/>
      <c r="J97" s="552">
        <f>H97/DAY(B2)</f>
        <v>18.399999999999999</v>
      </c>
      <c r="K97" s="432"/>
      <c r="L97" s="377"/>
      <c r="N97" s="382"/>
      <c r="O97" s="382"/>
    </row>
    <row r="98" spans="1:15" ht="27.75">
      <c r="A98" s="1144" t="s">
        <v>212</v>
      </c>
      <c r="B98" s="1145"/>
      <c r="C98" s="1145"/>
      <c r="D98" s="523" t="s">
        <v>144</v>
      </c>
      <c r="E98" s="484">
        <f>'4'!F98</f>
        <v>149097</v>
      </c>
      <c r="F98" s="1250">
        <v>149125</v>
      </c>
      <c r="G98" s="473">
        <f t="shared" si="11"/>
        <v>28</v>
      </c>
      <c r="H98" s="460">
        <f>G98+'4'!H98</f>
        <v>216</v>
      </c>
      <c r="I98" s="480"/>
      <c r="J98" s="552">
        <f>H98/DAY(B2)</f>
        <v>43.2</v>
      </c>
      <c r="K98" s="380"/>
      <c r="L98" s="377"/>
      <c r="N98" s="707"/>
      <c r="O98" s="382"/>
    </row>
    <row r="99" spans="1:15" ht="27.75">
      <c r="A99" s="1144" t="s">
        <v>213</v>
      </c>
      <c r="B99" s="1145"/>
      <c r="C99" s="1145"/>
      <c r="D99" s="523" t="s">
        <v>144</v>
      </c>
      <c r="E99" s="484">
        <f>'4'!F99</f>
        <v>6916</v>
      </c>
      <c r="F99" s="1250">
        <v>6938</v>
      </c>
      <c r="G99" s="473">
        <f t="shared" si="11"/>
        <v>22</v>
      </c>
      <c r="H99" s="460">
        <f>G99+'4'!H99</f>
        <v>83</v>
      </c>
      <c r="I99" s="480"/>
      <c r="J99" s="552">
        <f>H99/DAY(B2)</f>
        <v>16.600000000000001</v>
      </c>
      <c r="K99" s="380"/>
      <c r="L99" s="377"/>
      <c r="N99" s="382"/>
      <c r="O99" s="382"/>
    </row>
    <row r="100" spans="1:15" ht="27.75">
      <c r="A100" s="1144" t="s">
        <v>214</v>
      </c>
      <c r="B100" s="1145"/>
      <c r="C100" s="1145"/>
      <c r="D100" s="523" t="s">
        <v>144</v>
      </c>
      <c r="E100" s="484">
        <f>'4'!F100</f>
        <v>4969</v>
      </c>
      <c r="F100" s="1250">
        <v>4975</v>
      </c>
      <c r="G100" s="473">
        <f t="shared" si="11"/>
        <v>6</v>
      </c>
      <c r="H100" s="460">
        <f>G100+'4'!H100</f>
        <v>32</v>
      </c>
      <c r="I100" s="480"/>
      <c r="J100" s="552">
        <f>H100/DAY(B2)</f>
        <v>6.4</v>
      </c>
      <c r="K100" s="380"/>
      <c r="L100" s="377"/>
      <c r="N100" s="382"/>
      <c r="O100" s="382"/>
    </row>
    <row r="101" spans="1:15">
      <c r="A101" s="1548" t="s">
        <v>216</v>
      </c>
      <c r="B101" s="1549"/>
      <c r="C101" s="1550"/>
      <c r="D101" s="524"/>
      <c r="E101" s="524"/>
      <c r="F101" s="1261"/>
      <c r="G101" s="525">
        <f>SUM(G95:G100)</f>
        <v>161</v>
      </c>
      <c r="H101" s="460">
        <f>G101+'4'!H101</f>
        <v>888</v>
      </c>
      <c r="I101" s="526"/>
      <c r="J101" s="552">
        <f>H101/DAY(B2)</f>
        <v>177.6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1267"/>
      <c r="G102" s="529"/>
      <c r="H102" s="530"/>
      <c r="I102" s="531"/>
      <c r="J102" s="557"/>
      <c r="N102" s="382"/>
      <c r="O102" s="382"/>
    </row>
    <row r="103" spans="1:15" s="442" customFormat="1" ht="27.75">
      <c r="A103" s="1551" t="s">
        <v>218</v>
      </c>
      <c r="B103" s="1552"/>
      <c r="C103" s="573"/>
      <c r="D103" s="622"/>
      <c r="E103" s="532"/>
      <c r="F103" s="1268"/>
      <c r="G103" s="532"/>
      <c r="H103" s="533"/>
      <c r="I103" s="532"/>
      <c r="J103" s="558"/>
      <c r="N103" s="382"/>
      <c r="O103" s="382"/>
    </row>
    <row r="104" spans="1:15" s="442" customFormat="1" ht="27.75">
      <c r="A104" s="1512" t="s">
        <v>219</v>
      </c>
      <c r="B104" s="1513"/>
      <c r="C104" s="1143"/>
      <c r="D104" s="622" t="s">
        <v>144</v>
      </c>
      <c r="E104" s="532">
        <f>'4'!E104</f>
        <v>7333</v>
      </c>
      <c r="F104" s="1268">
        <v>7343</v>
      </c>
      <c r="G104" s="532">
        <f>F104-E104</f>
        <v>10</v>
      </c>
      <c r="H104" s="460">
        <f>G104+'4'!H104</f>
        <v>18</v>
      </c>
      <c r="I104" s="532"/>
      <c r="J104" s="558">
        <f>H104/DAY(B2)</f>
        <v>3.6</v>
      </c>
      <c r="N104" s="382"/>
      <c r="O104" s="382"/>
    </row>
    <row r="105" spans="1:15" s="442" customFormat="1" ht="27.75">
      <c r="A105" s="1512" t="s">
        <v>77</v>
      </c>
      <c r="B105" s="1513"/>
      <c r="C105" s="1143"/>
      <c r="D105" s="622" t="s">
        <v>144</v>
      </c>
      <c r="E105" s="532">
        <f>'4'!E105</f>
        <v>35676</v>
      </c>
      <c r="F105" s="1274">
        <v>35687</v>
      </c>
      <c r="G105" s="532">
        <f t="shared" ref="G105:G106" si="12">F105-E105</f>
        <v>11</v>
      </c>
      <c r="H105" s="460">
        <f>G105+'4'!H105</f>
        <v>36</v>
      </c>
      <c r="I105" s="532"/>
      <c r="J105" s="558">
        <f>H105/DAY(B2)</f>
        <v>7.2</v>
      </c>
      <c r="N105" s="382"/>
      <c r="O105" s="382"/>
    </row>
    <row r="106" spans="1:15" s="442" customFormat="1" ht="27.75">
      <c r="A106" s="1512" t="s">
        <v>78</v>
      </c>
      <c r="B106" s="1553"/>
      <c r="C106" s="1513"/>
      <c r="D106" s="622" t="s">
        <v>144</v>
      </c>
      <c r="E106" s="532">
        <f>'4'!E106</f>
        <v>19436</v>
      </c>
      <c r="F106" s="1268">
        <v>19449</v>
      </c>
      <c r="G106" s="532">
        <f t="shared" si="12"/>
        <v>13</v>
      </c>
      <c r="H106" s="460">
        <f>G106+'4'!H106</f>
        <v>38</v>
      </c>
      <c r="I106" s="532"/>
      <c r="J106" s="558">
        <f>H106/DAY(B2)</f>
        <v>7.6</v>
      </c>
      <c r="N106" s="382"/>
      <c r="O106" s="382"/>
    </row>
    <row r="107" spans="1:15" s="442" customFormat="1" ht="27.75">
      <c r="A107" s="1514" t="s">
        <v>202</v>
      </c>
      <c r="B107" s="1515"/>
      <c r="C107" s="1143"/>
      <c r="D107" s="622"/>
      <c r="E107" s="532" t="str">
        <f>'4'!E107</f>
        <v>.</v>
      </c>
      <c r="F107" s="1268"/>
      <c r="G107" s="532">
        <f>SUM(G104:G106)</f>
        <v>34</v>
      </c>
      <c r="H107" s="460">
        <f>G107+'4'!H107</f>
        <v>92</v>
      </c>
      <c r="I107" s="532"/>
      <c r="J107" s="558">
        <f>H107/DAY(B2)</f>
        <v>18.399999999999999</v>
      </c>
      <c r="N107" s="382"/>
      <c r="O107" s="382"/>
    </row>
    <row r="108" spans="1:15" s="442" customFormat="1" ht="27.75">
      <c r="A108" s="1518" t="s">
        <v>79</v>
      </c>
      <c r="B108" s="1519"/>
      <c r="C108" s="1143"/>
      <c r="D108" s="622" t="s">
        <v>144</v>
      </c>
      <c r="E108" s="532">
        <f>'4'!E108</f>
        <v>0</v>
      </c>
      <c r="F108" s="1268"/>
      <c r="G108" s="532"/>
      <c r="H108" s="460">
        <f>G108+'4'!H108</f>
        <v>0</v>
      </c>
      <c r="I108" s="532"/>
      <c r="J108" s="558"/>
      <c r="N108" s="382"/>
      <c r="O108" s="382"/>
    </row>
    <row r="109" spans="1:15" s="442" customFormat="1" ht="27.75">
      <c r="A109" s="1512" t="s">
        <v>220</v>
      </c>
      <c r="B109" s="1513"/>
      <c r="C109" s="1143"/>
      <c r="D109" s="622" t="s">
        <v>144</v>
      </c>
      <c r="E109" s="532">
        <v>59204</v>
      </c>
      <c r="F109" s="1268">
        <v>59290</v>
      </c>
      <c r="G109" s="532">
        <f>F109-E109</f>
        <v>86</v>
      </c>
      <c r="H109" s="460">
        <f>G109+'4'!H109</f>
        <v>417</v>
      </c>
      <c r="I109" s="532"/>
      <c r="J109" s="558">
        <f>H109/DAY(B2)</f>
        <v>83.4</v>
      </c>
      <c r="N109" s="382"/>
    </row>
    <row r="110" spans="1:15" s="442" customFormat="1" ht="27.75">
      <c r="A110" s="1512" t="s">
        <v>221</v>
      </c>
      <c r="B110" s="1513"/>
      <c r="C110" s="1143"/>
      <c r="D110" s="622" t="s">
        <v>144</v>
      </c>
      <c r="E110" s="532">
        <v>31805</v>
      </c>
      <c r="F110" s="1268">
        <v>31878</v>
      </c>
      <c r="G110" s="532">
        <f t="shared" ref="G110:G111" si="13">F110-E110</f>
        <v>73</v>
      </c>
      <c r="H110" s="460">
        <f>G110+'4'!H110</f>
        <v>232</v>
      </c>
      <c r="I110" s="532"/>
      <c r="J110" s="558">
        <f>H110/DAY(B2)</f>
        <v>46.4</v>
      </c>
      <c r="N110" s="382"/>
    </row>
    <row r="111" spans="1:15" s="442" customFormat="1" ht="27.75">
      <c r="A111" s="1512" t="s">
        <v>222</v>
      </c>
      <c r="B111" s="1513"/>
      <c r="C111" s="1143"/>
      <c r="D111" s="622" t="s">
        <v>144</v>
      </c>
      <c r="E111" s="532">
        <v>4198</v>
      </c>
      <c r="F111" s="1268">
        <v>4208</v>
      </c>
      <c r="G111" s="532">
        <f t="shared" si="13"/>
        <v>10</v>
      </c>
      <c r="H111" s="460">
        <f>G111+'4'!H111</f>
        <v>52</v>
      </c>
      <c r="I111" s="532"/>
      <c r="J111" s="558">
        <f>H111/DAY(B2)</f>
        <v>10.4</v>
      </c>
      <c r="N111" s="382"/>
    </row>
    <row r="112" spans="1:15" s="442" customFormat="1" ht="27.75">
      <c r="A112" s="1514" t="s">
        <v>110</v>
      </c>
      <c r="B112" s="1515"/>
      <c r="C112" s="1143"/>
      <c r="D112" s="622"/>
      <c r="E112" s="532">
        <f>'4'!E112</f>
        <v>0</v>
      </c>
      <c r="F112" s="1268"/>
      <c r="G112" s="532">
        <f>SUM(G109:G111)</f>
        <v>169</v>
      </c>
      <c r="H112" s="460">
        <f>G112+'4'!H112</f>
        <v>701</v>
      </c>
      <c r="I112" s="532"/>
      <c r="J112" s="558">
        <f>H112/DAY(B2)</f>
        <v>140.19999999999999</v>
      </c>
      <c r="N112" s="382"/>
    </row>
    <row r="113" spans="1:14" s="442" customFormat="1" ht="27.75">
      <c r="A113" s="1518" t="s">
        <v>223</v>
      </c>
      <c r="B113" s="1519"/>
      <c r="C113" s="1143"/>
      <c r="D113" s="622"/>
      <c r="E113" s="532">
        <f>'4'!E113</f>
        <v>0</v>
      </c>
      <c r="F113" s="1268"/>
      <c r="G113" s="532"/>
      <c r="H113" s="460">
        <f>G113+'4'!H113</f>
        <v>0</v>
      </c>
      <c r="I113" s="532"/>
      <c r="J113" s="558">
        <f>H113/DAY(B2)</f>
        <v>0</v>
      </c>
      <c r="N113" s="382"/>
    </row>
    <row r="114" spans="1:14" s="442" customFormat="1" ht="27.75">
      <c r="A114" s="1512" t="s">
        <v>224</v>
      </c>
      <c r="B114" s="1513"/>
      <c r="C114" s="574"/>
      <c r="D114" s="622" t="s">
        <v>144</v>
      </c>
      <c r="E114" s="532">
        <f>'4'!E114</f>
        <v>10908</v>
      </c>
      <c r="F114" s="1269">
        <v>10955</v>
      </c>
      <c r="G114" s="534">
        <f>F114-E114</f>
        <v>47</v>
      </c>
      <c r="H114" s="460">
        <f>G114+'4'!H114</f>
        <v>119</v>
      </c>
      <c r="I114" s="532"/>
      <c r="J114" s="558">
        <f>H114/DAY(B2)</f>
        <v>23.8</v>
      </c>
      <c r="N114" s="382"/>
    </row>
    <row r="115" spans="1:14" s="442" customFormat="1" ht="27.75">
      <c r="A115" s="1512" t="s">
        <v>225</v>
      </c>
      <c r="B115" s="1513"/>
      <c r="C115" s="574"/>
      <c r="D115" s="622" t="s">
        <v>144</v>
      </c>
      <c r="E115" s="532">
        <f>'4'!E115</f>
        <v>7989</v>
      </c>
      <c r="F115" s="1269">
        <v>8000</v>
      </c>
      <c r="G115" s="534">
        <f t="shared" ref="G115:G116" si="14">F115-E115</f>
        <v>11</v>
      </c>
      <c r="H115" s="460">
        <f>G115+'4'!H115</f>
        <v>31</v>
      </c>
      <c r="I115" s="532"/>
      <c r="J115" s="558">
        <f>H115/DAY(B2)</f>
        <v>6.2</v>
      </c>
      <c r="N115" s="382"/>
    </row>
    <row r="116" spans="1:14" s="442" customFormat="1" ht="27.75">
      <c r="A116" s="1512" t="s">
        <v>226</v>
      </c>
      <c r="B116" s="1513"/>
      <c r="C116" s="574"/>
      <c r="D116" s="622" t="s">
        <v>144</v>
      </c>
      <c r="E116" s="534"/>
      <c r="F116" s="1269"/>
      <c r="G116" s="534">
        <f t="shared" si="14"/>
        <v>0</v>
      </c>
      <c r="H116" s="460">
        <f>G116+'4'!H116</f>
        <v>0</v>
      </c>
      <c r="I116" s="532"/>
      <c r="J116" s="558">
        <f>H116/DAY(B2)</f>
        <v>0</v>
      </c>
      <c r="N116" s="382"/>
    </row>
    <row r="117" spans="1:14" s="445" customFormat="1" ht="27.75">
      <c r="A117" s="1514" t="s">
        <v>202</v>
      </c>
      <c r="B117" s="1515"/>
      <c r="C117" s="574"/>
      <c r="D117" s="623"/>
      <c r="E117" s="534"/>
      <c r="F117" s="1269"/>
      <c r="G117" s="534">
        <f>SUM(G114:G116)</f>
        <v>58</v>
      </c>
      <c r="H117" s="460">
        <f>G117+'4'!H117</f>
        <v>150</v>
      </c>
      <c r="I117" s="534"/>
      <c r="J117" s="558">
        <f>H117/DAY(B2)</f>
        <v>30</v>
      </c>
      <c r="N117" s="382"/>
    </row>
    <row r="118" spans="1:14" s="446" customFormat="1" ht="27.75">
      <c r="A118" s="1508" t="s">
        <v>227</v>
      </c>
      <c r="B118" s="1509"/>
      <c r="C118" s="1141"/>
      <c r="D118" s="624" t="s">
        <v>144</v>
      </c>
      <c r="E118" s="536"/>
      <c r="F118" s="1270">
        <f>SUM(G19+G92)</f>
        <v>137</v>
      </c>
      <c r="G118" s="536">
        <f>SUM(G19+G92)</f>
        <v>137</v>
      </c>
      <c r="H118" s="460">
        <f>G118+'4'!H118</f>
        <v>678</v>
      </c>
      <c r="I118" s="535"/>
      <c r="J118" s="559">
        <f>H118/DAY(B2)</f>
        <v>135.6</v>
      </c>
      <c r="N118" s="382"/>
    </row>
    <row r="119" spans="1:14" s="446" customFormat="1" ht="27.75">
      <c r="A119" s="1508" t="s">
        <v>228</v>
      </c>
      <c r="B119" s="1509"/>
      <c r="C119" s="1141"/>
      <c r="D119" s="624" t="s">
        <v>144</v>
      </c>
      <c r="E119" s="536"/>
      <c r="F119" s="1270">
        <f>SUM(G95,G96,G97,G99,G100)</f>
        <v>133</v>
      </c>
      <c r="G119" s="536">
        <f>SUM(G95,G96,G97,G99,G100)</f>
        <v>133</v>
      </c>
      <c r="H119" s="460">
        <f>G119+'4'!H119</f>
        <v>672</v>
      </c>
      <c r="I119" s="535"/>
      <c r="J119" s="559">
        <f>H119/DAY(B2)</f>
        <v>134.4</v>
      </c>
      <c r="N119" s="382"/>
    </row>
    <row r="120" spans="1:14" s="446" customFormat="1" ht="27.75">
      <c r="A120" s="1508" t="s">
        <v>229</v>
      </c>
      <c r="B120" s="1509"/>
      <c r="C120" s="1141"/>
      <c r="D120" s="624" t="s">
        <v>144</v>
      </c>
      <c r="E120" s="534"/>
      <c r="F120" s="1269">
        <f>SUM(G112)</f>
        <v>169</v>
      </c>
      <c r="G120" s="534">
        <f>SUM(G112)</f>
        <v>169</v>
      </c>
      <c r="H120" s="460">
        <f>G120+'4'!H120</f>
        <v>701</v>
      </c>
      <c r="I120" s="535"/>
      <c r="J120" s="559">
        <f>H120/DAY(B2)</f>
        <v>140.19999999999999</v>
      </c>
      <c r="N120" s="382"/>
    </row>
    <row r="121" spans="1:14" s="442" customFormat="1" ht="27.75">
      <c r="A121" s="1510"/>
      <c r="B121" s="1511"/>
      <c r="C121" s="1142"/>
      <c r="D121" s="560"/>
      <c r="E121" s="560"/>
      <c r="F121" s="1271" t="s">
        <v>215</v>
      </c>
      <c r="G121" s="560"/>
      <c r="H121" s="460">
        <f>G121+'4'!H121</f>
        <v>0</v>
      </c>
      <c r="I121" s="560"/>
      <c r="J121" s="562"/>
      <c r="N121" s="382"/>
    </row>
    <row r="122" spans="1:14">
      <c r="A122" s="1545" t="s">
        <v>230</v>
      </c>
      <c r="B122" s="1546"/>
      <c r="C122" s="1547"/>
      <c r="D122" s="472"/>
      <c r="E122" s="472"/>
      <c r="F122" s="1098"/>
      <c r="G122" s="483"/>
      <c r="H122" s="483"/>
      <c r="I122" s="483"/>
      <c r="J122" s="563"/>
      <c r="K122" s="380"/>
      <c r="L122" s="377"/>
      <c r="N122" s="382"/>
    </row>
    <row r="123" spans="1:14" ht="27.75">
      <c r="A123" s="1144" t="s">
        <v>231</v>
      </c>
      <c r="B123" s="1145"/>
      <c r="C123" s="1145"/>
      <c r="D123" s="523" t="s">
        <v>141</v>
      </c>
      <c r="E123" s="478">
        <f>'4'!F123</f>
        <v>819834</v>
      </c>
      <c r="F123" s="1250">
        <v>820078</v>
      </c>
      <c r="G123" s="473">
        <f t="shared" ref="G123:G127" si="15">F123-E123</f>
        <v>244</v>
      </c>
      <c r="H123" s="460">
        <f>G123+'4'!H123</f>
        <v>1268</v>
      </c>
      <c r="I123" s="526"/>
      <c r="J123" s="552">
        <f>H123/DAY(B2)</f>
        <v>253.6</v>
      </c>
      <c r="K123" s="380"/>
      <c r="L123" s="377"/>
      <c r="N123" s="382"/>
    </row>
    <row r="124" spans="1:14" ht="27.75">
      <c r="A124" s="1144" t="s">
        <v>232</v>
      </c>
      <c r="B124" s="1145"/>
      <c r="C124" s="1145"/>
      <c r="D124" s="523" t="s">
        <v>141</v>
      </c>
      <c r="E124" s="626">
        <f>'4'!F124</f>
        <v>73583</v>
      </c>
      <c r="F124" s="1272">
        <v>73583</v>
      </c>
      <c r="G124" s="473">
        <f t="shared" si="15"/>
        <v>0</v>
      </c>
      <c r="H124" s="460">
        <f>G124+'4'!H124</f>
        <v>-0.39999999999417923</v>
      </c>
      <c r="I124" s="526"/>
      <c r="J124" s="552">
        <f>H124/DAY(B2)</f>
        <v>-7.999999999883585E-2</v>
      </c>
      <c r="K124" s="380"/>
      <c r="L124" s="377"/>
      <c r="N124" s="382"/>
    </row>
    <row r="125" spans="1:14" ht="27.75">
      <c r="A125" s="1499" t="s">
        <v>233</v>
      </c>
      <c r="B125" s="1500"/>
      <c r="C125" s="1501"/>
      <c r="D125" s="523" t="s">
        <v>141</v>
      </c>
      <c r="E125" s="478">
        <f>'4'!F125</f>
        <v>142512</v>
      </c>
      <c r="F125" s="1250">
        <v>142611</v>
      </c>
      <c r="G125" s="473">
        <f t="shared" si="15"/>
        <v>99</v>
      </c>
      <c r="H125" s="460">
        <f>G125+'4'!H125</f>
        <v>475</v>
      </c>
      <c r="I125" s="526"/>
      <c r="J125" s="552">
        <f>H125/DAY(B2)</f>
        <v>95</v>
      </c>
      <c r="K125" s="380"/>
      <c r="L125" s="377"/>
      <c r="N125" s="382"/>
    </row>
    <row r="126" spans="1:14" ht="27.75">
      <c r="A126" s="609" t="s">
        <v>234</v>
      </c>
      <c r="B126" s="1145"/>
      <c r="C126" s="1145"/>
      <c r="D126" s="523" t="s">
        <v>141</v>
      </c>
      <c r="E126" s="626">
        <f>'4'!F126</f>
        <v>31353</v>
      </c>
      <c r="F126" s="1272">
        <v>31370</v>
      </c>
      <c r="G126" s="473">
        <f t="shared" si="15"/>
        <v>17</v>
      </c>
      <c r="H126" s="460">
        <f>G126+'4'!H126</f>
        <v>51.299999999999272</v>
      </c>
      <c r="I126" s="526"/>
      <c r="J126" s="552">
        <f>H126/DAY(B2)</f>
        <v>10.259999999999854</v>
      </c>
      <c r="K126" s="380"/>
      <c r="L126" s="377"/>
      <c r="N126" s="382"/>
    </row>
    <row r="127" spans="1:14" ht="27.75">
      <c r="A127" s="609" t="s">
        <v>235</v>
      </c>
      <c r="B127" s="1145"/>
      <c r="C127" s="1145"/>
      <c r="D127" s="523" t="s">
        <v>141</v>
      </c>
      <c r="E127" s="626">
        <f>'4'!F127</f>
        <v>8966</v>
      </c>
      <c r="F127" s="1272">
        <v>8966</v>
      </c>
      <c r="G127" s="473">
        <f t="shared" si="15"/>
        <v>0</v>
      </c>
      <c r="H127" s="460">
        <f>G127+'4'!H127</f>
        <v>4</v>
      </c>
      <c r="I127" s="480"/>
      <c r="J127" s="552">
        <f>H127/DAY(B2)</f>
        <v>0.8</v>
      </c>
      <c r="K127" s="380"/>
      <c r="L127" s="377"/>
      <c r="N127" s="382"/>
    </row>
    <row r="128" spans="1:14" s="281" customFormat="1" ht="27.75">
      <c r="A128" s="609" t="s">
        <v>236</v>
      </c>
      <c r="B128" s="1145"/>
      <c r="C128" s="1145"/>
      <c r="D128" s="523"/>
      <c r="E128" s="478"/>
      <c r="F128" s="1250"/>
      <c r="G128" s="473">
        <f>G15-SUM(G123:G127)</f>
        <v>575</v>
      </c>
      <c r="H128" s="460">
        <f>G128+'4'!H128</f>
        <v>3069.0999999999949</v>
      </c>
      <c r="I128" s="480"/>
      <c r="J128" s="552">
        <f>H128/DAY(B2)</f>
        <v>613.81999999999903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1246"/>
      <c r="G129" s="540"/>
      <c r="H129" s="540"/>
      <c r="I129" s="540"/>
      <c r="J129" s="564"/>
      <c r="N129" s="382"/>
    </row>
    <row r="130" spans="1:14" ht="27.75">
      <c r="A130" s="1144" t="s">
        <v>238</v>
      </c>
      <c r="B130" s="1145"/>
      <c r="C130" s="1145"/>
      <c r="D130" s="523" t="s">
        <v>239</v>
      </c>
      <c r="E130" s="484">
        <f>'4'!F130</f>
        <v>0</v>
      </c>
      <c r="F130" s="1250">
        <v>0</v>
      </c>
      <c r="G130" s="473">
        <f t="shared" ref="G130:G140" si="16">F130-E130</f>
        <v>0</v>
      </c>
      <c r="H130" s="460">
        <f>G130+'4'!H130</f>
        <v>0</v>
      </c>
      <c r="I130" s="480"/>
      <c r="J130" s="552">
        <f>H130/DAY(B2)</f>
        <v>0</v>
      </c>
      <c r="N130" s="382"/>
    </row>
    <row r="131" spans="1:14" ht="27.75">
      <c r="A131" s="1144" t="s">
        <v>240</v>
      </c>
      <c r="B131" s="1145"/>
      <c r="C131" s="1145"/>
      <c r="D131" s="523" t="s">
        <v>239</v>
      </c>
      <c r="E131" s="484">
        <f>'4'!F131</f>
        <v>0</v>
      </c>
      <c r="F131" s="1250">
        <v>0</v>
      </c>
      <c r="G131" s="473">
        <f t="shared" si="16"/>
        <v>0</v>
      </c>
      <c r="H131" s="460">
        <f>G131+'4'!H131</f>
        <v>0</v>
      </c>
      <c r="I131" s="480"/>
      <c r="J131" s="552">
        <f>H131/DAY(B2)</f>
        <v>0</v>
      </c>
      <c r="N131" s="382"/>
    </row>
    <row r="132" spans="1:14" ht="27.75">
      <c r="A132" s="1144" t="s">
        <v>241</v>
      </c>
      <c r="B132" s="1145"/>
      <c r="C132" s="1145"/>
      <c r="D132" s="523" t="s">
        <v>239</v>
      </c>
      <c r="E132" s="541">
        <f>'4'!F132</f>
        <v>39629</v>
      </c>
      <c r="F132" s="1251">
        <v>39647</v>
      </c>
      <c r="G132" s="473">
        <f t="shared" si="16"/>
        <v>18</v>
      </c>
      <c r="H132" s="460">
        <f>G132+'4'!H132</f>
        <v>114</v>
      </c>
      <c r="I132" s="480"/>
      <c r="J132" s="552">
        <f>H132/DAY(B2)</f>
        <v>22.8</v>
      </c>
      <c r="N132" s="382"/>
    </row>
    <row r="133" spans="1:14" ht="27.75">
      <c r="A133" s="1144" t="s">
        <v>242</v>
      </c>
      <c r="B133" s="1145"/>
      <c r="C133" s="1145"/>
      <c r="D133" s="523" t="s">
        <v>239</v>
      </c>
      <c r="E133" s="704">
        <f>'4'!F133</f>
        <v>300</v>
      </c>
      <c r="F133" s="1272">
        <v>300</v>
      </c>
      <c r="G133" s="473">
        <f t="shared" si="16"/>
        <v>0</v>
      </c>
      <c r="H133" s="460">
        <f>G133+'4'!H133</f>
        <v>0</v>
      </c>
      <c r="I133" s="480">
        <f>G130+G131+G132+G133</f>
        <v>18</v>
      </c>
      <c r="J133" s="552">
        <f>H133/DAY(B2)</f>
        <v>0</v>
      </c>
      <c r="N133" s="382"/>
    </row>
    <row r="134" spans="1:14" ht="27.75">
      <c r="A134" s="1144" t="s">
        <v>243</v>
      </c>
      <c r="B134" s="1145"/>
      <c r="C134" s="1145"/>
      <c r="D134" s="523" t="s">
        <v>239</v>
      </c>
      <c r="E134" s="704">
        <f>'4'!F134</f>
        <v>40855</v>
      </c>
      <c r="F134" s="1272">
        <v>40861</v>
      </c>
      <c r="G134" s="473">
        <f t="shared" si="16"/>
        <v>6</v>
      </c>
      <c r="H134" s="460">
        <f>G134+'4'!H134</f>
        <v>22</v>
      </c>
      <c r="I134" s="480"/>
      <c r="J134" s="552">
        <f>H134/DAY(B2)</f>
        <v>4.4000000000000004</v>
      </c>
      <c r="N134" s="382"/>
    </row>
    <row r="135" spans="1:14" ht="27.75">
      <c r="A135" s="1144" t="s">
        <v>244</v>
      </c>
      <c r="B135" s="1145"/>
      <c r="C135" s="1145"/>
      <c r="D135" s="523" t="s">
        <v>239</v>
      </c>
      <c r="E135" s="704">
        <f>'4'!F135</f>
        <v>32583</v>
      </c>
      <c r="F135" s="1272">
        <v>32583</v>
      </c>
      <c r="G135" s="473">
        <f t="shared" si="16"/>
        <v>0</v>
      </c>
      <c r="H135" s="460">
        <f>G135+'4'!H135</f>
        <v>0</v>
      </c>
      <c r="I135" s="480"/>
      <c r="J135" s="552">
        <f>H135/DAY(B2)</f>
        <v>0</v>
      </c>
      <c r="N135" s="382"/>
    </row>
    <row r="136" spans="1:14" ht="27.75">
      <c r="A136" s="1144" t="s">
        <v>245</v>
      </c>
      <c r="B136" s="1145"/>
      <c r="C136" s="1145"/>
      <c r="D136" s="523" t="s">
        <v>239</v>
      </c>
      <c r="E136" s="541">
        <f>'4'!F136</f>
        <v>22529.69</v>
      </c>
      <c r="F136" s="1251">
        <v>22540.09</v>
      </c>
      <c r="G136" s="473">
        <f t="shared" si="16"/>
        <v>10.400000000001455</v>
      </c>
      <c r="H136" s="460">
        <f>G136+'4'!H136</f>
        <v>51.43999999999869</v>
      </c>
      <c r="I136" s="480">
        <f>G136+G137+G138</f>
        <v>11.77000000001135</v>
      </c>
      <c r="J136" s="552">
        <f>H136/DAY(B2)</f>
        <v>10.287999999999737</v>
      </c>
      <c r="N136" s="382"/>
    </row>
    <row r="137" spans="1:14" ht="27.75">
      <c r="A137" s="1144" t="s">
        <v>246</v>
      </c>
      <c r="B137" s="1145"/>
      <c r="C137" s="1145"/>
      <c r="D137" s="523" t="s">
        <v>239</v>
      </c>
      <c r="E137" s="541">
        <f>'4'!F137</f>
        <v>25048.97</v>
      </c>
      <c r="F137" s="1251">
        <v>25048.97</v>
      </c>
      <c r="G137" s="473">
        <f t="shared" si="16"/>
        <v>0</v>
      </c>
      <c r="H137" s="460">
        <f>G137+'4'!H137</f>
        <v>0.18000000000029104</v>
      </c>
      <c r="I137" s="480"/>
      <c r="J137" s="552">
        <f>H137/DAY(B2)</f>
        <v>3.6000000000058208E-2</v>
      </c>
      <c r="N137" s="382"/>
    </row>
    <row r="138" spans="1:14" ht="27.75">
      <c r="A138" s="1144" t="s">
        <v>247</v>
      </c>
      <c r="B138" s="1145"/>
      <c r="C138" s="1145"/>
      <c r="D138" s="523" t="s">
        <v>239</v>
      </c>
      <c r="E138" s="541">
        <f>'4'!F138</f>
        <v>70270.149999999994</v>
      </c>
      <c r="F138" s="1251">
        <v>70271.520000000004</v>
      </c>
      <c r="G138" s="473">
        <f t="shared" si="16"/>
        <v>1.3700000000098953</v>
      </c>
      <c r="H138" s="460">
        <f>G138+'4'!H138</f>
        <v>17.490000000005239</v>
      </c>
      <c r="I138" s="480"/>
      <c r="J138" s="552">
        <f>H138/DAY(B2)</f>
        <v>3.4980000000010478</v>
      </c>
      <c r="N138" s="382"/>
    </row>
    <row r="139" spans="1:14" ht="27.75">
      <c r="A139" s="1144" t="s">
        <v>248</v>
      </c>
      <c r="B139" s="1145"/>
      <c r="C139" s="1145"/>
      <c r="D139" s="523" t="s">
        <v>239</v>
      </c>
      <c r="E139" s="704">
        <f>'4'!F139</f>
        <v>1536.52</v>
      </c>
      <c r="F139" s="1272">
        <v>1536.52</v>
      </c>
      <c r="G139" s="473">
        <f t="shared" si="16"/>
        <v>0</v>
      </c>
      <c r="H139" s="460">
        <f>G139+'4'!H139</f>
        <v>0</v>
      </c>
      <c r="I139" s="542">
        <f>G139+G140</f>
        <v>8.1199999999998909</v>
      </c>
      <c r="J139" s="552">
        <f>H139/DAY(B2)</f>
        <v>0</v>
      </c>
      <c r="N139" s="382"/>
    </row>
    <row r="140" spans="1:14" ht="27.75">
      <c r="A140" s="1144" t="s">
        <v>249</v>
      </c>
      <c r="B140" s="1145"/>
      <c r="C140" s="1145"/>
      <c r="D140" s="523" t="s">
        <v>239</v>
      </c>
      <c r="E140" s="484">
        <f>'4'!F140</f>
        <v>4501.8500000000004</v>
      </c>
      <c r="F140" s="1250">
        <v>4509.97</v>
      </c>
      <c r="G140" s="473">
        <f t="shared" si="16"/>
        <v>8.1199999999998909</v>
      </c>
      <c r="H140" s="460">
        <f>G140+'4'!H140</f>
        <v>41.430000000000291</v>
      </c>
      <c r="I140" s="542"/>
      <c r="J140" s="552">
        <f>H140/DAY(B2)</f>
        <v>8.2860000000000582</v>
      </c>
      <c r="N140" s="382"/>
    </row>
    <row r="141" spans="1:14">
      <c r="A141" s="1526" t="s">
        <v>250</v>
      </c>
      <c r="B141" s="1527"/>
      <c r="C141" s="1150"/>
      <c r="D141" s="472"/>
      <c r="E141" s="472"/>
      <c r="F141" s="1098"/>
      <c r="G141" s="483"/>
      <c r="H141" s="483"/>
      <c r="I141" s="483"/>
      <c r="J141" s="563"/>
      <c r="K141" s="380"/>
      <c r="L141" s="377"/>
      <c r="N141" s="382"/>
    </row>
    <row r="142" spans="1:14" ht="27.75">
      <c r="A142" s="1520" t="s">
        <v>251</v>
      </c>
      <c r="B142" s="1521"/>
      <c r="C142" s="1522"/>
      <c r="D142" s="523" t="s">
        <v>132</v>
      </c>
      <c r="E142" s="523"/>
      <c r="F142" s="1101"/>
      <c r="G142" s="460">
        <f>G35+G43+G49+G57</f>
        <v>6023</v>
      </c>
      <c r="H142" s="460">
        <f>G142+'4'!H142</f>
        <v>29557</v>
      </c>
      <c r="I142" s="480" t="s">
        <v>268</v>
      </c>
      <c r="J142" s="552">
        <f>H142/DAY(B2)</f>
        <v>5911.4</v>
      </c>
      <c r="K142" s="380"/>
      <c r="L142" s="377"/>
      <c r="N142" s="382"/>
    </row>
    <row r="143" spans="1:14" ht="27.75">
      <c r="A143" s="1520" t="s">
        <v>252</v>
      </c>
      <c r="B143" s="1521"/>
      <c r="C143" s="1522"/>
      <c r="D143" s="523" t="s">
        <v>24</v>
      </c>
      <c r="E143" s="511"/>
      <c r="F143" s="1245"/>
      <c r="G143" s="543">
        <f>G142/G7</f>
        <v>0.27886841374201315</v>
      </c>
      <c r="H143" s="460">
        <f>G143+'4'!H143</f>
        <v>1.341580167428178</v>
      </c>
      <c r="I143" s="544"/>
      <c r="J143" s="552">
        <f>H143/DAY(B2)</f>
        <v>0.2683160334856356</v>
      </c>
      <c r="K143" s="380"/>
      <c r="L143" s="377"/>
      <c r="N143" s="382"/>
    </row>
    <row r="144" spans="1:14" ht="27.75">
      <c r="A144" s="1520" t="s">
        <v>253</v>
      </c>
      <c r="B144" s="1521"/>
      <c r="C144" s="1522"/>
      <c r="D144" s="523" t="s">
        <v>132</v>
      </c>
      <c r="E144" s="455"/>
      <c r="F144" s="1253"/>
      <c r="G144" s="460">
        <f>G41+G42+G55+G56</f>
        <v>5790</v>
      </c>
      <c r="H144" s="460">
        <f>G144+'4'!H144</f>
        <v>30710.839999999997</v>
      </c>
      <c r="I144" s="480"/>
      <c r="J144" s="552">
        <f>H144/DAY(B2)</f>
        <v>6142.1679999999997</v>
      </c>
      <c r="K144" s="380"/>
      <c r="L144" s="377"/>
      <c r="N144" s="382"/>
    </row>
    <row r="145" spans="1:14" ht="27.75">
      <c r="A145" s="1520" t="s">
        <v>254</v>
      </c>
      <c r="B145" s="1521"/>
      <c r="C145" s="1522"/>
      <c r="D145" s="523" t="s">
        <v>24</v>
      </c>
      <c r="E145" s="455"/>
      <c r="F145" s="1253"/>
      <c r="G145" s="543">
        <f>G144/G7</f>
        <v>0.26808037781276045</v>
      </c>
      <c r="H145" s="460">
        <f>G145+'4'!H145</f>
        <v>1.3911688516233092</v>
      </c>
      <c r="I145" s="544"/>
      <c r="J145" s="552">
        <f>H145/DAY(B2)</f>
        <v>0.27823377032466184</v>
      </c>
      <c r="K145" s="380"/>
      <c r="L145" s="377"/>
      <c r="N145" s="382"/>
    </row>
    <row r="146" spans="1:14" ht="27.75">
      <c r="A146" s="1520" t="s">
        <v>255</v>
      </c>
      <c r="B146" s="1521"/>
      <c r="C146" s="1522"/>
      <c r="D146" s="523" t="s">
        <v>132</v>
      </c>
      <c r="E146" s="455"/>
      <c r="F146" s="1253"/>
      <c r="G146" s="460">
        <f>G39+G53</f>
        <v>4086</v>
      </c>
      <c r="H146" s="460">
        <f>G146+'4'!H146</f>
        <v>20708</v>
      </c>
      <c r="I146" s="545"/>
      <c r="J146" s="552">
        <f>H146/DAY(B2)</f>
        <v>4141.6000000000004</v>
      </c>
      <c r="K146" s="380"/>
      <c r="L146" s="377"/>
      <c r="N146" s="382"/>
    </row>
    <row r="147" spans="1:14" ht="27.75">
      <c r="A147" s="1520" t="s">
        <v>256</v>
      </c>
      <c r="B147" s="1521"/>
      <c r="C147" s="1522"/>
      <c r="D147" s="523" t="s">
        <v>24</v>
      </c>
      <c r="E147" s="455"/>
      <c r="F147" s="1253"/>
      <c r="G147" s="543">
        <f>G146/G7</f>
        <v>0.18918418372071488</v>
      </c>
      <c r="H147" s="460">
        <f>G147+'4'!H147</f>
        <v>0.93873473680817421</v>
      </c>
      <c r="I147" s="545"/>
      <c r="J147" s="552">
        <f>H147/DAY(B2)</f>
        <v>0.18774694736163483</v>
      </c>
      <c r="N147" s="382"/>
    </row>
    <row r="148" spans="1:14" ht="27.75">
      <c r="A148" s="1520" t="s">
        <v>257</v>
      </c>
      <c r="B148" s="1521"/>
      <c r="C148" s="1522"/>
      <c r="D148" s="523" t="s">
        <v>183</v>
      </c>
      <c r="E148" s="455"/>
      <c r="F148" s="1253"/>
      <c r="G148" s="460">
        <f>G38+G52</f>
        <v>1731.3000000000029</v>
      </c>
      <c r="H148" s="460">
        <f>G148+'4'!H148</f>
        <v>8753</v>
      </c>
      <c r="I148" s="480"/>
      <c r="J148" s="552">
        <f>H148/DAY(B2)</f>
        <v>1750.6</v>
      </c>
      <c r="K148" s="381"/>
      <c r="N148" s="382"/>
    </row>
    <row r="149" spans="1:14" ht="27.75">
      <c r="A149" s="1520" t="s">
        <v>258</v>
      </c>
      <c r="B149" s="1521"/>
      <c r="C149" s="1522"/>
      <c r="D149" s="523" t="s">
        <v>24</v>
      </c>
      <c r="E149" s="455"/>
      <c r="F149" s="1253"/>
      <c r="G149" s="543">
        <f>G148/G7</f>
        <v>8.0160200018520367E-2</v>
      </c>
      <c r="H149" s="460">
        <f>G149+'4'!H149</f>
        <v>0.39743359820463581</v>
      </c>
      <c r="I149" s="545"/>
      <c r="J149" s="552">
        <f>H149/DAY(B2)</f>
        <v>7.9486719640927156E-2</v>
      </c>
      <c r="N149" s="382"/>
    </row>
    <row r="150" spans="1:14" ht="27.75">
      <c r="A150" s="1520" t="s">
        <v>259</v>
      </c>
      <c r="B150" s="1521"/>
      <c r="C150" s="1522"/>
      <c r="D150" s="523" t="s">
        <v>183</v>
      </c>
      <c r="E150" s="455"/>
      <c r="F150" s="1253"/>
      <c r="G150" s="460">
        <f>G36+G50</f>
        <v>1916</v>
      </c>
      <c r="H150" s="460">
        <f>G150+'4'!H150</f>
        <v>10376</v>
      </c>
      <c r="I150" s="545"/>
      <c r="J150" s="552">
        <f>H150/DAY(B2)</f>
        <v>2075.1999999999998</v>
      </c>
      <c r="N150" s="382"/>
    </row>
    <row r="151" spans="1:14" ht="27.75">
      <c r="A151" s="1520" t="s">
        <v>260</v>
      </c>
      <c r="B151" s="1521"/>
      <c r="C151" s="1522"/>
      <c r="D151" s="523" t="s">
        <v>24</v>
      </c>
      <c r="E151" s="455"/>
      <c r="F151" s="1253"/>
      <c r="G151" s="543">
        <f>G150/G7</f>
        <v>8.8711917770163906E-2</v>
      </c>
      <c r="H151" s="460">
        <f>G151+'4'!H151</f>
        <v>0.46969308567878265</v>
      </c>
      <c r="I151" s="480"/>
      <c r="J151" s="552">
        <f>H151/DAY(B2)</f>
        <v>9.3938617135756533E-2</v>
      </c>
      <c r="N151" s="382"/>
    </row>
    <row r="152" spans="1:14" ht="27.75">
      <c r="A152" s="1520" t="s">
        <v>261</v>
      </c>
      <c r="B152" s="1521"/>
      <c r="C152" s="1522"/>
      <c r="D152" s="523" t="s">
        <v>183</v>
      </c>
      <c r="E152" s="455"/>
      <c r="F152" s="1253"/>
      <c r="G152" s="460">
        <f>G37+G51</f>
        <v>1361</v>
      </c>
      <c r="H152" s="460">
        <f>G152+'4'!H152</f>
        <v>7076</v>
      </c>
      <c r="I152" s="480"/>
      <c r="J152" s="552">
        <f>H152/DAY(B2)</f>
        <v>1415.2</v>
      </c>
      <c r="N152" s="382"/>
    </row>
    <row r="153" spans="1:14" ht="28.5" thickBot="1">
      <c r="A153" s="1523" t="s">
        <v>262</v>
      </c>
      <c r="B153" s="1524"/>
      <c r="C153" s="1525"/>
      <c r="D153" s="625" t="s">
        <v>24</v>
      </c>
      <c r="E153" s="565"/>
      <c r="F153" s="1273"/>
      <c r="G153" s="566">
        <f>G152/G7</f>
        <v>6.3015093990184276E-2</v>
      </c>
      <c r="H153" s="460">
        <f>G153+'4'!H153</f>
        <v>0.32130766909168901</v>
      </c>
      <c r="I153" s="568"/>
      <c r="J153" s="569">
        <f>H153/DAY(B2)</f>
        <v>6.4261533818337796E-2</v>
      </c>
      <c r="N153" s="382"/>
    </row>
    <row r="154" spans="1:14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N154" s="382"/>
    </row>
    <row r="157" spans="1:14" ht="27.75">
      <c r="A157" s="1554" t="s">
        <v>267</v>
      </c>
      <c r="B157" s="1555"/>
      <c r="C157" s="1555"/>
      <c r="D157" s="1555"/>
      <c r="E157" s="1555"/>
      <c r="F157" s="1555"/>
      <c r="G157" s="1556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661">
        <v>33762</v>
      </c>
      <c r="F160" s="661">
        <v>33854</v>
      </c>
      <c r="G160" s="473">
        <f t="shared" ref="G160:G171" si="17">F160-E160</f>
        <v>92</v>
      </c>
    </row>
    <row r="161" spans="1:7">
      <c r="A161" s="788" t="s">
        <v>264</v>
      </c>
      <c r="B161" s="789"/>
      <c r="C161" s="789"/>
      <c r="D161" s="511" t="s">
        <v>187</v>
      </c>
      <c r="E161" s="661">
        <v>70410</v>
      </c>
      <c r="F161" s="661">
        <v>70859</v>
      </c>
      <c r="G161" s="473">
        <f t="shared" si="17"/>
        <v>449</v>
      </c>
    </row>
    <row r="162" spans="1:7">
      <c r="A162" s="788" t="s">
        <v>265</v>
      </c>
      <c r="B162" s="789"/>
      <c r="C162" s="789"/>
      <c r="D162" s="511" t="s">
        <v>187</v>
      </c>
      <c r="E162" s="661">
        <v>30492</v>
      </c>
      <c r="F162" s="661">
        <v>30770</v>
      </c>
      <c r="G162" s="473">
        <f t="shared" si="17"/>
        <v>278</v>
      </c>
    </row>
    <row r="163" spans="1:7">
      <c r="A163" s="788" t="s">
        <v>266</v>
      </c>
      <c r="B163" s="789"/>
      <c r="C163" s="789"/>
      <c r="D163" s="511" t="s">
        <v>187</v>
      </c>
      <c r="E163" s="661">
        <v>5840</v>
      </c>
      <c r="F163" s="661">
        <v>5866</v>
      </c>
      <c r="G163" s="473">
        <f t="shared" si="17"/>
        <v>26</v>
      </c>
    </row>
    <row r="164" spans="1:7">
      <c r="A164" s="790" t="s">
        <v>98</v>
      </c>
      <c r="B164" s="604"/>
      <c r="C164" s="604"/>
      <c r="D164" s="511" t="s">
        <v>187</v>
      </c>
      <c r="E164" s="514">
        <f>E62</f>
        <v>0</v>
      </c>
      <c r="F164" s="514">
        <f>F62</f>
        <v>0</v>
      </c>
      <c r="G164" s="473">
        <f t="shared" si="17"/>
        <v>0</v>
      </c>
    </row>
    <row r="165" spans="1:7">
      <c r="A165" s="790" t="s">
        <v>188</v>
      </c>
      <c r="B165" s="604"/>
      <c r="C165" s="604"/>
      <c r="D165" s="511" t="s">
        <v>187</v>
      </c>
      <c r="E165" s="514">
        <f t="shared" ref="E165" si="18">E63</f>
        <v>2140</v>
      </c>
      <c r="F165" s="514">
        <f t="shared" ref="F165:F171" si="19">F63</f>
        <v>2154</v>
      </c>
      <c r="G165" s="473">
        <f t="shared" si="17"/>
        <v>14</v>
      </c>
    </row>
    <row r="166" spans="1:7" ht="27.75">
      <c r="A166" s="1495" t="s">
        <v>99</v>
      </c>
      <c r="B166" s="1495"/>
      <c r="C166" s="1495"/>
      <c r="D166" s="523" t="s">
        <v>187</v>
      </c>
      <c r="E166" s="514">
        <f t="shared" ref="E166" si="20">E64</f>
        <v>141006</v>
      </c>
      <c r="F166" s="514">
        <f t="shared" si="19"/>
        <v>141481</v>
      </c>
      <c r="G166" s="473">
        <f t="shared" si="17"/>
        <v>475</v>
      </c>
    </row>
    <row r="167" spans="1:7" ht="27.75">
      <c r="A167" s="1495" t="s">
        <v>100</v>
      </c>
      <c r="B167" s="1495"/>
      <c r="C167" s="1495"/>
      <c r="D167" s="523" t="s">
        <v>187</v>
      </c>
      <c r="E167" s="514">
        <f t="shared" ref="E167" si="21">E65</f>
        <v>145662</v>
      </c>
      <c r="F167" s="514">
        <f t="shared" si="19"/>
        <v>146027</v>
      </c>
      <c r="G167" s="473">
        <f t="shared" si="17"/>
        <v>365</v>
      </c>
    </row>
    <row r="168" spans="1:7" ht="27.75">
      <c r="A168" s="1495" t="s">
        <v>101</v>
      </c>
      <c r="B168" s="1495"/>
      <c r="C168" s="1495"/>
      <c r="D168" s="523" t="s">
        <v>187</v>
      </c>
      <c r="E168" s="514">
        <f t="shared" ref="E168" si="22">E66</f>
        <v>38814</v>
      </c>
      <c r="F168" s="514">
        <f t="shared" si="19"/>
        <v>39214</v>
      </c>
      <c r="G168" s="473">
        <f t="shared" si="17"/>
        <v>400</v>
      </c>
    </row>
    <row r="169" spans="1:7" ht="27.75">
      <c r="A169" s="1495" t="s">
        <v>102</v>
      </c>
      <c r="B169" s="1495"/>
      <c r="C169" s="1495"/>
      <c r="D169" s="523" t="s">
        <v>187</v>
      </c>
      <c r="E169" s="514">
        <f t="shared" ref="E169" si="23">E67</f>
        <v>231671</v>
      </c>
      <c r="F169" s="514">
        <f t="shared" si="19"/>
        <v>232292</v>
      </c>
      <c r="G169" s="473">
        <f t="shared" si="17"/>
        <v>621</v>
      </c>
    </row>
    <row r="170" spans="1:7" ht="27.75">
      <c r="A170" s="1495" t="s">
        <v>103</v>
      </c>
      <c r="B170" s="1495"/>
      <c r="C170" s="1495"/>
      <c r="D170" s="523" t="s">
        <v>187</v>
      </c>
      <c r="E170" s="514">
        <f t="shared" ref="E170" si="24">E68</f>
        <v>84386</v>
      </c>
      <c r="F170" s="514">
        <f t="shared" si="19"/>
        <v>84713</v>
      </c>
      <c r="G170" s="473">
        <f t="shared" si="17"/>
        <v>327</v>
      </c>
    </row>
    <row r="171" spans="1:7" ht="27.75">
      <c r="A171" s="1495" t="s">
        <v>104</v>
      </c>
      <c r="B171" s="1495"/>
      <c r="C171" s="1495"/>
      <c r="D171" s="523" t="s">
        <v>187</v>
      </c>
      <c r="E171" s="514">
        <f t="shared" ref="E171" si="25">E69</f>
        <v>75574.58</v>
      </c>
      <c r="F171" s="514">
        <f t="shared" si="19"/>
        <v>75877</v>
      </c>
      <c r="G171" s="473">
        <f t="shared" si="17"/>
        <v>302.41999999999825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6:C106"/>
    <mergeCell ref="A107:B107"/>
    <mergeCell ref="A108:B108"/>
    <mergeCell ref="A109:B109"/>
    <mergeCell ref="A110:B110"/>
    <mergeCell ref="A94:C94"/>
    <mergeCell ref="A95:C95"/>
    <mergeCell ref="A103:B103"/>
    <mergeCell ref="A104:B104"/>
    <mergeCell ref="A105:B105"/>
  </mergeCells>
  <pageMargins left="0.22" right="0.17" top="0.14000000000000001" bottom="0.2" header="0.2" footer="0.2"/>
  <pageSetup paperSize="5" scale="2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1"/>
  <sheetViews>
    <sheetView view="pageBreakPreview" topLeftCell="A88" zoomScale="55" zoomScaleSheetLayoutView="55" workbookViewId="0">
      <selection activeCell="F66" sqref="F66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528" t="s">
        <v>117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7" s="281" customFormat="1" ht="27">
      <c r="A2" s="575" t="s">
        <v>346</v>
      </c>
      <c r="B2" s="1036">
        <v>44292</v>
      </c>
      <c r="C2" s="1146" t="s">
        <v>69</v>
      </c>
      <c r="D2" s="611">
        <v>0.8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7" s="281" customFormat="1" ht="27">
      <c r="A3" s="570"/>
      <c r="B3" s="614"/>
      <c r="C3" s="1146" t="s">
        <v>120</v>
      </c>
      <c r="D3" s="612">
        <v>33</v>
      </c>
      <c r="E3" s="1537" t="s">
        <v>121</v>
      </c>
      <c r="F3" s="1538"/>
      <c r="G3" s="462"/>
      <c r="H3" s="463"/>
      <c r="I3" s="463"/>
      <c r="J3" s="615"/>
      <c r="K3" s="371"/>
      <c r="L3" s="292"/>
    </row>
    <row r="4" spans="1:17" s="281" customFormat="1" ht="27">
      <c r="A4" s="576"/>
      <c r="B4" s="616"/>
      <c r="C4" s="1146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7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531" t="s">
        <v>130</v>
      </c>
      <c r="B6" s="1532"/>
      <c r="C6" s="1533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9" t="s">
        <v>131</v>
      </c>
      <c r="B7" s="680"/>
      <c r="C7" s="680"/>
      <c r="D7" s="638" t="s">
        <v>132</v>
      </c>
      <c r="E7" s="633">
        <f>'5'!F7</f>
        <v>5224161</v>
      </c>
      <c r="F7" s="455">
        <v>5244906</v>
      </c>
      <c r="G7" s="692">
        <f>F7-E7</f>
        <v>20745</v>
      </c>
      <c r="H7" s="682">
        <f>G7+'5'!H7</f>
        <v>130983</v>
      </c>
      <c r="I7" s="683">
        <f>'1'!I7</f>
        <v>12000</v>
      </c>
      <c r="J7" s="684">
        <f>H7/DAY(B2)</f>
        <v>21830.5</v>
      </c>
      <c r="K7" s="549"/>
      <c r="L7" s="377"/>
      <c r="N7" s="711"/>
    </row>
    <row r="8" spans="1:17" ht="27.75" thickBot="1">
      <c r="A8" s="685" t="s">
        <v>133</v>
      </c>
      <c r="B8" s="686"/>
      <c r="C8" s="687"/>
      <c r="D8" s="688" t="s">
        <v>25</v>
      </c>
      <c r="E8" s="633">
        <f>'5'!F8</f>
        <v>5256061</v>
      </c>
      <c r="F8" s="475">
        <v>5276902</v>
      </c>
      <c r="G8" s="692">
        <f t="shared" ref="G8:G12" si="0">F8-E8</f>
        <v>20841</v>
      </c>
      <c r="H8" s="682">
        <f>G8+'5'!H8</f>
        <v>131584</v>
      </c>
      <c r="I8" s="689">
        <v>12000</v>
      </c>
      <c r="J8" s="684">
        <f>H8/DAY(B2)</f>
        <v>21930.666666666668</v>
      </c>
      <c r="K8" s="549"/>
      <c r="L8" s="425"/>
      <c r="M8" s="440"/>
      <c r="N8" s="706"/>
      <c r="O8" s="382"/>
    </row>
    <row r="9" spans="1:17">
      <c r="A9" s="690" t="s">
        <v>134</v>
      </c>
      <c r="B9" s="691"/>
      <c r="C9" s="691"/>
      <c r="D9" s="638" t="s">
        <v>132</v>
      </c>
      <c r="E9" s="633">
        <f>'5'!F9</f>
        <v>502970</v>
      </c>
      <c r="F9" s="478">
        <v>523029</v>
      </c>
      <c r="G9" s="692">
        <f t="shared" si="0"/>
        <v>20059</v>
      </c>
      <c r="H9" s="682">
        <f>G9+'5'!H9</f>
        <v>126960</v>
      </c>
      <c r="I9" s="693">
        <f>I8-J8</f>
        <v>-9930.6666666666679</v>
      </c>
      <c r="J9" s="684">
        <f>H9/DAY(B2)</f>
        <v>21160</v>
      </c>
      <c r="K9" s="428"/>
      <c r="L9" s="377"/>
      <c r="N9" s="382"/>
      <c r="O9" s="440"/>
    </row>
    <row r="10" spans="1:17">
      <c r="A10" s="679" t="s">
        <v>135</v>
      </c>
      <c r="B10" s="680"/>
      <c r="C10" s="680"/>
      <c r="D10" s="638" t="s">
        <v>132</v>
      </c>
      <c r="E10" s="633">
        <f>'5'!F10</f>
        <v>2322.58</v>
      </c>
      <c r="F10" s="478">
        <v>2322.58</v>
      </c>
      <c r="G10" s="692">
        <f t="shared" si="0"/>
        <v>0</v>
      </c>
      <c r="H10" s="682">
        <f>G10+'5'!H10</f>
        <v>0</v>
      </c>
      <c r="I10" s="694"/>
      <c r="J10" s="684">
        <f>H10/DAY(B2)</f>
        <v>0</v>
      </c>
      <c r="K10" s="428"/>
      <c r="L10" s="377"/>
      <c r="N10" s="382"/>
      <c r="O10" s="440"/>
      <c r="Q10" s="440"/>
    </row>
    <row r="11" spans="1:17">
      <c r="A11" s="679" t="s">
        <v>136</v>
      </c>
      <c r="B11" s="680"/>
      <c r="C11" s="680"/>
      <c r="D11" s="638" t="s">
        <v>132</v>
      </c>
      <c r="E11" s="633">
        <f>'5'!F11</f>
        <v>37000</v>
      </c>
      <c r="F11" s="455">
        <v>37000</v>
      </c>
      <c r="G11" s="692">
        <f t="shared" si="0"/>
        <v>0</v>
      </c>
      <c r="H11" s="682">
        <f>G11+'5'!H11</f>
        <v>0</v>
      </c>
      <c r="I11" s="694"/>
      <c r="J11" s="684">
        <f>H11/DAY(B2)</f>
        <v>0</v>
      </c>
      <c r="K11" s="428"/>
      <c r="L11" s="377"/>
      <c r="N11" s="382"/>
      <c r="O11" s="440"/>
      <c r="Q11" s="440"/>
    </row>
    <row r="12" spans="1:17">
      <c r="A12" s="679" t="s">
        <v>137</v>
      </c>
      <c r="B12" s="680"/>
      <c r="C12" s="680"/>
      <c r="D12" s="638" t="s">
        <v>132</v>
      </c>
      <c r="E12" s="633">
        <f>'5'!F12</f>
        <v>40010</v>
      </c>
      <c r="F12" s="478">
        <v>40010</v>
      </c>
      <c r="G12" s="692">
        <f t="shared" si="0"/>
        <v>0</v>
      </c>
      <c r="H12" s="682">
        <f>G12+'5'!H12</f>
        <v>0</v>
      </c>
      <c r="I12" s="694"/>
      <c r="J12" s="684">
        <f>H12/DAY(B2)</f>
        <v>0</v>
      </c>
      <c r="K12" s="428"/>
      <c r="L12" s="377"/>
      <c r="N12" s="382"/>
      <c r="O12" s="440"/>
      <c r="Q12" s="440"/>
    </row>
    <row r="13" spans="1:17">
      <c r="A13" s="695" t="s">
        <v>138</v>
      </c>
      <c r="B13" s="696"/>
      <c r="C13" s="696"/>
      <c r="D13" s="638"/>
      <c r="E13" s="633"/>
      <c r="F13" s="455"/>
      <c r="G13" s="697">
        <f>G9+G10+G11+G12</f>
        <v>20059</v>
      </c>
      <c r="H13" s="682">
        <f>G13+'5'!H13</f>
        <v>126960</v>
      </c>
      <c r="I13" s="698">
        <f>G7-G13</f>
        <v>686</v>
      </c>
      <c r="J13" s="684">
        <f>H13/DAY(B2)</f>
        <v>21160</v>
      </c>
      <c r="K13" s="428"/>
      <c r="L13" s="377"/>
      <c r="N13" s="382"/>
      <c r="O13" s="440"/>
      <c r="Q13" s="440"/>
    </row>
    <row r="14" spans="1:17">
      <c r="A14" s="1534" t="s">
        <v>139</v>
      </c>
      <c r="B14" s="1535"/>
      <c r="C14" s="1536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7">
      <c r="A15" s="796" t="s">
        <v>140</v>
      </c>
      <c r="B15" s="791"/>
      <c r="C15" s="791"/>
      <c r="D15" s="524" t="s">
        <v>141</v>
      </c>
      <c r="E15" s="485">
        <f>'5'!F15</f>
        <v>1651556</v>
      </c>
      <c r="F15" s="485">
        <v>1652439</v>
      </c>
      <c r="G15" s="473">
        <f>(F15-E15)</f>
        <v>883</v>
      </c>
      <c r="H15" s="486">
        <f>G15+'5'!H15</f>
        <v>5750</v>
      </c>
      <c r="I15" s="474">
        <v>800</v>
      </c>
      <c r="J15" s="553">
        <f>H15/DAY(B2)</f>
        <v>958.33333333333337</v>
      </c>
      <c r="K15" s="428"/>
      <c r="L15" s="377"/>
      <c r="N15" s="382"/>
    </row>
    <row r="16" spans="1:17">
      <c r="A16" s="794"/>
      <c r="B16" s="795"/>
      <c r="C16" s="795"/>
      <c r="D16" s="792"/>
      <c r="E16" s="793"/>
      <c r="F16" s="485"/>
      <c r="G16" s="1039"/>
      <c r="H16" s="1056"/>
      <c r="I16" s="487">
        <f>I15-J15</f>
        <v>-158.33333333333337</v>
      </c>
      <c r="J16" s="1057"/>
      <c r="K16" s="428"/>
      <c r="L16" s="377"/>
      <c r="N16" s="382"/>
    </row>
    <row r="17" spans="1:14">
      <c r="A17" s="1534" t="s">
        <v>142</v>
      </c>
      <c r="B17" s="1535"/>
      <c r="C17" s="1536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60" t="s">
        <v>143</v>
      </c>
      <c r="B18" s="1561"/>
      <c r="C18" s="1562"/>
      <c r="D18" s="639" t="s">
        <v>144</v>
      </c>
      <c r="E18" s="637">
        <f>'5'!F18</f>
        <v>12</v>
      </c>
      <c r="F18" s="485">
        <v>10</v>
      </c>
      <c r="G18" s="692">
        <f>F18*10</f>
        <v>100</v>
      </c>
      <c r="H18" s="682">
        <f>G18+'5'!H18</f>
        <v>700</v>
      </c>
      <c r="I18" s="683">
        <f>'1'!I18</f>
        <v>65</v>
      </c>
      <c r="J18" s="684">
        <f>H18/DAY(B2)</f>
        <v>116.66666666666667</v>
      </c>
      <c r="K18" s="428"/>
      <c r="L18" s="377"/>
      <c r="N18" s="382"/>
    </row>
    <row r="19" spans="1:14" ht="27.75">
      <c r="A19" s="1560" t="s">
        <v>71</v>
      </c>
      <c r="B19" s="1561"/>
      <c r="C19" s="1562"/>
      <c r="D19" s="638" t="s">
        <v>144</v>
      </c>
      <c r="E19" s="635">
        <f>'5'!F19</f>
        <v>136361</v>
      </c>
      <c r="F19" s="478">
        <v>136417</v>
      </c>
      <c r="G19" s="692">
        <f t="shared" ref="G19" si="1">F19-E19</f>
        <v>56</v>
      </c>
      <c r="H19" s="682">
        <f>G19+'5'!H19</f>
        <v>327</v>
      </c>
      <c r="I19" s="699"/>
      <c r="J19" s="684">
        <f>H19/DAY(B2)</f>
        <v>54.5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156</v>
      </c>
      <c r="H20" s="682">
        <f>G20+'5'!H20</f>
        <v>1027</v>
      </c>
      <c r="I20" s="701">
        <f>I18-J20</f>
        <v>-106.16666666666666</v>
      </c>
      <c r="J20" s="684">
        <f>H20/DAY(B2)</f>
        <v>171.16666666666666</v>
      </c>
      <c r="K20" s="428"/>
      <c r="L20" s="377"/>
      <c r="N20" s="382"/>
    </row>
    <row r="21" spans="1:14">
      <c r="A21" s="1534" t="s">
        <v>146</v>
      </c>
      <c r="B21" s="1535"/>
      <c r="C21" s="1536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4" t="s">
        <v>147</v>
      </c>
      <c r="B22" s="589"/>
      <c r="C22" s="589"/>
      <c r="D22" s="523" t="s">
        <v>148</v>
      </c>
      <c r="E22" s="635">
        <f>'5'!F22</f>
        <v>1290</v>
      </c>
      <c r="F22" s="478">
        <v>1290</v>
      </c>
      <c r="G22" s="481">
        <f t="shared" ref="G22" si="2">(F22-E22)</f>
        <v>0</v>
      </c>
      <c r="H22" s="460">
        <f>G22+'5'!H22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4" t="s">
        <v>149</v>
      </c>
      <c r="B23" s="589"/>
      <c r="C23" s="589"/>
      <c r="D23" s="523" t="s">
        <v>148</v>
      </c>
      <c r="E23" s="635">
        <f>'5'!F23</f>
        <v>1900</v>
      </c>
      <c r="F23" s="478">
        <v>1900</v>
      </c>
      <c r="G23" s="481">
        <v>0</v>
      </c>
      <c r="H23" s="460">
        <f>G23+'5'!H23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'5'!F24</f>
        <v>3290</v>
      </c>
      <c r="F24" s="485">
        <v>3290</v>
      </c>
      <c r="G24" s="481">
        <v>0</v>
      </c>
      <c r="H24" s="460">
        <f>G24+'5'!H24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39" t="s">
        <v>151</v>
      </c>
      <c r="B25" s="1540"/>
      <c r="C25" s="1541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20841</v>
      </c>
      <c r="F27" s="501">
        <v>9</v>
      </c>
      <c r="G27" s="502">
        <f>E27*F27</f>
        <v>187569</v>
      </c>
      <c r="H27" s="460">
        <f>G27+'5'!H27</f>
        <v>1184256</v>
      </c>
      <c r="I27" s="503"/>
      <c r="J27" s="552">
        <f>H27/DAY(B2)</f>
        <v>197376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883</v>
      </c>
      <c r="F28" s="501">
        <v>51.45</v>
      </c>
      <c r="G28" s="502">
        <f t="shared" ref="G28:G31" si="3">E28*F28</f>
        <v>45430.350000000006</v>
      </c>
      <c r="H28" s="460">
        <f>G28+'5'!H28</f>
        <v>295837.5</v>
      </c>
      <c r="I28" s="505"/>
      <c r="J28" s="552">
        <f>H28/DAY(B2)</f>
        <v>49306.25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 t="shared" si="3"/>
        <v>0</v>
      </c>
      <c r="H29" s="460">
        <f>G29+'5'!H29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146</v>
      </c>
      <c r="G30" s="502">
        <f t="shared" si="3"/>
        <v>8176</v>
      </c>
      <c r="H30" s="460">
        <f>G30+'5'!H30</f>
        <v>45186</v>
      </c>
      <c r="I30" s="505"/>
      <c r="J30" s="552">
        <f>H30/DAY(B2)</f>
        <v>7531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 t="shared" si="3"/>
        <v>8000</v>
      </c>
      <c r="H31" s="460">
        <f>G31+'5'!H31</f>
        <v>56000</v>
      </c>
      <c r="I31" s="505"/>
      <c r="J31" s="552">
        <f>H31/DAY(B2)</f>
        <v>9333.3333333333339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249175.35</v>
      </c>
      <c r="H32" s="460">
        <f>G32+'5'!H32</f>
        <v>1581279.5</v>
      </c>
      <c r="I32" s="509"/>
      <c r="J32" s="552">
        <f>H32/DAY(B2)</f>
        <v>263546.58333333331</v>
      </c>
      <c r="K32" s="373"/>
      <c r="L32" s="443"/>
      <c r="N32" s="382"/>
    </row>
    <row r="33" spans="1:15" ht="25.5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  <c r="N33" s="382"/>
    </row>
    <row r="34" spans="1:15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5">
      <c r="A35" s="578" t="s">
        <v>164</v>
      </c>
      <c r="B35" s="579"/>
      <c r="C35" s="579"/>
      <c r="D35" s="523" t="s">
        <v>132</v>
      </c>
      <c r="E35" s="510">
        <f>'5'!F35</f>
        <v>815332</v>
      </c>
      <c r="F35" s="510">
        <v>818655</v>
      </c>
      <c r="G35" s="473">
        <f t="shared" ref="G35:G46" si="4">F35-E35</f>
        <v>3323</v>
      </c>
      <c r="H35" s="460">
        <f>G35+'5'!H35</f>
        <v>20266</v>
      </c>
      <c r="I35" s="455"/>
      <c r="J35" s="552">
        <f>H35/DAY(B2)</f>
        <v>3377.6666666666665</v>
      </c>
      <c r="K35" s="428"/>
      <c r="L35" s="377"/>
      <c r="N35" s="382"/>
    </row>
    <row r="36" spans="1:15">
      <c r="A36" s="578" t="s">
        <v>165</v>
      </c>
      <c r="B36" s="579"/>
      <c r="C36" s="579"/>
      <c r="D36" s="523" t="s">
        <v>132</v>
      </c>
      <c r="E36" s="510">
        <f>'5'!F36</f>
        <v>322075</v>
      </c>
      <c r="F36" s="510">
        <v>322775</v>
      </c>
      <c r="G36" s="473">
        <f t="shared" si="4"/>
        <v>700</v>
      </c>
      <c r="H36" s="460">
        <f>G36+'5'!H36</f>
        <v>5339</v>
      </c>
      <c r="I36" s="455"/>
      <c r="J36" s="552">
        <f>H36/DAY(B2)</f>
        <v>889.83333333333337</v>
      </c>
      <c r="K36" s="428"/>
      <c r="L36" s="377"/>
      <c r="N36" s="628"/>
      <c r="O36" s="501"/>
    </row>
    <row r="37" spans="1:15">
      <c r="A37" s="578" t="s">
        <v>166</v>
      </c>
      <c r="B37" s="579"/>
      <c r="C37" s="579"/>
      <c r="D37" s="523" t="s">
        <v>132</v>
      </c>
      <c r="E37" s="510">
        <f>'5'!F37</f>
        <v>61873</v>
      </c>
      <c r="F37" s="510">
        <v>63229</v>
      </c>
      <c r="G37" s="473">
        <f t="shared" si="4"/>
        <v>1356</v>
      </c>
      <c r="H37" s="460">
        <f>G37+'5'!H37</f>
        <v>8432</v>
      </c>
      <c r="I37" s="455"/>
      <c r="J37" s="552">
        <f>H37/DAY(B2)</f>
        <v>1405.3333333333333</v>
      </c>
      <c r="K37" s="428"/>
      <c r="L37" s="377"/>
      <c r="N37" s="629"/>
      <c r="O37" s="501"/>
    </row>
    <row r="38" spans="1:15">
      <c r="A38" s="578" t="s">
        <v>167</v>
      </c>
      <c r="B38" s="579"/>
      <c r="C38" s="579"/>
      <c r="D38" s="523" t="s">
        <v>132</v>
      </c>
      <c r="E38" s="469">
        <f>'5'!F38</f>
        <v>81061</v>
      </c>
      <c r="F38" s="469">
        <v>82746</v>
      </c>
      <c r="G38" s="473">
        <f t="shared" si="4"/>
        <v>1685</v>
      </c>
      <c r="H38" s="460">
        <f>G38+'5'!H38</f>
        <v>10438</v>
      </c>
      <c r="I38" s="455"/>
      <c r="J38" s="552">
        <f>H38/DAY(B2)</f>
        <v>1739.6666666666667</v>
      </c>
      <c r="K38" s="428"/>
      <c r="L38" s="377"/>
      <c r="N38" s="382"/>
      <c r="O38" s="501"/>
    </row>
    <row r="39" spans="1:15">
      <c r="A39" s="578" t="s">
        <v>168</v>
      </c>
      <c r="B39" s="579"/>
      <c r="C39" s="579"/>
      <c r="D39" s="523" t="s">
        <v>132</v>
      </c>
      <c r="E39" s="510">
        <f>'5'!F39</f>
        <v>172455</v>
      </c>
      <c r="F39" s="510">
        <v>176274</v>
      </c>
      <c r="G39" s="473">
        <f t="shared" si="4"/>
        <v>3819</v>
      </c>
      <c r="H39" s="460">
        <f>G39+'5'!H39</f>
        <v>23452</v>
      </c>
      <c r="I39" s="455"/>
      <c r="J39" s="552">
        <f>H39/DAY(B2)</f>
        <v>3908.6666666666665</v>
      </c>
      <c r="K39" s="428"/>
      <c r="L39" s="377"/>
      <c r="N39" s="382"/>
      <c r="O39" s="501"/>
    </row>
    <row r="40" spans="1:15">
      <c r="A40" s="599" t="s">
        <v>169</v>
      </c>
      <c r="B40" s="600"/>
      <c r="C40" s="600"/>
      <c r="D40" s="523" t="s">
        <v>132</v>
      </c>
      <c r="E40" s="510">
        <f>'5'!F40</f>
        <v>0</v>
      </c>
      <c r="F40" s="510">
        <v>0</v>
      </c>
      <c r="G40" s="473">
        <f t="shared" si="4"/>
        <v>0</v>
      </c>
      <c r="H40" s="460">
        <f>G40+'5'!H40</f>
        <v>0</v>
      </c>
      <c r="I40" s="455"/>
      <c r="J40" s="552">
        <f>H40/DAY(B2)</f>
        <v>0</v>
      </c>
      <c r="K40" s="429"/>
      <c r="L40" s="377"/>
      <c r="N40" s="382"/>
      <c r="O40" s="501"/>
    </row>
    <row r="41" spans="1:15">
      <c r="A41" s="578" t="s">
        <v>170</v>
      </c>
      <c r="B41" s="579"/>
      <c r="C41" s="579"/>
      <c r="D41" s="523" t="s">
        <v>132</v>
      </c>
      <c r="E41" s="510">
        <f>'5'!F41</f>
        <v>159474</v>
      </c>
      <c r="F41" s="510">
        <v>159785</v>
      </c>
      <c r="G41" s="473">
        <f>F41-E41</f>
        <v>311</v>
      </c>
      <c r="H41" s="460">
        <f>G41+'5'!H41</f>
        <v>26644</v>
      </c>
      <c r="I41" s="455"/>
      <c r="J41" s="552">
        <f>H41/DAY(B2)</f>
        <v>4440.666666666667</v>
      </c>
      <c r="K41" s="428"/>
      <c r="L41" s="377"/>
      <c r="N41" s="382"/>
    </row>
    <row r="42" spans="1:15">
      <c r="A42" s="578" t="s">
        <v>171</v>
      </c>
      <c r="B42" s="579"/>
      <c r="C42" s="579"/>
      <c r="D42" s="523" t="s">
        <v>132</v>
      </c>
      <c r="E42" s="510">
        <f>'5'!F42</f>
        <v>59128</v>
      </c>
      <c r="F42" s="510">
        <v>59128</v>
      </c>
      <c r="G42" s="473">
        <f t="shared" si="4"/>
        <v>0</v>
      </c>
      <c r="H42" s="460">
        <f>G42+'5'!H42</f>
        <v>-0.16000000000349246</v>
      </c>
      <c r="I42" s="455"/>
      <c r="J42" s="552">
        <f>H42/DAY(B2)</f>
        <v>-2.6666666667248744E-2</v>
      </c>
      <c r="K42" s="428"/>
      <c r="L42" s="377"/>
      <c r="N42" s="382"/>
    </row>
    <row r="43" spans="1:15">
      <c r="A43" s="578" t="s">
        <v>172</v>
      </c>
      <c r="B43" s="579"/>
      <c r="C43" s="579"/>
      <c r="D43" s="523" t="s">
        <v>132</v>
      </c>
      <c r="E43" s="510">
        <f>'5'!F43</f>
        <v>914662</v>
      </c>
      <c r="F43" s="510">
        <v>917094</v>
      </c>
      <c r="G43" s="473">
        <f t="shared" si="4"/>
        <v>2432</v>
      </c>
      <c r="H43" s="460">
        <f>G43+'5'!H43</f>
        <v>15046</v>
      </c>
      <c r="I43" s="455"/>
      <c r="J43" s="552">
        <f>H43/DAY(B2)</f>
        <v>2507.6666666666665</v>
      </c>
      <c r="K43" s="428"/>
      <c r="L43" s="377"/>
      <c r="N43" s="382"/>
    </row>
    <row r="44" spans="1:15">
      <c r="A44" s="578" t="s">
        <v>173</v>
      </c>
      <c r="B44" s="579"/>
      <c r="C44" s="579"/>
      <c r="D44" s="523" t="s">
        <v>132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2">
        <f>H44/DAY(B2)</f>
        <v>0</v>
      </c>
      <c r="K44" s="428"/>
      <c r="L44" s="377"/>
      <c r="N44" s="382"/>
    </row>
    <row r="45" spans="1:15">
      <c r="A45" s="578" t="s">
        <v>174</v>
      </c>
      <c r="B45" s="579"/>
      <c r="C45" s="579"/>
      <c r="D45" s="523" t="s">
        <v>132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614</v>
      </c>
      <c r="I45" s="455"/>
      <c r="J45" s="552">
        <f>H45/DAY(B2)</f>
        <v>102.33333333333333</v>
      </c>
      <c r="K45" s="428"/>
      <c r="L45" s="377"/>
      <c r="N45" s="382"/>
    </row>
    <row r="46" spans="1:15">
      <c r="A46" s="578" t="s">
        <v>175</v>
      </c>
      <c r="B46" s="579"/>
      <c r="C46" s="579"/>
      <c r="D46" s="523" t="s">
        <v>132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187</v>
      </c>
      <c r="I46" s="455"/>
      <c r="J46" s="552">
        <f>H46/DAY(B2)</f>
        <v>31.166666666666668</v>
      </c>
      <c r="K46" s="428"/>
      <c r="L46" s="377"/>
      <c r="N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13626</v>
      </c>
      <c r="H47" s="460">
        <f>G47+'5'!H47</f>
        <v>110417.84</v>
      </c>
      <c r="I47" s="455"/>
      <c r="J47" s="552">
        <f>H47/DAY(B2)</f>
        <v>18402.973333333332</v>
      </c>
      <c r="K47" s="428"/>
      <c r="L47" s="377"/>
      <c r="N47" s="382"/>
    </row>
    <row r="48" spans="1:15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'5'!F49</f>
        <v>260732</v>
      </c>
      <c r="F49" s="1037">
        <v>260732</v>
      </c>
      <c r="G49" s="473">
        <f t="shared" ref="G49:G58" si="5">F49-E49</f>
        <v>0</v>
      </c>
      <c r="H49" s="460">
        <f>G49+'5'!H49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'5'!F50</f>
        <v>446969</v>
      </c>
      <c r="F50" s="510">
        <v>448054</v>
      </c>
      <c r="G50" s="473">
        <f t="shared" si="5"/>
        <v>1085</v>
      </c>
      <c r="H50" s="460">
        <f>G50+'5'!H50</f>
        <v>6822</v>
      </c>
      <c r="I50" s="455"/>
      <c r="J50" s="552">
        <f>H50/DAY(B2)</f>
        <v>1137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'5'!F51</f>
        <v>144640</v>
      </c>
      <c r="F51" s="510">
        <v>144640</v>
      </c>
      <c r="G51" s="473">
        <f t="shared" si="5"/>
        <v>0</v>
      </c>
      <c r="H51" s="460">
        <f>G51+'5'!H51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'5'!F52</f>
        <v>539608</v>
      </c>
      <c r="F52" s="510">
        <v>539608</v>
      </c>
      <c r="G52" s="473">
        <f t="shared" si="5"/>
        <v>0</v>
      </c>
      <c r="H52" s="460">
        <f>G52+'5'!H52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'5'!F53</f>
        <v>402339</v>
      </c>
      <c r="F53" s="510">
        <v>402551</v>
      </c>
      <c r="G53" s="473">
        <f t="shared" si="5"/>
        <v>212</v>
      </c>
      <c r="H53" s="460">
        <f>G53+'5'!H53</f>
        <v>1287</v>
      </c>
      <c r="I53" s="455"/>
      <c r="J53" s="552">
        <f>H53/DAY(B2)</f>
        <v>214.5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'5'!F54</f>
        <v>9527</v>
      </c>
      <c r="F54" s="510">
        <v>9599</v>
      </c>
      <c r="G54" s="473">
        <f t="shared" si="5"/>
        <v>72</v>
      </c>
      <c r="H54" s="460">
        <f>G54+'5'!H54</f>
        <v>433</v>
      </c>
      <c r="I54" s="455"/>
      <c r="J54" s="552">
        <f>H54/DAY(B2)</f>
        <v>72.166666666666671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'5'!F55</f>
        <v>220420</v>
      </c>
      <c r="F55" s="656">
        <v>225582</v>
      </c>
      <c r="G55" s="655">
        <f t="shared" si="5"/>
        <v>5162</v>
      </c>
      <c r="H55" s="708">
        <f>G55+'5'!H55</f>
        <v>9485</v>
      </c>
      <c r="I55" s="709"/>
      <c r="J55" s="710">
        <f>H55/DAY(B2)</f>
        <v>1580.8333333333333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'5'!F56</f>
        <v>589022</v>
      </c>
      <c r="F56" s="1060">
        <v>589031</v>
      </c>
      <c r="G56" s="473">
        <f t="shared" si="5"/>
        <v>9</v>
      </c>
      <c r="H56" s="460">
        <f>G56+'5'!H56</f>
        <v>64</v>
      </c>
      <c r="I56" s="455"/>
      <c r="J56" s="552">
        <f>H56/DAY(B2)</f>
        <v>10.666666666666666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'5'!F57</f>
        <v>7711</v>
      </c>
      <c r="F57" s="1037">
        <v>7711</v>
      </c>
      <c r="G57" s="473">
        <f t="shared" si="5"/>
        <v>0</v>
      </c>
      <c r="H57" s="460">
        <f>G57+'5'!H57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'5'!F58</f>
        <v>42520</v>
      </c>
      <c r="F58" s="656">
        <v>42703</v>
      </c>
      <c r="G58" s="473">
        <f t="shared" si="5"/>
        <v>183</v>
      </c>
      <c r="H58" s="460">
        <f>G58+'5'!H58</f>
        <v>1156</v>
      </c>
      <c r="I58" s="455"/>
      <c r="J58" s="552">
        <f>H58/DAY(B2)</f>
        <v>192.66666666666666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6723</v>
      </c>
      <c r="H59" s="460">
        <f>G59+'5'!H59</f>
        <v>19247</v>
      </c>
      <c r="I59" s="455">
        <f>G7-G60</f>
        <v>396</v>
      </c>
      <c r="J59" s="552">
        <f>H59/DAY(B2)</f>
        <v>3207.8333333333335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20349</v>
      </c>
      <c r="H60" s="460">
        <f>G60+'5'!H60</f>
        <v>129664.84</v>
      </c>
      <c r="I60" s="455">
        <f>G13-G60</f>
        <v>-290</v>
      </c>
      <c r="J60" s="552">
        <f>H60/DAY(B2)</f>
        <v>21610.806666666667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'5'!F62</f>
        <v>0</v>
      </c>
      <c r="F62" s="514">
        <v>0</v>
      </c>
      <c r="G62" s="473">
        <f t="shared" ref="G62:G69" si="6">F62-E62</f>
        <v>0</v>
      </c>
      <c r="H62" s="460">
        <f>G62+'5'!H62</f>
        <v>1.9999999967694748E-3</v>
      </c>
      <c r="I62" s="515"/>
      <c r="J62" s="552">
        <f>H62/DAY(B2)</f>
        <v>3.3333333279491245E-4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'5'!F63</f>
        <v>2154</v>
      </c>
      <c r="F63" s="514">
        <v>2166</v>
      </c>
      <c r="G63" s="473">
        <f t="shared" si="6"/>
        <v>12</v>
      </c>
      <c r="H63" s="460">
        <f>G63+'5'!H63</f>
        <v>70</v>
      </c>
      <c r="I63" s="515"/>
      <c r="J63" s="552">
        <f>H63/DAY(B2)</f>
        <v>11.666666666666666</v>
      </c>
      <c r="K63" s="428"/>
      <c r="L63" s="377"/>
      <c r="N63" s="382"/>
    </row>
    <row r="64" spans="1:14" ht="27.75">
      <c r="A64" s="1499" t="s">
        <v>99</v>
      </c>
      <c r="B64" s="1500"/>
      <c r="C64" s="1501"/>
      <c r="D64" s="523" t="s">
        <v>187</v>
      </c>
      <c r="E64" s="484">
        <f>'5'!F64</f>
        <v>141481</v>
      </c>
      <c r="F64" s="478">
        <v>141950</v>
      </c>
      <c r="G64" s="473">
        <f t="shared" si="6"/>
        <v>469</v>
      </c>
      <c r="H64" s="460">
        <f>G64+'5'!H64</f>
        <v>2770</v>
      </c>
      <c r="I64" s="480"/>
      <c r="J64" s="552">
        <f>H64/DAY(B2)</f>
        <v>461.66666666666669</v>
      </c>
      <c r="K64" s="428"/>
      <c r="L64" s="377"/>
      <c r="N64" s="382"/>
    </row>
    <row r="65" spans="1:14" ht="27.75">
      <c r="A65" s="1499" t="s">
        <v>100</v>
      </c>
      <c r="B65" s="1500"/>
      <c r="C65" s="1501"/>
      <c r="D65" s="523" t="s">
        <v>187</v>
      </c>
      <c r="E65" s="484">
        <f>'5'!F65</f>
        <v>146027</v>
      </c>
      <c r="F65" s="654">
        <v>146386</v>
      </c>
      <c r="G65" s="473">
        <f t="shared" si="6"/>
        <v>359</v>
      </c>
      <c r="H65" s="460">
        <f>G65+'5'!H65</f>
        <v>2181</v>
      </c>
      <c r="I65" s="489"/>
      <c r="J65" s="552">
        <f>H65/DAY(B2)</f>
        <v>363.5</v>
      </c>
      <c r="K65" s="428"/>
      <c r="L65" s="377"/>
      <c r="N65" s="382"/>
    </row>
    <row r="66" spans="1:14" ht="27.75">
      <c r="A66" s="1499" t="s">
        <v>101</v>
      </c>
      <c r="B66" s="1500"/>
      <c r="C66" s="1501"/>
      <c r="D66" s="523" t="s">
        <v>187</v>
      </c>
      <c r="E66" s="484">
        <f>'5'!F66</f>
        <v>39214</v>
      </c>
      <c r="F66" s="478">
        <v>39601</v>
      </c>
      <c r="G66" s="473">
        <f t="shared" si="6"/>
        <v>387</v>
      </c>
      <c r="H66" s="460">
        <f>G66+'5'!H66</f>
        <v>2393</v>
      </c>
      <c r="I66" s="480"/>
      <c r="J66" s="552">
        <f>H66/DAY(B2)</f>
        <v>398.83333333333331</v>
      </c>
      <c r="K66" s="428"/>
      <c r="L66" s="377"/>
      <c r="N66" s="382"/>
    </row>
    <row r="67" spans="1:14" ht="27.75">
      <c r="A67" s="1499" t="s">
        <v>102</v>
      </c>
      <c r="B67" s="1500"/>
      <c r="C67" s="1501"/>
      <c r="D67" s="523" t="s">
        <v>187</v>
      </c>
      <c r="E67" s="484">
        <f>'5'!F67</f>
        <v>232292</v>
      </c>
      <c r="F67" s="478">
        <v>232860</v>
      </c>
      <c r="G67" s="473">
        <f t="shared" si="6"/>
        <v>568</v>
      </c>
      <c r="H67" s="460">
        <f>G67+'5'!H67</f>
        <v>3760</v>
      </c>
      <c r="I67" s="489"/>
      <c r="J67" s="552">
        <f>H67/DAY(B2)</f>
        <v>626.66666666666663</v>
      </c>
      <c r="K67" s="429"/>
      <c r="L67" s="377"/>
      <c r="N67" s="382"/>
    </row>
    <row r="68" spans="1:14" ht="27.75">
      <c r="A68" s="1499" t="s">
        <v>103</v>
      </c>
      <c r="B68" s="1500"/>
      <c r="C68" s="1501"/>
      <c r="D68" s="523" t="s">
        <v>187</v>
      </c>
      <c r="E68" s="484">
        <f>'5'!F68</f>
        <v>84713</v>
      </c>
      <c r="F68" s="478">
        <v>85034</v>
      </c>
      <c r="G68" s="473">
        <f t="shared" si="6"/>
        <v>321</v>
      </c>
      <c r="H68" s="460">
        <f>G68+'5'!H68</f>
        <v>1947</v>
      </c>
      <c r="I68" s="516"/>
      <c r="J68" s="552">
        <f>H68/DAY(B2)</f>
        <v>324.5</v>
      </c>
      <c r="K68" s="430"/>
      <c r="L68" s="377"/>
      <c r="N68" s="382"/>
    </row>
    <row r="69" spans="1:14" ht="27.75">
      <c r="A69" s="1499" t="s">
        <v>104</v>
      </c>
      <c r="B69" s="1500"/>
      <c r="C69" s="1501"/>
      <c r="D69" s="523" t="s">
        <v>187</v>
      </c>
      <c r="E69" s="484">
        <f>'5'!F69</f>
        <v>75877</v>
      </c>
      <c r="F69" s="478">
        <v>76175</v>
      </c>
      <c r="G69" s="473">
        <f t="shared" si="6"/>
        <v>298</v>
      </c>
      <c r="H69" s="460">
        <f>G69+'5'!H69</f>
        <v>1846</v>
      </c>
      <c r="I69" s="516"/>
      <c r="J69" s="552">
        <f>H69/DAY(B2)</f>
        <v>307.66666666666669</v>
      </c>
      <c r="K69" s="431"/>
      <c r="L69" s="377"/>
      <c r="N69" s="382"/>
    </row>
    <row r="70" spans="1:14" ht="27.75">
      <c r="A70" s="1505" t="s">
        <v>189</v>
      </c>
      <c r="B70" s="1506"/>
      <c r="C70" s="1507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02" t="s">
        <v>190</v>
      </c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  <c r="N71" s="382"/>
    </row>
    <row r="72" spans="1:14" ht="27.75">
      <c r="A72" s="1499" t="s">
        <v>191</v>
      </c>
      <c r="B72" s="1500"/>
      <c r="C72" s="1501"/>
      <c r="D72" s="523" t="s">
        <v>187</v>
      </c>
      <c r="E72" s="519">
        <f>'5'!F72</f>
        <v>853693</v>
      </c>
      <c r="F72" s="657">
        <v>853780</v>
      </c>
      <c r="G72" s="473">
        <f t="shared" ref="G72:G84" si="7">F72-E72</f>
        <v>87</v>
      </c>
      <c r="H72" s="460">
        <f>G72+'5'!H72</f>
        <v>601</v>
      </c>
      <c r="I72" s="480"/>
      <c r="J72" s="552">
        <f>H72/DAY(B2)</f>
        <v>100.16666666666667</v>
      </c>
      <c r="K72" s="431"/>
      <c r="L72" s="377"/>
      <c r="N72" s="382"/>
    </row>
    <row r="73" spans="1:14" ht="27.75">
      <c r="A73" s="1499" t="s">
        <v>192</v>
      </c>
      <c r="B73" s="1500"/>
      <c r="C73" s="1501"/>
      <c r="D73" s="523" t="s">
        <v>187</v>
      </c>
      <c r="E73" s="520">
        <f>'5'!F73</f>
        <v>885809</v>
      </c>
      <c r="F73" s="658">
        <v>885810</v>
      </c>
      <c r="G73" s="655">
        <f t="shared" si="7"/>
        <v>1</v>
      </c>
      <c r="H73" s="460">
        <f>G73+'5'!H73</f>
        <v>10</v>
      </c>
      <c r="I73" s="480"/>
      <c r="J73" s="552">
        <f>H73/DAY(B2)</f>
        <v>1.6666666666666667</v>
      </c>
      <c r="K73" s="430"/>
      <c r="L73" s="377"/>
      <c r="N73" s="382"/>
    </row>
    <row r="74" spans="1:14" ht="27.75">
      <c r="A74" s="1499" t="s">
        <v>193</v>
      </c>
      <c r="B74" s="1500"/>
      <c r="C74" s="1501"/>
      <c r="D74" s="523" t="s">
        <v>187</v>
      </c>
      <c r="E74" s="521">
        <f>'5'!F74</f>
        <v>1491</v>
      </c>
      <c r="F74" s="657">
        <v>1520</v>
      </c>
      <c r="G74" s="473">
        <f t="shared" si="7"/>
        <v>29</v>
      </c>
      <c r="H74" s="460">
        <f>G74+'5'!H74</f>
        <v>150</v>
      </c>
      <c r="I74" s="480"/>
      <c r="J74" s="552">
        <f>H74/DAY(B2)</f>
        <v>25</v>
      </c>
      <c r="K74" s="431"/>
      <c r="L74" s="377"/>
      <c r="N74" s="382"/>
    </row>
    <row r="75" spans="1:14" ht="27.75">
      <c r="A75" s="1496" t="s">
        <v>194</v>
      </c>
      <c r="B75" s="1497"/>
      <c r="C75" s="1498"/>
      <c r="D75" s="523" t="s">
        <v>187</v>
      </c>
      <c r="E75" s="520">
        <f>'5'!F75</f>
        <v>9307</v>
      </c>
      <c r="F75" s="658">
        <v>9427</v>
      </c>
      <c r="G75" s="473">
        <f t="shared" si="7"/>
        <v>120</v>
      </c>
      <c r="H75" s="460">
        <f>G75+'5'!H75</f>
        <v>747</v>
      </c>
      <c r="I75" s="480"/>
      <c r="J75" s="552">
        <f>H75/DAY(B2)</f>
        <v>124.5</v>
      </c>
      <c r="K75" s="430"/>
      <c r="L75" s="377"/>
      <c r="N75" s="382"/>
    </row>
    <row r="76" spans="1:14" ht="27.75">
      <c r="A76" s="1496" t="s">
        <v>195</v>
      </c>
      <c r="B76" s="1497"/>
      <c r="C76" s="1498"/>
      <c r="D76" s="523" t="s">
        <v>187</v>
      </c>
      <c r="E76" s="520">
        <f>'5'!F76</f>
        <v>4365</v>
      </c>
      <c r="F76" s="658">
        <v>4431</v>
      </c>
      <c r="G76" s="473">
        <f t="shared" si="7"/>
        <v>66</v>
      </c>
      <c r="H76" s="460">
        <f>G76+'5'!H76</f>
        <v>394</v>
      </c>
      <c r="I76" s="505"/>
      <c r="J76" s="552">
        <f>H76/DAY(B2)</f>
        <v>65.666666666666671</v>
      </c>
      <c r="K76" s="430"/>
      <c r="L76" s="377"/>
      <c r="N76" s="382"/>
    </row>
    <row r="77" spans="1:14" ht="27.75">
      <c r="A77" s="1499" t="s">
        <v>196</v>
      </c>
      <c r="B77" s="1500"/>
      <c r="C77" s="1501"/>
      <c r="D77" s="523" t="s">
        <v>187</v>
      </c>
      <c r="E77" s="520">
        <f>'5'!F77</f>
        <v>700442</v>
      </c>
      <c r="F77" s="658">
        <v>700487</v>
      </c>
      <c r="G77" s="655">
        <f t="shared" si="7"/>
        <v>45</v>
      </c>
      <c r="H77" s="460">
        <f>G77+'5'!H77</f>
        <v>273</v>
      </c>
      <c r="I77" s="505"/>
      <c r="J77" s="552">
        <f>H77/DAY(B2)</f>
        <v>45.5</v>
      </c>
      <c r="K77" s="430"/>
      <c r="L77" s="377"/>
      <c r="N77" s="382"/>
    </row>
    <row r="78" spans="1:14" ht="27.75">
      <c r="A78" s="1147" t="s">
        <v>197</v>
      </c>
      <c r="B78" s="1120"/>
      <c r="C78" s="1120"/>
      <c r="D78" s="523" t="s">
        <v>187</v>
      </c>
      <c r="E78" s="521">
        <f>'5'!F78</f>
        <v>667075</v>
      </c>
      <c r="F78" s="659">
        <v>667360</v>
      </c>
      <c r="G78" s="473">
        <f t="shared" si="7"/>
        <v>285</v>
      </c>
      <c r="H78" s="460">
        <f>G78+'5'!H78</f>
        <v>1980</v>
      </c>
      <c r="I78" s="505"/>
      <c r="J78" s="552">
        <f>H78/DAY(B2)</f>
        <v>330</v>
      </c>
      <c r="K78" s="430"/>
      <c r="L78" s="377"/>
      <c r="N78" s="382"/>
    </row>
    <row r="79" spans="1:14" ht="27.75">
      <c r="A79" s="1496" t="s">
        <v>92</v>
      </c>
      <c r="B79" s="1497"/>
      <c r="C79" s="1498"/>
      <c r="D79" s="524" t="s">
        <v>187</v>
      </c>
      <c r="E79" s="521">
        <f>'5'!F79</f>
        <v>822160</v>
      </c>
      <c r="F79" s="659">
        <v>822339</v>
      </c>
      <c r="G79" s="473">
        <f t="shared" si="7"/>
        <v>179</v>
      </c>
      <c r="H79" s="460">
        <f>G79+'5'!H79</f>
        <v>1126</v>
      </c>
      <c r="I79" s="505"/>
      <c r="J79" s="552">
        <f>H79/DAY(B2)</f>
        <v>187.66666666666666</v>
      </c>
      <c r="K79" s="430"/>
      <c r="L79" s="377"/>
      <c r="N79" s="382"/>
    </row>
    <row r="80" spans="1:14" ht="27.75">
      <c r="A80" s="1496" t="s">
        <v>198</v>
      </c>
      <c r="B80" s="1497"/>
      <c r="C80" s="1498"/>
      <c r="D80" s="524" t="s">
        <v>187</v>
      </c>
      <c r="E80" s="520">
        <f>'5'!F80</f>
        <v>507397</v>
      </c>
      <c r="F80" s="658">
        <v>507768</v>
      </c>
      <c r="G80" s="473">
        <f t="shared" si="7"/>
        <v>371</v>
      </c>
      <c r="H80" s="460">
        <f>G80+'5'!H80</f>
        <v>2069</v>
      </c>
      <c r="I80" s="505"/>
      <c r="J80" s="552">
        <f>H80/DAY(B2)</f>
        <v>344.83333333333331</v>
      </c>
      <c r="K80" s="430"/>
      <c r="L80" s="377"/>
      <c r="N80" s="382"/>
    </row>
    <row r="81" spans="1:15" ht="27.75">
      <c r="A81" s="1496" t="s">
        <v>199</v>
      </c>
      <c r="B81" s="1497"/>
      <c r="C81" s="1498"/>
      <c r="D81" s="524" t="s">
        <v>187</v>
      </c>
      <c r="E81" s="520">
        <f>'5'!F81</f>
        <v>631464</v>
      </c>
      <c r="F81" s="658">
        <v>631685</v>
      </c>
      <c r="G81" s="473">
        <f t="shared" si="7"/>
        <v>221</v>
      </c>
      <c r="H81" s="460">
        <f>G81+'5'!H81</f>
        <v>1500</v>
      </c>
      <c r="I81" s="505"/>
      <c r="J81" s="552">
        <f>H81/DAY(B2)</f>
        <v>250</v>
      </c>
      <c r="K81" s="430"/>
      <c r="L81" s="377"/>
      <c r="N81" s="382"/>
    </row>
    <row r="82" spans="1:15" ht="27.75">
      <c r="A82" s="1496" t="s">
        <v>93</v>
      </c>
      <c r="B82" s="1497"/>
      <c r="C82" s="1498"/>
      <c r="D82" s="485" t="s">
        <v>132</v>
      </c>
      <c r="E82" s="522">
        <f>'5'!F82</f>
        <v>107013</v>
      </c>
      <c r="F82" s="654">
        <v>107039</v>
      </c>
      <c r="G82" s="473">
        <f t="shared" si="7"/>
        <v>26</v>
      </c>
      <c r="H82" s="460">
        <f>G82+'5'!H82</f>
        <v>144</v>
      </c>
      <c r="I82" s="486"/>
      <c r="J82" s="552">
        <f>H82/DAY(B2)</f>
        <v>24</v>
      </c>
      <c r="K82" s="430"/>
      <c r="L82" s="377"/>
      <c r="N82" s="382"/>
    </row>
    <row r="83" spans="1:15" ht="27.75">
      <c r="A83" s="1496" t="s">
        <v>200</v>
      </c>
      <c r="B83" s="1497"/>
      <c r="C83" s="1498"/>
      <c r="D83" s="620" t="s">
        <v>132</v>
      </c>
      <c r="E83" s="511">
        <f>'5'!F83</f>
        <v>8365</v>
      </c>
      <c r="F83" s="511">
        <v>8617</v>
      </c>
      <c r="G83" s="473">
        <f t="shared" si="7"/>
        <v>252</v>
      </c>
      <c r="H83" s="460">
        <f>G83+'5'!H83</f>
        <v>1560</v>
      </c>
      <c r="I83" s="481"/>
      <c r="J83" s="552">
        <f>H83/DAY(B2)</f>
        <v>260</v>
      </c>
      <c r="K83" s="429"/>
      <c r="L83" s="377"/>
      <c r="N83" s="382"/>
    </row>
    <row r="84" spans="1:15">
      <c r="A84" s="1148" t="s">
        <v>201</v>
      </c>
      <c r="B84" s="571"/>
      <c r="C84" s="571"/>
      <c r="D84" s="478" t="s">
        <v>132</v>
      </c>
      <c r="E84" s="627">
        <f>'5'!F84</f>
        <v>459300</v>
      </c>
      <c r="F84" s="627">
        <v>460282</v>
      </c>
      <c r="G84" s="473">
        <f t="shared" si="7"/>
        <v>982</v>
      </c>
      <c r="H84" s="460">
        <f>G84+'5'!H84</f>
        <v>5598</v>
      </c>
      <c r="I84" s="481"/>
      <c r="J84" s="552">
        <f>H84/DAY(B2)</f>
        <v>933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2664</v>
      </c>
      <c r="H85" s="460">
        <f>G85+'5'!H85</f>
        <v>16152</v>
      </c>
      <c r="I85" s="481"/>
      <c r="J85" s="552">
        <f>H85/DAY(B2)</f>
        <v>2692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'5'!F86</f>
        <v>455433</v>
      </c>
      <c r="F86" s="650">
        <v>455649</v>
      </c>
      <c r="G86" s="708">
        <f t="shared" ref="G86:G90" si="8">F86-E86</f>
        <v>216</v>
      </c>
      <c r="H86" s="460">
        <f>G86+'5'!H86</f>
        <v>1068</v>
      </c>
      <c r="I86" s="655"/>
      <c r="J86" s="710">
        <f>H86/DAY(B2)</f>
        <v>178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'5'!F87</f>
        <v>80330</v>
      </c>
      <c r="F87" s="650">
        <v>80359</v>
      </c>
      <c r="G87" s="708">
        <f t="shared" si="8"/>
        <v>29</v>
      </c>
      <c r="H87" s="460">
        <f>G87+'5'!H87</f>
        <v>174</v>
      </c>
      <c r="I87" s="655"/>
      <c r="J87" s="710">
        <f>H87/DAY(B2)</f>
        <v>29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'5'!F88</f>
        <v>150937</v>
      </c>
      <c r="F88" s="650">
        <v>150971</v>
      </c>
      <c r="G88" s="708">
        <f t="shared" si="8"/>
        <v>34</v>
      </c>
      <c r="H88" s="460">
        <f>G88+'5'!H88</f>
        <v>372</v>
      </c>
      <c r="I88" s="655"/>
      <c r="J88" s="710">
        <f>H88/DAY(B2)</f>
        <v>62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'5'!F89</f>
        <v>63772</v>
      </c>
      <c r="F89" s="650">
        <v>63815</v>
      </c>
      <c r="G89" s="708">
        <f t="shared" si="8"/>
        <v>43</v>
      </c>
      <c r="H89" s="460">
        <f>G89+'5'!H89</f>
        <v>261</v>
      </c>
      <c r="I89" s="655"/>
      <c r="J89" s="710">
        <f>H89/DAY(B2)</f>
        <v>43.5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'5'!F90</f>
        <v>3272</v>
      </c>
      <c r="F90" s="650">
        <v>3272</v>
      </c>
      <c r="G90" s="708">
        <f t="shared" si="8"/>
        <v>0</v>
      </c>
      <c r="H90" s="460">
        <f>G90+'5'!H90</f>
        <v>2</v>
      </c>
      <c r="I90" s="655"/>
      <c r="J90" s="710">
        <f>H90/DAY(B2)</f>
        <v>0.33333333333333331</v>
      </c>
      <c r="K90" s="736"/>
      <c r="L90" s="737"/>
      <c r="N90" s="781"/>
      <c r="O90" s="382"/>
    </row>
    <row r="91" spans="1:15" s="379" customFormat="1">
      <c r="A91" s="606" t="s">
        <v>205</v>
      </c>
      <c r="B91" s="1150"/>
      <c r="C91" s="1150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520" t="s">
        <v>206</v>
      </c>
      <c r="B92" s="1521"/>
      <c r="C92" s="1522"/>
      <c r="D92" s="523" t="s">
        <v>144</v>
      </c>
      <c r="E92" s="484">
        <f>'5'!F92</f>
        <v>243053</v>
      </c>
      <c r="F92" s="478">
        <v>243115</v>
      </c>
      <c r="G92" s="473">
        <f t="shared" ref="G92:G93" si="9">F92-E92</f>
        <v>62</v>
      </c>
      <c r="H92" s="460">
        <f>G92+'5'!H92</f>
        <v>469</v>
      </c>
      <c r="I92" s="480"/>
      <c r="J92" s="552">
        <f>H92/DAY(B2)</f>
        <v>78.166666666666671</v>
      </c>
      <c r="K92" s="429"/>
      <c r="L92" s="377"/>
      <c r="N92" s="382"/>
    </row>
    <row r="93" spans="1:15" ht="27.75">
      <c r="A93" s="1520" t="s">
        <v>207</v>
      </c>
      <c r="B93" s="1521"/>
      <c r="C93" s="1522"/>
      <c r="D93" s="523" t="s">
        <v>144</v>
      </c>
      <c r="E93" s="484">
        <f>'5'!F93</f>
        <v>180441</v>
      </c>
      <c r="F93" s="478">
        <v>180607</v>
      </c>
      <c r="G93" s="473">
        <f t="shared" si="9"/>
        <v>166</v>
      </c>
      <c r="H93" s="460">
        <f>G93+'5'!H93</f>
        <v>928</v>
      </c>
      <c r="I93" s="480"/>
      <c r="J93" s="552">
        <f>H93/DAY(B2)</f>
        <v>154.66666666666666</v>
      </c>
      <c r="K93" s="380"/>
      <c r="L93" s="377"/>
      <c r="N93" s="382"/>
    </row>
    <row r="94" spans="1:15">
      <c r="A94" s="1548" t="s">
        <v>208</v>
      </c>
      <c r="B94" s="1549"/>
      <c r="C94" s="1550"/>
      <c r="D94" s="523"/>
      <c r="E94" s="484">
        <f>'5'!F94</f>
        <v>0</v>
      </c>
      <c r="F94" s="478"/>
      <c r="G94" s="473">
        <f>G92+G93</f>
        <v>228</v>
      </c>
      <c r="H94" s="460">
        <f>G94+'5'!H94</f>
        <v>1178</v>
      </c>
      <c r="I94" s="480"/>
      <c r="J94" s="552">
        <f>H94/DAY(B2)</f>
        <v>196.33333333333334</v>
      </c>
      <c r="K94" s="380"/>
      <c r="L94" s="377"/>
      <c r="N94" s="382"/>
    </row>
    <row r="95" spans="1:15" ht="27.75">
      <c r="A95" s="1520" t="s">
        <v>209</v>
      </c>
      <c r="B95" s="1521"/>
      <c r="C95" s="1522"/>
      <c r="D95" s="523" t="s">
        <v>144</v>
      </c>
      <c r="E95" s="484">
        <f>'5'!F95</f>
        <v>411160</v>
      </c>
      <c r="F95" s="478">
        <v>411228</v>
      </c>
      <c r="G95" s="473">
        <f t="shared" ref="G95:G100" si="10">F95-E95</f>
        <v>68</v>
      </c>
      <c r="H95" s="460">
        <f>G95+'5'!H95</f>
        <v>443</v>
      </c>
      <c r="I95" s="480"/>
      <c r="J95" s="552">
        <f>H95/DAY(B2)</f>
        <v>73.833333333333329</v>
      </c>
      <c r="K95" s="380"/>
      <c r="L95" s="377"/>
      <c r="N95" s="382"/>
    </row>
    <row r="96" spans="1:15" ht="27.75">
      <c r="A96" s="1144" t="s">
        <v>210</v>
      </c>
      <c r="B96" s="1145"/>
      <c r="C96" s="1145"/>
      <c r="D96" s="523" t="s">
        <v>144</v>
      </c>
      <c r="E96" s="484">
        <f>'5'!F96</f>
        <v>101921</v>
      </c>
      <c r="F96" s="478">
        <v>101938</v>
      </c>
      <c r="G96" s="473">
        <f t="shared" si="10"/>
        <v>17</v>
      </c>
      <c r="H96" s="460">
        <f>G96+'5'!H96</f>
        <v>107</v>
      </c>
      <c r="I96" s="480"/>
      <c r="J96" s="552">
        <f>H96/DAY(B2)</f>
        <v>17.833333333333332</v>
      </c>
      <c r="K96" s="427"/>
      <c r="L96" s="377"/>
      <c r="N96" s="382"/>
    </row>
    <row r="97" spans="1:14" ht="27.75">
      <c r="A97" s="1144" t="s">
        <v>211</v>
      </c>
      <c r="B97" s="1145"/>
      <c r="C97" s="1145"/>
      <c r="D97" s="523" t="s">
        <v>144</v>
      </c>
      <c r="E97" s="1250">
        <v>97020</v>
      </c>
      <c r="F97" s="478">
        <v>97039</v>
      </c>
      <c r="G97" s="473">
        <f t="shared" si="10"/>
        <v>19</v>
      </c>
      <c r="H97" s="460">
        <f>G97+'5'!H97</f>
        <v>111</v>
      </c>
      <c r="I97" s="480"/>
      <c r="J97" s="552">
        <f>H97/DAY(B2)</f>
        <v>18.5</v>
      </c>
      <c r="K97" s="432"/>
      <c r="L97" s="377"/>
      <c r="N97" s="382"/>
    </row>
    <row r="98" spans="1:14" ht="27.75">
      <c r="A98" s="1144" t="s">
        <v>212</v>
      </c>
      <c r="B98" s="1145"/>
      <c r="C98" s="1145"/>
      <c r="D98" s="523" t="s">
        <v>144</v>
      </c>
      <c r="E98" s="484">
        <f>'5'!F98</f>
        <v>149125</v>
      </c>
      <c r="F98" s="478">
        <v>149140</v>
      </c>
      <c r="G98" s="473">
        <f t="shared" si="10"/>
        <v>15</v>
      </c>
      <c r="H98" s="460">
        <f>G98+'5'!H98</f>
        <v>231</v>
      </c>
      <c r="I98" s="480"/>
      <c r="J98" s="552">
        <f>H98/DAY(B2)</f>
        <v>38.5</v>
      </c>
      <c r="K98" s="380"/>
      <c r="L98" s="377"/>
      <c r="N98" s="707"/>
    </row>
    <row r="99" spans="1:14" ht="27.75">
      <c r="A99" s="1144" t="s">
        <v>213</v>
      </c>
      <c r="B99" s="1145"/>
      <c r="C99" s="1145"/>
      <c r="D99" s="523" t="s">
        <v>144</v>
      </c>
      <c r="E99" s="484">
        <f>'5'!F99</f>
        <v>6938</v>
      </c>
      <c r="F99" s="478">
        <v>6955</v>
      </c>
      <c r="G99" s="473">
        <f t="shared" si="10"/>
        <v>17</v>
      </c>
      <c r="H99" s="460">
        <f>G99+'5'!H99</f>
        <v>100</v>
      </c>
      <c r="I99" s="480"/>
      <c r="J99" s="552">
        <f>H99/DAY(B2)</f>
        <v>16.666666666666668</v>
      </c>
      <c r="K99" s="380"/>
      <c r="L99" s="377"/>
      <c r="N99" s="382"/>
    </row>
    <row r="100" spans="1:14" ht="27.75">
      <c r="A100" s="1144" t="s">
        <v>214</v>
      </c>
      <c r="B100" s="1145"/>
      <c r="C100" s="1145"/>
      <c r="D100" s="523" t="s">
        <v>144</v>
      </c>
      <c r="E100" s="484">
        <f>'5'!F100</f>
        <v>4975</v>
      </c>
      <c r="F100" s="478">
        <v>4982</v>
      </c>
      <c r="G100" s="473">
        <f t="shared" si="10"/>
        <v>7</v>
      </c>
      <c r="H100" s="460">
        <f>G100+'5'!H100</f>
        <v>39</v>
      </c>
      <c r="I100" s="480"/>
      <c r="J100" s="552">
        <f>H100/DAY(B2)</f>
        <v>6.5</v>
      </c>
      <c r="K100" s="380"/>
      <c r="L100" s="377"/>
      <c r="N100" s="382"/>
    </row>
    <row r="101" spans="1:14">
      <c r="A101" s="1548" t="s">
        <v>216</v>
      </c>
      <c r="B101" s="1549"/>
      <c r="C101" s="1550"/>
      <c r="D101" s="524"/>
      <c r="E101" s="524"/>
      <c r="F101" s="524" t="s">
        <v>215</v>
      </c>
      <c r="G101" s="525">
        <f>SUM(G95:G100)</f>
        <v>143</v>
      </c>
      <c r="H101" s="460">
        <f>G101+'5'!H101</f>
        <v>1031</v>
      </c>
      <c r="I101" s="526"/>
      <c r="J101" s="552">
        <f>H101/DAY(B2)</f>
        <v>171.83333333333334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N102" s="382"/>
    </row>
    <row r="103" spans="1:14" s="442" customFormat="1" ht="27.75">
      <c r="A103" s="1551" t="s">
        <v>218</v>
      </c>
      <c r="B103" s="1552"/>
      <c r="C103" s="573"/>
      <c r="D103" s="622"/>
      <c r="E103" s="532"/>
      <c r="F103" s="661"/>
      <c r="G103" s="532"/>
      <c r="H103" s="533"/>
      <c r="I103" s="532"/>
      <c r="J103" s="558"/>
      <c r="N103" s="382"/>
    </row>
    <row r="104" spans="1:14" s="442" customFormat="1" ht="27.75">
      <c r="A104" s="1512" t="s">
        <v>219</v>
      </c>
      <c r="B104" s="1513"/>
      <c r="C104" s="1143"/>
      <c r="D104" s="622" t="s">
        <v>144</v>
      </c>
      <c r="E104" s="532">
        <f>'5'!F104</f>
        <v>7343</v>
      </c>
      <c r="F104" s="661">
        <v>7344</v>
      </c>
      <c r="G104" s="532">
        <f>F104-E104</f>
        <v>1</v>
      </c>
      <c r="H104" s="460">
        <f>G104+'5'!H104</f>
        <v>19</v>
      </c>
      <c r="I104" s="532"/>
      <c r="J104" s="558">
        <f>H104/DAY(B2)</f>
        <v>3.1666666666666665</v>
      </c>
      <c r="N104" s="382"/>
    </row>
    <row r="105" spans="1:14" s="442" customFormat="1" ht="27.75">
      <c r="A105" s="1512" t="s">
        <v>77</v>
      </c>
      <c r="B105" s="1513"/>
      <c r="C105" s="1143"/>
      <c r="D105" s="622" t="s">
        <v>144</v>
      </c>
      <c r="E105" s="532">
        <f>'5'!F105</f>
        <v>35687</v>
      </c>
      <c r="F105" s="662">
        <v>35691</v>
      </c>
      <c r="G105" s="532">
        <f t="shared" ref="G105" si="11">F105-E105</f>
        <v>4</v>
      </c>
      <c r="H105" s="460">
        <f>G105+'5'!H105</f>
        <v>40</v>
      </c>
      <c r="I105" s="532"/>
      <c r="J105" s="558">
        <f>H105/DAY(B2)</f>
        <v>6.666666666666667</v>
      </c>
      <c r="N105" s="382"/>
    </row>
    <row r="106" spans="1:14" s="442" customFormat="1" ht="27.75">
      <c r="A106" s="1512" t="s">
        <v>78</v>
      </c>
      <c r="B106" s="1553"/>
      <c r="C106" s="1513"/>
      <c r="D106" s="622" t="s">
        <v>144</v>
      </c>
      <c r="E106" s="532">
        <f>'5'!F106</f>
        <v>19449</v>
      </c>
      <c r="F106" s="661">
        <v>19456</v>
      </c>
      <c r="G106" s="532">
        <f>F106-E106</f>
        <v>7</v>
      </c>
      <c r="H106" s="460">
        <f>G106+'5'!H106</f>
        <v>45</v>
      </c>
      <c r="I106" s="532"/>
      <c r="J106" s="558">
        <f>H106/DAY(B2)</f>
        <v>7.5</v>
      </c>
      <c r="N106" s="382"/>
    </row>
    <row r="107" spans="1:14" s="442" customFormat="1" ht="27.75">
      <c r="A107" s="1514" t="s">
        <v>202</v>
      </c>
      <c r="B107" s="1515"/>
      <c r="C107" s="1143"/>
      <c r="D107" s="622"/>
      <c r="E107" s="532"/>
      <c r="F107" s="661"/>
      <c r="G107" s="532">
        <f>SUM(G104:G106)</f>
        <v>12</v>
      </c>
      <c r="H107" s="460">
        <f>G107+'5'!H107</f>
        <v>104</v>
      </c>
      <c r="I107" s="532"/>
      <c r="J107" s="558">
        <f>H107/DAY(B2)</f>
        <v>17.333333333333332</v>
      </c>
      <c r="N107" s="382"/>
    </row>
    <row r="108" spans="1:14" s="442" customFormat="1" ht="27.75">
      <c r="A108" s="1518" t="s">
        <v>79</v>
      </c>
      <c r="B108" s="1519"/>
      <c r="C108" s="1143"/>
      <c r="D108" s="622" t="s">
        <v>144</v>
      </c>
      <c r="E108" s="532"/>
      <c r="F108" s="661"/>
      <c r="G108" s="532"/>
      <c r="H108" s="460">
        <f>G108+'5'!H108</f>
        <v>0</v>
      </c>
      <c r="I108" s="532"/>
      <c r="J108" s="558"/>
      <c r="N108" s="382"/>
    </row>
    <row r="109" spans="1:14" s="442" customFormat="1" ht="27.75">
      <c r="A109" s="1512" t="s">
        <v>220</v>
      </c>
      <c r="B109" s="1513"/>
      <c r="C109" s="1143"/>
      <c r="D109" s="622" t="s">
        <v>144</v>
      </c>
      <c r="E109" s="532">
        <f>'5'!F109</f>
        <v>59290</v>
      </c>
      <c r="F109" s="661">
        <v>59375</v>
      </c>
      <c r="G109" s="532">
        <f>F109-E109</f>
        <v>85</v>
      </c>
      <c r="H109" s="460">
        <f>G109+'5'!H109</f>
        <v>502</v>
      </c>
      <c r="I109" s="532"/>
      <c r="J109" s="558">
        <f>H109/DAY(B2)</f>
        <v>83.666666666666671</v>
      </c>
      <c r="N109" s="382"/>
    </row>
    <row r="110" spans="1:14" s="442" customFormat="1" ht="27.75">
      <c r="A110" s="1512" t="s">
        <v>221</v>
      </c>
      <c r="B110" s="1513"/>
      <c r="C110" s="1143"/>
      <c r="D110" s="622" t="s">
        <v>144</v>
      </c>
      <c r="E110" s="532">
        <f>'5'!F110</f>
        <v>31878</v>
      </c>
      <c r="F110" s="661">
        <v>31878</v>
      </c>
      <c r="G110" s="532">
        <f>F110-E110</f>
        <v>0</v>
      </c>
      <c r="H110" s="460">
        <f>G110+'5'!H110</f>
        <v>232</v>
      </c>
      <c r="I110" s="532"/>
      <c r="J110" s="558">
        <f>H110/DAY(B2)</f>
        <v>38.666666666666664</v>
      </c>
      <c r="N110" s="382"/>
    </row>
    <row r="111" spans="1:14" s="442" customFormat="1" ht="27.75">
      <c r="A111" s="1512" t="s">
        <v>222</v>
      </c>
      <c r="B111" s="1513"/>
      <c r="C111" s="1143"/>
      <c r="D111" s="622" t="s">
        <v>144</v>
      </c>
      <c r="E111" s="532">
        <f>'5'!F111</f>
        <v>4208</v>
      </c>
      <c r="F111" s="661">
        <v>4208</v>
      </c>
      <c r="G111" s="532">
        <f t="shared" ref="G111" si="12">F111-E111</f>
        <v>0</v>
      </c>
      <c r="H111" s="460">
        <f>G111+'5'!H111</f>
        <v>52</v>
      </c>
      <c r="I111" s="532"/>
      <c r="J111" s="558">
        <f>H111/DAY(B2)</f>
        <v>8.6666666666666661</v>
      </c>
      <c r="N111" s="382"/>
    </row>
    <row r="112" spans="1:14" s="442" customFormat="1" ht="27.75">
      <c r="A112" s="1514" t="s">
        <v>110</v>
      </c>
      <c r="B112" s="1515"/>
      <c r="C112" s="1143"/>
      <c r="D112" s="622"/>
      <c r="E112" s="532"/>
      <c r="F112" s="661"/>
      <c r="G112" s="532">
        <f>SUM(G109:G111)</f>
        <v>85</v>
      </c>
      <c r="H112" s="460">
        <f>G112+'5'!H112</f>
        <v>786</v>
      </c>
      <c r="I112" s="532"/>
      <c r="J112" s="558">
        <f>H112/DAY(B2)</f>
        <v>131</v>
      </c>
      <c r="N112" s="382"/>
    </row>
    <row r="113" spans="1:14" s="442" customFormat="1" ht="27.75">
      <c r="A113" s="1518" t="s">
        <v>223</v>
      </c>
      <c r="B113" s="1519"/>
      <c r="C113" s="1143"/>
      <c r="D113" s="622"/>
      <c r="E113" s="532"/>
      <c r="F113" s="661"/>
      <c r="G113" s="532"/>
      <c r="H113" s="460">
        <f>G113+'5'!H113</f>
        <v>0</v>
      </c>
      <c r="I113" s="532"/>
      <c r="J113" s="558">
        <f>H113/DAY(B2)</f>
        <v>0</v>
      </c>
      <c r="N113" s="382"/>
    </row>
    <row r="114" spans="1:14" s="442" customFormat="1" ht="27.75">
      <c r="A114" s="1512" t="s">
        <v>224</v>
      </c>
      <c r="B114" s="1513"/>
      <c r="C114" s="574"/>
      <c r="D114" s="622" t="s">
        <v>144</v>
      </c>
      <c r="E114" s="532">
        <f>'5'!F114</f>
        <v>10955</v>
      </c>
      <c r="F114" s="662">
        <v>10976</v>
      </c>
      <c r="G114" s="534">
        <f>F114-E114</f>
        <v>21</v>
      </c>
      <c r="H114" s="460">
        <f>G114+'5'!H114</f>
        <v>140</v>
      </c>
      <c r="I114" s="532"/>
      <c r="J114" s="558">
        <f>H114/DAY(B2)</f>
        <v>23.333333333333332</v>
      </c>
      <c r="N114" s="382"/>
    </row>
    <row r="115" spans="1:14" s="442" customFormat="1" ht="27.75">
      <c r="A115" s="1512" t="s">
        <v>225</v>
      </c>
      <c r="B115" s="1513"/>
      <c r="C115" s="574"/>
      <c r="D115" s="622" t="s">
        <v>144</v>
      </c>
      <c r="E115" s="532">
        <f>'5'!F115</f>
        <v>8000</v>
      </c>
      <c r="F115" s="662">
        <v>8006</v>
      </c>
      <c r="G115" s="534">
        <f t="shared" ref="G115:G116" si="13">F115-E115</f>
        <v>6</v>
      </c>
      <c r="H115" s="460">
        <f>G115+'5'!H115</f>
        <v>37</v>
      </c>
      <c r="I115" s="532"/>
      <c r="J115" s="558">
        <f>H115/DAY(B2)</f>
        <v>6.166666666666667</v>
      </c>
      <c r="N115" s="382"/>
    </row>
    <row r="116" spans="1:14" s="442" customFormat="1" ht="27.75">
      <c r="A116" s="1512" t="s">
        <v>226</v>
      </c>
      <c r="B116" s="1513"/>
      <c r="C116" s="574"/>
      <c r="D116" s="622" t="s">
        <v>144</v>
      </c>
      <c r="E116" s="534"/>
      <c r="F116" s="662"/>
      <c r="G116" s="534">
        <f t="shared" si="13"/>
        <v>0</v>
      </c>
      <c r="H116" s="460">
        <f>G116+'5'!H116</f>
        <v>0</v>
      </c>
      <c r="I116" s="532"/>
      <c r="J116" s="558">
        <f>H116/DAY(B2)</f>
        <v>0</v>
      </c>
      <c r="N116" s="382"/>
    </row>
    <row r="117" spans="1:14" s="445" customFormat="1" ht="27.75">
      <c r="A117" s="1514" t="s">
        <v>202</v>
      </c>
      <c r="B117" s="1515"/>
      <c r="C117" s="574"/>
      <c r="D117" s="623"/>
      <c r="E117" s="534"/>
      <c r="F117" s="662"/>
      <c r="G117" s="534">
        <f>SUM(G114:G116)</f>
        <v>27</v>
      </c>
      <c r="H117" s="460">
        <f>G117+'5'!H117</f>
        <v>177</v>
      </c>
      <c r="I117" s="534"/>
      <c r="J117" s="558">
        <f>H117/DAY(B2)</f>
        <v>29.5</v>
      </c>
      <c r="N117" s="382"/>
    </row>
    <row r="118" spans="1:14" s="446" customFormat="1" ht="27.75">
      <c r="A118" s="1508" t="s">
        <v>227</v>
      </c>
      <c r="B118" s="1509"/>
      <c r="C118" s="1141"/>
      <c r="D118" s="624" t="s">
        <v>144</v>
      </c>
      <c r="E118" s="536"/>
      <c r="F118" s="663">
        <f>SUM(G19+G92)</f>
        <v>118</v>
      </c>
      <c r="G118" s="536">
        <f>SUM(G19+G92)</f>
        <v>118</v>
      </c>
      <c r="H118" s="460">
        <f>G118+'5'!H118</f>
        <v>796</v>
      </c>
      <c r="I118" s="535"/>
      <c r="J118" s="559">
        <f>H118/DAY(B2)</f>
        <v>132.66666666666666</v>
      </c>
      <c r="N118" s="382"/>
    </row>
    <row r="119" spans="1:14" s="446" customFormat="1" ht="27.75">
      <c r="A119" s="1508" t="s">
        <v>228</v>
      </c>
      <c r="B119" s="1509"/>
      <c r="C119" s="1141"/>
      <c r="D119" s="624" t="s">
        <v>144</v>
      </c>
      <c r="E119" s="536"/>
      <c r="F119" s="663">
        <f>SUM(G95,G96,G97,G99,G100)</f>
        <v>128</v>
      </c>
      <c r="G119" s="536">
        <f>SUM(G95,G96,G97,G99,G100)</f>
        <v>128</v>
      </c>
      <c r="H119" s="460">
        <f>G119+'5'!H119</f>
        <v>800</v>
      </c>
      <c r="I119" s="535"/>
      <c r="J119" s="559">
        <f>H119/DAY(B2)</f>
        <v>133.33333333333334</v>
      </c>
      <c r="N119" s="382"/>
    </row>
    <row r="120" spans="1:14" s="446" customFormat="1" ht="27.75">
      <c r="A120" s="1508" t="s">
        <v>229</v>
      </c>
      <c r="B120" s="1509"/>
      <c r="C120" s="1141"/>
      <c r="D120" s="624" t="s">
        <v>144</v>
      </c>
      <c r="E120" s="534"/>
      <c r="F120" s="662">
        <f>SUM(G112)</f>
        <v>85</v>
      </c>
      <c r="G120" s="534">
        <f>SUM(G112)</f>
        <v>85</v>
      </c>
      <c r="H120" s="460">
        <f>G120+'5'!H120</f>
        <v>786</v>
      </c>
      <c r="I120" s="535"/>
      <c r="J120" s="559">
        <f>H120/DAY(B2)</f>
        <v>131</v>
      </c>
      <c r="N120" s="382"/>
    </row>
    <row r="121" spans="1:14" s="442" customFormat="1" ht="27.75">
      <c r="A121" s="1510"/>
      <c r="B121" s="1511"/>
      <c r="C121" s="1142"/>
      <c r="D121" s="560"/>
      <c r="E121" s="560"/>
      <c r="F121" s="664" t="s">
        <v>215</v>
      </c>
      <c r="G121" s="560"/>
      <c r="H121" s="561"/>
      <c r="I121" s="560"/>
      <c r="J121" s="562"/>
      <c r="N121" s="382"/>
    </row>
    <row r="122" spans="1:14">
      <c r="A122" s="1545" t="s">
        <v>230</v>
      </c>
      <c r="B122" s="1546"/>
      <c r="C122" s="1547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4" t="s">
        <v>231</v>
      </c>
      <c r="B123" s="1145"/>
      <c r="C123" s="1145"/>
      <c r="D123" s="523" t="s">
        <v>141</v>
      </c>
      <c r="E123" s="478">
        <f>'5'!F123</f>
        <v>820078</v>
      </c>
      <c r="F123" s="478">
        <v>820332</v>
      </c>
      <c r="G123" s="473">
        <f t="shared" ref="G123:G127" si="14">F123-E123</f>
        <v>254</v>
      </c>
      <c r="H123" s="460">
        <f>G123+'5'!H123</f>
        <v>1522</v>
      </c>
      <c r="I123" s="526"/>
      <c r="J123" s="552">
        <f>H123/DAY(B2)</f>
        <v>253.66666666666666</v>
      </c>
      <c r="K123" s="380"/>
      <c r="L123" s="377"/>
      <c r="N123" s="382"/>
    </row>
    <row r="124" spans="1:14" ht="27.75">
      <c r="A124" s="1144" t="s">
        <v>232</v>
      </c>
      <c r="B124" s="1145"/>
      <c r="C124" s="1145"/>
      <c r="D124" s="523" t="s">
        <v>141</v>
      </c>
      <c r="E124" s="626">
        <f>'5'!F124</f>
        <v>73583</v>
      </c>
      <c r="F124" s="626">
        <v>73583</v>
      </c>
      <c r="G124" s="473">
        <f t="shared" si="14"/>
        <v>0</v>
      </c>
      <c r="H124" s="460">
        <f>G124+'5'!H124</f>
        <v>-0.39999999999417923</v>
      </c>
      <c r="I124" s="526"/>
      <c r="J124" s="552">
        <f>H124/DAY(B2)</f>
        <v>-6.6666666665696539E-2</v>
      </c>
      <c r="K124" s="380"/>
      <c r="L124" s="377"/>
      <c r="N124" s="382"/>
    </row>
    <row r="125" spans="1:14" ht="27.75">
      <c r="A125" s="1499" t="s">
        <v>233</v>
      </c>
      <c r="B125" s="1500"/>
      <c r="C125" s="1501"/>
      <c r="D125" s="523" t="s">
        <v>141</v>
      </c>
      <c r="E125" s="478">
        <f>'5'!F125</f>
        <v>142611</v>
      </c>
      <c r="F125" s="478">
        <v>142687</v>
      </c>
      <c r="G125" s="473">
        <f t="shared" si="14"/>
        <v>76</v>
      </c>
      <c r="H125" s="460">
        <f>G125+'5'!H125</f>
        <v>551</v>
      </c>
      <c r="I125" s="526"/>
      <c r="J125" s="552">
        <f>H125/DAY(B2)</f>
        <v>91.833333333333329</v>
      </c>
      <c r="K125" s="380"/>
      <c r="L125" s="377"/>
      <c r="N125" s="382"/>
    </row>
    <row r="126" spans="1:14" ht="27.75">
      <c r="A126" s="609" t="s">
        <v>234</v>
      </c>
      <c r="B126" s="1145"/>
      <c r="C126" s="1145"/>
      <c r="D126" s="523" t="s">
        <v>141</v>
      </c>
      <c r="E126" s="626">
        <f>'5'!F126</f>
        <v>31370</v>
      </c>
      <c r="F126" s="626">
        <v>31384</v>
      </c>
      <c r="G126" s="473">
        <f t="shared" si="14"/>
        <v>14</v>
      </c>
      <c r="H126" s="460">
        <f>G126+'5'!H126</f>
        <v>65.299999999999272</v>
      </c>
      <c r="I126" s="526"/>
      <c r="J126" s="552">
        <f>H126/DAY(B2)</f>
        <v>10.883333333333212</v>
      </c>
      <c r="K126" s="380"/>
      <c r="L126" s="377"/>
      <c r="N126" s="382"/>
    </row>
    <row r="127" spans="1:14" ht="27.75">
      <c r="A127" s="609" t="s">
        <v>235</v>
      </c>
      <c r="B127" s="1145"/>
      <c r="C127" s="1145"/>
      <c r="D127" s="523" t="s">
        <v>141</v>
      </c>
      <c r="E127" s="626">
        <f>'5'!F127</f>
        <v>8966</v>
      </c>
      <c r="F127" s="626">
        <v>8966</v>
      </c>
      <c r="G127" s="473">
        <f t="shared" si="14"/>
        <v>0</v>
      </c>
      <c r="H127" s="460">
        <f>G127+'5'!H127</f>
        <v>4</v>
      </c>
      <c r="I127" s="480"/>
      <c r="J127" s="552">
        <f>H127/DAY(B2)</f>
        <v>0.66666666666666663</v>
      </c>
      <c r="K127" s="380"/>
      <c r="L127" s="377"/>
      <c r="N127" s="382"/>
    </row>
    <row r="128" spans="1:14" s="281" customFormat="1" ht="27.75">
      <c r="A128" s="609" t="s">
        <v>236</v>
      </c>
      <c r="B128" s="1145"/>
      <c r="C128" s="1145"/>
      <c r="D128" s="523"/>
      <c r="E128" s="478"/>
      <c r="F128" s="478"/>
      <c r="G128" s="473">
        <f>G15-SUM(G123:G127)</f>
        <v>539</v>
      </c>
      <c r="H128" s="460">
        <f>G128+'5'!H128</f>
        <v>3608.0999999999949</v>
      </c>
      <c r="I128" s="480"/>
      <c r="J128" s="552">
        <f>H128/DAY(B2)</f>
        <v>601.34999999999911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4" t="s">
        <v>238</v>
      </c>
      <c r="B130" s="1145"/>
      <c r="C130" s="1145"/>
      <c r="D130" s="523" t="s">
        <v>239</v>
      </c>
      <c r="E130" s="484">
        <f>'5'!F130</f>
        <v>0</v>
      </c>
      <c r="F130" s="478">
        <v>0</v>
      </c>
      <c r="G130" s="473">
        <f t="shared" ref="G130:G140" si="15">F130-E130</f>
        <v>0</v>
      </c>
      <c r="H130" s="460">
        <f>G130+'5'!H130</f>
        <v>0</v>
      </c>
      <c r="I130" s="480"/>
      <c r="J130" s="552">
        <f>H130/DAY(B2)</f>
        <v>0</v>
      </c>
      <c r="N130" s="382"/>
    </row>
    <row r="131" spans="1:14" ht="27.75">
      <c r="A131" s="1144" t="s">
        <v>240</v>
      </c>
      <c r="B131" s="1145"/>
      <c r="C131" s="1145"/>
      <c r="D131" s="523" t="s">
        <v>239</v>
      </c>
      <c r="E131" s="484">
        <f>'5'!F131</f>
        <v>0</v>
      </c>
      <c r="F131" s="478">
        <v>0</v>
      </c>
      <c r="G131" s="473">
        <f t="shared" si="15"/>
        <v>0</v>
      </c>
      <c r="H131" s="460">
        <f>G131+'5'!H131</f>
        <v>0</v>
      </c>
      <c r="I131" s="480"/>
      <c r="J131" s="552">
        <f>H131/DAY(B2)</f>
        <v>0</v>
      </c>
      <c r="N131" s="382"/>
    </row>
    <row r="132" spans="1:14" ht="27.75">
      <c r="A132" s="1144" t="s">
        <v>241</v>
      </c>
      <c r="B132" s="1145"/>
      <c r="C132" s="1145"/>
      <c r="D132" s="523" t="s">
        <v>239</v>
      </c>
      <c r="E132" s="1251">
        <v>39647</v>
      </c>
      <c r="F132" s="626">
        <v>39649</v>
      </c>
      <c r="G132" s="473">
        <f t="shared" si="15"/>
        <v>2</v>
      </c>
      <c r="H132" s="460">
        <f>G132+'5'!H132</f>
        <v>116</v>
      </c>
      <c r="I132" s="480"/>
      <c r="J132" s="552">
        <f>H132/DAY(B2)</f>
        <v>19.333333333333332</v>
      </c>
      <c r="N132" s="382"/>
    </row>
    <row r="133" spans="1:14" ht="27.75">
      <c r="A133" s="1144" t="s">
        <v>242</v>
      </c>
      <c r="B133" s="1145"/>
      <c r="C133" s="1145"/>
      <c r="D133" s="523" t="s">
        <v>239</v>
      </c>
      <c r="E133" s="704">
        <f>'5'!F133</f>
        <v>300</v>
      </c>
      <c r="F133" s="626">
        <v>300</v>
      </c>
      <c r="G133" s="473">
        <f t="shared" si="15"/>
        <v>0</v>
      </c>
      <c r="H133" s="460">
        <f>G133+'5'!H133</f>
        <v>0</v>
      </c>
      <c r="I133" s="480">
        <f>G132+G133+G134+G135</f>
        <v>25.56000000000131</v>
      </c>
      <c r="J133" s="552">
        <f>H133/DAY(B2)</f>
        <v>0</v>
      </c>
      <c r="N133" s="382"/>
    </row>
    <row r="134" spans="1:14" ht="27.75">
      <c r="A134" s="1144" t="s">
        <v>243</v>
      </c>
      <c r="B134" s="1145"/>
      <c r="C134" s="1145"/>
      <c r="D134" s="523" t="s">
        <v>239</v>
      </c>
      <c r="E134" s="704">
        <f>'5'!F134</f>
        <v>40861</v>
      </c>
      <c r="F134" s="626">
        <v>40885</v>
      </c>
      <c r="G134" s="473">
        <f t="shared" si="15"/>
        <v>24</v>
      </c>
      <c r="H134" s="460">
        <f>G134+'5'!H134</f>
        <v>46</v>
      </c>
      <c r="I134" s="480"/>
      <c r="J134" s="552">
        <f>H134/DAY(B2)</f>
        <v>7.666666666666667</v>
      </c>
      <c r="N134" s="382"/>
    </row>
    <row r="135" spans="1:14" ht="27.75">
      <c r="A135" s="1144" t="s">
        <v>244</v>
      </c>
      <c r="B135" s="1145"/>
      <c r="C135" s="1145"/>
      <c r="D135" s="523" t="s">
        <v>239</v>
      </c>
      <c r="E135" s="522">
        <f>'5'!F135</f>
        <v>32583</v>
      </c>
      <c r="F135" s="485">
        <v>32582.560000000001</v>
      </c>
      <c r="G135" s="473">
        <f t="shared" si="15"/>
        <v>-0.43999999999869033</v>
      </c>
      <c r="H135" s="460">
        <f>G135+'5'!H135</f>
        <v>-0.43999999999869033</v>
      </c>
      <c r="I135" s="480"/>
      <c r="J135" s="552">
        <f>H135/DAY(B2)</f>
        <v>-7.333333333311505E-2</v>
      </c>
      <c r="N135" s="382"/>
    </row>
    <row r="136" spans="1:14" ht="27.75">
      <c r="A136" s="1144" t="s">
        <v>245</v>
      </c>
      <c r="B136" s="1145"/>
      <c r="C136" s="1145"/>
      <c r="D136" s="523" t="s">
        <v>239</v>
      </c>
      <c r="E136" s="541">
        <f>'5'!F136</f>
        <v>22540.09</v>
      </c>
      <c r="F136" s="654">
        <v>22549.7</v>
      </c>
      <c r="G136" s="473">
        <f t="shared" si="15"/>
        <v>9.6100000000005821</v>
      </c>
      <c r="H136" s="460">
        <f>G136+'5'!H136</f>
        <v>61.049999999999272</v>
      </c>
      <c r="I136" s="480">
        <f>G136+G137+G138</f>
        <v>12.029999999998836</v>
      </c>
      <c r="J136" s="552">
        <f>H136/DAY(B2)</f>
        <v>10.174999999999878</v>
      </c>
      <c r="N136" s="382"/>
    </row>
    <row r="137" spans="1:14" ht="27.75">
      <c r="A137" s="1144" t="s">
        <v>246</v>
      </c>
      <c r="B137" s="1145"/>
      <c r="C137" s="1145"/>
      <c r="D137" s="523" t="s">
        <v>239</v>
      </c>
      <c r="E137" s="541">
        <f>'5'!F137</f>
        <v>25048.97</v>
      </c>
      <c r="F137" s="654">
        <v>25048.97</v>
      </c>
      <c r="G137" s="473">
        <f t="shared" si="15"/>
        <v>0</v>
      </c>
      <c r="H137" s="460">
        <f>G137+'5'!H137</f>
        <v>0.18000000000029104</v>
      </c>
      <c r="I137" s="480"/>
      <c r="J137" s="552">
        <f>H137/DAY(B2)</f>
        <v>3.0000000000048505E-2</v>
      </c>
      <c r="N137" s="382"/>
    </row>
    <row r="138" spans="1:14" ht="27.75">
      <c r="A138" s="1144" t="s">
        <v>247</v>
      </c>
      <c r="B138" s="1145"/>
      <c r="C138" s="1145"/>
      <c r="D138" s="523" t="s">
        <v>239</v>
      </c>
      <c r="E138" s="541">
        <f>'5'!F138</f>
        <v>70271.520000000004</v>
      </c>
      <c r="F138" s="654">
        <v>70273.94</v>
      </c>
      <c r="G138" s="473">
        <f t="shared" si="15"/>
        <v>2.4199999999982538</v>
      </c>
      <c r="H138" s="460">
        <f>G138+'5'!H138</f>
        <v>19.910000000003492</v>
      </c>
      <c r="I138" s="480"/>
      <c r="J138" s="552">
        <f>H138/DAY(B2)</f>
        <v>3.3183333333339156</v>
      </c>
      <c r="N138" s="382"/>
    </row>
    <row r="139" spans="1:14" ht="27.75">
      <c r="A139" s="1144" t="s">
        <v>248</v>
      </c>
      <c r="B139" s="1145"/>
      <c r="C139" s="1145"/>
      <c r="D139" s="523" t="s">
        <v>239</v>
      </c>
      <c r="E139" s="704">
        <f>'5'!F139</f>
        <v>1536.52</v>
      </c>
      <c r="F139" s="626">
        <v>1536.52</v>
      </c>
      <c r="G139" s="473">
        <f t="shared" si="15"/>
        <v>0</v>
      </c>
      <c r="H139" s="460">
        <f>G139+'5'!H139</f>
        <v>0</v>
      </c>
      <c r="I139" s="542">
        <f>G140+G1277</f>
        <v>8.1300000000001091</v>
      </c>
      <c r="J139" s="552">
        <f>H139/DAY(B2)</f>
        <v>0</v>
      </c>
      <c r="N139" s="382"/>
    </row>
    <row r="140" spans="1:14" ht="27.75">
      <c r="A140" s="1144" t="s">
        <v>249</v>
      </c>
      <c r="B140" s="1145"/>
      <c r="C140" s="1145"/>
      <c r="D140" s="523" t="s">
        <v>239</v>
      </c>
      <c r="E140" s="484">
        <f>'5'!F140</f>
        <v>4509.97</v>
      </c>
      <c r="F140" s="478">
        <v>4518.1000000000004</v>
      </c>
      <c r="G140" s="473">
        <f t="shared" si="15"/>
        <v>8.1300000000001091</v>
      </c>
      <c r="H140" s="460">
        <f>G140+'5'!H140</f>
        <v>49.5600000000004</v>
      </c>
      <c r="I140" s="542"/>
      <c r="J140" s="552">
        <f>H140/DAY(B2)</f>
        <v>8.2600000000000673</v>
      </c>
      <c r="N140" s="382"/>
    </row>
    <row r="141" spans="1:14">
      <c r="A141" s="1526" t="s">
        <v>250</v>
      </c>
      <c r="B141" s="1527"/>
      <c r="C141" s="1150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520" t="s">
        <v>251</v>
      </c>
      <c r="B142" s="1521"/>
      <c r="C142" s="1522"/>
      <c r="D142" s="523" t="s">
        <v>132</v>
      </c>
      <c r="E142" s="523"/>
      <c r="F142" s="523"/>
      <c r="G142" s="460">
        <f>G35+G43+G49+G57</f>
        <v>5755</v>
      </c>
      <c r="H142" s="460">
        <f>G142+'5'!H142</f>
        <v>35312</v>
      </c>
      <c r="I142" s="480"/>
      <c r="J142" s="552">
        <f>H142/DAY(B2)</f>
        <v>5885.333333333333</v>
      </c>
      <c r="K142" s="380"/>
      <c r="L142" s="377"/>
      <c r="N142" s="382"/>
    </row>
    <row r="143" spans="1:14" ht="27.75">
      <c r="A143" s="1520" t="s">
        <v>252</v>
      </c>
      <c r="B143" s="1521"/>
      <c r="C143" s="1522"/>
      <c r="D143" s="523" t="s">
        <v>24</v>
      </c>
      <c r="E143" s="511"/>
      <c r="F143" s="511"/>
      <c r="G143" s="543">
        <f>G142/G7</f>
        <v>0.27741624487828392</v>
      </c>
      <c r="H143" s="460">
        <f>G143+'5'!H143</f>
        <v>1.618996412306462</v>
      </c>
      <c r="I143" s="544"/>
      <c r="J143" s="552">
        <f>H143/DAY(B2)</f>
        <v>0.26983273538441033</v>
      </c>
      <c r="K143" s="380"/>
      <c r="L143" s="377"/>
      <c r="N143" s="382"/>
    </row>
    <row r="144" spans="1:14" ht="27.75">
      <c r="A144" s="1520" t="s">
        <v>253</v>
      </c>
      <c r="B144" s="1521"/>
      <c r="C144" s="1522"/>
      <c r="D144" s="523" t="s">
        <v>132</v>
      </c>
      <c r="E144" s="455"/>
      <c r="F144" s="455"/>
      <c r="G144" s="460">
        <f>G41+G42+G55+G56</f>
        <v>5482</v>
      </c>
      <c r="H144" s="460">
        <f>G144+'5'!H144</f>
        <v>36192.839999999997</v>
      </c>
      <c r="I144" s="480"/>
      <c r="J144" s="552">
        <f>H144/DAY(B2)</f>
        <v>6032.1399999999994</v>
      </c>
      <c r="K144" s="380"/>
      <c r="L144" s="377"/>
      <c r="N144" s="382"/>
    </row>
    <row r="145" spans="1:14" ht="27.75">
      <c r="A145" s="1520" t="s">
        <v>254</v>
      </c>
      <c r="B145" s="1521"/>
      <c r="C145" s="1522"/>
      <c r="D145" s="523" t="s">
        <v>24</v>
      </c>
      <c r="E145" s="455"/>
      <c r="F145" s="455"/>
      <c r="G145" s="543">
        <f>G144/G7</f>
        <v>0.26425644733670767</v>
      </c>
      <c r="H145" s="460">
        <f>G145+'5'!H145</f>
        <v>1.6554252989600169</v>
      </c>
      <c r="I145" s="544"/>
      <c r="J145" s="552">
        <f>H145/DAY(B2)</f>
        <v>0.27590421649333613</v>
      </c>
      <c r="K145" s="380"/>
      <c r="L145" s="377"/>
      <c r="N145" s="382"/>
    </row>
    <row r="146" spans="1:14" ht="27.75">
      <c r="A146" s="1520" t="s">
        <v>255</v>
      </c>
      <c r="B146" s="1521"/>
      <c r="C146" s="1522"/>
      <c r="D146" s="523" t="s">
        <v>132</v>
      </c>
      <c r="E146" s="455"/>
      <c r="F146" s="455"/>
      <c r="G146" s="460">
        <f>G39+G53</f>
        <v>4031</v>
      </c>
      <c r="H146" s="460">
        <f>G146+'5'!H146</f>
        <v>24739</v>
      </c>
      <c r="I146" s="545"/>
      <c r="J146" s="552">
        <f>H146/DAY(B2)</f>
        <v>4123.166666666667</v>
      </c>
      <c r="K146" s="380"/>
      <c r="L146" s="377"/>
      <c r="N146" s="382"/>
    </row>
    <row r="147" spans="1:14" ht="27.75">
      <c r="A147" s="1520" t="s">
        <v>256</v>
      </c>
      <c r="B147" s="1521"/>
      <c r="C147" s="1522"/>
      <c r="D147" s="523" t="s">
        <v>24</v>
      </c>
      <c r="E147" s="455"/>
      <c r="F147" s="455"/>
      <c r="G147" s="543">
        <f>G146/G7</f>
        <v>0.19431188238129671</v>
      </c>
      <c r="H147" s="460">
        <f>G147+'5'!H147</f>
        <v>1.133046619189471</v>
      </c>
      <c r="I147" s="545"/>
      <c r="J147" s="552">
        <f>H147/DAY(B2)</f>
        <v>0.18884110319824518</v>
      </c>
      <c r="N147" s="382"/>
    </row>
    <row r="148" spans="1:14" ht="27.75">
      <c r="A148" s="1520" t="s">
        <v>257</v>
      </c>
      <c r="B148" s="1521"/>
      <c r="C148" s="1522"/>
      <c r="D148" s="523" t="s">
        <v>183</v>
      </c>
      <c r="E148" s="455"/>
      <c r="F148" s="455"/>
      <c r="G148" s="460">
        <f>G38+G52</f>
        <v>1685</v>
      </c>
      <c r="H148" s="460">
        <f>G148+'5'!H148</f>
        <v>10438</v>
      </c>
      <c r="I148" s="480"/>
      <c r="J148" s="552">
        <f>H148/DAY(B2)</f>
        <v>1739.6666666666667</v>
      </c>
      <c r="K148" s="381"/>
      <c r="N148" s="382"/>
    </row>
    <row r="149" spans="1:14" ht="27.75">
      <c r="A149" s="1520" t="s">
        <v>258</v>
      </c>
      <c r="B149" s="1521"/>
      <c r="C149" s="1522"/>
      <c r="D149" s="523" t="s">
        <v>24</v>
      </c>
      <c r="E149" s="455"/>
      <c r="F149" s="455"/>
      <c r="G149" s="543">
        <f>G148/G7</f>
        <v>8.122439141961918E-2</v>
      </c>
      <c r="H149" s="460">
        <f>G149+'5'!H149</f>
        <v>0.47865798962425499</v>
      </c>
      <c r="I149" s="545"/>
      <c r="J149" s="552">
        <f>H149/DAY(B2)</f>
        <v>7.9776331604042502E-2</v>
      </c>
      <c r="N149" s="382"/>
    </row>
    <row r="150" spans="1:14" ht="27.75">
      <c r="A150" s="1520" t="s">
        <v>259</v>
      </c>
      <c r="B150" s="1521"/>
      <c r="C150" s="1522"/>
      <c r="D150" s="523" t="s">
        <v>183</v>
      </c>
      <c r="E150" s="455"/>
      <c r="F150" s="455"/>
      <c r="G150" s="460">
        <f>G36+G50</f>
        <v>1785</v>
      </c>
      <c r="H150" s="460">
        <f>G150+'5'!H150</f>
        <v>12161</v>
      </c>
      <c r="I150" s="545"/>
      <c r="J150" s="552">
        <f>H150/DAY(B2)</f>
        <v>2026.8333333333333</v>
      </c>
      <c r="N150" s="382"/>
    </row>
    <row r="151" spans="1:14" ht="27.75">
      <c r="A151" s="1520" t="s">
        <v>260</v>
      </c>
      <c r="B151" s="1521"/>
      <c r="C151" s="1522"/>
      <c r="D151" s="523" t="s">
        <v>24</v>
      </c>
      <c r="E151" s="455"/>
      <c r="F151" s="455"/>
      <c r="G151" s="543">
        <f>G150/G7</f>
        <v>8.6044830079537241E-2</v>
      </c>
      <c r="H151" s="460">
        <f>G151+'5'!H151</f>
        <v>0.55573791575831988</v>
      </c>
      <c r="I151" s="480"/>
      <c r="J151" s="552">
        <f>H151/DAY(B2)</f>
        <v>9.2622985959719975E-2</v>
      </c>
      <c r="N151" s="382"/>
    </row>
    <row r="152" spans="1:14" ht="27.75">
      <c r="A152" s="1520" t="s">
        <v>261</v>
      </c>
      <c r="B152" s="1521"/>
      <c r="C152" s="1522"/>
      <c r="D152" s="523" t="s">
        <v>183</v>
      </c>
      <c r="E152" s="455"/>
      <c r="F152" s="455"/>
      <c r="G152" s="460">
        <f>G37+G51</f>
        <v>1356</v>
      </c>
      <c r="H152" s="460">
        <f>G152+'5'!H152</f>
        <v>8432</v>
      </c>
      <c r="I152" s="480"/>
      <c r="J152" s="552">
        <f>H152/DAY(B2)</f>
        <v>1405.3333333333333</v>
      </c>
      <c r="N152" s="382"/>
    </row>
    <row r="153" spans="1:14" ht="28.5" thickBot="1">
      <c r="A153" s="1523" t="s">
        <v>262</v>
      </c>
      <c r="B153" s="1524"/>
      <c r="C153" s="1525"/>
      <c r="D153" s="625" t="s">
        <v>24</v>
      </c>
      <c r="E153" s="565"/>
      <c r="F153" s="565"/>
      <c r="G153" s="566">
        <f>G152/G7</f>
        <v>6.5365148228488795E-2</v>
      </c>
      <c r="H153" s="460">
        <f>G153+'5'!H153</f>
        <v>0.38667281732017778</v>
      </c>
      <c r="I153" s="568"/>
      <c r="J153" s="569">
        <f>H153/DAY(B2)</f>
        <v>6.4445469553362958E-2</v>
      </c>
      <c r="N153" s="382"/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382"/>
    </row>
    <row r="157" spans="1:14" ht="27.75">
      <c r="A157" s="1554" t="s">
        <v>267</v>
      </c>
      <c r="B157" s="1555"/>
      <c r="C157" s="1555"/>
      <c r="D157" s="1555"/>
      <c r="E157" s="1555"/>
      <c r="F157" s="1555"/>
      <c r="G157" s="1556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661">
        <v>33854</v>
      </c>
      <c r="F160" s="661">
        <v>33937</v>
      </c>
      <c r="G160" s="473">
        <f t="shared" ref="G160:G171" si="16">F160-E160</f>
        <v>83</v>
      </c>
    </row>
    <row r="161" spans="1:7">
      <c r="A161" s="788" t="s">
        <v>264</v>
      </c>
      <c r="B161" s="789"/>
      <c r="C161" s="789"/>
      <c r="D161" s="511" t="s">
        <v>187</v>
      </c>
      <c r="E161" s="661">
        <v>70859</v>
      </c>
      <c r="F161" s="661">
        <v>71301</v>
      </c>
      <c r="G161" s="473">
        <f t="shared" si="16"/>
        <v>442</v>
      </c>
    </row>
    <row r="162" spans="1:7">
      <c r="A162" s="788" t="s">
        <v>265</v>
      </c>
      <c r="B162" s="789"/>
      <c r="C162" s="789"/>
      <c r="D162" s="511" t="s">
        <v>187</v>
      </c>
      <c r="E162" s="661">
        <v>30770</v>
      </c>
      <c r="F162" s="661">
        <v>31044</v>
      </c>
      <c r="G162" s="473">
        <f t="shared" si="16"/>
        <v>274</v>
      </c>
    </row>
    <row r="163" spans="1:7">
      <c r="A163" s="788" t="s">
        <v>266</v>
      </c>
      <c r="B163" s="789"/>
      <c r="C163" s="789"/>
      <c r="D163" s="511" t="s">
        <v>187</v>
      </c>
      <c r="E163" s="661">
        <v>5866</v>
      </c>
      <c r="F163" s="661">
        <v>5880</v>
      </c>
      <c r="G163" s="473">
        <f t="shared" si="16"/>
        <v>14</v>
      </c>
    </row>
    <row r="164" spans="1:7">
      <c r="A164" s="790" t="s">
        <v>98</v>
      </c>
      <c r="B164" s="604"/>
      <c r="C164" s="604"/>
      <c r="D164" s="511" t="s">
        <v>187</v>
      </c>
      <c r="E164" s="514">
        <f>E62</f>
        <v>0</v>
      </c>
      <c r="F164" s="514">
        <f>F62</f>
        <v>0</v>
      </c>
      <c r="G164" s="473">
        <f t="shared" si="16"/>
        <v>0</v>
      </c>
    </row>
    <row r="165" spans="1:7">
      <c r="A165" s="790" t="s">
        <v>188</v>
      </c>
      <c r="B165" s="604"/>
      <c r="C165" s="604"/>
      <c r="D165" s="511" t="s">
        <v>187</v>
      </c>
      <c r="E165" s="514">
        <f t="shared" ref="E165:E171" si="17">E63</f>
        <v>2154</v>
      </c>
      <c r="F165" s="514">
        <f t="shared" ref="F165:F171" si="18">F63</f>
        <v>2166</v>
      </c>
      <c r="G165" s="473">
        <f t="shared" si="16"/>
        <v>12</v>
      </c>
    </row>
    <row r="166" spans="1:7" ht="27.75">
      <c r="A166" s="1495" t="s">
        <v>99</v>
      </c>
      <c r="B166" s="1495"/>
      <c r="C166" s="1495"/>
      <c r="D166" s="523" t="s">
        <v>187</v>
      </c>
      <c r="E166" s="514">
        <f t="shared" si="17"/>
        <v>141481</v>
      </c>
      <c r="F166" s="514">
        <f t="shared" si="18"/>
        <v>141950</v>
      </c>
      <c r="G166" s="473">
        <f t="shared" si="16"/>
        <v>469</v>
      </c>
    </row>
    <row r="167" spans="1:7" ht="27.75">
      <c r="A167" s="1495" t="s">
        <v>100</v>
      </c>
      <c r="B167" s="1495"/>
      <c r="C167" s="1495"/>
      <c r="D167" s="523" t="s">
        <v>187</v>
      </c>
      <c r="E167" s="514">
        <f t="shared" si="17"/>
        <v>146027</v>
      </c>
      <c r="F167" s="514">
        <f t="shared" si="18"/>
        <v>146386</v>
      </c>
      <c r="G167" s="473">
        <f t="shared" si="16"/>
        <v>359</v>
      </c>
    </row>
    <row r="168" spans="1:7" ht="27.75">
      <c r="A168" s="1495" t="s">
        <v>101</v>
      </c>
      <c r="B168" s="1495"/>
      <c r="C168" s="1495"/>
      <c r="D168" s="523" t="s">
        <v>187</v>
      </c>
      <c r="E168" s="514">
        <f t="shared" si="17"/>
        <v>39214</v>
      </c>
      <c r="F168" s="514">
        <f t="shared" si="18"/>
        <v>39601</v>
      </c>
      <c r="G168" s="473">
        <f t="shared" si="16"/>
        <v>387</v>
      </c>
    </row>
    <row r="169" spans="1:7" ht="27.75">
      <c r="A169" s="1495" t="s">
        <v>102</v>
      </c>
      <c r="B169" s="1495"/>
      <c r="C169" s="1495"/>
      <c r="D169" s="523" t="s">
        <v>187</v>
      </c>
      <c r="E169" s="514">
        <f t="shared" si="17"/>
        <v>232292</v>
      </c>
      <c r="F169" s="514">
        <f t="shared" si="18"/>
        <v>232860</v>
      </c>
      <c r="G169" s="473">
        <f t="shared" si="16"/>
        <v>568</v>
      </c>
    </row>
    <row r="170" spans="1:7" ht="27.75">
      <c r="A170" s="1495" t="s">
        <v>103</v>
      </c>
      <c r="B170" s="1495"/>
      <c r="C170" s="1495"/>
      <c r="D170" s="523" t="s">
        <v>187</v>
      </c>
      <c r="E170" s="514">
        <f t="shared" si="17"/>
        <v>84713</v>
      </c>
      <c r="F170" s="514">
        <f t="shared" si="18"/>
        <v>85034</v>
      </c>
      <c r="G170" s="473">
        <f t="shared" si="16"/>
        <v>321</v>
      </c>
    </row>
    <row r="171" spans="1:7" ht="27.75">
      <c r="A171" s="1495" t="s">
        <v>104</v>
      </c>
      <c r="B171" s="1495"/>
      <c r="C171" s="1495"/>
      <c r="D171" s="523" t="s">
        <v>187</v>
      </c>
      <c r="E171" s="514">
        <f t="shared" si="17"/>
        <v>75877</v>
      </c>
      <c r="F171" s="514">
        <f t="shared" si="18"/>
        <v>76175</v>
      </c>
      <c r="G171" s="473">
        <f t="shared" si="16"/>
        <v>298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1"/>
  <sheetViews>
    <sheetView view="pageBreakPreview" topLeftCell="A69" zoomScale="55" zoomScaleNormal="77" zoomScaleSheetLayoutView="55" workbookViewId="0">
      <selection activeCell="F66" sqref="F66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25.33203125" style="538" customWidth="1"/>
    <col min="9" max="9" width="20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528" t="s">
        <v>117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6" s="281" customFormat="1" ht="27">
      <c r="A2" s="575" t="s">
        <v>343</v>
      </c>
      <c r="B2" s="1036">
        <v>44293</v>
      </c>
      <c r="C2" s="1146" t="s">
        <v>69</v>
      </c>
      <c r="D2" s="611">
        <v>0.81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6" s="281" customFormat="1" ht="27">
      <c r="A3" s="570"/>
      <c r="B3" s="614"/>
      <c r="C3" s="1146" t="s">
        <v>120</v>
      </c>
      <c r="D3" s="612">
        <v>33</v>
      </c>
      <c r="E3" s="1537" t="s">
        <v>121</v>
      </c>
      <c r="F3" s="1538"/>
      <c r="G3" s="462"/>
      <c r="H3" s="463"/>
      <c r="I3" s="463"/>
      <c r="J3" s="615"/>
      <c r="K3" s="371"/>
      <c r="L3" s="292"/>
    </row>
    <row r="4" spans="1:16" s="281" customFormat="1" ht="27">
      <c r="A4" s="576"/>
      <c r="B4" s="616"/>
      <c r="C4" s="1146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6">
      <c r="A5" s="577" t="s">
        <v>123</v>
      </c>
      <c r="B5" s="459"/>
      <c r="C5" s="459"/>
      <c r="D5" s="511" t="s">
        <v>215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31" t="s">
        <v>130</v>
      </c>
      <c r="B6" s="1532"/>
      <c r="C6" s="1533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'6'!F7</f>
        <v>5244906</v>
      </c>
      <c r="F7" s="455">
        <v>5266838</v>
      </c>
      <c r="G7" s="692">
        <f t="shared" ref="G7:G12" si="0">F7-E7</f>
        <v>21932</v>
      </c>
      <c r="H7" s="682">
        <f>G7+'6'!H7</f>
        <v>152915</v>
      </c>
      <c r="I7" s="683">
        <f>'1'!I7</f>
        <v>12000</v>
      </c>
      <c r="J7" s="684">
        <f>H7/DAY(B2)</f>
        <v>21845</v>
      </c>
      <c r="K7" s="549"/>
      <c r="L7" s="377"/>
      <c r="N7" s="711"/>
      <c r="P7" s="376" t="s">
        <v>215</v>
      </c>
    </row>
    <row r="8" spans="1:16" ht="27.75" thickBot="1">
      <c r="A8" s="685" t="s">
        <v>133</v>
      </c>
      <c r="B8" s="686"/>
      <c r="C8" s="687"/>
      <c r="D8" s="688" t="s">
        <v>25</v>
      </c>
      <c r="E8" s="633">
        <f>'6'!F8</f>
        <v>5276902</v>
      </c>
      <c r="F8" s="475">
        <v>5298954</v>
      </c>
      <c r="G8" s="692">
        <f t="shared" si="0"/>
        <v>22052</v>
      </c>
      <c r="H8" s="682">
        <f>G8+'6'!H8</f>
        <v>153636</v>
      </c>
      <c r="I8" s="689">
        <v>12000</v>
      </c>
      <c r="J8" s="684">
        <f>H8/DAY(B2)</f>
        <v>21948</v>
      </c>
      <c r="K8" s="549"/>
      <c r="L8" s="425"/>
      <c r="M8" s="440"/>
      <c r="N8" s="706"/>
    </row>
    <row r="9" spans="1:16">
      <c r="A9" s="690" t="s">
        <v>134</v>
      </c>
      <c r="B9" s="691"/>
      <c r="C9" s="691"/>
      <c r="D9" s="638" t="s">
        <v>132</v>
      </c>
      <c r="E9" s="478">
        <v>523029</v>
      </c>
      <c r="F9" s="478">
        <v>544278</v>
      </c>
      <c r="G9" s="692">
        <f t="shared" si="0"/>
        <v>21249</v>
      </c>
      <c r="H9" s="682">
        <f>G9+'6'!H9</f>
        <v>148209</v>
      </c>
      <c r="I9" s="693">
        <f>I8-J8</f>
        <v>-9948</v>
      </c>
      <c r="J9" s="684">
        <f>H9/DAY(B2)</f>
        <v>21172.714285714286</v>
      </c>
      <c r="K9" s="428"/>
      <c r="L9" s="377"/>
      <c r="N9" s="382"/>
    </row>
    <row r="10" spans="1:16">
      <c r="A10" s="679" t="s">
        <v>135</v>
      </c>
      <c r="B10" s="680"/>
      <c r="C10" s="680"/>
      <c r="D10" s="638" t="s">
        <v>132</v>
      </c>
      <c r="E10" s="478">
        <v>2322.58</v>
      </c>
      <c r="F10" s="478">
        <v>2322.58</v>
      </c>
      <c r="G10" s="692">
        <f t="shared" si="0"/>
        <v>0</v>
      </c>
      <c r="H10" s="682">
        <f>G10+'6'!H10</f>
        <v>0</v>
      </c>
      <c r="I10" s="694"/>
      <c r="J10" s="684">
        <f>H10/DAY(B2)</f>
        <v>0</v>
      </c>
      <c r="K10" s="428"/>
      <c r="L10" s="377"/>
      <c r="N10" s="382"/>
    </row>
    <row r="11" spans="1:16">
      <c r="A11" s="679" t="s">
        <v>136</v>
      </c>
      <c r="B11" s="680"/>
      <c r="C11" s="680"/>
      <c r="D11" s="638" t="s">
        <v>132</v>
      </c>
      <c r="E11" s="633">
        <f>'6'!F11</f>
        <v>37000</v>
      </c>
      <c r="F11" s="455">
        <v>37000</v>
      </c>
      <c r="G11" s="692">
        <f t="shared" si="0"/>
        <v>0</v>
      </c>
      <c r="H11" s="682">
        <f>G11+'6'!H11</f>
        <v>0</v>
      </c>
      <c r="I11" s="694"/>
      <c r="J11" s="684">
        <f>H11/DAY(B2)</f>
        <v>0</v>
      </c>
      <c r="K11" s="428"/>
      <c r="L11" s="377"/>
      <c r="N11" s="382"/>
    </row>
    <row r="12" spans="1:16">
      <c r="A12" s="679" t="s">
        <v>137</v>
      </c>
      <c r="B12" s="680"/>
      <c r="C12" s="680"/>
      <c r="D12" s="638" t="s">
        <v>132</v>
      </c>
      <c r="E12" s="1388">
        <f>'6'!F12</f>
        <v>40010</v>
      </c>
      <c r="F12" s="478">
        <v>40010</v>
      </c>
      <c r="G12" s="692">
        <f t="shared" si="0"/>
        <v>0</v>
      </c>
      <c r="H12" s="682">
        <f>G12+'6'!H12</f>
        <v>0</v>
      </c>
      <c r="I12" s="694"/>
      <c r="J12" s="684">
        <f>H12/DAY(B2)</f>
        <v>0</v>
      </c>
      <c r="K12" s="428"/>
      <c r="L12" s="377"/>
      <c r="N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21249</v>
      </c>
      <c r="H13" s="682">
        <f>G13+'6'!H13</f>
        <v>148209</v>
      </c>
      <c r="I13" s="698">
        <f>G7-G13</f>
        <v>683</v>
      </c>
      <c r="J13" s="684">
        <f>H13/DAY(B2)</f>
        <v>21172.714285714286</v>
      </c>
      <c r="K13" s="428"/>
      <c r="L13" s="377"/>
      <c r="N13" s="382"/>
    </row>
    <row r="14" spans="1:16">
      <c r="A14" s="1534" t="s">
        <v>139</v>
      </c>
      <c r="B14" s="1535"/>
      <c r="C14" s="1536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6">
      <c r="A15" s="796" t="s">
        <v>140</v>
      </c>
      <c r="B15" s="797"/>
      <c r="C15" s="797"/>
      <c r="D15" s="524" t="s">
        <v>141</v>
      </c>
      <c r="E15" s="485">
        <f>'6'!F15</f>
        <v>1652439</v>
      </c>
      <c r="F15" s="485">
        <v>1653337</v>
      </c>
      <c r="G15" s="667">
        <f>(F15-E15)</f>
        <v>898</v>
      </c>
      <c r="H15" s="486">
        <f>G15+'6'!H15</f>
        <v>6648</v>
      </c>
      <c r="I15" s="1069">
        <v>800</v>
      </c>
      <c r="J15" s="553">
        <f>H15/DAY(B2)</f>
        <v>949.71428571428567</v>
      </c>
      <c r="K15" s="428"/>
      <c r="L15" s="377"/>
      <c r="N15" s="382"/>
    </row>
    <row r="16" spans="1:16">
      <c r="A16" s="587"/>
      <c r="B16" s="588"/>
      <c r="C16" s="588"/>
      <c r="D16" s="524"/>
      <c r="E16" s="485"/>
      <c r="F16" s="485"/>
      <c r="G16" s="473"/>
      <c r="H16" s="486"/>
      <c r="I16" s="482">
        <f>I15-J15</f>
        <v>-149.71428571428567</v>
      </c>
      <c r="J16" s="553"/>
      <c r="K16" s="428"/>
      <c r="L16" s="377"/>
      <c r="N16" s="382"/>
    </row>
    <row r="17" spans="1:14">
      <c r="A17" s="1534" t="s">
        <v>142</v>
      </c>
      <c r="B17" s="1535"/>
      <c r="C17" s="1536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60" t="s">
        <v>143</v>
      </c>
      <c r="B18" s="1561"/>
      <c r="C18" s="1562"/>
      <c r="D18" s="638" t="s">
        <v>144</v>
      </c>
      <c r="E18" s="635">
        <f>'6'!F18</f>
        <v>10</v>
      </c>
      <c r="F18" s="478">
        <v>10</v>
      </c>
      <c r="G18" s="697">
        <f>F18*10</f>
        <v>100</v>
      </c>
      <c r="H18" s="682">
        <f>G18+'6'!H18</f>
        <v>800</v>
      </c>
      <c r="I18" s="683">
        <f>'1'!I18</f>
        <v>65</v>
      </c>
      <c r="J18" s="684">
        <f>H18/DAY(B2)</f>
        <v>114.28571428571429</v>
      </c>
      <c r="K18" s="428"/>
      <c r="L18" s="377"/>
      <c r="N18" s="382"/>
    </row>
    <row r="19" spans="1:14" ht="27.75">
      <c r="A19" s="1560" t="s">
        <v>71</v>
      </c>
      <c r="B19" s="1561"/>
      <c r="C19" s="1562"/>
      <c r="D19" s="638" t="s">
        <v>144</v>
      </c>
      <c r="E19" s="635">
        <f>'6'!F19</f>
        <v>136417</v>
      </c>
      <c r="F19" s="478">
        <v>136474</v>
      </c>
      <c r="G19" s="692">
        <f t="shared" ref="G19" si="1">F19-E19</f>
        <v>57</v>
      </c>
      <c r="H19" s="682">
        <f>G19+'6'!H19</f>
        <v>384</v>
      </c>
      <c r="I19" s="699"/>
      <c r="J19" s="684">
        <f>H19/DAY(B2)</f>
        <v>54.857142857142854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157</v>
      </c>
      <c r="H20" s="682">
        <f>G20+'6'!H20</f>
        <v>1184</v>
      </c>
      <c r="I20" s="701">
        <f>I18-J20</f>
        <v>-104.14285714285714</v>
      </c>
      <c r="J20" s="684">
        <f>H20/DAY(B2)</f>
        <v>169.14285714285714</v>
      </c>
      <c r="K20" s="428"/>
      <c r="L20" s="377"/>
      <c r="N20" s="382"/>
    </row>
    <row r="21" spans="1:14">
      <c r="A21" s="1534" t="s">
        <v>146</v>
      </c>
      <c r="B21" s="1535"/>
      <c r="C21" s="1536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4" t="s">
        <v>147</v>
      </c>
      <c r="B22" s="589"/>
      <c r="C22" s="589"/>
      <c r="D22" s="523" t="s">
        <v>148</v>
      </c>
      <c r="E22" s="635">
        <f>'6'!F22</f>
        <v>1290</v>
      </c>
      <c r="F22" s="478">
        <v>1290</v>
      </c>
      <c r="G22" s="481">
        <f t="shared" ref="G22" si="2">(F22-E22)</f>
        <v>0</v>
      </c>
      <c r="H22" s="460">
        <f>G22+'6'!H22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4" t="s">
        <v>149</v>
      </c>
      <c r="B23" s="589"/>
      <c r="C23" s="589"/>
      <c r="D23" s="523" t="s">
        <v>148</v>
      </c>
      <c r="E23" s="635">
        <f>'6'!F23</f>
        <v>1900</v>
      </c>
      <c r="F23" s="478">
        <v>1900</v>
      </c>
      <c r="G23" s="481">
        <v>0</v>
      </c>
      <c r="H23" s="460">
        <f>G23+'6'!H23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'6'!F24</f>
        <v>3290</v>
      </c>
      <c r="F24" s="485">
        <v>3290</v>
      </c>
      <c r="G24" s="481">
        <v>0</v>
      </c>
      <c r="H24" s="460">
        <f>G24+'6'!H24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39" t="s">
        <v>151</v>
      </c>
      <c r="B25" s="1540"/>
      <c r="C25" s="1541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22052</v>
      </c>
      <c r="F27" s="501">
        <v>9</v>
      </c>
      <c r="G27" s="502">
        <f>E27*F27</f>
        <v>198468</v>
      </c>
      <c r="H27" s="460">
        <f>G27+'6'!H27</f>
        <v>1382724</v>
      </c>
      <c r="I27" s="503"/>
      <c r="J27" s="552">
        <f>H27/DAY(B2)</f>
        <v>197532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898</v>
      </c>
      <c r="F28" s="501">
        <v>51.45</v>
      </c>
      <c r="G28" s="502">
        <f>E28*F28</f>
        <v>46202.100000000006</v>
      </c>
      <c r="H28" s="460">
        <f>G28+'6'!H28</f>
        <v>342039.6</v>
      </c>
      <c r="I28" s="505"/>
      <c r="J28" s="552">
        <f>H28/DAY(B2)</f>
        <v>48862.799999999996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57</v>
      </c>
      <c r="F30" s="501">
        <v>134</v>
      </c>
      <c r="G30" s="502">
        <f>E30*F30</f>
        <v>7638</v>
      </c>
      <c r="H30" s="460">
        <f>G30+'6'!H30</f>
        <v>52824</v>
      </c>
      <c r="I30" s="505"/>
      <c r="J30" s="552">
        <f>H30/DAY(B2)</f>
        <v>7546.2857142857147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>E31*F31</f>
        <v>8000</v>
      </c>
      <c r="H31" s="460">
        <f>G31+'6'!H31</f>
        <v>64000</v>
      </c>
      <c r="I31" s="505"/>
      <c r="J31" s="552">
        <f>H31/DAY(B2)</f>
        <v>9142.8571428571431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1058">
        <f>G27+G28+G29+G30+G31</f>
        <v>260308.1</v>
      </c>
      <c r="H32" s="460">
        <f>G32+'6'!H32</f>
        <v>1841587.6</v>
      </c>
      <c r="I32" s="509"/>
      <c r="J32" s="552">
        <f>H32/DAY(B2)</f>
        <v>263083.94285714289</v>
      </c>
      <c r="K32" s="373"/>
      <c r="L32" s="443"/>
      <c r="N32" s="382"/>
    </row>
    <row r="33" spans="1:14" ht="25.5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  <c r="N33" s="382"/>
    </row>
    <row r="34" spans="1:14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'6'!F35</f>
        <v>818655</v>
      </c>
      <c r="F35" s="510">
        <v>822044</v>
      </c>
      <c r="G35" s="473">
        <f t="shared" ref="G35:G46" si="3">F35-E35</f>
        <v>3389</v>
      </c>
      <c r="H35" s="460">
        <f>G35+'6'!H35</f>
        <v>23655</v>
      </c>
      <c r="I35" s="455"/>
      <c r="J35" s="552">
        <f>H35/DAY(B2)</f>
        <v>3379.2857142857142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'6'!F36</f>
        <v>322775</v>
      </c>
      <c r="F36" s="510">
        <v>323572</v>
      </c>
      <c r="G36" s="473">
        <f t="shared" si="3"/>
        <v>797</v>
      </c>
      <c r="H36" s="460">
        <f>G36+'6'!H36</f>
        <v>6136</v>
      </c>
      <c r="I36" s="455"/>
      <c r="J36" s="552">
        <f>H36/DAY(B2)</f>
        <v>876.57142857142856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'6'!F37</f>
        <v>63229</v>
      </c>
      <c r="F37" s="510">
        <v>64626</v>
      </c>
      <c r="G37" s="473">
        <f t="shared" si="3"/>
        <v>1397</v>
      </c>
      <c r="H37" s="460">
        <f>G37+'6'!H37</f>
        <v>9829</v>
      </c>
      <c r="I37" s="455"/>
      <c r="J37" s="552">
        <f>H37/DAY(B2)</f>
        <v>1404.1428571428571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'6'!F38</f>
        <v>82746</v>
      </c>
      <c r="F38" s="469">
        <v>84503</v>
      </c>
      <c r="G38" s="473">
        <f t="shared" si="3"/>
        <v>1757</v>
      </c>
      <c r="H38" s="460">
        <f>G38+'6'!H38</f>
        <v>12195</v>
      </c>
      <c r="I38" s="455"/>
      <c r="J38" s="552">
        <f>H38/DAY(B2)</f>
        <v>1742.1428571428571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'6'!F39</f>
        <v>176274</v>
      </c>
      <c r="F39" s="510">
        <v>179780</v>
      </c>
      <c r="G39" s="473">
        <f t="shared" si="3"/>
        <v>3506</v>
      </c>
      <c r="H39" s="460">
        <f>G39+'6'!H39</f>
        <v>26958</v>
      </c>
      <c r="I39" s="455"/>
      <c r="J39" s="552">
        <f>H39/DAY(B2)</f>
        <v>3851.1428571428573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'6'!F40</f>
        <v>0</v>
      </c>
      <c r="F40" s="510">
        <v>0</v>
      </c>
      <c r="G40" s="473">
        <f t="shared" si="3"/>
        <v>0</v>
      </c>
      <c r="H40" s="460">
        <f>G40+'6'!H40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'6'!F41</f>
        <v>159785</v>
      </c>
      <c r="F41" s="510">
        <v>160241</v>
      </c>
      <c r="G41" s="473">
        <f t="shared" si="3"/>
        <v>456</v>
      </c>
      <c r="H41" s="460">
        <f>G41+'6'!H41</f>
        <v>27100</v>
      </c>
      <c r="I41" s="455"/>
      <c r="J41" s="552">
        <f>H41/DAY(B2)</f>
        <v>3871.4285714285716</v>
      </c>
      <c r="K41" s="428"/>
      <c r="L41" s="377"/>
      <c r="N41" s="382"/>
    </row>
    <row r="42" spans="1:14">
      <c r="A42" s="587" t="s">
        <v>171</v>
      </c>
      <c r="B42" s="588"/>
      <c r="C42" s="588"/>
      <c r="D42" s="524" t="s">
        <v>132</v>
      </c>
      <c r="E42" s="510">
        <f>'6'!F42</f>
        <v>59128</v>
      </c>
      <c r="F42" s="1037">
        <v>59128</v>
      </c>
      <c r="G42" s="777">
        <f t="shared" si="3"/>
        <v>0</v>
      </c>
      <c r="H42" s="460">
        <f>G42+'6'!H42</f>
        <v>-0.16000000000349246</v>
      </c>
      <c r="I42" s="455"/>
      <c r="J42" s="552">
        <f>H42/DAY(B2)</f>
        <v>-2.2857142857641781E-2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'6'!F43</f>
        <v>917094</v>
      </c>
      <c r="F43" s="510">
        <v>919588</v>
      </c>
      <c r="G43" s="473">
        <f t="shared" si="3"/>
        <v>2494</v>
      </c>
      <c r="H43" s="460">
        <f>G43+'6'!H43</f>
        <v>17540</v>
      </c>
      <c r="I43" s="455"/>
      <c r="J43" s="552">
        <f>H43/DAY(B2)</f>
        <v>2505.7142857142858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614</v>
      </c>
      <c r="I45" s="455"/>
      <c r="J45" s="552">
        <f>H45/DAY(B2)</f>
        <v>87.714285714285708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187</v>
      </c>
      <c r="I46" s="455"/>
      <c r="J46" s="552">
        <f>H46/DAY(B2)</f>
        <v>26.714285714285715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13796</v>
      </c>
      <c r="H47" s="460">
        <f>G47+'6'!H47</f>
        <v>124213.84</v>
      </c>
      <c r="I47" s="455"/>
      <c r="J47" s="552">
        <f>H47/DAY(B2)</f>
        <v>17744.834285714285</v>
      </c>
      <c r="K47" s="428"/>
      <c r="L47" s="377"/>
      <c r="N47" s="382"/>
    </row>
    <row r="48" spans="1:14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'6'!F49</f>
        <v>260732</v>
      </c>
      <c r="F49" s="510">
        <v>260732</v>
      </c>
      <c r="G49" s="473">
        <f t="shared" ref="G49:G58" si="4">F49-E49</f>
        <v>0</v>
      </c>
      <c r="H49" s="460">
        <f>G49+'6'!H49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'6'!F50</f>
        <v>448054</v>
      </c>
      <c r="F50" s="510">
        <v>449217</v>
      </c>
      <c r="G50" s="473">
        <f t="shared" si="4"/>
        <v>1163</v>
      </c>
      <c r="H50" s="460">
        <f>G50+'6'!H50</f>
        <v>7985</v>
      </c>
      <c r="I50" s="455"/>
      <c r="J50" s="552">
        <f>H50/DAY(B2)</f>
        <v>1140.7142857142858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'6'!F51</f>
        <v>144640</v>
      </c>
      <c r="F51" s="510">
        <v>144640</v>
      </c>
      <c r="G51" s="473">
        <f t="shared" si="4"/>
        <v>0</v>
      </c>
      <c r="H51" s="460">
        <f>G51+'6'!H51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'6'!F52</f>
        <v>539608</v>
      </c>
      <c r="F52" s="510">
        <v>539608</v>
      </c>
      <c r="G52" s="473">
        <f t="shared" si="4"/>
        <v>0</v>
      </c>
      <c r="H52" s="460">
        <f>G52+'6'!H52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'6'!F53</f>
        <v>402551</v>
      </c>
      <c r="F53" s="510">
        <v>403114</v>
      </c>
      <c r="G53" s="473">
        <f t="shared" si="4"/>
        <v>563</v>
      </c>
      <c r="H53" s="460">
        <f>G53+'6'!H53</f>
        <v>1850</v>
      </c>
      <c r="I53" s="455"/>
      <c r="J53" s="552">
        <f>H53/DAY(B2)</f>
        <v>264.28571428571428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'6'!F54</f>
        <v>9599</v>
      </c>
      <c r="F54" s="510">
        <v>9668</v>
      </c>
      <c r="G54" s="473">
        <f t="shared" si="4"/>
        <v>69</v>
      </c>
      <c r="H54" s="460">
        <f>G54+'6'!H54</f>
        <v>502</v>
      </c>
      <c r="I54" s="455"/>
      <c r="J54" s="552">
        <f>H54/DAY(B2)</f>
        <v>71.714285714285708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'6'!F55</f>
        <v>225582</v>
      </c>
      <c r="F55" s="656">
        <v>231419</v>
      </c>
      <c r="G55" s="655">
        <f t="shared" si="4"/>
        <v>5837</v>
      </c>
      <c r="H55" s="708">
        <f>G55+'6'!H55</f>
        <v>15322</v>
      </c>
      <c r="I55" s="709"/>
      <c r="J55" s="710">
        <f>H55/DAY(B2)</f>
        <v>2188.8571428571427</v>
      </c>
      <c r="K55" s="428"/>
      <c r="L55" s="377"/>
      <c r="N55" s="382"/>
    </row>
    <row r="56" spans="1:14">
      <c r="A56" s="587" t="s">
        <v>182</v>
      </c>
      <c r="B56" s="1068"/>
      <c r="C56" s="1068"/>
      <c r="D56" s="524" t="s">
        <v>183</v>
      </c>
      <c r="E56" s="510">
        <f>'6'!F56</f>
        <v>589031</v>
      </c>
      <c r="F56" s="1037">
        <v>589031</v>
      </c>
      <c r="G56" s="777">
        <f t="shared" si="4"/>
        <v>0</v>
      </c>
      <c r="H56" s="460">
        <f>G56+'6'!H56</f>
        <v>64</v>
      </c>
      <c r="I56" s="455"/>
      <c r="J56" s="552">
        <f>H56/DAY(B2)</f>
        <v>9.1428571428571423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'6'!F58</f>
        <v>42703</v>
      </c>
      <c r="F58" s="656">
        <v>42882</v>
      </c>
      <c r="G58" s="473">
        <f t="shared" si="4"/>
        <v>179</v>
      </c>
      <c r="H58" s="460">
        <f>G58+'6'!H58</f>
        <v>1335</v>
      </c>
      <c r="I58" s="455"/>
      <c r="J58" s="552">
        <f>H58/DAY(B2)</f>
        <v>190.71428571428572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7811</v>
      </c>
      <c r="H59" s="460">
        <f>G59+'6'!H59</f>
        <v>27058</v>
      </c>
      <c r="I59" s="455">
        <f>G7-G60</f>
        <v>325</v>
      </c>
      <c r="J59" s="552">
        <f>H59/DAY(B2)</f>
        <v>3865.4285714285716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21607</v>
      </c>
      <c r="H60" s="460">
        <f>G60+'6'!H60</f>
        <v>151271.84</v>
      </c>
      <c r="I60" s="455">
        <f>G13-G60</f>
        <v>-358</v>
      </c>
      <c r="J60" s="552">
        <f>H60/DAY(B2)</f>
        <v>21610.262857142858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'6'!F62</f>
        <v>0</v>
      </c>
      <c r="F62" s="514">
        <v>0</v>
      </c>
      <c r="G62" s="473">
        <f t="shared" ref="G62:G69" si="5">F62-E62</f>
        <v>0</v>
      </c>
      <c r="H62" s="460">
        <f>G62+'6'!H62</f>
        <v>1.9999999967694748E-3</v>
      </c>
      <c r="I62" s="515"/>
      <c r="J62" s="552">
        <f>H62/DAY(B2)</f>
        <v>2.8571428525278212E-4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'6'!F63</f>
        <v>2166</v>
      </c>
      <c r="F63" s="514">
        <v>2178</v>
      </c>
      <c r="G63" s="473">
        <f t="shared" si="5"/>
        <v>12</v>
      </c>
      <c r="H63" s="460">
        <f>G63+'6'!H63</f>
        <v>82</v>
      </c>
      <c r="I63" s="515"/>
      <c r="J63" s="552">
        <f>H63/DAY(B2)</f>
        <v>11.714285714285714</v>
      </c>
      <c r="K63" s="428"/>
      <c r="L63" s="377"/>
      <c r="N63" s="382"/>
    </row>
    <row r="64" spans="1:14" ht="27.75">
      <c r="A64" s="1499" t="s">
        <v>99</v>
      </c>
      <c r="B64" s="1500"/>
      <c r="C64" s="1501"/>
      <c r="D64" s="523" t="s">
        <v>187</v>
      </c>
      <c r="E64" s="484">
        <f>'6'!F64</f>
        <v>141950</v>
      </c>
      <c r="F64" s="478">
        <v>142423</v>
      </c>
      <c r="G64" s="473">
        <f t="shared" si="5"/>
        <v>473</v>
      </c>
      <c r="H64" s="460">
        <f>G64+'6'!H64</f>
        <v>3243</v>
      </c>
      <c r="I64" s="480"/>
      <c r="J64" s="552">
        <f>H64/DAY(B2)</f>
        <v>463.28571428571428</v>
      </c>
      <c r="K64" s="428"/>
      <c r="L64" s="377"/>
      <c r="N64" s="382"/>
    </row>
    <row r="65" spans="1:14" ht="27.75">
      <c r="A65" s="1499" t="s">
        <v>100</v>
      </c>
      <c r="B65" s="1500"/>
      <c r="C65" s="1501"/>
      <c r="D65" s="523" t="s">
        <v>187</v>
      </c>
      <c r="E65" s="484">
        <f>'6'!F65</f>
        <v>146386</v>
      </c>
      <c r="F65" s="654">
        <v>146745</v>
      </c>
      <c r="G65" s="473">
        <f t="shared" si="5"/>
        <v>359</v>
      </c>
      <c r="H65" s="460">
        <f>G65+'6'!H65</f>
        <v>2540</v>
      </c>
      <c r="I65" s="489"/>
      <c r="J65" s="552">
        <f>H65/DAY(B2)</f>
        <v>362.85714285714283</v>
      </c>
      <c r="K65" s="428"/>
      <c r="L65" s="377"/>
      <c r="N65" s="382"/>
    </row>
    <row r="66" spans="1:14" ht="27.75">
      <c r="A66" s="1499" t="s">
        <v>101</v>
      </c>
      <c r="B66" s="1500"/>
      <c r="C66" s="1501"/>
      <c r="D66" s="523" t="s">
        <v>187</v>
      </c>
      <c r="E66" s="484">
        <f>'6'!F66</f>
        <v>39601</v>
      </c>
      <c r="F66" s="478">
        <f>39601+386</f>
        <v>39987</v>
      </c>
      <c r="G66" s="473">
        <f t="shared" si="5"/>
        <v>386</v>
      </c>
      <c r="H66" s="460">
        <f>G66+'6'!H66</f>
        <v>2779</v>
      </c>
      <c r="I66" s="480"/>
      <c r="J66" s="552">
        <f>H66/DAY(B2)</f>
        <v>397</v>
      </c>
      <c r="K66" s="428"/>
      <c r="L66" s="377"/>
      <c r="N66" s="382"/>
    </row>
    <row r="67" spans="1:14" ht="27.75">
      <c r="A67" s="1499" t="s">
        <v>102</v>
      </c>
      <c r="B67" s="1500"/>
      <c r="C67" s="1501"/>
      <c r="D67" s="523" t="s">
        <v>187</v>
      </c>
      <c r="E67" s="484">
        <f>'6'!F67</f>
        <v>232860</v>
      </c>
      <c r="F67" s="478">
        <v>233478</v>
      </c>
      <c r="G67" s="473">
        <f t="shared" si="5"/>
        <v>618</v>
      </c>
      <c r="H67" s="460">
        <f>G67+'6'!H67</f>
        <v>4378</v>
      </c>
      <c r="I67" s="489"/>
      <c r="J67" s="552">
        <f>H67/DAY(B2)</f>
        <v>625.42857142857144</v>
      </c>
      <c r="K67" s="429"/>
      <c r="L67" s="377"/>
      <c r="N67" s="382"/>
    </row>
    <row r="68" spans="1:14" ht="27.75">
      <c r="A68" s="1499" t="s">
        <v>103</v>
      </c>
      <c r="B68" s="1500"/>
      <c r="C68" s="1501"/>
      <c r="D68" s="523" t="s">
        <v>187</v>
      </c>
      <c r="E68" s="484">
        <f>'6'!F68</f>
        <v>85034</v>
      </c>
      <c r="F68" s="478">
        <v>85321</v>
      </c>
      <c r="G68" s="473">
        <f t="shared" si="5"/>
        <v>287</v>
      </c>
      <c r="H68" s="460">
        <f>G68+'6'!H68</f>
        <v>2234</v>
      </c>
      <c r="I68" s="516"/>
      <c r="J68" s="552">
        <f>H68/DAY(B2)</f>
        <v>319.14285714285717</v>
      </c>
      <c r="K68" s="430"/>
      <c r="L68" s="377"/>
      <c r="N68" s="382"/>
    </row>
    <row r="69" spans="1:14" ht="27.75">
      <c r="A69" s="1499" t="s">
        <v>104</v>
      </c>
      <c r="B69" s="1500"/>
      <c r="C69" s="1501"/>
      <c r="D69" s="523" t="s">
        <v>187</v>
      </c>
      <c r="E69" s="484">
        <f>'6'!F69</f>
        <v>76175</v>
      </c>
      <c r="F69" s="478">
        <v>76475</v>
      </c>
      <c r="G69" s="473">
        <f t="shared" si="5"/>
        <v>300</v>
      </c>
      <c r="H69" s="460">
        <f>G69+'6'!H69</f>
        <v>2146</v>
      </c>
      <c r="I69" s="516"/>
      <c r="J69" s="552">
        <f>H69/DAY(B2)</f>
        <v>306.57142857142856</v>
      </c>
      <c r="K69" s="431"/>
      <c r="L69" s="377"/>
      <c r="N69" s="382"/>
    </row>
    <row r="70" spans="1:14" ht="27.75">
      <c r="A70" s="1505" t="s">
        <v>189</v>
      </c>
      <c r="B70" s="1506"/>
      <c r="C70" s="1507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02" t="s">
        <v>190</v>
      </c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  <c r="N71" s="382"/>
    </row>
    <row r="72" spans="1:14" ht="27.75">
      <c r="A72" s="1499" t="s">
        <v>191</v>
      </c>
      <c r="B72" s="1500"/>
      <c r="C72" s="1501"/>
      <c r="D72" s="523" t="s">
        <v>187</v>
      </c>
      <c r="E72" s="519">
        <f>'6'!F72</f>
        <v>853780</v>
      </c>
      <c r="F72" s="657">
        <v>853878</v>
      </c>
      <c r="G72" s="473">
        <f t="shared" ref="G72:G84" si="6">F72-E72</f>
        <v>98</v>
      </c>
      <c r="H72" s="460">
        <f>G72+'6'!H72</f>
        <v>699</v>
      </c>
      <c r="I72" s="480"/>
      <c r="J72" s="552">
        <f>H72/DAY(B2)</f>
        <v>99.857142857142861</v>
      </c>
      <c r="K72" s="431"/>
      <c r="L72" s="377"/>
      <c r="N72" s="382"/>
    </row>
    <row r="73" spans="1:14" ht="27.75">
      <c r="A73" s="1499" t="s">
        <v>192</v>
      </c>
      <c r="B73" s="1500"/>
      <c r="C73" s="1501"/>
      <c r="D73" s="523" t="s">
        <v>187</v>
      </c>
      <c r="E73" s="519">
        <f>'6'!F73</f>
        <v>885810</v>
      </c>
      <c r="F73" s="658">
        <v>885811</v>
      </c>
      <c r="G73" s="655">
        <f t="shared" si="6"/>
        <v>1</v>
      </c>
      <c r="H73" s="460">
        <f>G73+'6'!H73</f>
        <v>11</v>
      </c>
      <c r="I73" s="480"/>
      <c r="J73" s="552">
        <f>H73/DAY(B2)</f>
        <v>1.5714285714285714</v>
      </c>
      <c r="K73" s="430"/>
      <c r="L73" s="377"/>
      <c r="N73" s="382"/>
    </row>
    <row r="74" spans="1:14" ht="27.75">
      <c r="A74" s="1499" t="s">
        <v>193</v>
      </c>
      <c r="B74" s="1500"/>
      <c r="C74" s="1501"/>
      <c r="D74" s="523" t="s">
        <v>187</v>
      </c>
      <c r="E74" s="519">
        <f>'6'!F74</f>
        <v>1520</v>
      </c>
      <c r="F74" s="657">
        <v>1552</v>
      </c>
      <c r="G74" s="473">
        <f t="shared" si="6"/>
        <v>32</v>
      </c>
      <c r="H74" s="460">
        <f>G74+'6'!H74</f>
        <v>182</v>
      </c>
      <c r="I74" s="480"/>
      <c r="J74" s="552">
        <f>H74/DAY(B2)</f>
        <v>26</v>
      </c>
      <c r="K74" s="431"/>
      <c r="L74" s="377"/>
      <c r="N74" s="382"/>
    </row>
    <row r="75" spans="1:14" ht="27.75">
      <c r="A75" s="1496" t="s">
        <v>194</v>
      </c>
      <c r="B75" s="1497"/>
      <c r="C75" s="1498"/>
      <c r="D75" s="523" t="s">
        <v>187</v>
      </c>
      <c r="E75" s="519">
        <f>'6'!F75</f>
        <v>9427</v>
      </c>
      <c r="F75" s="658">
        <v>9549</v>
      </c>
      <c r="G75" s="473">
        <f t="shared" si="6"/>
        <v>122</v>
      </c>
      <c r="H75" s="460">
        <f>G75+'6'!H75</f>
        <v>869</v>
      </c>
      <c r="I75" s="480"/>
      <c r="J75" s="552">
        <f>H75/DAY(B2)</f>
        <v>124.14285714285714</v>
      </c>
      <c r="K75" s="430"/>
      <c r="L75" s="377"/>
      <c r="N75" s="382"/>
    </row>
    <row r="76" spans="1:14" ht="27.75">
      <c r="A76" s="1496" t="s">
        <v>195</v>
      </c>
      <c r="B76" s="1497"/>
      <c r="C76" s="1498"/>
      <c r="D76" s="523" t="s">
        <v>187</v>
      </c>
      <c r="E76" s="519">
        <f>'6'!F76</f>
        <v>4431</v>
      </c>
      <c r="F76" s="658">
        <v>4496</v>
      </c>
      <c r="G76" s="473">
        <f t="shared" si="6"/>
        <v>65</v>
      </c>
      <c r="H76" s="460">
        <f>G76+'6'!H76</f>
        <v>459</v>
      </c>
      <c r="I76" s="505"/>
      <c r="J76" s="552">
        <f>H76/DAY(B2)</f>
        <v>65.571428571428569</v>
      </c>
      <c r="K76" s="430"/>
      <c r="L76" s="377"/>
      <c r="N76" s="382"/>
    </row>
    <row r="77" spans="1:14" ht="27.75">
      <c r="A77" s="1499" t="s">
        <v>196</v>
      </c>
      <c r="B77" s="1500"/>
      <c r="C77" s="1501"/>
      <c r="D77" s="523" t="s">
        <v>187</v>
      </c>
      <c r="E77" s="519">
        <f>'6'!F77</f>
        <v>700487</v>
      </c>
      <c r="F77" s="658">
        <v>700532</v>
      </c>
      <c r="G77" s="655">
        <f t="shared" si="6"/>
        <v>45</v>
      </c>
      <c r="H77" s="460">
        <f>G77+'6'!H77</f>
        <v>318</v>
      </c>
      <c r="I77" s="505"/>
      <c r="J77" s="552">
        <f>H77/DAY(B2)</f>
        <v>45.428571428571431</v>
      </c>
      <c r="K77" s="430"/>
      <c r="L77" s="377"/>
      <c r="N77" s="382"/>
    </row>
    <row r="78" spans="1:14" ht="27.75">
      <c r="A78" s="1147" t="s">
        <v>197</v>
      </c>
      <c r="B78" s="1120"/>
      <c r="C78" s="1120"/>
      <c r="D78" s="523" t="s">
        <v>187</v>
      </c>
      <c r="E78" s="519">
        <f>'6'!F78</f>
        <v>667360</v>
      </c>
      <c r="F78" s="659">
        <v>667667</v>
      </c>
      <c r="G78" s="473">
        <f t="shared" si="6"/>
        <v>307</v>
      </c>
      <c r="H78" s="460">
        <f>G78+'6'!H78</f>
        <v>2287</v>
      </c>
      <c r="I78" s="505"/>
      <c r="J78" s="552">
        <f>H78/DAY(B2)</f>
        <v>326.71428571428572</v>
      </c>
      <c r="K78" s="430"/>
      <c r="L78" s="377"/>
      <c r="N78" s="382"/>
    </row>
    <row r="79" spans="1:14" ht="27.75">
      <c r="A79" s="1496" t="s">
        <v>92</v>
      </c>
      <c r="B79" s="1497"/>
      <c r="C79" s="1498"/>
      <c r="D79" s="524" t="s">
        <v>187</v>
      </c>
      <c r="E79" s="519">
        <f>'6'!F79</f>
        <v>822339</v>
      </c>
      <c r="F79" s="657">
        <v>822508</v>
      </c>
      <c r="G79" s="473">
        <f t="shared" si="6"/>
        <v>169</v>
      </c>
      <c r="H79" s="460">
        <f>G79+'6'!H79</f>
        <v>1295</v>
      </c>
      <c r="I79" s="505"/>
      <c r="J79" s="552">
        <f>H79/DAY(B2)</f>
        <v>185</v>
      </c>
      <c r="K79" s="430"/>
      <c r="L79" s="377"/>
      <c r="N79" s="382"/>
    </row>
    <row r="80" spans="1:14" ht="27.75">
      <c r="A80" s="1496" t="s">
        <v>198</v>
      </c>
      <c r="B80" s="1497"/>
      <c r="C80" s="1498"/>
      <c r="D80" s="524" t="s">
        <v>187</v>
      </c>
      <c r="E80" s="519">
        <f>'6'!F80</f>
        <v>507768</v>
      </c>
      <c r="F80" s="658">
        <v>508129</v>
      </c>
      <c r="G80" s="473">
        <f t="shared" si="6"/>
        <v>361</v>
      </c>
      <c r="H80" s="460">
        <f>G80+'6'!H80</f>
        <v>2430</v>
      </c>
      <c r="I80" s="505"/>
      <c r="J80" s="552">
        <f>H80/DAY(B2)</f>
        <v>347.14285714285717</v>
      </c>
      <c r="K80" s="430"/>
      <c r="L80" s="377"/>
      <c r="N80" s="382"/>
    </row>
    <row r="81" spans="1:15" ht="27.75">
      <c r="A81" s="1496" t="s">
        <v>199</v>
      </c>
      <c r="B81" s="1497"/>
      <c r="C81" s="1498"/>
      <c r="D81" s="524" t="s">
        <v>187</v>
      </c>
      <c r="E81" s="519">
        <f>'6'!F81</f>
        <v>631685</v>
      </c>
      <c r="F81" s="658">
        <v>631973</v>
      </c>
      <c r="G81" s="473">
        <f t="shared" si="6"/>
        <v>288</v>
      </c>
      <c r="H81" s="460">
        <f>G81+'6'!H81</f>
        <v>1788</v>
      </c>
      <c r="I81" s="505"/>
      <c r="J81" s="552">
        <f>H81/DAY(B2)</f>
        <v>255.42857142857142</v>
      </c>
      <c r="K81" s="430"/>
      <c r="L81" s="377"/>
      <c r="N81" s="382"/>
    </row>
    <row r="82" spans="1:15" ht="27.75">
      <c r="A82" s="1496" t="s">
        <v>93</v>
      </c>
      <c r="B82" s="1497"/>
      <c r="C82" s="1498"/>
      <c r="D82" s="485" t="s">
        <v>132</v>
      </c>
      <c r="E82" s="519">
        <f>'6'!F82</f>
        <v>107039</v>
      </c>
      <c r="F82" s="654">
        <v>107061</v>
      </c>
      <c r="G82" s="473">
        <f t="shared" si="6"/>
        <v>22</v>
      </c>
      <c r="H82" s="460">
        <f>G82+'6'!H82</f>
        <v>166</v>
      </c>
      <c r="I82" s="486"/>
      <c r="J82" s="552">
        <f>H82/DAY(B2)</f>
        <v>23.714285714285715</v>
      </c>
      <c r="K82" s="430"/>
      <c r="L82" s="377"/>
      <c r="N82" s="382"/>
    </row>
    <row r="83" spans="1:15" ht="27.75">
      <c r="A83" s="1496" t="s">
        <v>200</v>
      </c>
      <c r="B83" s="1497"/>
      <c r="C83" s="1498"/>
      <c r="D83" s="620" t="s">
        <v>132</v>
      </c>
      <c r="E83" s="519">
        <f>'6'!F83</f>
        <v>8617</v>
      </c>
      <c r="F83" s="620">
        <v>8850</v>
      </c>
      <c r="G83" s="473">
        <f t="shared" si="6"/>
        <v>233</v>
      </c>
      <c r="H83" s="460">
        <f>G83+'6'!H83</f>
        <v>1793</v>
      </c>
      <c r="I83" s="481"/>
      <c r="J83" s="552">
        <f>H83/DAY(B2)</f>
        <v>256.14285714285717</v>
      </c>
      <c r="K83" s="429"/>
      <c r="L83" s="377"/>
      <c r="N83" s="382"/>
    </row>
    <row r="84" spans="1:15">
      <c r="A84" s="1148" t="s">
        <v>201</v>
      </c>
      <c r="B84" s="571"/>
      <c r="C84" s="571"/>
      <c r="D84" s="478" t="s">
        <v>132</v>
      </c>
      <c r="E84" s="519">
        <f>'6'!F84</f>
        <v>460282</v>
      </c>
      <c r="F84" s="627">
        <v>461192</v>
      </c>
      <c r="G84" s="473">
        <f t="shared" si="6"/>
        <v>910</v>
      </c>
      <c r="H84" s="460">
        <f>G84+'6'!H84</f>
        <v>6508</v>
      </c>
      <c r="I84" s="481"/>
      <c r="J84" s="552">
        <f>H84/DAY(B2)</f>
        <v>929.71428571428567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2653</v>
      </c>
      <c r="H85" s="460">
        <f>G85+'6'!H85</f>
        <v>18805</v>
      </c>
      <c r="I85" s="481"/>
      <c r="J85" s="552">
        <f>H85/DAY(B2)</f>
        <v>2686.4285714285716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654" t="s">
        <v>183</v>
      </c>
      <c r="E86" s="627">
        <f>'6'!F86</f>
        <v>455649</v>
      </c>
      <c r="F86" s="650">
        <v>455856</v>
      </c>
      <c r="G86" s="708">
        <f t="shared" ref="G86:G90" si="7">F86-E86</f>
        <v>207</v>
      </c>
      <c r="H86" s="708">
        <f t="shared" ref="H86:H88" si="8">G86</f>
        <v>207</v>
      </c>
      <c r="I86" s="655"/>
      <c r="J86" s="710">
        <f>H86/DAY(B2)</f>
        <v>29.571428571428573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654" t="s">
        <v>183</v>
      </c>
      <c r="E87" s="627">
        <f>'6'!F87</f>
        <v>80359</v>
      </c>
      <c r="F87" s="650">
        <v>80394</v>
      </c>
      <c r="G87" s="708">
        <f t="shared" si="7"/>
        <v>35</v>
      </c>
      <c r="H87" s="708">
        <f t="shared" si="8"/>
        <v>35</v>
      </c>
      <c r="I87" s="655"/>
      <c r="J87" s="710">
        <f>H87/DAY(B2)</f>
        <v>5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654" t="s">
        <v>183</v>
      </c>
      <c r="E88" s="627">
        <f>'6'!F88</f>
        <v>150971</v>
      </c>
      <c r="F88" s="650">
        <v>151004</v>
      </c>
      <c r="G88" s="708">
        <f t="shared" si="7"/>
        <v>33</v>
      </c>
      <c r="H88" s="708">
        <f t="shared" si="8"/>
        <v>33</v>
      </c>
      <c r="I88" s="655"/>
      <c r="J88" s="710">
        <f>H88/DAY(B2)</f>
        <v>4.7142857142857144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654" t="s">
        <v>183</v>
      </c>
      <c r="E89" s="627">
        <f>'6'!F89</f>
        <v>63815</v>
      </c>
      <c r="F89" s="650">
        <v>63856</v>
      </c>
      <c r="G89" s="708">
        <f t="shared" si="7"/>
        <v>41</v>
      </c>
      <c r="H89" s="708">
        <f>G89</f>
        <v>41</v>
      </c>
      <c r="I89" s="655"/>
      <c r="J89" s="710">
        <f>H89/DAY(B2)</f>
        <v>5.8571428571428568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654" t="s">
        <v>183</v>
      </c>
      <c r="E90" s="627">
        <f>'6'!F90</f>
        <v>3272</v>
      </c>
      <c r="F90" s="650">
        <v>3272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379" customFormat="1">
      <c r="A91" s="606" t="s">
        <v>205</v>
      </c>
      <c r="B91" s="1150"/>
      <c r="C91" s="1150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520" t="s">
        <v>206</v>
      </c>
      <c r="B92" s="1521"/>
      <c r="C92" s="1522"/>
      <c r="D92" s="523" t="s">
        <v>144</v>
      </c>
      <c r="E92" s="484">
        <f>'6'!F92</f>
        <v>243115</v>
      </c>
      <c r="F92" s="485">
        <v>243197</v>
      </c>
      <c r="G92" s="473">
        <f t="shared" ref="G92:G93" si="9">F92-E92</f>
        <v>82</v>
      </c>
      <c r="H92" s="460">
        <f>G92+'6'!H92</f>
        <v>551</v>
      </c>
      <c r="I92" s="480"/>
      <c r="J92" s="552">
        <f>H92/DAY(B2)</f>
        <v>78.714285714285708</v>
      </c>
      <c r="K92" s="429"/>
      <c r="L92" s="377"/>
      <c r="N92" s="382"/>
    </row>
    <row r="93" spans="1:15" ht="27.75">
      <c r="A93" s="1520" t="s">
        <v>207</v>
      </c>
      <c r="B93" s="1521"/>
      <c r="C93" s="1522"/>
      <c r="D93" s="523" t="s">
        <v>144</v>
      </c>
      <c r="E93" s="484">
        <f>'6'!F93</f>
        <v>180607</v>
      </c>
      <c r="F93" s="485">
        <v>180758</v>
      </c>
      <c r="G93" s="473">
        <f t="shared" si="9"/>
        <v>151</v>
      </c>
      <c r="H93" s="460">
        <f>G93+'6'!H93</f>
        <v>1079</v>
      </c>
      <c r="I93" s="480"/>
      <c r="J93" s="552">
        <f>H93/DAY(B2)</f>
        <v>154.14285714285714</v>
      </c>
      <c r="K93" s="380"/>
      <c r="L93" s="377"/>
      <c r="N93" s="382"/>
    </row>
    <row r="94" spans="1:15">
      <c r="A94" s="1548" t="s">
        <v>208</v>
      </c>
      <c r="B94" s="1549"/>
      <c r="C94" s="1550"/>
      <c r="D94" s="523"/>
      <c r="E94" s="484">
        <f>'6'!F94</f>
        <v>0</v>
      </c>
      <c r="F94" s="478"/>
      <c r="G94" s="473">
        <f>G92+G93</f>
        <v>233</v>
      </c>
      <c r="H94" s="460">
        <f>G94+'6'!H94</f>
        <v>1411</v>
      </c>
      <c r="I94" s="480"/>
      <c r="J94" s="552">
        <f>H94/DAY(B2)</f>
        <v>201.57142857142858</v>
      </c>
      <c r="K94" s="380"/>
      <c r="L94" s="377"/>
      <c r="N94" s="382"/>
    </row>
    <row r="95" spans="1:15" ht="27.75">
      <c r="A95" s="1520" t="s">
        <v>209</v>
      </c>
      <c r="B95" s="1521"/>
      <c r="C95" s="1522"/>
      <c r="D95" s="523" t="s">
        <v>144</v>
      </c>
      <c r="E95" s="484">
        <f>'6'!F95</f>
        <v>411228</v>
      </c>
      <c r="F95" s="478">
        <v>411307</v>
      </c>
      <c r="G95" s="473">
        <f t="shared" ref="G95:G100" si="10">F95-E95</f>
        <v>79</v>
      </c>
      <c r="H95" s="460">
        <f>G95+'6'!H95</f>
        <v>522</v>
      </c>
      <c r="I95" s="480"/>
      <c r="J95" s="552">
        <f>H95/DAY(B2)</f>
        <v>74.571428571428569</v>
      </c>
      <c r="K95" s="380"/>
      <c r="L95" s="377"/>
      <c r="N95" s="382"/>
    </row>
    <row r="96" spans="1:15" ht="27.75">
      <c r="A96" s="1144" t="s">
        <v>210</v>
      </c>
      <c r="B96" s="1145"/>
      <c r="C96" s="1145"/>
      <c r="D96" s="523" t="s">
        <v>144</v>
      </c>
      <c r="E96" s="484">
        <f>'6'!F96</f>
        <v>101938</v>
      </c>
      <c r="F96" s="478">
        <v>101956</v>
      </c>
      <c r="G96" s="473">
        <f t="shared" si="10"/>
        <v>18</v>
      </c>
      <c r="H96" s="460">
        <f>G96+'6'!H96</f>
        <v>125</v>
      </c>
      <c r="I96" s="480"/>
      <c r="J96" s="552">
        <f>H96/DAY(B2)</f>
        <v>17.857142857142858</v>
      </c>
      <c r="K96" s="427"/>
      <c r="L96" s="377"/>
      <c r="N96" s="382"/>
    </row>
    <row r="97" spans="1:14" ht="27.75">
      <c r="A97" s="1144" t="s">
        <v>211</v>
      </c>
      <c r="B97" s="1145"/>
      <c r="C97" s="1145"/>
      <c r="D97" s="523" t="s">
        <v>144</v>
      </c>
      <c r="E97" s="484">
        <f>'6'!F97</f>
        <v>97039</v>
      </c>
      <c r="F97" s="478">
        <v>97057</v>
      </c>
      <c r="G97" s="473">
        <f t="shared" si="10"/>
        <v>18</v>
      </c>
      <c r="H97" s="460">
        <f>G97+'6'!H97</f>
        <v>129</v>
      </c>
      <c r="I97" s="480"/>
      <c r="J97" s="552">
        <f>H97/DAY(B2)</f>
        <v>18.428571428571427</v>
      </c>
      <c r="K97" s="432"/>
      <c r="L97" s="377"/>
      <c r="N97" s="382"/>
    </row>
    <row r="98" spans="1:14" ht="27.75">
      <c r="A98" s="1144" t="s">
        <v>212</v>
      </c>
      <c r="B98" s="1145"/>
      <c r="C98" s="1145"/>
      <c r="D98" s="523" t="s">
        <v>144</v>
      </c>
      <c r="E98" s="484">
        <f>'6'!F98</f>
        <v>149140</v>
      </c>
      <c r="F98" s="478">
        <v>149174</v>
      </c>
      <c r="G98" s="473">
        <f t="shared" si="10"/>
        <v>34</v>
      </c>
      <c r="H98" s="460">
        <f>G98+'6'!H98</f>
        <v>265</v>
      </c>
      <c r="I98" s="480"/>
      <c r="J98" s="552">
        <f>H98/DAY(B2)</f>
        <v>37.857142857142854</v>
      </c>
      <c r="K98" s="380"/>
      <c r="L98" s="377"/>
      <c r="N98" s="707"/>
    </row>
    <row r="99" spans="1:14" ht="27.75">
      <c r="A99" s="1144" t="s">
        <v>213</v>
      </c>
      <c r="B99" s="1145"/>
      <c r="C99" s="1145"/>
      <c r="D99" s="523" t="s">
        <v>144</v>
      </c>
      <c r="E99" s="484">
        <f>'6'!F99</f>
        <v>6955</v>
      </c>
      <c r="F99" s="478">
        <v>6969</v>
      </c>
      <c r="G99" s="473">
        <f t="shared" si="10"/>
        <v>14</v>
      </c>
      <c r="H99" s="460">
        <f>G99+'6'!H99</f>
        <v>114</v>
      </c>
      <c r="I99" s="480"/>
      <c r="J99" s="552">
        <f>H99/DAY(B2)</f>
        <v>16.285714285714285</v>
      </c>
      <c r="K99" s="380"/>
      <c r="L99" s="377"/>
      <c r="N99" s="382"/>
    </row>
    <row r="100" spans="1:14" ht="27.75">
      <c r="A100" s="1144" t="s">
        <v>214</v>
      </c>
      <c r="B100" s="1145"/>
      <c r="C100" s="1145"/>
      <c r="D100" s="523" t="s">
        <v>144</v>
      </c>
      <c r="E100" s="484">
        <f>'6'!F100</f>
        <v>4982</v>
      </c>
      <c r="F100" s="478">
        <v>4989</v>
      </c>
      <c r="G100" s="473">
        <f t="shared" si="10"/>
        <v>7</v>
      </c>
      <c r="H100" s="460">
        <f>G100+'6'!H100</f>
        <v>46</v>
      </c>
      <c r="I100" s="480"/>
      <c r="J100" s="552">
        <f>H100/DAY(B2)</f>
        <v>6.5714285714285712</v>
      </c>
      <c r="K100" s="380"/>
      <c r="L100" s="377"/>
      <c r="N100" s="382"/>
    </row>
    <row r="101" spans="1:14">
      <c r="A101" s="1548" t="s">
        <v>216</v>
      </c>
      <c r="B101" s="1549"/>
      <c r="C101" s="1550"/>
      <c r="D101" s="524"/>
      <c r="E101" s="524"/>
      <c r="F101" s="524"/>
      <c r="G101" s="525">
        <f>SUM(G95:G100)</f>
        <v>170</v>
      </c>
      <c r="H101" s="460">
        <f>G101+'6'!H101</f>
        <v>1201</v>
      </c>
      <c r="I101" s="526"/>
      <c r="J101" s="552">
        <f>H101/DAY(B2)</f>
        <v>171.57142857142858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N102" s="382"/>
    </row>
    <row r="103" spans="1:14" s="442" customFormat="1" ht="27.75">
      <c r="A103" s="1551" t="s">
        <v>218</v>
      </c>
      <c r="B103" s="1552"/>
      <c r="C103" s="573"/>
      <c r="D103" s="622"/>
      <c r="E103" s="532"/>
      <c r="F103" s="661"/>
      <c r="G103" s="532"/>
      <c r="H103" s="533"/>
      <c r="I103" s="532"/>
      <c r="J103" s="558"/>
      <c r="N103" s="382"/>
    </row>
    <row r="104" spans="1:14" s="442" customFormat="1" ht="27.75">
      <c r="A104" s="1512" t="s">
        <v>219</v>
      </c>
      <c r="B104" s="1513"/>
      <c r="C104" s="1143"/>
      <c r="D104" s="622" t="s">
        <v>144</v>
      </c>
      <c r="E104" s="661">
        <v>7344</v>
      </c>
      <c r="F104" s="661">
        <v>7344</v>
      </c>
      <c r="G104" s="532">
        <f>F104-E104</f>
        <v>0</v>
      </c>
      <c r="H104" s="460">
        <f>G104+'6'!H104</f>
        <v>19</v>
      </c>
      <c r="I104" s="532"/>
      <c r="J104" s="558">
        <f>H104/DAY(B2)</f>
        <v>2.7142857142857144</v>
      </c>
      <c r="N104" s="382"/>
    </row>
    <row r="105" spans="1:14" s="442" customFormat="1" ht="27.75">
      <c r="A105" s="1512" t="s">
        <v>77</v>
      </c>
      <c r="B105" s="1513"/>
      <c r="C105" s="1143"/>
      <c r="D105" s="622" t="s">
        <v>144</v>
      </c>
      <c r="E105" s="662">
        <v>35691</v>
      </c>
      <c r="F105" s="662">
        <v>35697</v>
      </c>
      <c r="G105" s="532">
        <f t="shared" ref="G105:G106" si="11">F105-E105</f>
        <v>6</v>
      </c>
      <c r="H105" s="460">
        <f>G105+'6'!H105</f>
        <v>46</v>
      </c>
      <c r="I105" s="532"/>
      <c r="J105" s="558">
        <f>H105/DAY(B2)</f>
        <v>6.5714285714285712</v>
      </c>
      <c r="N105" s="382"/>
    </row>
    <row r="106" spans="1:14" s="442" customFormat="1" ht="27.75">
      <c r="A106" s="1512" t="s">
        <v>78</v>
      </c>
      <c r="B106" s="1553"/>
      <c r="C106" s="1513"/>
      <c r="D106" s="622" t="s">
        <v>144</v>
      </c>
      <c r="E106" s="661">
        <v>19456</v>
      </c>
      <c r="F106" s="662">
        <v>19462</v>
      </c>
      <c r="G106" s="532">
        <f t="shared" si="11"/>
        <v>6</v>
      </c>
      <c r="H106" s="460">
        <f>G106+'6'!H106</f>
        <v>51</v>
      </c>
      <c r="I106" s="532"/>
      <c r="J106" s="558">
        <f>H106/DAY(B2)</f>
        <v>7.2857142857142856</v>
      </c>
      <c r="N106" s="382"/>
    </row>
    <row r="107" spans="1:14" s="442" customFormat="1" ht="27.75">
      <c r="A107" s="1514" t="s">
        <v>202</v>
      </c>
      <c r="B107" s="1515"/>
      <c r="C107" s="1143"/>
      <c r="D107" s="622"/>
      <c r="E107" s="532"/>
      <c r="F107" s="662"/>
      <c r="G107" s="532">
        <f>SUM(G104:G106)</f>
        <v>12</v>
      </c>
      <c r="H107" s="460">
        <f>G107+'6'!H107</f>
        <v>116</v>
      </c>
      <c r="I107" s="532"/>
      <c r="J107" s="558">
        <f>H107/DAY(B2)</f>
        <v>16.571428571428573</v>
      </c>
      <c r="N107" s="382"/>
    </row>
    <row r="108" spans="1:14" s="442" customFormat="1" ht="27.75">
      <c r="A108" s="1518" t="s">
        <v>79</v>
      </c>
      <c r="B108" s="1519"/>
      <c r="C108" s="1143"/>
      <c r="D108" s="622" t="s">
        <v>144</v>
      </c>
      <c r="E108" s="532"/>
      <c r="F108" s="662"/>
      <c r="G108" s="532"/>
      <c r="H108" s="460">
        <f>G108+'6'!H108</f>
        <v>0</v>
      </c>
      <c r="I108" s="532"/>
      <c r="J108" s="558"/>
      <c r="N108" s="382"/>
    </row>
    <row r="109" spans="1:14" s="442" customFormat="1" ht="27.75">
      <c r="A109" s="1512" t="s">
        <v>220</v>
      </c>
      <c r="B109" s="1513"/>
      <c r="C109" s="1143"/>
      <c r="D109" s="622" t="s">
        <v>144</v>
      </c>
      <c r="E109" s="532">
        <f>'6'!F109</f>
        <v>59375</v>
      </c>
      <c r="F109" s="662">
        <v>59461</v>
      </c>
      <c r="G109" s="532">
        <f>F109-E109</f>
        <v>86</v>
      </c>
      <c r="H109" s="460">
        <f>G109+'6'!H109</f>
        <v>588</v>
      </c>
      <c r="I109" s="532"/>
      <c r="J109" s="558">
        <f>H109/DAY(B2)</f>
        <v>84</v>
      </c>
      <c r="N109" s="382"/>
    </row>
    <row r="110" spans="1:14" s="442" customFormat="1" ht="27.75">
      <c r="A110" s="1512" t="s">
        <v>221</v>
      </c>
      <c r="B110" s="1513"/>
      <c r="C110" s="1143"/>
      <c r="D110" s="622" t="s">
        <v>144</v>
      </c>
      <c r="E110" s="532">
        <f>'6'!F110</f>
        <v>31878</v>
      </c>
      <c r="F110" s="662">
        <v>31878</v>
      </c>
      <c r="G110" s="532">
        <f t="shared" ref="G110:G111" si="12">F110-E110</f>
        <v>0</v>
      </c>
      <c r="H110" s="460">
        <f>G110+'6'!H110</f>
        <v>232</v>
      </c>
      <c r="I110" s="532"/>
      <c r="J110" s="558">
        <f>H110/DAY(B2)</f>
        <v>33.142857142857146</v>
      </c>
      <c r="N110" s="382"/>
    </row>
    <row r="111" spans="1:14" s="442" customFormat="1" ht="27.75">
      <c r="A111" s="1512" t="s">
        <v>222</v>
      </c>
      <c r="B111" s="1513"/>
      <c r="C111" s="1143"/>
      <c r="D111" s="622" t="s">
        <v>144</v>
      </c>
      <c r="E111" s="532">
        <f>'6'!F111</f>
        <v>4208</v>
      </c>
      <c r="F111" s="662">
        <v>4208</v>
      </c>
      <c r="G111" s="532">
        <f t="shared" si="12"/>
        <v>0</v>
      </c>
      <c r="H111" s="460">
        <f>G111+'6'!H111</f>
        <v>52</v>
      </c>
      <c r="I111" s="532"/>
      <c r="J111" s="558">
        <f>H111/DAY(B2)</f>
        <v>7.4285714285714288</v>
      </c>
      <c r="N111" s="382"/>
    </row>
    <row r="112" spans="1:14" s="442" customFormat="1" ht="27.75">
      <c r="A112" s="1514" t="s">
        <v>110</v>
      </c>
      <c r="B112" s="1515"/>
      <c r="C112" s="1143"/>
      <c r="D112" s="622"/>
      <c r="E112" s="532"/>
      <c r="F112" s="662"/>
      <c r="G112" s="532">
        <f>SUM(G109:G111)</f>
        <v>86</v>
      </c>
      <c r="H112" s="460">
        <f>G112+'6'!H112</f>
        <v>872</v>
      </c>
      <c r="I112" s="532"/>
      <c r="J112" s="558">
        <f>H112/DAY(B2)</f>
        <v>124.57142857142857</v>
      </c>
      <c r="N112" s="382"/>
    </row>
    <row r="113" spans="1:14" s="442" customFormat="1" ht="27.75">
      <c r="A113" s="1518" t="s">
        <v>223</v>
      </c>
      <c r="B113" s="1519"/>
      <c r="C113" s="1143"/>
      <c r="D113" s="622"/>
      <c r="E113" s="532"/>
      <c r="F113" s="662"/>
      <c r="G113" s="532"/>
      <c r="H113" s="460">
        <f>G113+'6'!H113</f>
        <v>0</v>
      </c>
      <c r="I113" s="532"/>
      <c r="J113" s="558">
        <f>H113/DAY(B2)</f>
        <v>0</v>
      </c>
      <c r="N113" s="382"/>
    </row>
    <row r="114" spans="1:14" s="442" customFormat="1" ht="27.75">
      <c r="A114" s="1512" t="s">
        <v>224</v>
      </c>
      <c r="B114" s="1513"/>
      <c r="C114" s="574"/>
      <c r="D114" s="622" t="s">
        <v>144</v>
      </c>
      <c r="E114" s="532">
        <f>'6'!F114</f>
        <v>10976</v>
      </c>
      <c r="F114" s="662">
        <v>10994</v>
      </c>
      <c r="G114" s="534">
        <f>F114-E114</f>
        <v>18</v>
      </c>
      <c r="H114" s="460">
        <f>G114+'6'!H114</f>
        <v>158</v>
      </c>
      <c r="I114" s="532"/>
      <c r="J114" s="558">
        <f>H114/DAY(B2)</f>
        <v>22.571428571428573</v>
      </c>
      <c r="N114" s="382"/>
    </row>
    <row r="115" spans="1:14" s="442" customFormat="1" ht="27.75">
      <c r="A115" s="1512" t="s">
        <v>225</v>
      </c>
      <c r="B115" s="1513"/>
      <c r="C115" s="574"/>
      <c r="D115" s="622" t="s">
        <v>144</v>
      </c>
      <c r="E115" s="532">
        <f>'6'!F115</f>
        <v>8006</v>
      </c>
      <c r="F115" s="662">
        <v>8012</v>
      </c>
      <c r="G115" s="534">
        <f t="shared" ref="G115:G116" si="13">F115-E115</f>
        <v>6</v>
      </c>
      <c r="H115" s="460">
        <f>G115+'6'!H115</f>
        <v>43</v>
      </c>
      <c r="I115" s="532"/>
      <c r="J115" s="558">
        <f>H115/DAY(B2)</f>
        <v>6.1428571428571432</v>
      </c>
      <c r="N115" s="382"/>
    </row>
    <row r="116" spans="1:14" s="442" customFormat="1" ht="27.75">
      <c r="A116" s="1512" t="s">
        <v>226</v>
      </c>
      <c r="B116" s="1513"/>
      <c r="C116" s="574"/>
      <c r="D116" s="622" t="s">
        <v>144</v>
      </c>
      <c r="E116" s="534"/>
      <c r="F116" s="662"/>
      <c r="G116" s="534">
        <f t="shared" si="13"/>
        <v>0</v>
      </c>
      <c r="H116" s="460">
        <f>G116+'6'!H116</f>
        <v>0</v>
      </c>
      <c r="I116" s="532"/>
      <c r="J116" s="558">
        <f>H116/DAY(B2)</f>
        <v>0</v>
      </c>
      <c r="N116" s="382"/>
    </row>
    <row r="117" spans="1:14" s="445" customFormat="1" ht="27.75">
      <c r="A117" s="1514" t="s">
        <v>202</v>
      </c>
      <c r="B117" s="1515"/>
      <c r="C117" s="574"/>
      <c r="D117" s="623"/>
      <c r="E117" s="534"/>
      <c r="F117" s="662"/>
      <c r="G117" s="534">
        <f>SUM(G114:G116)</f>
        <v>24</v>
      </c>
      <c r="H117" s="460">
        <f>G117+'6'!H117</f>
        <v>201</v>
      </c>
      <c r="I117" s="534"/>
      <c r="J117" s="558">
        <f>H117/DAY(B2)</f>
        <v>28.714285714285715</v>
      </c>
      <c r="N117" s="382"/>
    </row>
    <row r="118" spans="1:14" s="446" customFormat="1" ht="27.75">
      <c r="A118" s="1508" t="s">
        <v>227</v>
      </c>
      <c r="B118" s="1509"/>
      <c r="C118" s="1141"/>
      <c r="D118" s="624" t="s">
        <v>144</v>
      </c>
      <c r="E118" s="536"/>
      <c r="F118" s="663">
        <f>SUM(G19+G92)</f>
        <v>139</v>
      </c>
      <c r="G118" s="536">
        <f>SUM(G19+G92)</f>
        <v>139</v>
      </c>
      <c r="H118" s="460">
        <f>G118+'6'!H118</f>
        <v>935</v>
      </c>
      <c r="I118" s="535"/>
      <c r="J118" s="559">
        <f>H118/DAY(B2)</f>
        <v>133.57142857142858</v>
      </c>
      <c r="N118" s="382"/>
    </row>
    <row r="119" spans="1:14" s="446" customFormat="1" ht="27.75">
      <c r="A119" s="1508" t="s">
        <v>228</v>
      </c>
      <c r="B119" s="1509"/>
      <c r="C119" s="1141"/>
      <c r="D119" s="624" t="s">
        <v>144</v>
      </c>
      <c r="E119" s="536"/>
      <c r="F119" s="663">
        <f>SUM(G95,G96,G97,G99,G100)</f>
        <v>136</v>
      </c>
      <c r="G119" s="536">
        <f>SUM(G95,G96,G97,G99,G100)</f>
        <v>136</v>
      </c>
      <c r="H119" s="460">
        <f>G119+'6'!H119</f>
        <v>936</v>
      </c>
      <c r="I119" s="535"/>
      <c r="J119" s="559">
        <f>H119/DAY(B2)</f>
        <v>133.71428571428572</v>
      </c>
      <c r="N119" s="382"/>
    </row>
    <row r="120" spans="1:14" s="446" customFormat="1" ht="27.75">
      <c r="A120" s="1508" t="s">
        <v>229</v>
      </c>
      <c r="B120" s="1509"/>
      <c r="C120" s="1141"/>
      <c r="D120" s="624" t="s">
        <v>144</v>
      </c>
      <c r="E120" s="534"/>
      <c r="F120" s="662">
        <f>SUM(G112)</f>
        <v>86</v>
      </c>
      <c r="G120" s="534">
        <f>SUM(G112)</f>
        <v>86</v>
      </c>
      <c r="H120" s="460">
        <f>G120+'6'!H120</f>
        <v>872</v>
      </c>
      <c r="I120" s="535"/>
      <c r="J120" s="559">
        <f>H120/DAY(B2)</f>
        <v>124.57142857142857</v>
      </c>
      <c r="N120" s="382"/>
    </row>
    <row r="121" spans="1:14" s="442" customFormat="1" ht="27.75">
      <c r="A121" s="1510"/>
      <c r="B121" s="1511"/>
      <c r="C121" s="1142"/>
      <c r="D121" s="560"/>
      <c r="E121" s="560"/>
      <c r="F121" s="664" t="s">
        <v>215</v>
      </c>
      <c r="G121" s="560"/>
      <c r="H121" s="561"/>
      <c r="I121" s="560"/>
      <c r="J121" s="562"/>
      <c r="N121" s="382"/>
    </row>
    <row r="122" spans="1:14">
      <c r="A122" s="1545" t="s">
        <v>230</v>
      </c>
      <c r="B122" s="1546"/>
      <c r="C122" s="1547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4" t="s">
        <v>231</v>
      </c>
      <c r="B123" s="1145"/>
      <c r="C123" s="1145"/>
      <c r="D123" s="523" t="s">
        <v>141</v>
      </c>
      <c r="E123" s="1061">
        <f>'6'!F123</f>
        <v>820332</v>
      </c>
      <c r="F123" s="1061">
        <v>820576</v>
      </c>
      <c r="G123" s="1062">
        <f t="shared" ref="G123:G127" si="14">F123-E123</f>
        <v>244</v>
      </c>
      <c r="H123" s="460">
        <f>G123+'6'!H123</f>
        <v>1766</v>
      </c>
      <c r="I123" s="526"/>
      <c r="J123" s="552">
        <f>H123/DAY(B2)</f>
        <v>252.28571428571428</v>
      </c>
      <c r="K123" s="380"/>
      <c r="L123" s="377"/>
      <c r="N123" s="382"/>
    </row>
    <row r="124" spans="1:14" ht="27.75">
      <c r="A124" s="1144" t="s">
        <v>232</v>
      </c>
      <c r="B124" s="1145"/>
      <c r="C124" s="1145"/>
      <c r="D124" s="523" t="s">
        <v>141</v>
      </c>
      <c r="E124" s="1061">
        <f>'6'!F124</f>
        <v>73583</v>
      </c>
      <c r="F124" s="485">
        <v>73583</v>
      </c>
      <c r="G124" s="473">
        <f t="shared" si="14"/>
        <v>0</v>
      </c>
      <c r="H124" s="460">
        <f>G124+'6'!H124</f>
        <v>-0.39999999999417923</v>
      </c>
      <c r="I124" s="526"/>
      <c r="J124" s="552">
        <f>H124/DAY(B2)</f>
        <v>-5.7142857142025605E-2</v>
      </c>
      <c r="K124" s="380"/>
      <c r="L124" s="377"/>
      <c r="N124" s="382"/>
    </row>
    <row r="125" spans="1:14" ht="27.75">
      <c r="A125" s="1499" t="s">
        <v>233</v>
      </c>
      <c r="B125" s="1500"/>
      <c r="C125" s="1501"/>
      <c r="D125" s="523" t="s">
        <v>141</v>
      </c>
      <c r="E125" s="1061">
        <f>'6'!F125</f>
        <v>142687</v>
      </c>
      <c r="F125" s="1067">
        <v>142781</v>
      </c>
      <c r="G125" s="1063">
        <f t="shared" si="14"/>
        <v>94</v>
      </c>
      <c r="H125" s="460">
        <f>G125+'6'!H125</f>
        <v>645</v>
      </c>
      <c r="I125" s="526"/>
      <c r="J125" s="552">
        <f>H125/DAY(B2)</f>
        <v>92.142857142857139</v>
      </c>
      <c r="K125" s="380"/>
      <c r="L125" s="377"/>
      <c r="N125" s="382"/>
    </row>
    <row r="126" spans="1:14" ht="27.75">
      <c r="A126" s="609" t="s">
        <v>234</v>
      </c>
      <c r="B126" s="1145"/>
      <c r="C126" s="1145"/>
      <c r="D126" s="523" t="s">
        <v>141</v>
      </c>
      <c r="E126" s="1061">
        <f>'6'!F126</f>
        <v>31384</v>
      </c>
      <c r="F126" s="485">
        <v>31403</v>
      </c>
      <c r="G126" s="473">
        <f t="shared" si="14"/>
        <v>19</v>
      </c>
      <c r="H126" s="460">
        <f>G126+'6'!H126</f>
        <v>84.299999999999272</v>
      </c>
      <c r="I126" s="526"/>
      <c r="J126" s="552">
        <f>H126/DAY(B2)</f>
        <v>12.04285714285704</v>
      </c>
      <c r="K126" s="380"/>
      <c r="L126" s="377"/>
      <c r="N126" s="382"/>
    </row>
    <row r="127" spans="1:14" ht="27.75">
      <c r="A127" s="609" t="s">
        <v>235</v>
      </c>
      <c r="B127" s="1145"/>
      <c r="C127" s="1145"/>
      <c r="D127" s="523" t="s">
        <v>141</v>
      </c>
      <c r="E127" s="1061">
        <f>'6'!F127</f>
        <v>8966</v>
      </c>
      <c r="F127" s="485">
        <v>8966</v>
      </c>
      <c r="G127" s="473">
        <f t="shared" si="14"/>
        <v>0</v>
      </c>
      <c r="H127" s="460">
        <f>G127+'6'!H127</f>
        <v>4</v>
      </c>
      <c r="I127" s="480"/>
      <c r="J127" s="552">
        <f>H127/DAY(B2)</f>
        <v>0.5714285714285714</v>
      </c>
      <c r="K127" s="380"/>
      <c r="L127" s="377"/>
      <c r="N127" s="382"/>
    </row>
    <row r="128" spans="1:14" s="281" customFormat="1" ht="27.75">
      <c r="A128" s="609" t="s">
        <v>236</v>
      </c>
      <c r="B128" s="1145"/>
      <c r="C128" s="1145"/>
      <c r="D128" s="523"/>
      <c r="E128" s="478"/>
      <c r="F128" s="478"/>
      <c r="G128" s="1059">
        <f>G15-SUM(G123:G127)</f>
        <v>541</v>
      </c>
      <c r="H128" s="460">
        <f>G128+'6'!H128</f>
        <v>4149.0999999999949</v>
      </c>
      <c r="I128" s="480"/>
      <c r="J128" s="552">
        <f>H128/DAY(B2)</f>
        <v>592.72857142857072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4" t="s">
        <v>238</v>
      </c>
      <c r="B130" s="1145"/>
      <c r="C130" s="1145"/>
      <c r="D130" s="523" t="s">
        <v>239</v>
      </c>
      <c r="E130" s="484">
        <f>'6'!F130</f>
        <v>0</v>
      </c>
      <c r="F130" s="478">
        <v>0</v>
      </c>
      <c r="G130" s="473">
        <f t="shared" ref="G130:G140" si="15">F130-E130</f>
        <v>0</v>
      </c>
      <c r="H130" s="460">
        <f>G130+'6'!H130</f>
        <v>0</v>
      </c>
      <c r="I130" s="480"/>
      <c r="J130" s="552">
        <f>H130/DAY(B2)</f>
        <v>0</v>
      </c>
      <c r="N130" s="382"/>
    </row>
    <row r="131" spans="1:14" ht="27.75">
      <c r="A131" s="1144" t="s">
        <v>240</v>
      </c>
      <c r="B131" s="1145"/>
      <c r="C131" s="1145"/>
      <c r="D131" s="523" t="s">
        <v>239</v>
      </c>
      <c r="E131" s="484">
        <f>'6'!F131</f>
        <v>0</v>
      </c>
      <c r="F131" s="478">
        <v>0</v>
      </c>
      <c r="G131" s="473">
        <f t="shared" si="15"/>
        <v>0</v>
      </c>
      <c r="H131" s="460">
        <f>G131+'6'!H131</f>
        <v>0</v>
      </c>
      <c r="I131" s="480"/>
      <c r="J131" s="552">
        <f>H131/DAY(B2)</f>
        <v>0</v>
      </c>
      <c r="N131" s="382"/>
    </row>
    <row r="132" spans="1:14" ht="27.75">
      <c r="A132" s="1144" t="s">
        <v>241</v>
      </c>
      <c r="B132" s="1145"/>
      <c r="C132" s="1145"/>
      <c r="D132" s="523" t="s">
        <v>239</v>
      </c>
      <c r="E132" s="522">
        <f>'6'!F132</f>
        <v>39649</v>
      </c>
      <c r="F132" s="485">
        <v>39651</v>
      </c>
      <c r="G132" s="473">
        <f t="shared" si="15"/>
        <v>2</v>
      </c>
      <c r="H132" s="460">
        <f>G132+'6'!H132</f>
        <v>118</v>
      </c>
      <c r="I132" s="480"/>
      <c r="J132" s="552">
        <f>H132/DAY(B2)</f>
        <v>16.857142857142858</v>
      </c>
      <c r="N132" s="382"/>
    </row>
    <row r="133" spans="1:14" ht="27.75">
      <c r="A133" s="1144" t="s">
        <v>242</v>
      </c>
      <c r="B133" s="1145"/>
      <c r="C133" s="1145"/>
      <c r="D133" s="523" t="s">
        <v>239</v>
      </c>
      <c r="E133" s="704">
        <f>'6'!F133</f>
        <v>300</v>
      </c>
      <c r="F133" s="626">
        <v>300</v>
      </c>
      <c r="G133" s="777">
        <f t="shared" si="15"/>
        <v>0</v>
      </c>
      <c r="H133" s="460">
        <f>G133+'6'!H133</f>
        <v>0</v>
      </c>
      <c r="I133" s="480">
        <f>G132+G133+G134+G135</f>
        <v>26</v>
      </c>
      <c r="J133" s="552">
        <f>H133/DAY(B2)</f>
        <v>0</v>
      </c>
      <c r="N133" s="382"/>
    </row>
    <row r="134" spans="1:14" ht="27.75">
      <c r="A134" s="1144" t="s">
        <v>243</v>
      </c>
      <c r="B134" s="1145"/>
      <c r="C134" s="1145"/>
      <c r="D134" s="523" t="s">
        <v>239</v>
      </c>
      <c r="E134" s="522">
        <f>'6'!F134</f>
        <v>40885</v>
      </c>
      <c r="F134" s="485">
        <v>40909</v>
      </c>
      <c r="G134" s="473">
        <f t="shared" si="15"/>
        <v>24</v>
      </c>
      <c r="H134" s="460">
        <f>G134+'6'!H134</f>
        <v>70</v>
      </c>
      <c r="I134" s="480"/>
      <c r="J134" s="552">
        <f>H134/DAY(B2)</f>
        <v>10</v>
      </c>
      <c r="N134" s="382"/>
    </row>
    <row r="135" spans="1:14" ht="27.75">
      <c r="A135" s="1144" t="s">
        <v>244</v>
      </c>
      <c r="B135" s="1145"/>
      <c r="C135" s="1145"/>
      <c r="D135" s="523" t="s">
        <v>239</v>
      </c>
      <c r="E135" s="704">
        <f>'6'!F135</f>
        <v>32582.560000000001</v>
      </c>
      <c r="F135" s="626">
        <v>32582.560000000001</v>
      </c>
      <c r="G135" s="777">
        <f t="shared" si="15"/>
        <v>0</v>
      </c>
      <c r="H135" s="460">
        <f>G135+'6'!H135</f>
        <v>-0.43999999999869033</v>
      </c>
      <c r="I135" s="480"/>
      <c r="J135" s="552">
        <f>H135/DAY(B2)</f>
        <v>-6.2857142856955761E-2</v>
      </c>
      <c r="N135" s="382"/>
    </row>
    <row r="136" spans="1:14" ht="27.75">
      <c r="A136" s="1144" t="s">
        <v>245</v>
      </c>
      <c r="B136" s="1145"/>
      <c r="C136" s="1145"/>
      <c r="D136" s="523" t="s">
        <v>239</v>
      </c>
      <c r="E136" s="541">
        <f>'6'!F136</f>
        <v>22549.7</v>
      </c>
      <c r="F136" s="654">
        <v>22560.58</v>
      </c>
      <c r="G136" s="473">
        <f t="shared" si="15"/>
        <v>10.880000000001019</v>
      </c>
      <c r="H136" s="460">
        <f>G136+'6'!H136</f>
        <v>71.930000000000291</v>
      </c>
      <c r="I136" s="480">
        <f>G136+G137+G138</f>
        <v>10.880000000001019</v>
      </c>
      <c r="J136" s="552">
        <f>H136/DAY(B2)</f>
        <v>10.275714285714328</v>
      </c>
      <c r="N136" s="382"/>
    </row>
    <row r="137" spans="1:14" ht="27.75">
      <c r="A137" s="1144" t="s">
        <v>246</v>
      </c>
      <c r="B137" s="1145"/>
      <c r="C137" s="1145"/>
      <c r="D137" s="523" t="s">
        <v>239</v>
      </c>
      <c r="E137" s="541">
        <f>'6'!F137</f>
        <v>25048.97</v>
      </c>
      <c r="F137" s="654">
        <v>25048.97</v>
      </c>
      <c r="G137" s="473">
        <f t="shared" si="15"/>
        <v>0</v>
      </c>
      <c r="H137" s="460">
        <f>G137+'6'!H137</f>
        <v>0.18000000000029104</v>
      </c>
      <c r="I137" s="480"/>
      <c r="J137" s="552">
        <f>H137/DAY(B2)</f>
        <v>2.5714285714327292E-2</v>
      </c>
      <c r="N137" s="382"/>
    </row>
    <row r="138" spans="1:14" ht="27.75">
      <c r="A138" s="1144" t="s">
        <v>247</v>
      </c>
      <c r="B138" s="1145"/>
      <c r="C138" s="1145"/>
      <c r="D138" s="523" t="s">
        <v>239</v>
      </c>
      <c r="E138" s="1065">
        <f>'6'!F138</f>
        <v>70273.94</v>
      </c>
      <c r="F138" s="1066">
        <v>70273.94</v>
      </c>
      <c r="G138" s="1059">
        <f t="shared" si="15"/>
        <v>0</v>
      </c>
      <c r="H138" s="460">
        <f>G138+'6'!H138</f>
        <v>19.910000000003492</v>
      </c>
      <c r="I138" s="480"/>
      <c r="J138" s="552">
        <f>H138/DAY(B2)</f>
        <v>2.844285714286213</v>
      </c>
      <c r="N138" s="382"/>
    </row>
    <row r="139" spans="1:14" ht="27.75">
      <c r="A139" s="1144" t="s">
        <v>248</v>
      </c>
      <c r="B139" s="1145"/>
      <c r="C139" s="1145"/>
      <c r="D139" s="523" t="s">
        <v>239</v>
      </c>
      <c r="E139" s="522">
        <f>'6'!F139</f>
        <v>1536.52</v>
      </c>
      <c r="F139" s="485">
        <v>1536.52</v>
      </c>
      <c r="G139" s="473">
        <f t="shared" si="15"/>
        <v>0</v>
      </c>
      <c r="H139" s="460">
        <f>G139+'6'!H139</f>
        <v>0</v>
      </c>
      <c r="I139" s="542">
        <f>G139+G140</f>
        <v>7.8999999999996362</v>
      </c>
      <c r="J139" s="552">
        <f>H139/DAY(B2)</f>
        <v>0</v>
      </c>
      <c r="N139" s="382"/>
    </row>
    <row r="140" spans="1:14" ht="27.75">
      <c r="A140" s="1144" t="s">
        <v>249</v>
      </c>
      <c r="B140" s="1145"/>
      <c r="C140" s="1145"/>
      <c r="D140" s="523" t="s">
        <v>239</v>
      </c>
      <c r="E140" s="1064">
        <f>'6'!F140</f>
        <v>4518.1000000000004</v>
      </c>
      <c r="F140" s="1061">
        <v>4526</v>
      </c>
      <c r="G140" s="1062">
        <f t="shared" si="15"/>
        <v>7.8999999999996362</v>
      </c>
      <c r="H140" s="460">
        <f>G140+'6'!H140</f>
        <v>57.460000000000036</v>
      </c>
      <c r="I140" s="542"/>
      <c r="J140" s="552">
        <f>H140/DAY(B2)</f>
        <v>8.2085714285714335</v>
      </c>
      <c r="N140" s="382"/>
    </row>
    <row r="141" spans="1:14">
      <c r="A141" s="1526" t="s">
        <v>250</v>
      </c>
      <c r="B141" s="1527"/>
      <c r="C141" s="1150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520" t="s">
        <v>251</v>
      </c>
      <c r="B142" s="1521"/>
      <c r="C142" s="1522"/>
      <c r="D142" s="523" t="s">
        <v>132</v>
      </c>
      <c r="E142" s="523"/>
      <c r="F142" s="523"/>
      <c r="G142" s="460">
        <f>G35+G43+G49+G57</f>
        <v>5883</v>
      </c>
      <c r="H142" s="460">
        <f>G142+'6'!H142</f>
        <v>41195</v>
      </c>
      <c r="I142" s="480"/>
      <c r="J142" s="552">
        <f>H142/DAY(B2)</f>
        <v>5885</v>
      </c>
      <c r="K142" s="380"/>
      <c r="L142" s="377"/>
      <c r="N142" s="382"/>
    </row>
    <row r="143" spans="1:14" ht="27.75">
      <c r="A143" s="1520" t="s">
        <v>252</v>
      </c>
      <c r="B143" s="1521"/>
      <c r="C143" s="1522"/>
      <c r="D143" s="523" t="s">
        <v>24</v>
      </c>
      <c r="E143" s="511"/>
      <c r="F143" s="511"/>
      <c r="G143" s="543">
        <f>G142/G7</f>
        <v>0.26823819077147548</v>
      </c>
      <c r="H143" s="460">
        <f>G143+'6'!H143</f>
        <v>1.8872346030779374</v>
      </c>
      <c r="I143" s="544"/>
      <c r="J143" s="552">
        <f>H143/DAY(B2)</f>
        <v>0.2696049432968482</v>
      </c>
      <c r="K143" s="380"/>
      <c r="L143" s="377"/>
      <c r="N143" s="382"/>
    </row>
    <row r="144" spans="1:14" ht="27.75">
      <c r="A144" s="1520" t="s">
        <v>253</v>
      </c>
      <c r="B144" s="1521"/>
      <c r="C144" s="1522"/>
      <c r="D144" s="523" t="s">
        <v>132</v>
      </c>
      <c r="E144" s="455"/>
      <c r="F144" s="455"/>
      <c r="G144" s="460">
        <f>G41+G42+G55+G56</f>
        <v>6293</v>
      </c>
      <c r="H144" s="460">
        <f>G144+'6'!H144</f>
        <v>42485.84</v>
      </c>
      <c r="I144" s="480"/>
      <c r="J144" s="552">
        <f>H144/DAY(B2)</f>
        <v>6069.4057142857137</v>
      </c>
      <c r="K144" s="380"/>
      <c r="L144" s="377"/>
      <c r="N144" s="382"/>
    </row>
    <row r="145" spans="1:14" ht="27.75">
      <c r="A145" s="1520" t="s">
        <v>254</v>
      </c>
      <c r="B145" s="1521"/>
      <c r="C145" s="1522"/>
      <c r="D145" s="523" t="s">
        <v>24</v>
      </c>
      <c r="E145" s="455"/>
      <c r="F145" s="455"/>
      <c r="G145" s="543">
        <f>G144/G7</f>
        <v>0.2869323363122378</v>
      </c>
      <c r="H145" s="460">
        <f>G145+'6'!H145</f>
        <v>1.9423576352722547</v>
      </c>
      <c r="I145" s="544"/>
      <c r="J145" s="552">
        <f>H145/DAY(B2)</f>
        <v>0.27747966218175069</v>
      </c>
      <c r="K145" s="380"/>
      <c r="L145" s="377"/>
      <c r="N145" s="382"/>
    </row>
    <row r="146" spans="1:14" ht="27.75">
      <c r="A146" s="1520" t="s">
        <v>255</v>
      </c>
      <c r="B146" s="1521"/>
      <c r="C146" s="1522"/>
      <c r="D146" s="523" t="s">
        <v>132</v>
      </c>
      <c r="E146" s="455"/>
      <c r="F146" s="455"/>
      <c r="G146" s="460">
        <f>G39+G53</f>
        <v>4069</v>
      </c>
      <c r="H146" s="460">
        <f>G146+'6'!H146</f>
        <v>28808</v>
      </c>
      <c r="I146" s="545"/>
      <c r="J146" s="552">
        <f>H146/DAY(B2)</f>
        <v>4115.4285714285716</v>
      </c>
      <c r="K146" s="380"/>
      <c r="L146" s="377"/>
      <c r="N146" s="382"/>
    </row>
    <row r="147" spans="1:14" ht="27.75">
      <c r="A147" s="1520" t="s">
        <v>256</v>
      </c>
      <c r="B147" s="1521"/>
      <c r="C147" s="1522"/>
      <c r="D147" s="523" t="s">
        <v>24</v>
      </c>
      <c r="E147" s="455"/>
      <c r="F147" s="455"/>
      <c r="G147" s="543">
        <f>G146/G7</f>
        <v>0.1855279956228342</v>
      </c>
      <c r="H147" s="460">
        <f>G147+'6'!H147</f>
        <v>1.3185746148123052</v>
      </c>
      <c r="I147" s="545"/>
      <c r="J147" s="552">
        <f>H147/DAY(B2)</f>
        <v>0.18836780211604359</v>
      </c>
      <c r="N147" s="382"/>
    </row>
    <row r="148" spans="1:14" ht="27.75">
      <c r="A148" s="1520" t="s">
        <v>257</v>
      </c>
      <c r="B148" s="1521"/>
      <c r="C148" s="1522"/>
      <c r="D148" s="523" t="s">
        <v>183</v>
      </c>
      <c r="E148" s="455"/>
      <c r="F148" s="455"/>
      <c r="G148" s="460">
        <f>G38+G52</f>
        <v>1757</v>
      </c>
      <c r="H148" s="460">
        <f>G148+'6'!H148</f>
        <v>12195</v>
      </c>
      <c r="I148" s="480"/>
      <c r="J148" s="552">
        <f>H148/DAY(B2)</f>
        <v>1742.1428571428571</v>
      </c>
      <c r="K148" s="381"/>
      <c r="N148" s="382"/>
    </row>
    <row r="149" spans="1:14" ht="27.75">
      <c r="A149" s="1520" t="s">
        <v>258</v>
      </c>
      <c r="B149" s="1521"/>
      <c r="C149" s="1522"/>
      <c r="D149" s="523" t="s">
        <v>24</v>
      </c>
      <c r="E149" s="455"/>
      <c r="F149" s="455"/>
      <c r="G149" s="543">
        <f>G148/G7</f>
        <v>8.0111252963705998E-2</v>
      </c>
      <c r="H149" s="460">
        <f>G149+'6'!H149</f>
        <v>0.55876924258796101</v>
      </c>
      <c r="I149" s="545"/>
      <c r="J149" s="552">
        <f>H149/DAY(B2)</f>
        <v>7.9824177512565861E-2</v>
      </c>
      <c r="N149" s="382"/>
    </row>
    <row r="150" spans="1:14" ht="27.75">
      <c r="A150" s="1520" t="s">
        <v>259</v>
      </c>
      <c r="B150" s="1521"/>
      <c r="C150" s="1522"/>
      <c r="D150" s="523" t="s">
        <v>183</v>
      </c>
      <c r="E150" s="455"/>
      <c r="F150" s="455"/>
      <c r="G150" s="460">
        <f>G36+G50</f>
        <v>1960</v>
      </c>
      <c r="H150" s="460">
        <f>G150+'6'!H150</f>
        <v>14121</v>
      </c>
      <c r="I150" s="545"/>
      <c r="J150" s="552">
        <f>H150/DAY(B2)</f>
        <v>2017.2857142857142</v>
      </c>
      <c r="N150" s="382"/>
    </row>
    <row r="151" spans="1:14" ht="27.75">
      <c r="A151" s="1520" t="s">
        <v>260</v>
      </c>
      <c r="B151" s="1521"/>
      <c r="C151" s="1522"/>
      <c r="D151" s="523" t="s">
        <v>24</v>
      </c>
      <c r="E151" s="455"/>
      <c r="F151" s="455"/>
      <c r="G151" s="543">
        <f>G150/G7</f>
        <v>8.9367134780229798E-2</v>
      </c>
      <c r="H151" s="460">
        <f>G151+'6'!H151</f>
        <v>0.64510505053854972</v>
      </c>
      <c r="I151" s="480"/>
      <c r="J151" s="552">
        <f>H151/DAY(B2)</f>
        <v>9.2157864362649958E-2</v>
      </c>
      <c r="N151" s="382"/>
    </row>
    <row r="152" spans="1:14" ht="27.75">
      <c r="A152" s="1520" t="s">
        <v>261</v>
      </c>
      <c r="B152" s="1521"/>
      <c r="C152" s="1522"/>
      <c r="D152" s="523" t="s">
        <v>183</v>
      </c>
      <c r="E152" s="455"/>
      <c r="F152" s="455"/>
      <c r="G152" s="460">
        <f>G37+G51</f>
        <v>1397</v>
      </c>
      <c r="H152" s="460">
        <f>G152+'6'!H152</f>
        <v>9829</v>
      </c>
      <c r="I152" s="480"/>
      <c r="J152" s="552">
        <f>H152/DAY(B2)</f>
        <v>1404.1428571428571</v>
      </c>
      <c r="N152" s="382"/>
    </row>
    <row r="153" spans="1:14" ht="28.5" thickBot="1">
      <c r="A153" s="1523" t="s">
        <v>262</v>
      </c>
      <c r="B153" s="1524"/>
      <c r="C153" s="1525"/>
      <c r="D153" s="625" t="s">
        <v>24</v>
      </c>
      <c r="E153" s="565"/>
      <c r="F153" s="565"/>
      <c r="G153" s="566">
        <f>G152/G7</f>
        <v>6.3696881269378072E-2</v>
      </c>
      <c r="H153" s="460">
        <f>G153+'6'!H153</f>
        <v>0.45036969858955583</v>
      </c>
      <c r="I153" s="568"/>
      <c r="J153" s="569">
        <f>H153/DAY(B2)</f>
        <v>6.4338528369936546E-2</v>
      </c>
      <c r="N153" s="382"/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382"/>
    </row>
    <row r="157" spans="1:14" ht="27.75">
      <c r="A157" s="1554" t="s">
        <v>267</v>
      </c>
      <c r="B157" s="1555"/>
      <c r="C157" s="1555"/>
      <c r="D157" s="1555"/>
      <c r="E157" s="1555"/>
      <c r="F157" s="1555"/>
      <c r="G157" s="1556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661">
        <v>33937</v>
      </c>
      <c r="F160" s="661">
        <v>34022</v>
      </c>
      <c r="G160" s="473">
        <f t="shared" ref="G160:G171" si="16">F160-E160</f>
        <v>85</v>
      </c>
    </row>
    <row r="161" spans="1:7">
      <c r="A161" s="788" t="s">
        <v>264</v>
      </c>
      <c r="B161" s="789"/>
      <c r="C161" s="789"/>
      <c r="D161" s="511" t="s">
        <v>187</v>
      </c>
      <c r="E161" s="661">
        <v>71301</v>
      </c>
      <c r="F161" s="661">
        <v>71769</v>
      </c>
      <c r="G161" s="473">
        <f t="shared" si="16"/>
        <v>468</v>
      </c>
    </row>
    <row r="162" spans="1:7">
      <c r="A162" s="788" t="s">
        <v>265</v>
      </c>
      <c r="B162" s="789"/>
      <c r="C162" s="789"/>
      <c r="D162" s="511" t="s">
        <v>187</v>
      </c>
      <c r="E162" s="661">
        <v>31044</v>
      </c>
      <c r="F162" s="661">
        <v>31317</v>
      </c>
      <c r="G162" s="473">
        <f t="shared" si="16"/>
        <v>273</v>
      </c>
    </row>
    <row r="163" spans="1:7">
      <c r="A163" s="788" t="s">
        <v>266</v>
      </c>
      <c r="B163" s="789"/>
      <c r="C163" s="789"/>
      <c r="D163" s="511" t="s">
        <v>187</v>
      </c>
      <c r="E163" s="661">
        <v>5880</v>
      </c>
      <c r="F163" s="661">
        <v>5889</v>
      </c>
      <c r="G163" s="473">
        <f t="shared" si="16"/>
        <v>9</v>
      </c>
    </row>
    <row r="164" spans="1:7">
      <c r="A164" s="790" t="s">
        <v>98</v>
      </c>
      <c r="B164" s="604"/>
      <c r="C164" s="604"/>
      <c r="D164" s="511" t="s">
        <v>187</v>
      </c>
      <c r="E164" s="1064">
        <f>'6'!F164</f>
        <v>0</v>
      </c>
      <c r="F164" s="514">
        <f>F62</f>
        <v>0</v>
      </c>
      <c r="G164" s="473">
        <f t="shared" si="16"/>
        <v>0</v>
      </c>
    </row>
    <row r="165" spans="1:7">
      <c r="A165" s="790" t="s">
        <v>188</v>
      </c>
      <c r="B165" s="604"/>
      <c r="C165" s="604"/>
      <c r="D165" s="511" t="s">
        <v>187</v>
      </c>
      <c r="E165" s="1064">
        <f>'6'!F165</f>
        <v>2166</v>
      </c>
      <c r="F165" s="514">
        <f t="shared" ref="F165:F171" si="17">F63</f>
        <v>2178</v>
      </c>
      <c r="G165" s="473">
        <f t="shared" si="16"/>
        <v>12</v>
      </c>
    </row>
    <row r="166" spans="1:7" ht="27.75">
      <c r="A166" s="1495" t="s">
        <v>99</v>
      </c>
      <c r="B166" s="1495"/>
      <c r="C166" s="1495"/>
      <c r="D166" s="523" t="s">
        <v>187</v>
      </c>
      <c r="E166" s="1064">
        <f>'6'!F166</f>
        <v>141950</v>
      </c>
      <c r="F166" s="514">
        <f t="shared" si="17"/>
        <v>142423</v>
      </c>
      <c r="G166" s="473">
        <f t="shared" si="16"/>
        <v>473</v>
      </c>
    </row>
    <row r="167" spans="1:7" ht="27.75">
      <c r="A167" s="1495" t="s">
        <v>100</v>
      </c>
      <c r="B167" s="1495"/>
      <c r="C167" s="1495"/>
      <c r="D167" s="523" t="s">
        <v>187</v>
      </c>
      <c r="E167" s="1064">
        <f>'6'!F167</f>
        <v>146386</v>
      </c>
      <c r="F167" s="514">
        <f t="shared" si="17"/>
        <v>146745</v>
      </c>
      <c r="G167" s="473">
        <f t="shared" si="16"/>
        <v>359</v>
      </c>
    </row>
    <row r="168" spans="1:7" ht="27.75">
      <c r="A168" s="1495" t="s">
        <v>101</v>
      </c>
      <c r="B168" s="1495"/>
      <c r="C168" s="1495"/>
      <c r="D168" s="523" t="s">
        <v>187</v>
      </c>
      <c r="E168" s="1064">
        <f>'6'!F168</f>
        <v>39601</v>
      </c>
      <c r="F168" s="514">
        <f t="shared" si="17"/>
        <v>39987</v>
      </c>
      <c r="G168" s="473">
        <f t="shared" si="16"/>
        <v>386</v>
      </c>
    </row>
    <row r="169" spans="1:7" ht="27.75">
      <c r="A169" s="1495" t="s">
        <v>102</v>
      </c>
      <c r="B169" s="1495"/>
      <c r="C169" s="1495"/>
      <c r="D169" s="523" t="s">
        <v>187</v>
      </c>
      <c r="E169" s="1064">
        <f>'6'!F169</f>
        <v>232860</v>
      </c>
      <c r="F169" s="514">
        <f t="shared" si="17"/>
        <v>233478</v>
      </c>
      <c r="G169" s="473">
        <f t="shared" si="16"/>
        <v>618</v>
      </c>
    </row>
    <row r="170" spans="1:7" ht="27.75">
      <c r="A170" s="1495" t="s">
        <v>103</v>
      </c>
      <c r="B170" s="1495"/>
      <c r="C170" s="1495"/>
      <c r="D170" s="523" t="s">
        <v>187</v>
      </c>
      <c r="E170" s="1064">
        <f>'6'!F170</f>
        <v>85034</v>
      </c>
      <c r="F170" s="514">
        <f t="shared" si="17"/>
        <v>85321</v>
      </c>
      <c r="G170" s="473">
        <f t="shared" si="16"/>
        <v>287</v>
      </c>
    </row>
    <row r="171" spans="1:7" ht="27.75">
      <c r="A171" s="1495" t="s">
        <v>104</v>
      </c>
      <c r="B171" s="1495"/>
      <c r="C171" s="1495"/>
      <c r="D171" s="523" t="s">
        <v>187</v>
      </c>
      <c r="E171" s="1064">
        <f>'6'!F171</f>
        <v>76175</v>
      </c>
      <c r="F171" s="514">
        <f t="shared" si="17"/>
        <v>76475</v>
      </c>
      <c r="G171" s="473">
        <f t="shared" si="16"/>
        <v>300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view="pageBreakPreview" topLeftCell="A31" zoomScale="55" zoomScaleSheetLayoutView="55" workbookViewId="0">
      <selection activeCell="F67" sqref="F67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28" t="s">
        <v>117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5" s="281" customFormat="1" ht="27">
      <c r="A2" s="575" t="s">
        <v>349</v>
      </c>
      <c r="B2" s="1036">
        <v>44294</v>
      </c>
      <c r="C2" s="1146" t="s">
        <v>69</v>
      </c>
      <c r="D2" s="611">
        <v>0.41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6" t="s">
        <v>120</v>
      </c>
      <c r="D3" s="612">
        <v>27</v>
      </c>
      <c r="E3" s="1537" t="s">
        <v>121</v>
      </c>
      <c r="F3" s="1538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6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31" t="s">
        <v>130</v>
      </c>
      <c r="B6" s="1532"/>
      <c r="C6" s="1533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9" t="s">
        <v>131</v>
      </c>
      <c r="B7" s="680"/>
      <c r="C7" s="680"/>
      <c r="D7" s="638" t="s">
        <v>132</v>
      </c>
      <c r="E7" s="633">
        <f>'7'!F7</f>
        <v>5266838</v>
      </c>
      <c r="F7" s="455">
        <v>5288429</v>
      </c>
      <c r="G7" s="681">
        <f>F7-E7</f>
        <v>21591</v>
      </c>
      <c r="H7" s="682">
        <f>G7+'7'!H7</f>
        <v>174506</v>
      </c>
      <c r="I7" s="683">
        <f>'1'!I7</f>
        <v>12000</v>
      </c>
      <c r="J7" s="684">
        <f>H7/DAY(B2)</f>
        <v>21813.25</v>
      </c>
      <c r="K7" s="549"/>
      <c r="L7" s="377"/>
      <c r="N7" s="711">
        <v>11335</v>
      </c>
      <c r="O7" s="382">
        <f>G7-N7</f>
        <v>10256</v>
      </c>
    </row>
    <row r="8" spans="1:15" ht="27.75" thickBot="1">
      <c r="A8" s="685" t="s">
        <v>133</v>
      </c>
      <c r="B8" s="686"/>
      <c r="C8" s="687"/>
      <c r="D8" s="688" t="s">
        <v>25</v>
      </c>
      <c r="E8" s="633">
        <f>'7'!F8</f>
        <v>5298954</v>
      </c>
      <c r="F8" s="475">
        <v>5320650</v>
      </c>
      <c r="G8" s="692">
        <f>F8-E8</f>
        <v>21696</v>
      </c>
      <c r="H8" s="682">
        <f>G8+'7'!H8</f>
        <v>175332</v>
      </c>
      <c r="I8" s="689">
        <v>12000</v>
      </c>
      <c r="J8" s="684">
        <f>H8/DAY(B2)</f>
        <v>21916.5</v>
      </c>
      <c r="K8" s="549"/>
      <c r="L8" s="425"/>
      <c r="M8" s="440"/>
      <c r="N8" s="706"/>
    </row>
    <row r="9" spans="1:15">
      <c r="A9" s="690" t="s">
        <v>134</v>
      </c>
      <c r="B9" s="691"/>
      <c r="C9" s="691"/>
      <c r="D9" s="638" t="s">
        <v>132</v>
      </c>
      <c r="E9" s="633">
        <f>'7'!F9</f>
        <v>544278</v>
      </c>
      <c r="F9" s="478">
        <v>565332.15</v>
      </c>
      <c r="G9" s="705">
        <f t="shared" ref="G9:G12" si="0">F9-E9</f>
        <v>21054.150000000023</v>
      </c>
      <c r="H9" s="682">
        <f>G9+'7'!H9</f>
        <v>169263.15000000002</v>
      </c>
      <c r="I9" s="693">
        <f>I7-J7</f>
        <v>-9813.25</v>
      </c>
      <c r="J9" s="684">
        <f>H9/DAY(B2)</f>
        <v>21157.893750000003</v>
      </c>
      <c r="K9" s="428"/>
      <c r="L9" s="377"/>
      <c r="N9" s="382"/>
    </row>
    <row r="10" spans="1:15">
      <c r="A10" s="679" t="s">
        <v>135</v>
      </c>
      <c r="B10" s="680"/>
      <c r="C10" s="680"/>
      <c r="D10" s="638" t="s">
        <v>132</v>
      </c>
      <c r="E10" s="633">
        <f>'7'!F10</f>
        <v>2322.58</v>
      </c>
      <c r="F10" s="478">
        <v>2322.58</v>
      </c>
      <c r="G10" s="692">
        <f t="shared" si="0"/>
        <v>0</v>
      </c>
      <c r="H10" s="682">
        <f>G10+'7'!H10</f>
        <v>0</v>
      </c>
      <c r="I10" s="694"/>
      <c r="J10" s="684">
        <f>H10/DAY(B2)</f>
        <v>0</v>
      </c>
      <c r="K10" s="428"/>
      <c r="L10" s="377"/>
      <c r="N10" s="382"/>
    </row>
    <row r="11" spans="1:15">
      <c r="A11" s="679" t="s">
        <v>136</v>
      </c>
      <c r="B11" s="680"/>
      <c r="C11" s="680"/>
      <c r="D11" s="638" t="s">
        <v>132</v>
      </c>
      <c r="E11" s="633">
        <f>'7'!F11</f>
        <v>37000</v>
      </c>
      <c r="F11" s="455">
        <v>37000</v>
      </c>
      <c r="G11" s="692">
        <f t="shared" si="0"/>
        <v>0</v>
      </c>
      <c r="H11" s="682">
        <f>G11+'7'!H11</f>
        <v>0</v>
      </c>
      <c r="I11" s="694"/>
      <c r="J11" s="684">
        <f>H11/DAY(B2)</f>
        <v>0</v>
      </c>
      <c r="K11" s="428"/>
      <c r="L11" s="377"/>
      <c r="N11" s="382"/>
    </row>
    <row r="12" spans="1:15">
      <c r="A12" s="679" t="s">
        <v>137</v>
      </c>
      <c r="B12" s="680"/>
      <c r="C12" s="680"/>
      <c r="D12" s="638" t="s">
        <v>132</v>
      </c>
      <c r="E12" s="633">
        <f>'7'!F12</f>
        <v>40010</v>
      </c>
      <c r="F12" s="478">
        <v>40010</v>
      </c>
      <c r="G12" s="692">
        <f t="shared" si="0"/>
        <v>0</v>
      </c>
      <c r="H12" s="682">
        <f>G12+'7'!H12</f>
        <v>0</v>
      </c>
      <c r="I12" s="694"/>
      <c r="J12" s="684">
        <f>H12/DAY(B2)</f>
        <v>0</v>
      </c>
      <c r="K12" s="428"/>
      <c r="L12" s="377"/>
      <c r="N12" s="382"/>
    </row>
    <row r="13" spans="1:15">
      <c r="A13" s="695" t="s">
        <v>138</v>
      </c>
      <c r="B13" s="696"/>
      <c r="C13" s="696"/>
      <c r="D13" s="638"/>
      <c r="E13" s="633"/>
      <c r="F13" s="455">
        <v>0</v>
      </c>
      <c r="G13" s="697">
        <f>G9+G10+G11+G12</f>
        <v>21054.150000000023</v>
      </c>
      <c r="H13" s="682">
        <f>G13+'7'!H13</f>
        <v>169263.15000000002</v>
      </c>
      <c r="I13" s="698">
        <f>G7-G13</f>
        <v>536.84999999997672</v>
      </c>
      <c r="J13" s="684">
        <f>H13/DAY(B2)</f>
        <v>21157.893750000003</v>
      </c>
      <c r="K13" s="428"/>
      <c r="L13" s="377"/>
      <c r="N13" s="382"/>
    </row>
    <row r="14" spans="1:15">
      <c r="A14" s="1534" t="s">
        <v>139</v>
      </c>
      <c r="B14" s="1535"/>
      <c r="C14" s="1536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76" t="s">
        <v>215</v>
      </c>
    </row>
    <row r="15" spans="1:15">
      <c r="A15" s="668" t="s">
        <v>140</v>
      </c>
      <c r="B15" s="669"/>
      <c r="C15" s="669"/>
      <c r="D15" s="670" t="s">
        <v>141</v>
      </c>
      <c r="E15" s="671">
        <f>'7'!F15</f>
        <v>1653337</v>
      </c>
      <c r="F15" s="485">
        <v>1654289.0319999999</v>
      </c>
      <c r="G15" s="667">
        <f>(F15-E15)</f>
        <v>952.0319999998901</v>
      </c>
      <c r="H15" s="673">
        <f>G15+'7'!H15</f>
        <v>7600.0319999998901</v>
      </c>
      <c r="I15" s="674">
        <v>800</v>
      </c>
      <c r="J15" s="675">
        <f>H15/DAY(B2)</f>
        <v>950.00399999998626</v>
      </c>
      <c r="K15" s="428"/>
      <c r="L15" s="377"/>
      <c r="N15" s="382"/>
    </row>
    <row r="16" spans="1:15">
      <c r="A16" s="676"/>
      <c r="B16" s="677"/>
      <c r="C16" s="677"/>
      <c r="D16" s="670"/>
      <c r="E16" s="671"/>
      <c r="F16" s="703"/>
      <c r="G16" s="672"/>
      <c r="H16" s="673"/>
      <c r="I16" s="678">
        <f>I15-J15</f>
        <v>-150.00399999998626</v>
      </c>
      <c r="J16" s="675"/>
      <c r="K16" s="428"/>
      <c r="L16" s="377"/>
      <c r="N16" s="382"/>
    </row>
    <row r="17" spans="1:14">
      <c r="A17" s="1534" t="s">
        <v>142</v>
      </c>
      <c r="B17" s="1535"/>
      <c r="C17" s="1536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60" t="s">
        <v>143</v>
      </c>
      <c r="B18" s="1561"/>
      <c r="C18" s="1562"/>
      <c r="D18" s="638" t="s">
        <v>144</v>
      </c>
      <c r="E18" s="635">
        <f>'7'!F18</f>
        <v>10</v>
      </c>
      <c r="F18" s="626">
        <v>10</v>
      </c>
      <c r="G18" s="697">
        <f>F18*10</f>
        <v>100</v>
      </c>
      <c r="H18" s="682">
        <f>G18+'7'!H18</f>
        <v>900</v>
      </c>
      <c r="I18" s="683">
        <f>'1'!I18</f>
        <v>65</v>
      </c>
      <c r="J18" s="684">
        <f>H18/DAY(B2)</f>
        <v>112.5</v>
      </c>
      <c r="K18" s="428"/>
      <c r="L18" s="377"/>
      <c r="N18" s="382"/>
    </row>
    <row r="19" spans="1:14" ht="27.75">
      <c r="A19" s="1560" t="s">
        <v>71</v>
      </c>
      <c r="B19" s="1561"/>
      <c r="C19" s="1562"/>
      <c r="D19" s="638" t="s">
        <v>144</v>
      </c>
      <c r="E19" s="635">
        <f>'7'!F19</f>
        <v>136474</v>
      </c>
      <c r="F19" s="478">
        <v>136530</v>
      </c>
      <c r="G19" s="692">
        <f t="shared" ref="G19" si="1">F19-E19</f>
        <v>56</v>
      </c>
      <c r="H19" s="682">
        <f>G19+'7'!H19</f>
        <v>440</v>
      </c>
      <c r="I19" s="699"/>
      <c r="J19" s="684">
        <f>H19/DAY(B2)</f>
        <v>55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156</v>
      </c>
      <c r="H20" s="682">
        <f>G20+'7'!H20</f>
        <v>1340</v>
      </c>
      <c r="I20" s="701">
        <f>I18-J20</f>
        <v>-102.5</v>
      </c>
      <c r="J20" s="684">
        <f>H20/DAY(B2)</f>
        <v>167.5</v>
      </c>
      <c r="K20" s="428"/>
      <c r="L20" s="377"/>
      <c r="N20" s="382"/>
    </row>
    <row r="21" spans="1:14">
      <c r="A21" s="1534" t="s">
        <v>146</v>
      </c>
      <c r="B21" s="1535"/>
      <c r="C21" s="1536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4" t="s">
        <v>147</v>
      </c>
      <c r="B22" s="589"/>
      <c r="C22" s="589"/>
      <c r="D22" s="523" t="s">
        <v>148</v>
      </c>
      <c r="E22" s="484">
        <f>'7'!F22</f>
        <v>1290</v>
      </c>
      <c r="F22" s="478">
        <v>1290</v>
      </c>
      <c r="G22" s="481">
        <f>(E22-F22)</f>
        <v>0</v>
      </c>
      <c r="H22" s="460">
        <f>G22+'7'!H22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4" t="s">
        <v>149</v>
      </c>
      <c r="B23" s="589"/>
      <c r="C23" s="589"/>
      <c r="D23" s="523" t="s">
        <v>148</v>
      </c>
      <c r="E23" s="484">
        <f>'7'!F23</f>
        <v>1900</v>
      </c>
      <c r="F23" s="478">
        <v>1900</v>
      </c>
      <c r="G23" s="481">
        <f>(E23-F23)</f>
        <v>0</v>
      </c>
      <c r="H23" s="460">
        <f>G23+'7'!H23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93">
        <f>'7'!F24</f>
        <v>3290</v>
      </c>
      <c r="F24" s="493">
        <v>4250</v>
      </c>
      <c r="G24" s="493">
        <f>(G22+G23)</f>
        <v>0</v>
      </c>
      <c r="H24" s="460">
        <f>G24+'7'!H24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39" t="s">
        <v>151</v>
      </c>
      <c r="B25" s="1540"/>
      <c r="C25" s="1541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21696</v>
      </c>
      <c r="F27" s="501">
        <v>9</v>
      </c>
      <c r="G27" s="502">
        <f>E27*F27</f>
        <v>195264</v>
      </c>
      <c r="H27" s="460">
        <f>G27+'7'!H27</f>
        <v>1577988</v>
      </c>
      <c r="I27" s="503"/>
      <c r="J27" s="552">
        <f>H27/DAY(B2)</f>
        <v>197248.5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952.0319999998901</v>
      </c>
      <c r="F28" s="501">
        <v>51.45</v>
      </c>
      <c r="G28" s="502">
        <f t="shared" ref="G28:G31" si="2">E28*F28</f>
        <v>48982.046399994346</v>
      </c>
      <c r="H28" s="460">
        <f>G28+'7'!H28</f>
        <v>391021.64639999432</v>
      </c>
      <c r="I28" s="505"/>
      <c r="J28" s="552">
        <f>H28/DAY(B2)</f>
        <v>48877.70579999929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 t="shared" si="2"/>
        <v>0</v>
      </c>
      <c r="H29" s="460">
        <f>G29+'7'!H29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134</v>
      </c>
      <c r="G30" s="502">
        <f t="shared" si="2"/>
        <v>7504</v>
      </c>
      <c r="H30" s="460">
        <f>G30+'7'!H30</f>
        <v>60328</v>
      </c>
      <c r="I30" s="505"/>
      <c r="J30" s="552">
        <f>H30/DAY(B2)</f>
        <v>7541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 t="shared" si="2"/>
        <v>8000</v>
      </c>
      <c r="H31" s="460">
        <f>G31+'7'!H31</f>
        <v>72000</v>
      </c>
      <c r="I31" s="505"/>
      <c r="J31" s="552">
        <f>H31/DAY(B2)</f>
        <v>9000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259750.04639999435</v>
      </c>
      <c r="H32" s="460">
        <f>G32+'7'!H32</f>
        <v>2101337.6463999944</v>
      </c>
      <c r="I32" s="509"/>
      <c r="J32" s="552">
        <f>H32/DAY(B2)</f>
        <v>262667.2057999993</v>
      </c>
      <c r="K32" s="373"/>
      <c r="L32" s="443"/>
      <c r="N32" s="382"/>
    </row>
    <row r="33" spans="1:14" ht="25.5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  <c r="N33" s="382"/>
    </row>
    <row r="34" spans="1:14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'7'!F35</f>
        <v>822044</v>
      </c>
      <c r="F35" s="510">
        <v>825359.11</v>
      </c>
      <c r="G35" s="473">
        <f t="shared" ref="G35:G46" si="3">F35-E35</f>
        <v>3315.109999999986</v>
      </c>
      <c r="H35" s="460">
        <f>G35+'7'!H35</f>
        <v>26970.109999999986</v>
      </c>
      <c r="I35" s="455"/>
      <c r="J35" s="552">
        <f>H35/DAY(B2)</f>
        <v>3371.2637499999983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'7'!F36</f>
        <v>323572</v>
      </c>
      <c r="F36" s="510">
        <v>324405.46999999997</v>
      </c>
      <c r="G36" s="473">
        <f t="shared" si="3"/>
        <v>833.46999999997206</v>
      </c>
      <c r="H36" s="460">
        <f>G36+'7'!H36</f>
        <v>6969.4699999999721</v>
      </c>
      <c r="I36" s="455"/>
      <c r="J36" s="552">
        <f>H36/DAY(B2)</f>
        <v>871.18374999999651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'7'!F37</f>
        <v>64626</v>
      </c>
      <c r="F37" s="510">
        <v>66014.362999999998</v>
      </c>
      <c r="G37" s="473">
        <f t="shared" si="3"/>
        <v>1388.3629999999976</v>
      </c>
      <c r="H37" s="460">
        <f>G37+'7'!H37</f>
        <v>11217.362999999998</v>
      </c>
      <c r="I37" s="455"/>
      <c r="J37" s="552">
        <f>H37/DAY(B2)</f>
        <v>1402.1703749999997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469">
        <f>'7'!F38</f>
        <v>84503</v>
      </c>
      <c r="F38" s="469">
        <v>86192.41</v>
      </c>
      <c r="G38" s="473">
        <f t="shared" si="3"/>
        <v>1689.4100000000035</v>
      </c>
      <c r="H38" s="460">
        <f>G38+'7'!H38</f>
        <v>13884.410000000003</v>
      </c>
      <c r="I38" s="455"/>
      <c r="J38" s="552">
        <f>H38/DAY(B2)</f>
        <v>1735.5512500000004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'7'!F39</f>
        <v>179780</v>
      </c>
      <c r="F39" s="510">
        <v>183273.29</v>
      </c>
      <c r="G39" s="473">
        <f t="shared" si="3"/>
        <v>3493.2900000000081</v>
      </c>
      <c r="H39" s="460">
        <f>G39+'7'!H39</f>
        <v>30451.290000000008</v>
      </c>
      <c r="I39" s="455"/>
      <c r="J39" s="552">
        <f>H39/DAY(B2)</f>
        <v>3806.411250000001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'7'!F40</f>
        <v>0</v>
      </c>
      <c r="F40" s="510">
        <v>0.17</v>
      </c>
      <c r="G40" s="473">
        <f t="shared" si="3"/>
        <v>0.17</v>
      </c>
      <c r="H40" s="460">
        <f>G40+'7'!H40</f>
        <v>0.17</v>
      </c>
      <c r="I40" s="455"/>
      <c r="J40" s="552">
        <f>H40/DAY(B2)</f>
        <v>2.1250000000000002E-2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'7'!F41</f>
        <v>160241</v>
      </c>
      <c r="F41" s="1060">
        <v>160477.21</v>
      </c>
      <c r="G41" s="473">
        <f t="shared" si="3"/>
        <v>236.20999999999185</v>
      </c>
      <c r="H41" s="460">
        <f>G41+'7'!H41</f>
        <v>27336.209999999992</v>
      </c>
      <c r="I41" s="455"/>
      <c r="J41" s="552">
        <f>H41/DAY(B2)</f>
        <v>3417.026249999999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'7'!F42</f>
        <v>59128</v>
      </c>
      <c r="F42" s="510">
        <v>59128.163</v>
      </c>
      <c r="G42" s="473">
        <f t="shared" si="3"/>
        <v>0.16300000000046566</v>
      </c>
      <c r="H42" s="460">
        <f>G42+'7'!H42</f>
        <v>2.9999999969732016E-3</v>
      </c>
      <c r="I42" s="455"/>
      <c r="J42" s="552">
        <f>H42/DAY(B2)</f>
        <v>3.749999996216502E-4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'7'!F43</f>
        <v>919588</v>
      </c>
      <c r="F43" s="510">
        <v>922074.23</v>
      </c>
      <c r="G43" s="473">
        <f t="shared" si="3"/>
        <v>2486.2299999999814</v>
      </c>
      <c r="H43" s="460">
        <f>G43+'7'!H43</f>
        <v>20026.229999999981</v>
      </c>
      <c r="I43" s="455"/>
      <c r="J43" s="552">
        <f>H43/DAY(B2)</f>
        <v>2503.2787499999977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614</v>
      </c>
      <c r="I45" s="455"/>
      <c r="J45" s="552">
        <f>H45/DAY(B2)</f>
        <v>76.75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187</v>
      </c>
      <c r="I46" s="455"/>
      <c r="J46" s="552">
        <f>H46/DAY(B2)</f>
        <v>23.375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13442.415999999941</v>
      </c>
      <c r="H47" s="460">
        <f>G47+'7'!H47</f>
        <v>137656.25599999994</v>
      </c>
      <c r="I47" s="455"/>
      <c r="J47" s="552">
        <f>H47/DAY(B2)</f>
        <v>17207.031999999992</v>
      </c>
      <c r="K47" s="428"/>
      <c r="L47" s="377"/>
      <c r="N47" s="382"/>
    </row>
    <row r="48" spans="1:14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'7'!F49</f>
        <v>260732</v>
      </c>
      <c r="F49" s="1060">
        <v>260732.13</v>
      </c>
      <c r="G49" s="473">
        <f t="shared" ref="G49:G58" si="4">F49-E49</f>
        <v>0.13000000000465661</v>
      </c>
      <c r="H49" s="460">
        <f>G49+'7'!H49</f>
        <v>0.13000000000465661</v>
      </c>
      <c r="I49" s="455"/>
      <c r="J49" s="552">
        <f>H49/DAY(B2)</f>
        <v>1.6250000000582077E-2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'7'!F50</f>
        <v>449217</v>
      </c>
      <c r="F50" s="510">
        <v>450325.75</v>
      </c>
      <c r="G50" s="473">
        <f>F50-E50</f>
        <v>1108.75</v>
      </c>
      <c r="H50" s="460">
        <f>G50+'7'!H50</f>
        <v>9093.75</v>
      </c>
      <c r="I50" s="455"/>
      <c r="J50" s="552">
        <f>H50/DAY(B2)</f>
        <v>1136.71875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'7'!F51</f>
        <v>144640</v>
      </c>
      <c r="F51" s="1060">
        <v>144639.87</v>
      </c>
      <c r="G51" s="473">
        <f t="shared" si="4"/>
        <v>-0.13000000000465661</v>
      </c>
      <c r="H51" s="460">
        <f>G51+'7'!H51</f>
        <v>-0.13000000000465661</v>
      </c>
      <c r="I51" s="455"/>
      <c r="J51" s="552">
        <f>H51/DAY(B2)</f>
        <v>-1.6250000000582077E-2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'7'!F52</f>
        <v>539608</v>
      </c>
      <c r="F52" s="1060">
        <v>539608</v>
      </c>
      <c r="G52" s="473">
        <f t="shared" si="4"/>
        <v>0</v>
      </c>
      <c r="H52" s="460">
        <f>G52+'7'!H52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'7'!F53</f>
        <v>403114</v>
      </c>
      <c r="F53" s="1060">
        <v>403744.35</v>
      </c>
      <c r="G53" s="473">
        <f t="shared" si="4"/>
        <v>630.34999999997672</v>
      </c>
      <c r="H53" s="460">
        <f>G53+'7'!H53</f>
        <v>2480.3499999999767</v>
      </c>
      <c r="I53" s="455"/>
      <c r="J53" s="552">
        <f>H53/DAY(B2)</f>
        <v>310.04374999999709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v>8200</v>
      </c>
      <c r="F54" s="510">
        <v>9741.0400000000009</v>
      </c>
      <c r="G54" s="473">
        <f t="shared" si="4"/>
        <v>1541.0400000000009</v>
      </c>
      <c r="H54" s="460">
        <f>G54+'7'!H54</f>
        <v>2043.0400000000009</v>
      </c>
      <c r="I54" s="455"/>
      <c r="J54" s="552">
        <f>H54/DAY(B2)</f>
        <v>255.38000000000011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'7'!F55</f>
        <v>231419</v>
      </c>
      <c r="F55" s="656">
        <v>237367.41</v>
      </c>
      <c r="G55" s="655">
        <f t="shared" si="4"/>
        <v>5948.4100000000035</v>
      </c>
      <c r="H55" s="708">
        <f>G55+'7'!H55</f>
        <v>21270.410000000003</v>
      </c>
      <c r="I55" s="709"/>
      <c r="J55" s="710">
        <f>H55/DAY(B2)</f>
        <v>2658.8012500000004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'7'!F56</f>
        <v>589031</v>
      </c>
      <c r="F56" s="656">
        <v>589049.59</v>
      </c>
      <c r="G56" s="473">
        <f t="shared" si="4"/>
        <v>18.589999999967404</v>
      </c>
      <c r="H56" s="460">
        <f>G56+'7'!H56</f>
        <v>82.589999999967404</v>
      </c>
      <c r="I56" s="455"/>
      <c r="J56" s="552">
        <f>H56/DAY(B2)</f>
        <v>10.323749999995925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'7'!F57</f>
        <v>7711</v>
      </c>
      <c r="F57" s="1060">
        <v>7711</v>
      </c>
      <c r="G57" s="473">
        <f t="shared" si="4"/>
        <v>0</v>
      </c>
      <c r="H57" s="460">
        <f>G57+'7'!H57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'7'!F58</f>
        <v>42882</v>
      </c>
      <c r="F58" s="656">
        <v>43080.23</v>
      </c>
      <c r="G58" s="473">
        <f t="shared" si="4"/>
        <v>198.2300000000032</v>
      </c>
      <c r="H58" s="460">
        <f>G58+'7'!H58</f>
        <v>1533.2300000000032</v>
      </c>
      <c r="I58" s="455"/>
      <c r="J58" s="552">
        <f>H58/DAY(B2)</f>
        <v>191.6537500000004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9445.3699999999517</v>
      </c>
      <c r="H59" s="460">
        <f>G59+'7'!H59</f>
        <v>36503.369999999952</v>
      </c>
      <c r="I59" s="455">
        <f>G7-G60</f>
        <v>-1296.7859999998909</v>
      </c>
      <c r="J59" s="552">
        <f>H59/DAY(B2)</f>
        <v>4562.921249999994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22887.785999999891</v>
      </c>
      <c r="H60" s="460">
        <f>G60+'7'!H60</f>
        <v>174159.62599999987</v>
      </c>
      <c r="I60" s="455">
        <f>G13-G60</f>
        <v>-1833.6359999998676</v>
      </c>
      <c r="J60" s="552">
        <f>H60/DAY(B2)</f>
        <v>21769.953249999984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</v>
      </c>
      <c r="G62" s="473">
        <f t="shared" ref="G62:G69" si="5">F62-E62</f>
        <v>0</v>
      </c>
      <c r="H62" s="460">
        <f>G62+'7'!H62</f>
        <v>1.9999999967694748E-3</v>
      </c>
      <c r="I62" s="515"/>
      <c r="J62" s="552">
        <f>H62/DAY(B2)</f>
        <v>2.4999999959618435E-4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'7'!F63</f>
        <v>2178</v>
      </c>
      <c r="F63" s="514">
        <v>2189.58</v>
      </c>
      <c r="G63" s="473">
        <f t="shared" si="5"/>
        <v>11.579999999999927</v>
      </c>
      <c r="H63" s="460">
        <f>G63+'7'!H63</f>
        <v>93.579999999999927</v>
      </c>
      <c r="I63" s="515"/>
      <c r="J63" s="552">
        <f>H63/DAY(B2)</f>
        <v>11.697499999999991</v>
      </c>
      <c r="K63" s="428"/>
      <c r="L63" s="377"/>
      <c r="N63" s="382"/>
    </row>
    <row r="64" spans="1:14" ht="27.75">
      <c r="A64" s="1499" t="s">
        <v>99</v>
      </c>
      <c r="B64" s="1500"/>
      <c r="C64" s="1501"/>
      <c r="D64" s="523" t="s">
        <v>187</v>
      </c>
      <c r="E64" s="514">
        <f>'7'!F64</f>
        <v>142423</v>
      </c>
      <c r="F64" s="478">
        <v>142907.71</v>
      </c>
      <c r="G64" s="473">
        <f t="shared" si="5"/>
        <v>484.70999999999185</v>
      </c>
      <c r="H64" s="460">
        <f>G64+'7'!H64</f>
        <v>3727.7099999999919</v>
      </c>
      <c r="I64" s="480"/>
      <c r="J64" s="552">
        <f>H64/DAY(B2)</f>
        <v>465.96374999999898</v>
      </c>
      <c r="K64" s="428"/>
      <c r="L64" s="377"/>
      <c r="N64" s="382"/>
    </row>
    <row r="65" spans="1:14" ht="27.75">
      <c r="A65" s="1499" t="s">
        <v>100</v>
      </c>
      <c r="B65" s="1500"/>
      <c r="C65" s="1501"/>
      <c r="D65" s="523" t="s">
        <v>187</v>
      </c>
      <c r="E65" s="514">
        <f>'7'!F65</f>
        <v>146745</v>
      </c>
      <c r="F65" s="654">
        <v>147109.56</v>
      </c>
      <c r="G65" s="473">
        <f t="shared" si="5"/>
        <v>364.55999999999767</v>
      </c>
      <c r="H65" s="460">
        <f>G65+'7'!H65</f>
        <v>2904.5599999999977</v>
      </c>
      <c r="I65" s="489"/>
      <c r="J65" s="552">
        <f>H65/DAY(B2)</f>
        <v>363.06999999999971</v>
      </c>
      <c r="K65" s="428"/>
      <c r="L65" s="377"/>
      <c r="N65" s="382"/>
    </row>
    <row r="66" spans="1:14" ht="27.75">
      <c r="A66" s="1499" t="s">
        <v>101</v>
      </c>
      <c r="B66" s="1500"/>
      <c r="C66" s="1501"/>
      <c r="D66" s="523" t="s">
        <v>187</v>
      </c>
      <c r="E66" s="514">
        <f>'7'!F66</f>
        <v>39987</v>
      </c>
      <c r="F66" s="478">
        <f>39987+386</f>
        <v>40373</v>
      </c>
      <c r="G66" s="473">
        <f t="shared" si="5"/>
        <v>386</v>
      </c>
      <c r="H66" s="460">
        <f>G66+'7'!H66</f>
        <v>3165</v>
      </c>
      <c r="I66" s="480"/>
      <c r="J66" s="552">
        <f>H66/DAY(B2)</f>
        <v>395.625</v>
      </c>
      <c r="K66" s="428"/>
      <c r="L66" s="377"/>
      <c r="N66" s="382"/>
    </row>
    <row r="67" spans="1:14" ht="27.75">
      <c r="A67" s="1499" t="s">
        <v>102</v>
      </c>
      <c r="B67" s="1500"/>
      <c r="C67" s="1501"/>
      <c r="D67" s="523" t="s">
        <v>187</v>
      </c>
      <c r="E67" s="514">
        <f>'7'!F67</f>
        <v>233478</v>
      </c>
      <c r="F67" s="478">
        <v>234109.79</v>
      </c>
      <c r="G67" s="473">
        <f t="shared" si="5"/>
        <v>631.79000000000815</v>
      </c>
      <c r="H67" s="460">
        <f>G67+'7'!H67</f>
        <v>5009.7900000000081</v>
      </c>
      <c r="I67" s="489"/>
      <c r="J67" s="552">
        <f>H67/DAY(B2)</f>
        <v>626.22375000000102</v>
      </c>
      <c r="K67" s="429"/>
      <c r="L67" s="377"/>
      <c r="N67" s="382"/>
    </row>
    <row r="68" spans="1:14" ht="27.75">
      <c r="A68" s="1499" t="s">
        <v>103</v>
      </c>
      <c r="B68" s="1500"/>
      <c r="C68" s="1501"/>
      <c r="D68" s="523" t="s">
        <v>187</v>
      </c>
      <c r="E68" s="514">
        <f>'7'!F68</f>
        <v>85321</v>
      </c>
      <c r="F68" s="478">
        <v>85321</v>
      </c>
      <c r="G68" s="473">
        <f t="shared" si="5"/>
        <v>0</v>
      </c>
      <c r="H68" s="460">
        <f>G68+'7'!H68</f>
        <v>2234</v>
      </c>
      <c r="I68" s="516"/>
      <c r="J68" s="552">
        <f>H68/DAY(B2)</f>
        <v>279.25</v>
      </c>
      <c r="K68" s="430"/>
      <c r="L68" s="377"/>
      <c r="N68" s="382"/>
    </row>
    <row r="69" spans="1:14" ht="27.75">
      <c r="A69" s="1499" t="s">
        <v>104</v>
      </c>
      <c r="B69" s="1500"/>
      <c r="C69" s="1501"/>
      <c r="D69" s="523" t="s">
        <v>187</v>
      </c>
      <c r="E69" s="514">
        <f>'7'!F69</f>
        <v>76475</v>
      </c>
      <c r="F69" s="478">
        <v>76765.649999999994</v>
      </c>
      <c r="G69" s="473">
        <f t="shared" si="5"/>
        <v>290.64999999999418</v>
      </c>
      <c r="H69" s="460">
        <f>G69+'7'!H69</f>
        <v>2436.6499999999942</v>
      </c>
      <c r="I69" s="516"/>
      <c r="J69" s="552">
        <f>H69/DAY(B2)</f>
        <v>304.58124999999927</v>
      </c>
      <c r="K69" s="431"/>
      <c r="L69" s="377"/>
      <c r="N69" s="382"/>
    </row>
    <row r="70" spans="1:14" ht="27.75">
      <c r="A70" s="1505" t="s">
        <v>189</v>
      </c>
      <c r="B70" s="1506"/>
      <c r="C70" s="1507"/>
      <c r="D70" s="523" t="s">
        <v>187</v>
      </c>
      <c r="E70" s="518"/>
      <c r="F70" s="518" t="s">
        <v>268</v>
      </c>
      <c r="G70" s="518"/>
      <c r="H70" s="460"/>
      <c r="I70" s="518"/>
      <c r="J70" s="556"/>
      <c r="K70" s="431"/>
      <c r="L70" s="377"/>
      <c r="N70" s="382"/>
    </row>
    <row r="71" spans="1:14" ht="31.5">
      <c r="A71" s="1502" t="s">
        <v>190</v>
      </c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  <c r="N71" s="382"/>
    </row>
    <row r="72" spans="1:14" ht="27.75">
      <c r="A72" s="1499" t="s">
        <v>191</v>
      </c>
      <c r="B72" s="1500"/>
      <c r="C72" s="1501"/>
      <c r="D72" s="523" t="s">
        <v>187</v>
      </c>
      <c r="E72" s="519">
        <f>'7'!F72</f>
        <v>853878</v>
      </c>
      <c r="F72" s="657">
        <v>853970</v>
      </c>
      <c r="G72" s="473">
        <f t="shared" ref="G72:G84" si="6">F72-E72</f>
        <v>92</v>
      </c>
      <c r="H72" s="460">
        <f>G72+'7'!H72</f>
        <v>791</v>
      </c>
      <c r="I72" s="480"/>
      <c r="J72" s="552">
        <f>H72/DAY(B2)</f>
        <v>98.875</v>
      </c>
      <c r="K72" s="431"/>
      <c r="L72" s="377"/>
      <c r="N72" s="382"/>
    </row>
    <row r="73" spans="1:14" ht="27.75">
      <c r="A73" s="1499" t="s">
        <v>192</v>
      </c>
      <c r="B73" s="1500"/>
      <c r="C73" s="1501"/>
      <c r="D73" s="523" t="s">
        <v>187</v>
      </c>
      <c r="E73" s="519">
        <f>'7'!F73</f>
        <v>885811</v>
      </c>
      <c r="F73" s="658">
        <v>885812</v>
      </c>
      <c r="G73" s="655">
        <f t="shared" si="6"/>
        <v>1</v>
      </c>
      <c r="H73" s="460">
        <f>G73+'7'!H73</f>
        <v>12</v>
      </c>
      <c r="I73" s="480"/>
      <c r="J73" s="552">
        <f>H73/DAY(B2)</f>
        <v>1.5</v>
      </c>
      <c r="K73" s="430"/>
      <c r="L73" s="377"/>
      <c r="N73" s="382"/>
    </row>
    <row r="74" spans="1:14" ht="27.75">
      <c r="A74" s="1499" t="s">
        <v>193</v>
      </c>
      <c r="B74" s="1500"/>
      <c r="C74" s="1501"/>
      <c r="D74" s="523" t="s">
        <v>187</v>
      </c>
      <c r="E74" s="519">
        <f>'7'!F74</f>
        <v>1552</v>
      </c>
      <c r="F74" s="657">
        <v>1584.65</v>
      </c>
      <c r="G74" s="473">
        <f t="shared" si="6"/>
        <v>32.650000000000091</v>
      </c>
      <c r="H74" s="460">
        <f>G74+'7'!H74</f>
        <v>214.65000000000009</v>
      </c>
      <c r="I74" s="480"/>
      <c r="J74" s="552">
        <f>H74/DAY(B2)</f>
        <v>26.831250000000011</v>
      </c>
      <c r="K74" s="431"/>
      <c r="L74" s="377"/>
      <c r="N74" s="382"/>
    </row>
    <row r="75" spans="1:14" ht="27.75">
      <c r="A75" s="1496" t="s">
        <v>194</v>
      </c>
      <c r="B75" s="1497"/>
      <c r="C75" s="1498"/>
      <c r="D75" s="523" t="s">
        <v>187</v>
      </c>
      <c r="E75" s="519">
        <f>'7'!F75</f>
        <v>9549</v>
      </c>
      <c r="F75" s="658">
        <v>9626.31</v>
      </c>
      <c r="G75" s="473">
        <f t="shared" si="6"/>
        <v>77.309999999999491</v>
      </c>
      <c r="H75" s="460">
        <f>G75+'7'!H75</f>
        <v>946.30999999999949</v>
      </c>
      <c r="I75" s="480"/>
      <c r="J75" s="552">
        <f>H75/DAY(B2)</f>
        <v>118.28874999999994</v>
      </c>
      <c r="K75" s="430"/>
      <c r="L75" s="377"/>
      <c r="N75" s="382"/>
    </row>
    <row r="76" spans="1:14" ht="27.75">
      <c r="A76" s="1496" t="s">
        <v>195</v>
      </c>
      <c r="B76" s="1497"/>
      <c r="C76" s="1498"/>
      <c r="D76" s="523" t="s">
        <v>187</v>
      </c>
      <c r="E76" s="519">
        <f>'7'!F76</f>
        <v>4496</v>
      </c>
      <c r="F76" s="658">
        <v>4562.55</v>
      </c>
      <c r="G76" s="473">
        <f t="shared" si="6"/>
        <v>66.550000000000182</v>
      </c>
      <c r="H76" s="460">
        <f>G76+'7'!H76</f>
        <v>525.55000000000018</v>
      </c>
      <c r="I76" s="505"/>
      <c r="J76" s="552">
        <f>H76/DAY(B2)</f>
        <v>65.693750000000023</v>
      </c>
      <c r="K76" s="430"/>
      <c r="L76" s="377"/>
      <c r="N76" s="382"/>
    </row>
    <row r="77" spans="1:14" ht="27.75">
      <c r="A77" s="1499" t="s">
        <v>196</v>
      </c>
      <c r="B77" s="1500"/>
      <c r="C77" s="1501"/>
      <c r="D77" s="523" t="s">
        <v>187</v>
      </c>
      <c r="E77" s="519">
        <f>'7'!F77</f>
        <v>700532</v>
      </c>
      <c r="F77" s="657">
        <v>700581</v>
      </c>
      <c r="G77" s="655">
        <f t="shared" si="6"/>
        <v>49</v>
      </c>
      <c r="H77" s="460">
        <f>G77+'7'!H77</f>
        <v>367</v>
      </c>
      <c r="I77" s="505"/>
      <c r="J77" s="552">
        <f>H77/DAY(B2)</f>
        <v>45.875</v>
      </c>
      <c r="K77" s="430"/>
      <c r="L77" s="377"/>
      <c r="N77" s="382"/>
    </row>
    <row r="78" spans="1:14" ht="27.75">
      <c r="A78" s="1147" t="s">
        <v>197</v>
      </c>
      <c r="B78" s="1120"/>
      <c r="C78" s="1120"/>
      <c r="D78" s="523" t="s">
        <v>187</v>
      </c>
      <c r="E78" s="519">
        <f>'7'!F78</f>
        <v>667667</v>
      </c>
      <c r="F78" s="659">
        <v>668006</v>
      </c>
      <c r="G78" s="473">
        <f t="shared" si="6"/>
        <v>339</v>
      </c>
      <c r="H78" s="460">
        <f>G78+'7'!H78</f>
        <v>2626</v>
      </c>
      <c r="I78" s="505"/>
      <c r="J78" s="552">
        <f>H78/DAY(B2)</f>
        <v>328.25</v>
      </c>
      <c r="K78" s="430"/>
      <c r="L78" s="377"/>
      <c r="N78" s="382"/>
    </row>
    <row r="79" spans="1:14" ht="27.75">
      <c r="A79" s="1496" t="s">
        <v>92</v>
      </c>
      <c r="B79" s="1497"/>
      <c r="C79" s="1498"/>
      <c r="D79" s="524" t="s">
        <v>187</v>
      </c>
      <c r="E79" s="519">
        <f>'7'!F79</f>
        <v>822508</v>
      </c>
      <c r="F79" s="657">
        <v>822712</v>
      </c>
      <c r="G79" s="473">
        <f t="shared" si="6"/>
        <v>204</v>
      </c>
      <c r="H79" s="460">
        <f>G79+'7'!H79</f>
        <v>1499</v>
      </c>
      <c r="I79" s="505"/>
      <c r="J79" s="552">
        <f>H79/DAY(B2)</f>
        <v>187.375</v>
      </c>
      <c r="K79" s="430"/>
      <c r="L79" s="377"/>
      <c r="N79" s="382"/>
    </row>
    <row r="80" spans="1:14" ht="27.75">
      <c r="A80" s="1496" t="s">
        <v>198</v>
      </c>
      <c r="B80" s="1497"/>
      <c r="C80" s="1498"/>
      <c r="D80" s="524" t="s">
        <v>187</v>
      </c>
      <c r="E80" s="519">
        <f>'7'!F80</f>
        <v>508129</v>
      </c>
      <c r="F80" s="658">
        <v>508491.88</v>
      </c>
      <c r="G80" s="473">
        <f t="shared" si="6"/>
        <v>362.88000000000466</v>
      </c>
      <c r="H80" s="460">
        <f>G80+'7'!H80</f>
        <v>2792.8800000000047</v>
      </c>
      <c r="I80" s="505"/>
      <c r="J80" s="552">
        <f>H80/DAY(B2)</f>
        <v>349.11000000000058</v>
      </c>
      <c r="K80" s="430"/>
      <c r="L80" s="377"/>
      <c r="N80" s="382"/>
    </row>
    <row r="81" spans="1:15" ht="27.75">
      <c r="A81" s="1496" t="s">
        <v>199</v>
      </c>
      <c r="B81" s="1497"/>
      <c r="C81" s="1498"/>
      <c r="D81" s="524" t="s">
        <v>187</v>
      </c>
      <c r="E81" s="519">
        <f>'7'!F81</f>
        <v>631973</v>
      </c>
      <c r="F81" s="658">
        <v>632208.43999999994</v>
      </c>
      <c r="G81" s="473">
        <f t="shared" si="6"/>
        <v>235.43999999994412</v>
      </c>
      <c r="H81" s="460">
        <f>G81+'7'!H81</f>
        <v>2023.4399999999441</v>
      </c>
      <c r="I81" s="505"/>
      <c r="J81" s="552">
        <f>H81/DAY(B2)</f>
        <v>252.92999999999302</v>
      </c>
      <c r="K81" s="430"/>
      <c r="L81" s="377"/>
      <c r="N81" s="382"/>
    </row>
    <row r="82" spans="1:15" ht="27.75">
      <c r="A82" s="1496" t="s">
        <v>93</v>
      </c>
      <c r="B82" s="1497"/>
      <c r="C82" s="1498"/>
      <c r="D82" s="485" t="s">
        <v>132</v>
      </c>
      <c r="E82" s="519">
        <f>'7'!F82</f>
        <v>107061</v>
      </c>
      <c r="F82" s="654">
        <v>107085.4</v>
      </c>
      <c r="G82" s="473">
        <f t="shared" si="6"/>
        <v>24.399999999994179</v>
      </c>
      <c r="H82" s="460">
        <f>G82+'7'!H82</f>
        <v>190.39999999999418</v>
      </c>
      <c r="I82" s="486"/>
      <c r="J82" s="552">
        <f>H82/DAY(B2)</f>
        <v>23.799999999999272</v>
      </c>
      <c r="K82" s="430"/>
      <c r="L82" s="377"/>
      <c r="N82" s="382"/>
    </row>
    <row r="83" spans="1:15" ht="27.75">
      <c r="A83" s="1496" t="s">
        <v>200</v>
      </c>
      <c r="B83" s="1497"/>
      <c r="C83" s="1498"/>
      <c r="D83" s="620" t="s">
        <v>132</v>
      </c>
      <c r="E83" s="519">
        <f>'7'!F83</f>
        <v>8850</v>
      </c>
      <c r="F83" s="620">
        <v>9159</v>
      </c>
      <c r="G83" s="473">
        <f t="shared" si="6"/>
        <v>309</v>
      </c>
      <c r="H83" s="460">
        <f>G83+'7'!H83</f>
        <v>2102</v>
      </c>
      <c r="I83" s="481"/>
      <c r="J83" s="552">
        <f>H83/DAY(B2)</f>
        <v>262.75</v>
      </c>
      <c r="K83" s="429"/>
      <c r="L83" s="377"/>
      <c r="N83" s="382"/>
    </row>
    <row r="84" spans="1:15">
      <c r="A84" s="1148" t="s">
        <v>201</v>
      </c>
      <c r="B84" s="571"/>
      <c r="C84" s="571"/>
      <c r="D84" s="478" t="s">
        <v>132</v>
      </c>
      <c r="E84" s="519">
        <f>'7'!F84</f>
        <v>461192</v>
      </c>
      <c r="F84" s="627">
        <v>462213</v>
      </c>
      <c r="G84" s="473">
        <f t="shared" si="6"/>
        <v>1021</v>
      </c>
      <c r="H84" s="460">
        <f>G84+'7'!H84</f>
        <v>7529</v>
      </c>
      <c r="I84" s="481"/>
      <c r="J84" s="552">
        <f>H84/DAY(B2)</f>
        <v>941.125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2814.2299999999427</v>
      </c>
      <c r="H85" s="460">
        <f>G85+'7'!H85</f>
        <v>21619.229999999941</v>
      </c>
      <c r="I85" s="481"/>
      <c r="J85" s="552">
        <f>H85/DAY(B2)</f>
        <v>2702.4037499999927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'7'!F86</f>
        <v>455856</v>
      </c>
      <c r="F86" s="650">
        <v>456042.52</v>
      </c>
      <c r="G86" s="708">
        <f t="shared" ref="G86:G90" si="7">F86-E86</f>
        <v>186.52000000001863</v>
      </c>
      <c r="H86" s="708">
        <f t="shared" ref="H86:H88" si="8">G86</f>
        <v>186.52000000001863</v>
      </c>
      <c r="I86" s="655"/>
      <c r="J86" s="710">
        <f>H86/DAY(B2)</f>
        <v>23.315000000002328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'7'!F87</f>
        <v>80394</v>
      </c>
      <c r="F87" s="650">
        <v>80434.399999999994</v>
      </c>
      <c r="G87" s="708">
        <f t="shared" si="7"/>
        <v>40.399999999994179</v>
      </c>
      <c r="H87" s="708">
        <f t="shared" si="8"/>
        <v>40.399999999994179</v>
      </c>
      <c r="I87" s="655"/>
      <c r="J87" s="710">
        <f>H87/DAY(B2)</f>
        <v>5.0499999999992724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'7'!F88</f>
        <v>151004</v>
      </c>
      <c r="F88" s="650">
        <v>151037.53</v>
      </c>
      <c r="G88" s="708">
        <f t="shared" si="7"/>
        <v>33.529999999998836</v>
      </c>
      <c r="H88" s="708">
        <f t="shared" si="8"/>
        <v>33.529999999998836</v>
      </c>
      <c r="I88" s="655"/>
      <c r="J88" s="710">
        <f>H88/DAY(B2)</f>
        <v>4.1912499999998545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'7'!F89</f>
        <v>63856</v>
      </c>
      <c r="F89" s="650">
        <v>63899.8</v>
      </c>
      <c r="G89" s="708">
        <f t="shared" si="7"/>
        <v>43.80000000000291</v>
      </c>
      <c r="H89" s="708">
        <f>G89</f>
        <v>43.80000000000291</v>
      </c>
      <c r="I89" s="655"/>
      <c r="J89" s="710">
        <f>H89/DAY(B2)</f>
        <v>5.4750000000003638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'7'!F90</f>
        <v>3272</v>
      </c>
      <c r="F90" s="650">
        <v>3271.6</v>
      </c>
      <c r="G90" s="708">
        <f t="shared" si="7"/>
        <v>-0.40000000000009095</v>
      </c>
      <c r="H90" s="708">
        <f>G90</f>
        <v>-0.40000000000009095</v>
      </c>
      <c r="I90" s="655"/>
      <c r="J90" s="710">
        <f>H90/DAY(B2)</f>
        <v>-5.0000000000011369E-2</v>
      </c>
      <c r="K90" s="736"/>
      <c r="L90" s="737"/>
      <c r="N90" s="781"/>
      <c r="O90" s="382"/>
    </row>
    <row r="91" spans="1:15" s="379" customFormat="1">
      <c r="A91" s="606" t="s">
        <v>205</v>
      </c>
      <c r="B91" s="1150"/>
      <c r="C91" s="1150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520" t="s">
        <v>206</v>
      </c>
      <c r="B92" s="1521"/>
      <c r="C92" s="1522"/>
      <c r="D92" s="523" t="s">
        <v>144</v>
      </c>
      <c r="E92" s="484">
        <f>'7'!F92</f>
        <v>243197</v>
      </c>
      <c r="F92" s="478">
        <v>243273</v>
      </c>
      <c r="G92" s="473">
        <f t="shared" ref="G92" si="9">F92-E92</f>
        <v>76</v>
      </c>
      <c r="H92" s="460">
        <f>G92+'7'!H92</f>
        <v>627</v>
      </c>
      <c r="I92" s="480"/>
      <c r="J92" s="552">
        <f>H92/DAY(B2)</f>
        <v>78.375</v>
      </c>
      <c r="K92" s="429"/>
      <c r="L92" s="377"/>
      <c r="N92" s="382"/>
    </row>
    <row r="93" spans="1:15" ht="27.75">
      <c r="A93" s="1520" t="s">
        <v>207</v>
      </c>
      <c r="B93" s="1521"/>
      <c r="C93" s="1522"/>
      <c r="D93" s="523" t="s">
        <v>144</v>
      </c>
      <c r="E93" s="484">
        <f>'7'!F93</f>
        <v>180758</v>
      </c>
      <c r="F93" s="485">
        <v>180938</v>
      </c>
      <c r="G93" s="473">
        <f>F93-E93</f>
        <v>180</v>
      </c>
      <c r="H93" s="460">
        <f>G93+'7'!H93</f>
        <v>1259</v>
      </c>
      <c r="I93" s="480"/>
      <c r="J93" s="552">
        <f>H93/DAY(B2)</f>
        <v>157.375</v>
      </c>
      <c r="K93" s="380"/>
      <c r="L93" s="377"/>
      <c r="N93" s="382"/>
    </row>
    <row r="94" spans="1:15">
      <c r="A94" s="1548" t="s">
        <v>208</v>
      </c>
      <c r="B94" s="1549"/>
      <c r="C94" s="1550"/>
      <c r="D94" s="523"/>
      <c r="E94" s="484">
        <f>'7'!F94</f>
        <v>0</v>
      </c>
      <c r="F94" s="478"/>
      <c r="G94" s="473">
        <f>G92+G93</f>
        <v>256</v>
      </c>
      <c r="H94" s="460">
        <f>G94+'7'!H94</f>
        <v>1667</v>
      </c>
      <c r="I94" s="480"/>
      <c r="J94" s="552">
        <f>H94/DAY(B2)</f>
        <v>208.375</v>
      </c>
      <c r="K94" s="380"/>
      <c r="L94" s="377"/>
      <c r="N94" s="382"/>
    </row>
    <row r="95" spans="1:15" ht="27.75">
      <c r="A95" s="1520" t="s">
        <v>209</v>
      </c>
      <c r="B95" s="1521"/>
      <c r="C95" s="1522"/>
      <c r="D95" s="523" t="s">
        <v>144</v>
      </c>
      <c r="E95" s="484">
        <f>'7'!F95</f>
        <v>411307</v>
      </c>
      <c r="F95" s="478">
        <v>411385</v>
      </c>
      <c r="G95" s="473">
        <f t="shared" ref="G95:G100" si="10">F95-E95</f>
        <v>78</v>
      </c>
      <c r="H95" s="460">
        <f>G95+'7'!H95</f>
        <v>600</v>
      </c>
      <c r="I95" s="480"/>
      <c r="J95" s="552">
        <f>H95/DAY(B2)</f>
        <v>75</v>
      </c>
      <c r="K95" s="380"/>
      <c r="L95" s="377"/>
      <c r="N95" s="382"/>
    </row>
    <row r="96" spans="1:15" ht="27.75">
      <c r="A96" s="1144" t="s">
        <v>210</v>
      </c>
      <c r="B96" s="1145"/>
      <c r="C96" s="1145"/>
      <c r="D96" s="523" t="s">
        <v>144</v>
      </c>
      <c r="E96" s="484">
        <f>'7'!F96</f>
        <v>101956</v>
      </c>
      <c r="F96" s="478">
        <v>101973</v>
      </c>
      <c r="G96" s="473">
        <f t="shared" si="10"/>
        <v>17</v>
      </c>
      <c r="H96" s="460">
        <f>G96+'7'!H96</f>
        <v>142</v>
      </c>
      <c r="I96" s="480"/>
      <c r="J96" s="552">
        <f>H96/DAY(B2)</f>
        <v>17.75</v>
      </c>
      <c r="K96" s="427"/>
      <c r="L96" s="377"/>
      <c r="N96" s="382"/>
    </row>
    <row r="97" spans="1:14" ht="27.75">
      <c r="A97" s="1144" t="s">
        <v>211</v>
      </c>
      <c r="B97" s="1145"/>
      <c r="C97" s="1145"/>
      <c r="D97" s="523" t="s">
        <v>144</v>
      </c>
      <c r="E97" s="484">
        <f>'7'!F97</f>
        <v>97057</v>
      </c>
      <c r="F97" s="478">
        <v>97075</v>
      </c>
      <c r="G97" s="473">
        <f t="shared" si="10"/>
        <v>18</v>
      </c>
      <c r="H97" s="460">
        <f>G97+'7'!H97</f>
        <v>147</v>
      </c>
      <c r="I97" s="480"/>
      <c r="J97" s="552">
        <f>H97/DAY(B2)</f>
        <v>18.375</v>
      </c>
      <c r="K97" s="432"/>
      <c r="L97" s="377"/>
      <c r="N97" s="382"/>
    </row>
    <row r="98" spans="1:14" ht="27.75">
      <c r="A98" s="1144" t="s">
        <v>212</v>
      </c>
      <c r="B98" s="1145"/>
      <c r="C98" s="1145"/>
      <c r="D98" s="523" t="s">
        <v>144</v>
      </c>
      <c r="E98" s="484">
        <f>'7'!F98</f>
        <v>149174</v>
      </c>
      <c r="F98" s="478">
        <v>149209</v>
      </c>
      <c r="G98" s="473">
        <f t="shared" si="10"/>
        <v>35</v>
      </c>
      <c r="H98" s="460">
        <f>G98+'7'!H98</f>
        <v>300</v>
      </c>
      <c r="I98" s="480"/>
      <c r="J98" s="552">
        <f>H98/DAY(B2)</f>
        <v>37.5</v>
      </c>
      <c r="K98" s="380"/>
      <c r="L98" s="377"/>
      <c r="N98" s="707"/>
    </row>
    <row r="99" spans="1:14" ht="27.75">
      <c r="A99" s="1144" t="s">
        <v>213</v>
      </c>
      <c r="B99" s="1145"/>
      <c r="C99" s="1145"/>
      <c r="D99" s="523" t="s">
        <v>144</v>
      </c>
      <c r="E99" s="484">
        <f>'7'!F99</f>
        <v>6969</v>
      </c>
      <c r="F99" s="478">
        <v>6979</v>
      </c>
      <c r="G99" s="473">
        <f t="shared" si="10"/>
        <v>10</v>
      </c>
      <c r="H99" s="460">
        <f>G99+'7'!H99</f>
        <v>124</v>
      </c>
      <c r="I99" s="480"/>
      <c r="J99" s="552">
        <f>H99/DAY(B2)</f>
        <v>15.5</v>
      </c>
      <c r="K99" s="380"/>
      <c r="L99" s="377"/>
      <c r="N99" s="382"/>
    </row>
    <row r="100" spans="1:14" ht="27.75">
      <c r="A100" s="1144" t="s">
        <v>214</v>
      </c>
      <c r="B100" s="1145"/>
      <c r="C100" s="1145"/>
      <c r="D100" s="523" t="s">
        <v>144</v>
      </c>
      <c r="E100" s="484">
        <f>'7'!F100</f>
        <v>4989</v>
      </c>
      <c r="F100" s="478">
        <v>4996</v>
      </c>
      <c r="G100" s="473">
        <f t="shared" si="10"/>
        <v>7</v>
      </c>
      <c r="H100" s="460">
        <f>G100+'7'!H100</f>
        <v>53</v>
      </c>
      <c r="I100" s="480"/>
      <c r="J100" s="552">
        <f>H100/DAY(B2)</f>
        <v>6.625</v>
      </c>
      <c r="K100" s="380"/>
      <c r="L100" s="377"/>
      <c r="N100" s="382"/>
    </row>
    <row r="101" spans="1:14">
      <c r="A101" s="1548" t="s">
        <v>216</v>
      </c>
      <c r="B101" s="1549"/>
      <c r="C101" s="1550"/>
      <c r="D101" s="524"/>
      <c r="E101" s="524"/>
      <c r="F101" s="524"/>
      <c r="G101" s="525">
        <f>SUM(G95:G100)</f>
        <v>165</v>
      </c>
      <c r="H101" s="460">
        <f>G101+'7'!H101</f>
        <v>1366</v>
      </c>
      <c r="I101" s="526"/>
      <c r="J101" s="552">
        <f>H101/DAY(B2)</f>
        <v>170.75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N102" s="382"/>
    </row>
    <row r="103" spans="1:14" s="442" customFormat="1" ht="27.75">
      <c r="A103" s="1551" t="s">
        <v>218</v>
      </c>
      <c r="B103" s="1552"/>
      <c r="C103" s="573"/>
      <c r="D103" s="622"/>
      <c r="E103" s="532"/>
      <c r="F103" s="661"/>
      <c r="G103" s="532"/>
      <c r="H103" s="533"/>
      <c r="I103" s="532"/>
      <c r="J103" s="558"/>
      <c r="N103" s="382"/>
    </row>
    <row r="104" spans="1:14" s="442" customFormat="1" ht="27.75">
      <c r="A104" s="1512" t="s">
        <v>219</v>
      </c>
      <c r="B104" s="1513"/>
      <c r="C104" s="1143"/>
      <c r="D104" s="622" t="s">
        <v>144</v>
      </c>
      <c r="E104" s="532">
        <f>'7'!F104</f>
        <v>7344</v>
      </c>
      <c r="F104" s="661">
        <v>7344</v>
      </c>
      <c r="G104" s="532">
        <f>F104-E104</f>
        <v>0</v>
      </c>
      <c r="H104" s="460">
        <f>G104+'7'!H104</f>
        <v>19</v>
      </c>
      <c r="I104" s="532"/>
      <c r="J104" s="558">
        <f>H104/DAY(B2)</f>
        <v>2.375</v>
      </c>
      <c r="N104" s="382"/>
    </row>
    <row r="105" spans="1:14" s="442" customFormat="1" ht="27.75">
      <c r="A105" s="1512" t="s">
        <v>77</v>
      </c>
      <c r="B105" s="1513"/>
      <c r="C105" s="1143"/>
      <c r="D105" s="622" t="s">
        <v>144</v>
      </c>
      <c r="E105" s="532">
        <f>'7'!F105</f>
        <v>35697</v>
      </c>
      <c r="F105" s="807">
        <v>35703</v>
      </c>
      <c r="G105" s="532">
        <f t="shared" ref="G105:G106" si="11">F105-E105</f>
        <v>6</v>
      </c>
      <c r="H105" s="460">
        <f>G105+'7'!H105</f>
        <v>52</v>
      </c>
      <c r="I105" s="532"/>
      <c r="J105" s="558">
        <f>H105/DAY(B2)</f>
        <v>6.5</v>
      </c>
      <c r="N105" s="382"/>
    </row>
    <row r="106" spans="1:14" s="442" customFormat="1" ht="27.75">
      <c r="A106" s="1512" t="s">
        <v>78</v>
      </c>
      <c r="B106" s="1553"/>
      <c r="C106" s="1513"/>
      <c r="D106" s="622" t="s">
        <v>144</v>
      </c>
      <c r="E106" s="532">
        <f>'7'!F106</f>
        <v>19462</v>
      </c>
      <c r="F106" s="662">
        <v>19471</v>
      </c>
      <c r="G106" s="532">
        <f t="shared" si="11"/>
        <v>9</v>
      </c>
      <c r="H106" s="460">
        <f>G106+'7'!H106</f>
        <v>60</v>
      </c>
      <c r="I106" s="532"/>
      <c r="J106" s="558">
        <f>H106/DAY(B2)</f>
        <v>7.5</v>
      </c>
      <c r="N106" s="382"/>
    </row>
    <row r="107" spans="1:14" s="442" customFormat="1" ht="27.75">
      <c r="A107" s="1514" t="s">
        <v>202</v>
      </c>
      <c r="B107" s="1515"/>
      <c r="C107" s="1143"/>
      <c r="D107" s="622"/>
      <c r="E107" s="532"/>
      <c r="F107" s="662"/>
      <c r="G107" s="532">
        <f>SUM(G104:G106)</f>
        <v>15</v>
      </c>
      <c r="H107" s="460">
        <f>G107+'7'!H107</f>
        <v>131</v>
      </c>
      <c r="I107" s="532"/>
      <c r="J107" s="558">
        <f>H107/DAY(B2)</f>
        <v>16.375</v>
      </c>
      <c r="N107" s="382"/>
    </row>
    <row r="108" spans="1:14" s="442" customFormat="1" ht="27.75">
      <c r="A108" s="1518" t="s">
        <v>79</v>
      </c>
      <c r="B108" s="1519"/>
      <c r="C108" s="1143"/>
      <c r="D108" s="622" t="s">
        <v>144</v>
      </c>
      <c r="E108" s="532"/>
      <c r="F108" s="662"/>
      <c r="G108" s="532"/>
      <c r="H108" s="460">
        <f>G108+'7'!H108</f>
        <v>0</v>
      </c>
      <c r="I108" s="532"/>
      <c r="J108" s="558"/>
      <c r="N108" s="382"/>
    </row>
    <row r="109" spans="1:14" s="442" customFormat="1" ht="27.75">
      <c r="A109" s="1512" t="s">
        <v>220</v>
      </c>
      <c r="B109" s="1513"/>
      <c r="C109" s="1143"/>
      <c r="D109" s="622" t="s">
        <v>144</v>
      </c>
      <c r="E109" s="532">
        <f>'7'!F109</f>
        <v>59461</v>
      </c>
      <c r="F109" s="662">
        <v>59565</v>
      </c>
      <c r="G109" s="532">
        <f>F109-E109</f>
        <v>104</v>
      </c>
      <c r="H109" s="460">
        <f>G109+'7'!H109</f>
        <v>692</v>
      </c>
      <c r="I109" s="532"/>
      <c r="J109" s="558">
        <f>H109/DAY(B2)</f>
        <v>86.5</v>
      </c>
      <c r="N109" s="382"/>
    </row>
    <row r="110" spans="1:14" s="442" customFormat="1" ht="27.75">
      <c r="A110" s="1512" t="s">
        <v>221</v>
      </c>
      <c r="B110" s="1513"/>
      <c r="C110" s="1143"/>
      <c r="D110" s="622" t="s">
        <v>144</v>
      </c>
      <c r="E110" s="532">
        <f>'7'!F110</f>
        <v>31878</v>
      </c>
      <c r="F110" s="807">
        <v>31910</v>
      </c>
      <c r="G110" s="532">
        <f t="shared" ref="G110:G111" si="12">F110-E110</f>
        <v>32</v>
      </c>
      <c r="H110" s="460">
        <f>G110+'7'!H110</f>
        <v>264</v>
      </c>
      <c r="I110" s="532"/>
      <c r="J110" s="558">
        <f>H110/DAY(B2)</f>
        <v>33</v>
      </c>
      <c r="N110" s="382"/>
    </row>
    <row r="111" spans="1:14" s="442" customFormat="1" ht="27.75">
      <c r="A111" s="1512" t="s">
        <v>222</v>
      </c>
      <c r="B111" s="1513"/>
      <c r="C111" s="1143"/>
      <c r="D111" s="622" t="s">
        <v>144</v>
      </c>
      <c r="E111" s="532">
        <f>'7'!F111</f>
        <v>4208</v>
      </c>
      <c r="F111" s="807">
        <v>4224</v>
      </c>
      <c r="G111" s="532">
        <f t="shared" si="12"/>
        <v>16</v>
      </c>
      <c r="H111" s="460">
        <f>G111+'7'!H111</f>
        <v>68</v>
      </c>
      <c r="I111" s="532"/>
      <c r="J111" s="558">
        <f>H111/DAY(B2)</f>
        <v>8.5</v>
      </c>
      <c r="N111" s="382"/>
    </row>
    <row r="112" spans="1:14" s="442" customFormat="1" ht="27.75">
      <c r="A112" s="1514" t="s">
        <v>110</v>
      </c>
      <c r="B112" s="1515"/>
      <c r="C112" s="1143"/>
      <c r="D112" s="622"/>
      <c r="E112" s="532"/>
      <c r="F112" s="662"/>
      <c r="G112" s="532">
        <f>SUM(G109:G111)</f>
        <v>152</v>
      </c>
      <c r="H112" s="460">
        <f>G112+'7'!H112</f>
        <v>1024</v>
      </c>
      <c r="I112" s="532"/>
      <c r="J112" s="558">
        <f>H112/DAY(B2)</f>
        <v>128</v>
      </c>
      <c r="N112" s="382"/>
    </row>
    <row r="113" spans="1:14" s="442" customFormat="1" ht="27.75">
      <c r="A113" s="1518" t="s">
        <v>223</v>
      </c>
      <c r="B113" s="1519"/>
      <c r="C113" s="1143"/>
      <c r="D113" s="622"/>
      <c r="E113" s="532"/>
      <c r="F113" s="662"/>
      <c r="G113" s="532"/>
      <c r="H113" s="460">
        <f>G113+'7'!H113</f>
        <v>0</v>
      </c>
      <c r="I113" s="532"/>
      <c r="J113" s="558">
        <f>H113/DAY(B2)</f>
        <v>0</v>
      </c>
      <c r="N113" s="382"/>
    </row>
    <row r="114" spans="1:14" s="442" customFormat="1" ht="27.75">
      <c r="A114" s="1512" t="s">
        <v>224</v>
      </c>
      <c r="B114" s="1513"/>
      <c r="C114" s="574"/>
      <c r="D114" s="622" t="s">
        <v>144</v>
      </c>
      <c r="E114" s="532">
        <f>'7'!F114</f>
        <v>10994</v>
      </c>
      <c r="F114" s="662">
        <v>11006</v>
      </c>
      <c r="G114" s="534">
        <f>F114-E114</f>
        <v>12</v>
      </c>
      <c r="H114" s="460">
        <f>G114+'7'!H114</f>
        <v>170</v>
      </c>
      <c r="I114" s="532"/>
      <c r="J114" s="558">
        <f>H114/DAY(B2)</f>
        <v>21.25</v>
      </c>
      <c r="N114" s="382"/>
    </row>
    <row r="115" spans="1:14" s="442" customFormat="1" ht="27.75">
      <c r="A115" s="1512" t="s">
        <v>225</v>
      </c>
      <c r="B115" s="1513"/>
      <c r="C115" s="574"/>
      <c r="D115" s="622" t="s">
        <v>144</v>
      </c>
      <c r="E115" s="532">
        <f>'7'!F115</f>
        <v>8012</v>
      </c>
      <c r="F115" s="662">
        <v>8019</v>
      </c>
      <c r="G115" s="534">
        <f t="shared" ref="G115:G116" si="13">F115-E115</f>
        <v>7</v>
      </c>
      <c r="H115" s="460">
        <f>G115+'7'!H115</f>
        <v>50</v>
      </c>
      <c r="I115" s="532"/>
      <c r="J115" s="558">
        <f>H115/DAY(B2)</f>
        <v>6.25</v>
      </c>
      <c r="N115" s="382"/>
    </row>
    <row r="116" spans="1:14" s="442" customFormat="1" ht="27.75">
      <c r="A116" s="1512" t="s">
        <v>226</v>
      </c>
      <c r="B116" s="1513"/>
      <c r="C116" s="574"/>
      <c r="D116" s="622" t="s">
        <v>144</v>
      </c>
      <c r="E116" s="534"/>
      <c r="F116" s="662"/>
      <c r="G116" s="534">
        <f t="shared" si="13"/>
        <v>0</v>
      </c>
      <c r="H116" s="460">
        <f>G116+'7'!H116</f>
        <v>0</v>
      </c>
      <c r="I116" s="532"/>
      <c r="J116" s="558">
        <f>H116/DAY(B2)</f>
        <v>0</v>
      </c>
      <c r="N116" s="382"/>
    </row>
    <row r="117" spans="1:14" s="445" customFormat="1" ht="27.75">
      <c r="A117" s="1514" t="s">
        <v>202</v>
      </c>
      <c r="B117" s="1515"/>
      <c r="C117" s="574"/>
      <c r="D117" s="623"/>
      <c r="E117" s="534"/>
      <c r="F117" s="662"/>
      <c r="G117" s="534">
        <f>SUM(G114:G116)</f>
        <v>19</v>
      </c>
      <c r="H117" s="460">
        <f>G117+'7'!H117</f>
        <v>220</v>
      </c>
      <c r="I117" s="534"/>
      <c r="J117" s="558">
        <f>H117/DAY(B2)</f>
        <v>27.5</v>
      </c>
      <c r="N117" s="382"/>
    </row>
    <row r="118" spans="1:14" s="446" customFormat="1" ht="27.75">
      <c r="A118" s="1508" t="s">
        <v>227</v>
      </c>
      <c r="B118" s="1509"/>
      <c r="C118" s="1141"/>
      <c r="D118" s="624" t="s">
        <v>144</v>
      </c>
      <c r="E118" s="536"/>
      <c r="F118" s="663">
        <f>SUM(G19+G92)</f>
        <v>132</v>
      </c>
      <c r="G118" s="536">
        <f>SUM(G19+G92)</f>
        <v>132</v>
      </c>
      <c r="H118" s="460">
        <f>G118+'7'!H118</f>
        <v>1067</v>
      </c>
      <c r="I118" s="535"/>
      <c r="J118" s="559">
        <f>H118/DAY(B2)</f>
        <v>133.375</v>
      </c>
      <c r="N118" s="382"/>
    </row>
    <row r="119" spans="1:14" s="446" customFormat="1" ht="27.75">
      <c r="A119" s="1508" t="s">
        <v>228</v>
      </c>
      <c r="B119" s="1509"/>
      <c r="C119" s="1141"/>
      <c r="D119" s="624" t="s">
        <v>144</v>
      </c>
      <c r="E119" s="536"/>
      <c r="F119" s="663">
        <f>SUM(G95,G96,G97,G99,G100)</f>
        <v>130</v>
      </c>
      <c r="G119" s="536">
        <f>SUM(G95,G96,G97,G99,G100)</f>
        <v>130</v>
      </c>
      <c r="H119" s="460">
        <f>G119+'7'!H119</f>
        <v>1066</v>
      </c>
      <c r="I119" s="535"/>
      <c r="J119" s="559">
        <f>H119/DAY(B2)</f>
        <v>133.25</v>
      </c>
      <c r="N119" s="382"/>
    </row>
    <row r="120" spans="1:14" s="446" customFormat="1" ht="27.75">
      <c r="A120" s="1508" t="s">
        <v>229</v>
      </c>
      <c r="B120" s="1509"/>
      <c r="C120" s="1141"/>
      <c r="D120" s="624" t="s">
        <v>144</v>
      </c>
      <c r="E120" s="534"/>
      <c r="F120" s="662">
        <f>SUM(G112)</f>
        <v>152</v>
      </c>
      <c r="G120" s="534">
        <f>SUM(G112)</f>
        <v>152</v>
      </c>
      <c r="H120" s="460">
        <f>G120+'7'!H120</f>
        <v>1024</v>
      </c>
      <c r="I120" s="535"/>
      <c r="J120" s="559">
        <f>H120/DAY(B2)</f>
        <v>128</v>
      </c>
      <c r="N120" s="382"/>
    </row>
    <row r="121" spans="1:14" s="442" customFormat="1" ht="27.75">
      <c r="A121" s="1510"/>
      <c r="B121" s="1511"/>
      <c r="C121" s="1142"/>
      <c r="D121" s="560"/>
      <c r="E121" s="560"/>
      <c r="F121" s="664" t="s">
        <v>215</v>
      </c>
      <c r="G121" s="560"/>
      <c r="H121" s="561"/>
      <c r="I121" s="560"/>
      <c r="J121" s="562"/>
      <c r="N121" s="382"/>
    </row>
    <row r="122" spans="1:14">
      <c r="A122" s="1545" t="s">
        <v>230</v>
      </c>
      <c r="B122" s="1546"/>
      <c r="C122" s="1547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4" t="s">
        <v>231</v>
      </c>
      <c r="B123" s="1145"/>
      <c r="C123" s="1145"/>
      <c r="D123" s="523" t="s">
        <v>141</v>
      </c>
      <c r="E123" s="478">
        <f>'7'!F123</f>
        <v>820576</v>
      </c>
      <c r="F123" s="478">
        <v>820823.2</v>
      </c>
      <c r="G123" s="473">
        <f t="shared" ref="G123:G127" si="14">F123-E123</f>
        <v>247.19999999995343</v>
      </c>
      <c r="H123" s="460">
        <f>G123+'7'!H123</f>
        <v>2013.1999999999534</v>
      </c>
      <c r="I123" s="526"/>
      <c r="J123" s="552">
        <f>H123/DAY(B2)</f>
        <v>251.64999999999418</v>
      </c>
      <c r="K123" s="380"/>
      <c r="L123" s="377"/>
      <c r="N123" s="382"/>
    </row>
    <row r="124" spans="1:14" ht="27.75">
      <c r="A124" s="1144" t="s">
        <v>232</v>
      </c>
      <c r="B124" s="1145"/>
      <c r="C124" s="1145"/>
      <c r="D124" s="523" t="s">
        <v>141</v>
      </c>
      <c r="E124" s="626">
        <f>'7'!F124</f>
        <v>73583</v>
      </c>
      <c r="F124" s="626">
        <v>73583.399999999994</v>
      </c>
      <c r="G124" s="473">
        <f t="shared" si="14"/>
        <v>0.39999999999417923</v>
      </c>
      <c r="H124" s="460">
        <f>G124+'7'!H124</f>
        <v>0</v>
      </c>
      <c r="I124" s="526"/>
      <c r="J124" s="552">
        <f>H124/DAY(B2)</f>
        <v>0</v>
      </c>
      <c r="K124" s="380"/>
      <c r="L124" s="377"/>
      <c r="N124" s="382"/>
    </row>
    <row r="125" spans="1:14" ht="27.75">
      <c r="A125" s="1499" t="s">
        <v>233</v>
      </c>
      <c r="B125" s="1500"/>
      <c r="C125" s="1501"/>
      <c r="D125" s="523" t="s">
        <v>141</v>
      </c>
      <c r="E125" s="478">
        <f>'7'!F125</f>
        <v>142781</v>
      </c>
      <c r="F125" s="478">
        <v>142887.13</v>
      </c>
      <c r="G125" s="473">
        <f t="shared" si="14"/>
        <v>106.13000000000466</v>
      </c>
      <c r="H125" s="460">
        <f>G125+'7'!H125</f>
        <v>751.13000000000466</v>
      </c>
      <c r="I125" s="526"/>
      <c r="J125" s="552">
        <f>H125/DAY(B2)</f>
        <v>93.891250000000582</v>
      </c>
      <c r="K125" s="380"/>
      <c r="L125" s="377"/>
      <c r="N125" s="382"/>
    </row>
    <row r="126" spans="1:14" ht="27.75">
      <c r="A126" s="609" t="s">
        <v>234</v>
      </c>
      <c r="B126" s="1145"/>
      <c r="C126" s="1145"/>
      <c r="D126" s="523" t="s">
        <v>141</v>
      </c>
      <c r="E126" s="626">
        <f>'7'!F126</f>
        <v>31403</v>
      </c>
      <c r="F126" s="626">
        <v>31404.2</v>
      </c>
      <c r="G126" s="473">
        <f t="shared" si="14"/>
        <v>1.2000000000007276</v>
      </c>
      <c r="H126" s="460">
        <f>G126+'7'!H126</f>
        <v>85.5</v>
      </c>
      <c r="I126" s="526"/>
      <c r="J126" s="552">
        <f>H126/DAY(B2)</f>
        <v>10.6875</v>
      </c>
      <c r="K126" s="380"/>
      <c r="L126" s="377"/>
      <c r="N126" s="382"/>
    </row>
    <row r="127" spans="1:14" ht="27.75">
      <c r="A127" s="609" t="s">
        <v>235</v>
      </c>
      <c r="B127" s="1145"/>
      <c r="C127" s="1145"/>
      <c r="D127" s="523" t="s">
        <v>141</v>
      </c>
      <c r="E127" s="626">
        <f>'7'!F127</f>
        <v>8966</v>
      </c>
      <c r="F127" s="626">
        <v>8966</v>
      </c>
      <c r="G127" s="473">
        <f t="shared" si="14"/>
        <v>0</v>
      </c>
      <c r="H127" s="460">
        <f>G127+'7'!H127</f>
        <v>4</v>
      </c>
      <c r="I127" s="480"/>
      <c r="J127" s="552">
        <f>H127/DAY(B2)</f>
        <v>0.5</v>
      </c>
      <c r="K127" s="380"/>
      <c r="L127" s="377"/>
      <c r="N127" s="382"/>
    </row>
    <row r="128" spans="1:14" s="281" customFormat="1" ht="27.75">
      <c r="A128" s="609" t="s">
        <v>236</v>
      </c>
      <c r="B128" s="1145"/>
      <c r="C128" s="1145"/>
      <c r="D128" s="523"/>
      <c r="E128" s="478"/>
      <c r="F128" s="478"/>
      <c r="G128" s="473">
        <f>G15-SUM(G123:G127)</f>
        <v>597.10199999993711</v>
      </c>
      <c r="H128" s="460"/>
      <c r="I128" s="480"/>
      <c r="J128" s="552"/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4" t="s">
        <v>238</v>
      </c>
      <c r="B130" s="1145"/>
      <c r="C130" s="1145"/>
      <c r="D130" s="523" t="s">
        <v>239</v>
      </c>
      <c r="E130" s="484">
        <f>'7'!F130</f>
        <v>0</v>
      </c>
      <c r="F130" s="478">
        <v>0</v>
      </c>
      <c r="G130" s="473">
        <f t="shared" ref="G130:G140" si="15">F130-E130</f>
        <v>0</v>
      </c>
      <c r="H130" s="460">
        <f>G130+'7'!H130</f>
        <v>0</v>
      </c>
      <c r="I130" s="480"/>
      <c r="J130" s="552">
        <f>H130/DAY(B2)</f>
        <v>0</v>
      </c>
      <c r="N130" s="382"/>
    </row>
    <row r="131" spans="1:14" ht="27.75">
      <c r="A131" s="1144" t="s">
        <v>240</v>
      </c>
      <c r="B131" s="1145"/>
      <c r="C131" s="1145"/>
      <c r="D131" s="523" t="s">
        <v>239</v>
      </c>
      <c r="E131" s="484">
        <f>'7'!F131</f>
        <v>0</v>
      </c>
      <c r="F131" s="478">
        <v>0</v>
      </c>
      <c r="G131" s="473">
        <f t="shared" si="15"/>
        <v>0</v>
      </c>
      <c r="H131" s="460">
        <f>G131+'7'!H131</f>
        <v>0</v>
      </c>
      <c r="I131" s="480"/>
      <c r="J131" s="552">
        <f>H131/DAY(B2)</f>
        <v>0</v>
      </c>
      <c r="N131" s="382"/>
    </row>
    <row r="132" spans="1:14" ht="27.75">
      <c r="A132" s="1144" t="s">
        <v>241</v>
      </c>
      <c r="B132" s="1145"/>
      <c r="C132" s="1145"/>
      <c r="D132" s="523" t="s">
        <v>239</v>
      </c>
      <c r="E132" s="704">
        <f>'7'!F132</f>
        <v>39651</v>
      </c>
      <c r="F132" s="626">
        <v>39651</v>
      </c>
      <c r="G132" s="473">
        <f t="shared" si="15"/>
        <v>0</v>
      </c>
      <c r="H132" s="460">
        <f>G132+'7'!H132</f>
        <v>118</v>
      </c>
      <c r="I132" s="480"/>
      <c r="J132" s="552">
        <f>H132/DAY(B2)</f>
        <v>14.75</v>
      </c>
      <c r="N132" s="382"/>
    </row>
    <row r="133" spans="1:14" ht="27.75">
      <c r="A133" s="1144" t="s">
        <v>242</v>
      </c>
      <c r="B133" s="1145"/>
      <c r="C133" s="1145"/>
      <c r="D133" s="523" t="s">
        <v>239</v>
      </c>
      <c r="E133" s="522">
        <f>'7'!F133</f>
        <v>300</v>
      </c>
      <c r="F133" s="485">
        <v>300</v>
      </c>
      <c r="G133" s="473">
        <f t="shared" si="15"/>
        <v>0</v>
      </c>
      <c r="H133" s="460">
        <f>G133+'7'!H133</f>
        <v>0</v>
      </c>
      <c r="I133" s="480">
        <f>G130+G131+G132+G133</f>
        <v>0</v>
      </c>
      <c r="J133" s="552">
        <f>H133/DAY(B2)</f>
        <v>0</v>
      </c>
      <c r="N133" s="382"/>
    </row>
    <row r="134" spans="1:14" ht="27.75">
      <c r="A134" s="1144" t="s">
        <v>243</v>
      </c>
      <c r="B134" s="1145"/>
      <c r="C134" s="1145"/>
      <c r="D134" s="523" t="s">
        <v>239</v>
      </c>
      <c r="E134" s="704">
        <f>'7'!F134</f>
        <v>40909</v>
      </c>
      <c r="F134" s="626">
        <v>40933</v>
      </c>
      <c r="G134" s="473">
        <f t="shared" si="15"/>
        <v>24</v>
      </c>
      <c r="H134" s="460">
        <f>G134+'7'!H134</f>
        <v>94</v>
      </c>
      <c r="I134" s="480"/>
      <c r="J134" s="552">
        <f>H134/DAY(B2)</f>
        <v>11.75</v>
      </c>
      <c r="N134" s="382"/>
    </row>
    <row r="135" spans="1:14" ht="27.75">
      <c r="A135" s="1144" t="s">
        <v>244</v>
      </c>
      <c r="B135" s="1145"/>
      <c r="C135" s="1145"/>
      <c r="D135" s="523" t="s">
        <v>239</v>
      </c>
      <c r="E135" s="704">
        <f>'7'!F135</f>
        <v>32582.560000000001</v>
      </c>
      <c r="F135" s="626">
        <v>32582.560000000001</v>
      </c>
      <c r="G135" s="473">
        <f t="shared" si="15"/>
        <v>0</v>
      </c>
      <c r="H135" s="460">
        <f>G135+'7'!H135</f>
        <v>-0.43999999999869033</v>
      </c>
      <c r="I135" s="480"/>
      <c r="J135" s="552">
        <f>H135/DAY(B2)</f>
        <v>-5.4999999999836291E-2</v>
      </c>
      <c r="N135" s="382"/>
    </row>
    <row r="136" spans="1:14" ht="27.75">
      <c r="A136" s="1144" t="s">
        <v>245</v>
      </c>
      <c r="B136" s="1145"/>
      <c r="C136" s="1145"/>
      <c r="D136" s="523" t="s">
        <v>239</v>
      </c>
      <c r="E136" s="541">
        <f>'7'!F136</f>
        <v>22560.58</v>
      </c>
      <c r="F136" s="654">
        <v>22570.46</v>
      </c>
      <c r="G136" s="473">
        <f t="shared" si="15"/>
        <v>9.8799999999973807</v>
      </c>
      <c r="H136" s="460">
        <f>G136+'7'!H136</f>
        <v>81.809999999997672</v>
      </c>
      <c r="I136" s="480">
        <f>G134+G135+G136</f>
        <v>33.879999999997381</v>
      </c>
      <c r="J136" s="552">
        <f>H136/DAY(B2)</f>
        <v>10.226249999999709</v>
      </c>
      <c r="N136" s="382"/>
    </row>
    <row r="137" spans="1:14" ht="27.75">
      <c r="A137" s="1144" t="s">
        <v>246</v>
      </c>
      <c r="B137" s="1145"/>
      <c r="C137" s="1145"/>
      <c r="D137" s="523" t="s">
        <v>239</v>
      </c>
      <c r="E137" s="541">
        <f>'7'!F137</f>
        <v>25048.97</v>
      </c>
      <c r="F137" s="654">
        <v>25048.97</v>
      </c>
      <c r="G137" s="473">
        <f t="shared" si="15"/>
        <v>0</v>
      </c>
      <c r="H137" s="460">
        <f>G137+'7'!H137</f>
        <v>0.18000000000029104</v>
      </c>
      <c r="I137" s="480"/>
      <c r="J137" s="552">
        <f>H137/DAY(B2)</f>
        <v>2.250000000003638E-2</v>
      </c>
      <c r="N137" s="382"/>
    </row>
    <row r="138" spans="1:14" ht="27.75">
      <c r="A138" s="1144" t="s">
        <v>247</v>
      </c>
      <c r="B138" s="1145"/>
      <c r="C138" s="1145"/>
      <c r="D138" s="523" t="s">
        <v>239</v>
      </c>
      <c r="E138" s="541">
        <f>'7'!F138</f>
        <v>70273.94</v>
      </c>
      <c r="F138" s="654">
        <v>70277.179999999993</v>
      </c>
      <c r="G138" s="473">
        <f t="shared" si="15"/>
        <v>3.2399999999906868</v>
      </c>
      <c r="H138" s="460">
        <f>G138+'7'!H138</f>
        <v>23.149999999994179</v>
      </c>
      <c r="I138" s="480">
        <f>G137+G138</f>
        <v>3.2399999999906868</v>
      </c>
      <c r="J138" s="552">
        <f>H138/DAY(B2)</f>
        <v>2.8937499999992724</v>
      </c>
      <c r="N138" s="382"/>
    </row>
    <row r="139" spans="1:14" ht="27.75">
      <c r="A139" s="1144" t="s">
        <v>248</v>
      </c>
      <c r="B139" s="1145"/>
      <c r="C139" s="1145"/>
      <c r="D139" s="523" t="s">
        <v>239</v>
      </c>
      <c r="E139" s="704">
        <f>'7'!F139</f>
        <v>1536.52</v>
      </c>
      <c r="F139" s="626">
        <v>1536.52</v>
      </c>
      <c r="G139" s="473">
        <f t="shared" si="15"/>
        <v>0</v>
      </c>
      <c r="H139" s="460">
        <f>G139+'7'!H139</f>
        <v>0</v>
      </c>
      <c r="I139" s="542"/>
      <c r="J139" s="552">
        <f>H139/DAY(B2)</f>
        <v>0</v>
      </c>
      <c r="N139" s="382"/>
    </row>
    <row r="140" spans="1:14" ht="27.75">
      <c r="A140" s="1144" t="s">
        <v>249</v>
      </c>
      <c r="B140" s="1145"/>
      <c r="C140" s="1145"/>
      <c r="D140" s="523" t="s">
        <v>239</v>
      </c>
      <c r="E140" s="484">
        <f>'7'!F140</f>
        <v>4526</v>
      </c>
      <c r="F140" s="478">
        <v>4534.2299999999996</v>
      </c>
      <c r="G140" s="473">
        <f t="shared" si="15"/>
        <v>8.2299999999995634</v>
      </c>
      <c r="H140" s="460">
        <f>G140+'7'!H140</f>
        <v>65.6899999999996</v>
      </c>
      <c r="I140" s="542"/>
      <c r="J140" s="552">
        <f>H140/DAY(B2)</f>
        <v>8.21124999999995</v>
      </c>
      <c r="N140" s="382"/>
    </row>
    <row r="141" spans="1:14">
      <c r="A141" s="1526" t="s">
        <v>250</v>
      </c>
      <c r="B141" s="1527"/>
      <c r="C141" s="1150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520" t="s">
        <v>251</v>
      </c>
      <c r="B142" s="1521"/>
      <c r="C142" s="1522"/>
      <c r="D142" s="523" t="s">
        <v>132</v>
      </c>
      <c r="E142" s="523"/>
      <c r="F142" s="523"/>
      <c r="G142" s="460">
        <f>G35+G43+G49+G57</f>
        <v>5801.4699999999721</v>
      </c>
      <c r="H142" s="460">
        <f>G142+'7'!H142</f>
        <v>46996.469999999972</v>
      </c>
      <c r="I142" s="480"/>
      <c r="J142" s="552">
        <f>H142/DAY(B2)</f>
        <v>5874.5587499999965</v>
      </c>
      <c r="K142" s="380"/>
      <c r="L142" s="377"/>
      <c r="N142" s="382"/>
    </row>
    <row r="143" spans="1:14" ht="27.75">
      <c r="A143" s="1520" t="s">
        <v>252</v>
      </c>
      <c r="B143" s="1521"/>
      <c r="C143" s="1522"/>
      <c r="D143" s="523" t="s">
        <v>24</v>
      </c>
      <c r="E143" s="511"/>
      <c r="F143" s="511"/>
      <c r="G143" s="543">
        <f>G142/G7</f>
        <v>0.26869853179565428</v>
      </c>
      <c r="H143" s="460">
        <f>G143+'7'!H143</f>
        <v>2.1559331348735915</v>
      </c>
      <c r="I143" s="544"/>
      <c r="J143" s="552">
        <f>H143/DAY(B2)</f>
        <v>0.26949164185919894</v>
      </c>
      <c r="K143" s="380"/>
      <c r="L143" s="377"/>
      <c r="N143" s="382"/>
    </row>
    <row r="144" spans="1:14" ht="27.75">
      <c r="A144" s="1520" t="s">
        <v>253</v>
      </c>
      <c r="B144" s="1521"/>
      <c r="C144" s="1522"/>
      <c r="D144" s="523" t="s">
        <v>132</v>
      </c>
      <c r="E144" s="455"/>
      <c r="F144" s="455"/>
      <c r="G144" s="460">
        <f>G41+G42+G55+G56</f>
        <v>6203.3729999999632</v>
      </c>
      <c r="H144" s="460">
        <f>G144+'7'!H144</f>
        <v>48689.21299999996</v>
      </c>
      <c r="I144" s="480"/>
      <c r="J144" s="552">
        <f>H144/DAY(B2)</f>
        <v>6086.151624999995</v>
      </c>
      <c r="K144" s="380"/>
      <c r="L144" s="377"/>
      <c r="N144" s="382"/>
    </row>
    <row r="145" spans="1:14" ht="27.75">
      <c r="A145" s="1520" t="s">
        <v>254</v>
      </c>
      <c r="B145" s="1521"/>
      <c r="C145" s="1522"/>
      <c r="D145" s="523" t="s">
        <v>24</v>
      </c>
      <c r="E145" s="455"/>
      <c r="F145" s="455"/>
      <c r="G145" s="543">
        <f>G144/G7</f>
        <v>0.2873129081561745</v>
      </c>
      <c r="H145" s="460">
        <f>G145+'7'!H145</f>
        <v>2.229670543428429</v>
      </c>
      <c r="I145" s="544"/>
      <c r="J145" s="552">
        <f>H145/DAY(B2)</f>
        <v>0.27870881792855362</v>
      </c>
      <c r="K145" s="380"/>
      <c r="L145" s="377"/>
      <c r="N145" s="382"/>
    </row>
    <row r="146" spans="1:14" ht="27.75">
      <c r="A146" s="1520" t="s">
        <v>255</v>
      </c>
      <c r="B146" s="1521"/>
      <c r="C146" s="1522"/>
      <c r="D146" s="523" t="s">
        <v>132</v>
      </c>
      <c r="E146" s="455"/>
      <c r="F146" s="455"/>
      <c r="G146" s="460">
        <f>G39+G53</f>
        <v>4123.6399999999849</v>
      </c>
      <c r="H146" s="460">
        <f>G146+'7'!H146</f>
        <v>32931.639999999985</v>
      </c>
      <c r="I146" s="545"/>
      <c r="J146" s="552">
        <f>H146/DAY(B2)</f>
        <v>4116.4549999999981</v>
      </c>
      <c r="K146" s="380"/>
      <c r="L146" s="377"/>
      <c r="N146" s="382"/>
    </row>
    <row r="147" spans="1:14" ht="27.75">
      <c r="A147" s="1520" t="s">
        <v>256</v>
      </c>
      <c r="B147" s="1521"/>
      <c r="C147" s="1522"/>
      <c r="D147" s="523" t="s">
        <v>24</v>
      </c>
      <c r="E147" s="455"/>
      <c r="F147" s="455"/>
      <c r="G147" s="543">
        <f>G146/G7</f>
        <v>0.19098883794173427</v>
      </c>
      <c r="H147" s="460">
        <f>G147+'7'!H147</f>
        <v>1.5095634527540396</v>
      </c>
      <c r="I147" s="545"/>
      <c r="J147" s="552">
        <f>H147/DAY(B2)</f>
        <v>0.18869543159425495</v>
      </c>
      <c r="N147" s="382"/>
    </row>
    <row r="148" spans="1:14" ht="27.75">
      <c r="A148" s="1520" t="s">
        <v>257</v>
      </c>
      <c r="B148" s="1521"/>
      <c r="C148" s="1522"/>
      <c r="D148" s="523" t="s">
        <v>183</v>
      </c>
      <c r="E148" s="455"/>
      <c r="F148" s="455"/>
      <c r="G148" s="460">
        <f>G38+G52</f>
        <v>1689.4100000000035</v>
      </c>
      <c r="H148" s="460">
        <f>G148+'7'!H148</f>
        <v>13884.410000000003</v>
      </c>
      <c r="I148" s="480"/>
      <c r="J148" s="552">
        <f>H148/DAY(B2)</f>
        <v>1735.5512500000004</v>
      </c>
      <c r="K148" s="381"/>
      <c r="N148" s="382"/>
    </row>
    <row r="149" spans="1:14" ht="27.75">
      <c r="A149" s="1520" t="s">
        <v>258</v>
      </c>
      <c r="B149" s="1521"/>
      <c r="C149" s="1522"/>
      <c r="D149" s="523" t="s">
        <v>24</v>
      </c>
      <c r="E149" s="455"/>
      <c r="F149" s="455"/>
      <c r="G149" s="543">
        <f>G148/G7</f>
        <v>7.8246028437775159E-2</v>
      </c>
      <c r="H149" s="460">
        <f>G149+'7'!H149</f>
        <v>0.63701527102573618</v>
      </c>
      <c r="I149" s="545"/>
      <c r="J149" s="552">
        <f>H149/DAY(B2)</f>
        <v>7.9626908878217023E-2</v>
      </c>
      <c r="N149" s="382"/>
    </row>
    <row r="150" spans="1:14" ht="27.75">
      <c r="A150" s="1520" t="s">
        <v>259</v>
      </c>
      <c r="B150" s="1521"/>
      <c r="C150" s="1522"/>
      <c r="D150" s="523" t="s">
        <v>183</v>
      </c>
      <c r="E150" s="455"/>
      <c r="F150" s="455"/>
      <c r="G150" s="460">
        <f>G36+G50</f>
        <v>1942.2199999999721</v>
      </c>
      <c r="H150" s="460">
        <f>G150+'7'!H150</f>
        <v>16063.219999999972</v>
      </c>
      <c r="I150" s="545"/>
      <c r="J150" s="552">
        <f>H150/DAY(B2)</f>
        <v>2007.9024999999965</v>
      </c>
      <c r="N150" s="382"/>
    </row>
    <row r="151" spans="1:14" ht="27.75">
      <c r="A151" s="1520" t="s">
        <v>260</v>
      </c>
      <c r="B151" s="1521"/>
      <c r="C151" s="1522"/>
      <c r="D151" s="523" t="s">
        <v>24</v>
      </c>
      <c r="E151" s="455"/>
      <c r="F151" s="455"/>
      <c r="G151" s="543">
        <f>G150/G7</f>
        <v>8.9955073873371871E-2</v>
      </c>
      <c r="H151" s="460">
        <f>G151+'7'!H151</f>
        <v>0.73506012441192159</v>
      </c>
      <c r="I151" s="480"/>
      <c r="J151" s="552">
        <f>H151/DAY(B2)</f>
        <v>9.1882515551490199E-2</v>
      </c>
      <c r="N151" s="382"/>
    </row>
    <row r="152" spans="1:14" ht="27.75">
      <c r="A152" s="1520" t="s">
        <v>261</v>
      </c>
      <c r="B152" s="1521"/>
      <c r="C152" s="1522"/>
      <c r="D152" s="523" t="s">
        <v>183</v>
      </c>
      <c r="E152" s="455"/>
      <c r="F152" s="455"/>
      <c r="G152" s="460">
        <f>G37+G51</f>
        <v>1388.2329999999929</v>
      </c>
      <c r="H152" s="460">
        <f>G152+'7'!H152</f>
        <v>11217.232999999993</v>
      </c>
      <c r="I152" s="480"/>
      <c r="J152" s="552">
        <f>H152/DAY(B2)</f>
        <v>1402.1541249999991</v>
      </c>
      <c r="N152" s="382"/>
    </row>
    <row r="153" spans="1:14" ht="28.5" thickBot="1">
      <c r="A153" s="1523" t="s">
        <v>262</v>
      </c>
      <c r="B153" s="1524"/>
      <c r="C153" s="1525"/>
      <c r="D153" s="625" t="s">
        <v>24</v>
      </c>
      <c r="E153" s="565"/>
      <c r="F153" s="565"/>
      <c r="G153" s="566">
        <f>G152/G7</f>
        <v>6.4296836644898006E-2</v>
      </c>
      <c r="H153" s="460">
        <f>G153+'7'!H153</f>
        <v>0.51466653523445383</v>
      </c>
      <c r="I153" s="568"/>
      <c r="J153" s="569">
        <f>H153/DAY(B2)</f>
        <v>6.4333316904306728E-2</v>
      </c>
      <c r="N153" s="382"/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382"/>
    </row>
    <row r="157" spans="1:14" ht="27.75">
      <c r="A157" s="1554" t="s">
        <v>267</v>
      </c>
      <c r="B157" s="1555"/>
      <c r="C157" s="1555"/>
      <c r="D157" s="1555"/>
      <c r="E157" s="1555"/>
      <c r="F157" s="1555"/>
      <c r="G157" s="1556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1064">
        <f>'7'!F160</f>
        <v>34022</v>
      </c>
      <c r="F160" s="661">
        <v>34107.43</v>
      </c>
      <c r="G160" s="473">
        <f t="shared" ref="G160:G171" si="16">F160-E160</f>
        <v>85.430000000000291</v>
      </c>
    </row>
    <row r="161" spans="1:7">
      <c r="A161" s="788" t="s">
        <v>264</v>
      </c>
      <c r="B161" s="789"/>
      <c r="C161" s="789"/>
      <c r="D161" s="511" t="s">
        <v>187</v>
      </c>
      <c r="E161" s="1064">
        <f>'7'!F161</f>
        <v>71769</v>
      </c>
      <c r="F161" s="661">
        <v>72251.490000000005</v>
      </c>
      <c r="G161" s="473">
        <f t="shared" si="16"/>
        <v>482.49000000000524</v>
      </c>
    </row>
    <row r="162" spans="1:7">
      <c r="A162" s="788" t="s">
        <v>265</v>
      </c>
      <c r="B162" s="789"/>
      <c r="C162" s="789"/>
      <c r="D162" s="511" t="s">
        <v>187</v>
      </c>
      <c r="E162" s="1064">
        <f>'7'!F162</f>
        <v>31317</v>
      </c>
      <c r="F162" s="661">
        <v>31593.43</v>
      </c>
      <c r="G162" s="473">
        <f t="shared" si="16"/>
        <v>276.43000000000029</v>
      </c>
    </row>
    <row r="163" spans="1:7">
      <c r="A163" s="788" t="s">
        <v>266</v>
      </c>
      <c r="B163" s="789"/>
      <c r="C163" s="789"/>
      <c r="D163" s="511" t="s">
        <v>187</v>
      </c>
      <c r="E163" s="1064">
        <f>'7'!F163</f>
        <v>5889</v>
      </c>
      <c r="F163" s="661">
        <v>5897</v>
      </c>
      <c r="G163" s="473">
        <f t="shared" si="16"/>
        <v>8</v>
      </c>
    </row>
    <row r="164" spans="1:7">
      <c r="A164" s="790" t="s">
        <v>98</v>
      </c>
      <c r="B164" s="604"/>
      <c r="C164" s="604"/>
      <c r="D164" s="511" t="s">
        <v>187</v>
      </c>
      <c r="E164" s="1064">
        <v>20419</v>
      </c>
      <c r="F164" s="514">
        <f>F62</f>
        <v>20419</v>
      </c>
      <c r="G164" s="473">
        <f t="shared" si="16"/>
        <v>0</v>
      </c>
    </row>
    <row r="165" spans="1:7">
      <c r="A165" s="790" t="s">
        <v>188</v>
      </c>
      <c r="B165" s="604"/>
      <c r="C165" s="604"/>
      <c r="D165" s="511" t="s">
        <v>187</v>
      </c>
      <c r="E165" s="1064">
        <f>'7'!F165</f>
        <v>2178</v>
      </c>
      <c r="F165" s="514">
        <f t="shared" ref="F165:F171" si="17">F63</f>
        <v>2189.58</v>
      </c>
      <c r="G165" s="473">
        <f t="shared" si="16"/>
        <v>11.579999999999927</v>
      </c>
    </row>
    <row r="166" spans="1:7" ht="27.75">
      <c r="A166" s="1495" t="s">
        <v>99</v>
      </c>
      <c r="B166" s="1495"/>
      <c r="C166" s="1495"/>
      <c r="D166" s="523" t="s">
        <v>187</v>
      </c>
      <c r="E166" s="1064">
        <f>'7'!F166</f>
        <v>142423</v>
      </c>
      <c r="F166" s="514">
        <f t="shared" si="17"/>
        <v>142907.71</v>
      </c>
      <c r="G166" s="473">
        <f t="shared" si="16"/>
        <v>484.70999999999185</v>
      </c>
    </row>
    <row r="167" spans="1:7" ht="27.75">
      <c r="A167" s="1495" t="s">
        <v>100</v>
      </c>
      <c r="B167" s="1495"/>
      <c r="C167" s="1495"/>
      <c r="D167" s="523" t="s">
        <v>187</v>
      </c>
      <c r="E167" s="1064">
        <f>'7'!F167</f>
        <v>146745</v>
      </c>
      <c r="F167" s="514">
        <f t="shared" si="17"/>
        <v>147109.56</v>
      </c>
      <c r="G167" s="473">
        <f t="shared" si="16"/>
        <v>364.55999999999767</v>
      </c>
    </row>
    <row r="168" spans="1:7" ht="27.75">
      <c r="A168" s="1495" t="s">
        <v>101</v>
      </c>
      <c r="B168" s="1495"/>
      <c r="C168" s="1495"/>
      <c r="D168" s="523" t="s">
        <v>187</v>
      </c>
      <c r="E168" s="1064">
        <f>'7'!F168</f>
        <v>39987</v>
      </c>
      <c r="F168" s="514">
        <f t="shared" si="17"/>
        <v>40373</v>
      </c>
      <c r="G168" s="473">
        <f t="shared" si="16"/>
        <v>386</v>
      </c>
    </row>
    <row r="169" spans="1:7" ht="27.75">
      <c r="A169" s="1495" t="s">
        <v>102</v>
      </c>
      <c r="B169" s="1495"/>
      <c r="C169" s="1495"/>
      <c r="D169" s="523" t="s">
        <v>187</v>
      </c>
      <c r="E169" s="1064">
        <f>'7'!F169</f>
        <v>233478</v>
      </c>
      <c r="F169" s="514">
        <f t="shared" si="17"/>
        <v>234109.79</v>
      </c>
      <c r="G169" s="473">
        <f t="shared" si="16"/>
        <v>631.79000000000815</v>
      </c>
    </row>
    <row r="170" spans="1:7" ht="27.75">
      <c r="A170" s="1495" t="s">
        <v>103</v>
      </c>
      <c r="B170" s="1495"/>
      <c r="C170" s="1495"/>
      <c r="D170" s="523" t="s">
        <v>187</v>
      </c>
      <c r="E170" s="1064">
        <f>'7'!F170</f>
        <v>85321</v>
      </c>
      <c r="F170" s="514">
        <f t="shared" si="17"/>
        <v>85321</v>
      </c>
      <c r="G170" s="473">
        <f t="shared" si="16"/>
        <v>0</v>
      </c>
    </row>
    <row r="171" spans="1:7" ht="27.75">
      <c r="A171" s="1495" t="s">
        <v>104</v>
      </c>
      <c r="B171" s="1495"/>
      <c r="C171" s="1495"/>
      <c r="D171" s="523" t="s">
        <v>187</v>
      </c>
      <c r="E171" s="1064">
        <f>'7'!F171</f>
        <v>76475</v>
      </c>
      <c r="F171" s="514">
        <f t="shared" si="17"/>
        <v>76765.649999999994</v>
      </c>
      <c r="G171" s="473">
        <f t="shared" si="16"/>
        <v>290.64999999999418</v>
      </c>
    </row>
    <row r="176" spans="1:7" ht="18.75" customHeight="1"/>
    <row r="184" ht="20.25" customHeight="1"/>
    <row r="185" ht="20.25" customHeight="1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118" zoomScale="55" zoomScaleNormal="80" zoomScaleSheetLayoutView="55" workbookViewId="0">
      <selection activeCell="G109" sqref="G109"/>
    </sheetView>
  </sheetViews>
  <sheetFormatPr defaultColWidth="22.33203125" defaultRowHeight="29.25"/>
  <cols>
    <col min="1" max="1" width="59.6640625" style="454" bestFit="1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28" t="s">
        <v>117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4" s="281" customFormat="1" ht="27">
      <c r="A2" s="575" t="s">
        <v>353</v>
      </c>
      <c r="B2" s="1036">
        <v>44295</v>
      </c>
      <c r="C2" s="1146" t="s">
        <v>69</v>
      </c>
      <c r="D2" s="611">
        <v>0.45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281" t="s">
        <v>118</v>
      </c>
    </row>
    <row r="3" spans="1:14" s="281" customFormat="1" ht="27">
      <c r="A3" s="570"/>
      <c r="B3" s="614"/>
      <c r="C3" s="1146" t="s">
        <v>120</v>
      </c>
      <c r="D3" s="612">
        <v>29</v>
      </c>
      <c r="E3" s="1537" t="s">
        <v>121</v>
      </c>
      <c r="F3" s="1538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6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376" t="s">
        <v>126</v>
      </c>
    </row>
    <row r="6" spans="1:14">
      <c r="A6" s="1531" t="s">
        <v>130</v>
      </c>
      <c r="B6" s="1532"/>
      <c r="C6" s="1533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'8'!F7</f>
        <v>5288429</v>
      </c>
      <c r="F7" s="455">
        <v>5310400</v>
      </c>
      <c r="G7" s="681">
        <f>F7-E7</f>
        <v>21971</v>
      </c>
      <c r="H7" s="682">
        <f>G7+'8'!H7</f>
        <v>196477</v>
      </c>
      <c r="I7" s="683">
        <f>'1'!I7</f>
        <v>12000</v>
      </c>
      <c r="J7" s="684">
        <f>H7/DAY(B2)</f>
        <v>21830.777777777777</v>
      </c>
      <c r="K7" s="549"/>
      <c r="L7" s="377"/>
      <c r="N7" s="382">
        <v>11359</v>
      </c>
    </row>
    <row r="8" spans="1:14" ht="27.75" thickBot="1">
      <c r="A8" s="685" t="s">
        <v>133</v>
      </c>
      <c r="B8" s="686"/>
      <c r="C8" s="687"/>
      <c r="D8" s="688" t="s">
        <v>25</v>
      </c>
      <c r="E8" s="633">
        <f>'8'!F8</f>
        <v>5320650</v>
      </c>
      <c r="F8" s="475">
        <v>5342740</v>
      </c>
      <c r="G8" s="692">
        <f>F8-E8</f>
        <v>22090</v>
      </c>
      <c r="H8" s="682">
        <f>G8+'8'!H8</f>
        <v>197422</v>
      </c>
      <c r="I8" s="689">
        <v>12000</v>
      </c>
      <c r="J8" s="684">
        <f>H8/DAY(B2)</f>
        <v>21935.777777777777</v>
      </c>
      <c r="K8" s="549"/>
      <c r="L8" s="425"/>
      <c r="M8" s="440"/>
      <c r="N8" s="382">
        <v>11487</v>
      </c>
    </row>
    <row r="9" spans="1:14">
      <c r="A9" s="690" t="s">
        <v>134</v>
      </c>
      <c r="B9" s="691"/>
      <c r="C9" s="691"/>
      <c r="D9" s="638" t="s">
        <v>132</v>
      </c>
      <c r="E9" s="633">
        <f>'8'!F9</f>
        <v>565332.15</v>
      </c>
      <c r="F9" s="478">
        <v>586630.31000000006</v>
      </c>
      <c r="G9" s="705">
        <f t="shared" ref="G9:G12" si="0">F9-E9</f>
        <v>21298.160000000033</v>
      </c>
      <c r="H9" s="682">
        <f>G9+'8'!H9</f>
        <v>190561.31000000006</v>
      </c>
      <c r="I9" s="693">
        <f>I7-J7</f>
        <v>-9830.7777777777774</v>
      </c>
      <c r="J9" s="684">
        <f>H9/DAY(B2)</f>
        <v>21173.478888888894</v>
      </c>
      <c r="K9" s="428"/>
      <c r="L9" s="377"/>
      <c r="N9" s="382">
        <v>11077</v>
      </c>
    </row>
    <row r="10" spans="1:14">
      <c r="A10" s="679" t="s">
        <v>135</v>
      </c>
      <c r="B10" s="680"/>
      <c r="C10" s="680"/>
      <c r="D10" s="638" t="s">
        <v>132</v>
      </c>
      <c r="E10" s="633">
        <f>'8'!F10</f>
        <v>2322.58</v>
      </c>
      <c r="F10" s="478">
        <v>2322.58</v>
      </c>
      <c r="G10" s="692">
        <f t="shared" si="0"/>
        <v>0</v>
      </c>
      <c r="H10" s="682">
        <f>G10+'8'!H10</f>
        <v>0</v>
      </c>
      <c r="I10" s="694"/>
      <c r="J10" s="684">
        <f>H10/DAY(B2)</f>
        <v>0</v>
      </c>
      <c r="K10" s="428"/>
      <c r="L10" s="377"/>
      <c r="N10" s="382">
        <v>0</v>
      </c>
    </row>
    <row r="11" spans="1:14">
      <c r="A11" s="679" t="s">
        <v>136</v>
      </c>
      <c r="B11" s="680"/>
      <c r="C11" s="680"/>
      <c r="D11" s="638" t="s">
        <v>132</v>
      </c>
      <c r="E11" s="633">
        <f>'8'!E11</f>
        <v>37000</v>
      </c>
      <c r="F11" s="455">
        <v>37000</v>
      </c>
      <c r="G11" s="692">
        <f t="shared" si="0"/>
        <v>0</v>
      </c>
      <c r="H11" s="682">
        <f>G11+'8'!H11</f>
        <v>0</v>
      </c>
      <c r="I11" s="694"/>
      <c r="J11" s="684">
        <f>H11/DAY(B2)</f>
        <v>0</v>
      </c>
      <c r="K11" s="428"/>
      <c r="L11" s="377"/>
      <c r="N11" s="382">
        <v>0</v>
      </c>
    </row>
    <row r="12" spans="1:14">
      <c r="A12" s="679" t="s">
        <v>137</v>
      </c>
      <c r="B12" s="680"/>
      <c r="C12" s="680"/>
      <c r="D12" s="638" t="s">
        <v>132</v>
      </c>
      <c r="E12" s="633">
        <f>'8'!E12</f>
        <v>40010</v>
      </c>
      <c r="F12" s="478">
        <v>40010</v>
      </c>
      <c r="G12" s="692">
        <f t="shared" si="0"/>
        <v>0</v>
      </c>
      <c r="H12" s="682">
        <f>G12+'8'!H12</f>
        <v>0</v>
      </c>
      <c r="I12" s="694"/>
      <c r="J12" s="684">
        <f>H12/DAY(B2)</f>
        <v>0</v>
      </c>
      <c r="K12" s="428"/>
      <c r="L12" s="377"/>
      <c r="N12" s="382">
        <v>0</v>
      </c>
    </row>
    <row r="13" spans="1:14">
      <c r="A13" s="695" t="s">
        <v>138</v>
      </c>
      <c r="B13" s="696"/>
      <c r="C13" s="696"/>
      <c r="D13" s="638"/>
      <c r="E13" s="633"/>
      <c r="F13" s="455"/>
      <c r="G13" s="697">
        <f>G9+G10+G11+G12</f>
        <v>21298.160000000033</v>
      </c>
      <c r="H13" s="682">
        <f>G13+'8'!H13</f>
        <v>190561.31000000006</v>
      </c>
      <c r="I13" s="698">
        <f>G7-G13</f>
        <v>672.8399999999674</v>
      </c>
      <c r="J13" s="684">
        <f>H13/DAY(B2)</f>
        <v>21173.478888888894</v>
      </c>
      <c r="K13" s="428"/>
      <c r="L13" s="377"/>
      <c r="N13" s="382">
        <v>11077</v>
      </c>
    </row>
    <row r="14" spans="1:14">
      <c r="A14" s="1534" t="s">
        <v>139</v>
      </c>
      <c r="B14" s="1535"/>
      <c r="C14" s="1536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1182" t="s">
        <v>140</v>
      </c>
      <c r="B15" s="1183"/>
      <c r="C15" s="1183"/>
      <c r="D15" s="1184" t="s">
        <v>141</v>
      </c>
      <c r="E15" s="703">
        <f>'8'!F15</f>
        <v>1654289.0319999999</v>
      </c>
      <c r="F15" s="703">
        <v>1655192.4920000001</v>
      </c>
      <c r="G15" s="681">
        <f>(F15-E15)</f>
        <v>903.46000000019558</v>
      </c>
      <c r="H15" s="1177">
        <f>G15+'8'!H15</f>
        <v>8503.4920000000857</v>
      </c>
      <c r="I15" s="1178">
        <v>800</v>
      </c>
      <c r="J15" s="1179">
        <f>H15/DAY(B2)</f>
        <v>944.83244444445393</v>
      </c>
      <c r="K15" s="1171"/>
      <c r="L15" s="1172"/>
      <c r="M15" s="1173"/>
      <c r="N15" s="1174">
        <v>330.54600000008941</v>
      </c>
    </row>
    <row r="16" spans="1:14">
      <c r="A16" s="1175"/>
      <c r="B16" s="1176"/>
      <c r="C16" s="1176"/>
      <c r="D16" s="1169"/>
      <c r="E16" s="1170"/>
      <c r="F16" s="1170"/>
      <c r="G16" s="1180"/>
      <c r="H16" s="1177"/>
      <c r="I16" s="1181">
        <f>I15-J15</f>
        <v>-144.83244444445393</v>
      </c>
      <c r="J16" s="1179"/>
      <c r="K16" s="1171"/>
      <c r="L16" s="1172"/>
      <c r="M16" s="1173"/>
      <c r="N16" s="1174"/>
    </row>
    <row r="17" spans="1:14">
      <c r="A17" s="1534" t="s">
        <v>142</v>
      </c>
      <c r="B17" s="1535"/>
      <c r="C17" s="1536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60" t="s">
        <v>143</v>
      </c>
      <c r="B18" s="1561"/>
      <c r="C18" s="1562"/>
      <c r="D18" s="638" t="s">
        <v>144</v>
      </c>
      <c r="E18" s="635">
        <f>'8'!F18</f>
        <v>10</v>
      </c>
      <c r="F18" s="478">
        <v>8</v>
      </c>
      <c r="G18" s="697">
        <f>F18*10</f>
        <v>80</v>
      </c>
      <c r="H18" s="682">
        <f>G18+'8'!H18</f>
        <v>980</v>
      </c>
      <c r="I18" s="683">
        <v>65</v>
      </c>
      <c r="J18" s="684">
        <f>H18/DAY(B2)</f>
        <v>108.88888888888889</v>
      </c>
      <c r="K18" s="428"/>
      <c r="L18" s="377"/>
      <c r="N18" s="382">
        <v>0</v>
      </c>
    </row>
    <row r="19" spans="1:14" ht="27.75">
      <c r="A19" s="1560" t="s">
        <v>71</v>
      </c>
      <c r="B19" s="1561"/>
      <c r="C19" s="1562"/>
      <c r="D19" s="638" t="s">
        <v>144</v>
      </c>
      <c r="E19" s="635">
        <f>'8'!F19</f>
        <v>136530</v>
      </c>
      <c r="F19" s="478">
        <v>136593</v>
      </c>
      <c r="G19" s="692">
        <f t="shared" ref="G19" si="1">F19-E19</f>
        <v>63</v>
      </c>
      <c r="H19" s="682">
        <f>G19+'8'!H19</f>
        <v>503</v>
      </c>
      <c r="I19" s="699"/>
      <c r="J19" s="684">
        <f>H19/DAY(B2)</f>
        <v>55.888888888888886</v>
      </c>
      <c r="K19" s="428"/>
      <c r="L19" s="377"/>
      <c r="N19" s="382">
        <v>55</v>
      </c>
    </row>
    <row r="20" spans="1:14">
      <c r="A20" s="695" t="s">
        <v>145</v>
      </c>
      <c r="B20" s="696"/>
      <c r="C20" s="696"/>
      <c r="D20" s="638"/>
      <c r="E20" s="638"/>
      <c r="F20" s="524"/>
      <c r="G20" s="700">
        <f>G18+G19</f>
        <v>143</v>
      </c>
      <c r="H20" s="682">
        <f>G20+'8'!H20</f>
        <v>1483</v>
      </c>
      <c r="I20" s="701">
        <f>I18-J20</f>
        <v>-99.777777777777771</v>
      </c>
      <c r="J20" s="684">
        <f>H20/DAY(B2)</f>
        <v>164.77777777777777</v>
      </c>
      <c r="K20" s="428"/>
      <c r="L20" s="377"/>
      <c r="N20" s="382">
        <v>55</v>
      </c>
    </row>
    <row r="21" spans="1:14">
      <c r="A21" s="1534" t="s">
        <v>146</v>
      </c>
      <c r="B21" s="1535"/>
      <c r="C21" s="1536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4" t="s">
        <v>147</v>
      </c>
      <c r="B22" s="589"/>
      <c r="C22" s="589"/>
      <c r="D22" s="523" t="s">
        <v>148</v>
      </c>
      <c r="E22" s="635">
        <f>'8'!F22</f>
        <v>1290</v>
      </c>
      <c r="F22" s="478">
        <v>1290</v>
      </c>
      <c r="G22" s="481">
        <f t="shared" ref="G22" si="2">(F22-E22)</f>
        <v>0</v>
      </c>
      <c r="H22" s="460">
        <f>G22+'8'!H22</f>
        <v>0</v>
      </c>
      <c r="I22" s="480"/>
      <c r="J22" s="552">
        <f>H22/DAY(B2)</f>
        <v>0</v>
      </c>
      <c r="K22" s="428"/>
      <c r="L22" s="377"/>
      <c r="N22" s="382">
        <v>0</v>
      </c>
    </row>
    <row r="23" spans="1:14">
      <c r="A23" s="1144" t="s">
        <v>149</v>
      </c>
      <c r="B23" s="589"/>
      <c r="C23" s="589"/>
      <c r="D23" s="523" t="s">
        <v>148</v>
      </c>
      <c r="E23" s="635">
        <f>'8'!F23</f>
        <v>1900</v>
      </c>
      <c r="F23" s="478">
        <v>2900</v>
      </c>
      <c r="G23" s="481">
        <v>0</v>
      </c>
      <c r="H23" s="460">
        <f>G23+'8'!H23</f>
        <v>0</v>
      </c>
      <c r="I23" s="480"/>
      <c r="J23" s="552">
        <f>H23/DAY(B2)</f>
        <v>0</v>
      </c>
      <c r="K23" s="428"/>
      <c r="L23" s="377"/>
      <c r="N23" s="382">
        <v>0</v>
      </c>
    </row>
    <row r="24" spans="1:14">
      <c r="A24" s="590" t="s">
        <v>150</v>
      </c>
      <c r="B24" s="591"/>
      <c r="C24" s="591"/>
      <c r="D24" s="511" t="s">
        <v>148</v>
      </c>
      <c r="E24" s="493">
        <v>4250</v>
      </c>
      <c r="F24" s="485">
        <v>4250</v>
      </c>
      <c r="G24" s="481">
        <v>0</v>
      </c>
      <c r="H24" s="460">
        <f>G24+'8'!H24</f>
        <v>0</v>
      </c>
      <c r="I24" s="480"/>
      <c r="J24" s="552">
        <f>H24/DAY(B2)</f>
        <v>0</v>
      </c>
      <c r="K24" s="428"/>
      <c r="L24" s="377"/>
      <c r="N24" s="382">
        <v>0</v>
      </c>
    </row>
    <row r="25" spans="1:14" s="442" customFormat="1" ht="27">
      <c r="A25" s="1539" t="s">
        <v>151</v>
      </c>
      <c r="B25" s="1540"/>
      <c r="C25" s="1541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22090</v>
      </c>
      <c r="F27" s="501">
        <v>9</v>
      </c>
      <c r="G27" s="502">
        <f>E27*F27</f>
        <v>198810</v>
      </c>
      <c r="H27" s="460">
        <f>G27+'8'!H27</f>
        <v>1776798</v>
      </c>
      <c r="I27" s="503"/>
      <c r="J27" s="552">
        <f>H27/DAY(B2)</f>
        <v>197422</v>
      </c>
      <c r="K27" s="373"/>
      <c r="L27" s="443"/>
      <c r="N27" s="382">
        <v>114870</v>
      </c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903.46000000019558</v>
      </c>
      <c r="F28" s="501">
        <v>51.45</v>
      </c>
      <c r="G28" s="502">
        <f>E28*F28</f>
        <v>46483.017000010062</v>
      </c>
      <c r="H28" s="460">
        <f>G28+'8'!H28</f>
        <v>437504.66340000439</v>
      </c>
      <c r="I28" s="505"/>
      <c r="J28" s="552">
        <f>H28/DAY(B2)</f>
        <v>48611.629266667151</v>
      </c>
      <c r="K28" s="373"/>
      <c r="L28" s="443"/>
      <c r="N28" s="382">
        <v>11569.110000003129</v>
      </c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G29+'8'!H29</f>
        <v>0</v>
      </c>
      <c r="I29" s="505"/>
      <c r="J29" s="552">
        <f>H29/DAY(B2)</f>
        <v>0</v>
      </c>
      <c r="K29" s="373"/>
      <c r="L29" s="443"/>
      <c r="N29" s="382">
        <v>0</v>
      </c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63</v>
      </c>
      <c r="F30" s="501">
        <v>134</v>
      </c>
      <c r="G30" s="502">
        <f>E30*F30</f>
        <v>8442</v>
      </c>
      <c r="H30" s="460">
        <f>G30+'8'!H30</f>
        <v>68770</v>
      </c>
      <c r="I30" s="505"/>
      <c r="J30" s="552">
        <f>H30/DAY(B2)</f>
        <v>7641.1111111111113</v>
      </c>
      <c r="K30" s="373"/>
      <c r="L30" s="443"/>
      <c r="N30" s="382">
        <v>7370</v>
      </c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G31+'8'!H31</f>
        <v>78400</v>
      </c>
      <c r="I31" s="505"/>
      <c r="J31" s="552">
        <f>H31/DAY(B2)</f>
        <v>8711.1111111111113</v>
      </c>
      <c r="K31" s="373"/>
      <c r="L31" s="443"/>
      <c r="N31" s="382">
        <v>0</v>
      </c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260135.01700001006</v>
      </c>
      <c r="H32" s="460">
        <f>G32+'8'!H32</f>
        <v>2361472.6634000046</v>
      </c>
      <c r="I32" s="509"/>
      <c r="J32" s="552">
        <f>H32/DAY(B2)</f>
        <v>262385.85148888943</v>
      </c>
      <c r="K32" s="373"/>
      <c r="L32" s="443"/>
      <c r="N32" s="382">
        <v>133809.11000000313</v>
      </c>
    </row>
    <row r="33" spans="1:14" ht="25.5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  <c r="N33" s="382"/>
    </row>
    <row r="34" spans="1:14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'8'!F35</f>
        <v>825359.11</v>
      </c>
      <c r="F35" s="510">
        <v>828729.67</v>
      </c>
      <c r="G35" s="473">
        <f t="shared" ref="G35:G46" si="3">F35-E35</f>
        <v>3370.5600000000559</v>
      </c>
      <c r="H35" s="460">
        <f>G35+'8'!H35</f>
        <v>30340.670000000042</v>
      </c>
      <c r="I35" s="455"/>
      <c r="J35" s="552">
        <f>H35/DAY(B2)</f>
        <v>3371.1855555555603</v>
      </c>
      <c r="K35" s="428"/>
      <c r="L35" s="377"/>
      <c r="N35" s="382">
        <v>1380.8400000000256</v>
      </c>
    </row>
    <row r="36" spans="1:14">
      <c r="A36" s="578" t="s">
        <v>165</v>
      </c>
      <c r="B36" s="579"/>
      <c r="C36" s="579"/>
      <c r="D36" s="523" t="s">
        <v>132</v>
      </c>
      <c r="E36" s="510">
        <f>'8'!F36</f>
        <v>324405.46999999997</v>
      </c>
      <c r="F36" s="510">
        <v>325402.17</v>
      </c>
      <c r="G36" s="473">
        <f t="shared" si="3"/>
        <v>996.70000000001164</v>
      </c>
      <c r="H36" s="460">
        <f>G36+'8'!H36</f>
        <v>7966.1699999999837</v>
      </c>
      <c r="I36" s="455"/>
      <c r="J36" s="552">
        <f>H36/DAY(B2)</f>
        <v>885.12999999999818</v>
      </c>
      <c r="K36" s="428"/>
      <c r="L36" s="377"/>
      <c r="N36" s="628">
        <v>514.63999999999942</v>
      </c>
    </row>
    <row r="37" spans="1:14">
      <c r="A37" s="578" t="s">
        <v>166</v>
      </c>
      <c r="B37" s="579"/>
      <c r="C37" s="579"/>
      <c r="D37" s="523" t="s">
        <v>132</v>
      </c>
      <c r="E37" s="510">
        <f>'8'!F37</f>
        <v>66014.362999999998</v>
      </c>
      <c r="F37" s="510">
        <v>67368.59</v>
      </c>
      <c r="G37" s="473">
        <f t="shared" si="3"/>
        <v>1354.226999999999</v>
      </c>
      <c r="H37" s="460">
        <f>G37+'8'!H37</f>
        <v>12571.589999999997</v>
      </c>
      <c r="I37" s="455"/>
      <c r="J37" s="552">
        <f>H37/DAY(B2)</f>
        <v>1396.843333333333</v>
      </c>
      <c r="K37" s="428"/>
      <c r="L37" s="377"/>
      <c r="N37" s="629">
        <v>1164.4599999999919</v>
      </c>
    </row>
    <row r="38" spans="1:14">
      <c r="A38" s="578" t="s">
        <v>167</v>
      </c>
      <c r="B38" s="579"/>
      <c r="C38" s="579"/>
      <c r="D38" s="523" t="s">
        <v>132</v>
      </c>
      <c r="E38" s="510">
        <f>'8'!F38</f>
        <v>86192.41</v>
      </c>
      <c r="F38" s="469">
        <v>87787.53</v>
      </c>
      <c r="G38" s="473">
        <f t="shared" si="3"/>
        <v>1595.1199999999953</v>
      </c>
      <c r="H38" s="460">
        <f>G38+'8'!H38</f>
        <v>15479.529999999999</v>
      </c>
      <c r="I38" s="455"/>
      <c r="J38" s="552">
        <f>H38/DAY(B2)</f>
        <v>1719.9477777777777</v>
      </c>
      <c r="K38" s="428"/>
      <c r="L38" s="377"/>
      <c r="N38" s="382">
        <v>0</v>
      </c>
    </row>
    <row r="39" spans="1:14">
      <c r="A39" s="578" t="s">
        <v>168</v>
      </c>
      <c r="B39" s="579"/>
      <c r="C39" s="579"/>
      <c r="D39" s="523" t="s">
        <v>132</v>
      </c>
      <c r="E39" s="510">
        <f>'8'!F39</f>
        <v>183273.29</v>
      </c>
      <c r="F39" s="510">
        <v>186605.97</v>
      </c>
      <c r="G39" s="473">
        <f t="shared" si="3"/>
        <v>3332.679999999993</v>
      </c>
      <c r="H39" s="460">
        <f>G39+'8'!H39</f>
        <v>33783.97</v>
      </c>
      <c r="I39" s="455"/>
      <c r="J39" s="552">
        <f>H39/DAY(B2)</f>
        <v>3753.7744444444447</v>
      </c>
      <c r="K39" s="428"/>
      <c r="L39" s="377"/>
      <c r="N39" s="382">
        <v>1951.1300000000047</v>
      </c>
    </row>
    <row r="40" spans="1:14">
      <c r="A40" s="599" t="s">
        <v>169</v>
      </c>
      <c r="B40" s="600"/>
      <c r="C40" s="600"/>
      <c r="D40" s="523" t="s">
        <v>132</v>
      </c>
      <c r="E40" s="510">
        <v>0.23</v>
      </c>
      <c r="F40" s="510">
        <v>0.23</v>
      </c>
      <c r="G40" s="473">
        <f t="shared" si="3"/>
        <v>0</v>
      </c>
      <c r="H40" s="460">
        <f>G40+'8'!H40</f>
        <v>0.17</v>
      </c>
      <c r="I40" s="455"/>
      <c r="J40" s="552">
        <f>H40/DAY(B2)</f>
        <v>1.8888888888888889E-2</v>
      </c>
      <c r="K40" s="429"/>
      <c r="L40" s="377"/>
      <c r="N40" s="382">
        <v>0</v>
      </c>
    </row>
    <row r="41" spans="1:14">
      <c r="A41" s="578" t="s">
        <v>170</v>
      </c>
      <c r="B41" s="579"/>
      <c r="C41" s="579"/>
      <c r="D41" s="523" t="s">
        <v>132</v>
      </c>
      <c r="E41" s="510">
        <f>'8'!F41</f>
        <v>160477.21</v>
      </c>
      <c r="F41" s="510">
        <v>161259.16</v>
      </c>
      <c r="G41" s="473">
        <f t="shared" si="3"/>
        <v>781.95000000001164</v>
      </c>
      <c r="H41" s="460">
        <f>G41+'8'!H41</f>
        <v>28118.160000000003</v>
      </c>
      <c r="I41" s="455"/>
      <c r="J41" s="552">
        <f>H41/DAY(B2)</f>
        <v>3124.2400000000002</v>
      </c>
      <c r="K41" s="428"/>
      <c r="L41" s="377"/>
      <c r="N41" s="382">
        <v>2876.3199999999779</v>
      </c>
    </row>
    <row r="42" spans="1:14">
      <c r="A42" s="578" t="s">
        <v>171</v>
      </c>
      <c r="B42" s="579"/>
      <c r="C42" s="579"/>
      <c r="D42" s="523" t="s">
        <v>132</v>
      </c>
      <c r="E42" s="510">
        <f>'8'!F42</f>
        <v>59128.163</v>
      </c>
      <c r="F42" s="510">
        <v>59128.160000000003</v>
      </c>
      <c r="G42" s="473">
        <f t="shared" si="3"/>
        <v>-2.9999999969732016E-3</v>
      </c>
      <c r="H42" s="460">
        <f>G42+'8'!H42</f>
        <v>0</v>
      </c>
      <c r="I42" s="455"/>
      <c r="J42" s="552">
        <f>H42/DAY(B2)</f>
        <v>0</v>
      </c>
      <c r="K42" s="428"/>
      <c r="L42" s="377"/>
      <c r="N42" s="382">
        <v>0</v>
      </c>
    </row>
    <row r="43" spans="1:14">
      <c r="A43" s="578" t="s">
        <v>172</v>
      </c>
      <c r="B43" s="579"/>
      <c r="C43" s="579"/>
      <c r="D43" s="523" t="s">
        <v>132</v>
      </c>
      <c r="E43" s="510">
        <f>'8'!F43</f>
        <v>922074.23</v>
      </c>
      <c r="F43" s="510">
        <v>924553.19</v>
      </c>
      <c r="G43" s="473">
        <f t="shared" si="3"/>
        <v>2478.9599999999627</v>
      </c>
      <c r="H43" s="460">
        <f>G43+'8'!H43</f>
        <v>22505.189999999944</v>
      </c>
      <c r="I43" s="455"/>
      <c r="J43" s="552">
        <f>H43/DAY(B2)</f>
        <v>2500.5766666666605</v>
      </c>
      <c r="K43" s="428"/>
      <c r="L43" s="377"/>
      <c r="N43" s="382">
        <v>1531.2399999999907</v>
      </c>
    </row>
    <row r="44" spans="1:14">
      <c r="A44" s="578" t="s">
        <v>173</v>
      </c>
      <c r="B44" s="579"/>
      <c r="C44" s="579"/>
      <c r="D44" s="523" t="s">
        <v>132</v>
      </c>
      <c r="E44" s="510">
        <f>'8'!F44</f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2">
        <f>H44/DAY(B2)</f>
        <v>0</v>
      </c>
      <c r="K44" s="428"/>
      <c r="L44" s="377"/>
      <c r="N44" s="382">
        <v>0</v>
      </c>
    </row>
    <row r="45" spans="1:14">
      <c r="A45" s="578" t="s">
        <v>174</v>
      </c>
      <c r="B45" s="579"/>
      <c r="C45" s="579"/>
      <c r="D45" s="523" t="s">
        <v>132</v>
      </c>
      <c r="E45" s="510">
        <f>'8'!F45</f>
        <v>614</v>
      </c>
      <c r="F45" s="510">
        <v>614</v>
      </c>
      <c r="G45" s="473">
        <f t="shared" si="3"/>
        <v>0</v>
      </c>
      <c r="H45" s="460">
        <f>G45+'8'!H45</f>
        <v>614</v>
      </c>
      <c r="I45" s="455"/>
      <c r="J45" s="552">
        <f>H45/DAY(B2)</f>
        <v>68.222222222222229</v>
      </c>
      <c r="K45" s="428"/>
      <c r="L45" s="377"/>
      <c r="N45" s="382">
        <v>0</v>
      </c>
    </row>
    <row r="46" spans="1:14">
      <c r="A46" s="578" t="s">
        <v>175</v>
      </c>
      <c r="B46" s="579"/>
      <c r="C46" s="579"/>
      <c r="D46" s="523" t="s">
        <v>132</v>
      </c>
      <c r="E46" s="510">
        <f>'8'!F46</f>
        <v>187</v>
      </c>
      <c r="F46" s="510">
        <v>187</v>
      </c>
      <c r="G46" s="473">
        <f t="shared" si="3"/>
        <v>0</v>
      </c>
      <c r="H46" s="460">
        <f>G46+'8'!H46</f>
        <v>187</v>
      </c>
      <c r="I46" s="455"/>
      <c r="J46" s="552">
        <f>H46/DAY(B2)</f>
        <v>20.777777777777779</v>
      </c>
      <c r="K46" s="428"/>
      <c r="L46" s="377"/>
      <c r="N46" s="382">
        <v>0</v>
      </c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13910.194000000032</v>
      </c>
      <c r="H47" s="460">
        <f>G47+'8'!H47</f>
        <v>151566.44999999995</v>
      </c>
      <c r="I47" s="455"/>
      <c r="J47" s="552">
        <f>H47/DAY(B2)</f>
        <v>16840.71666666666</v>
      </c>
      <c r="K47" s="428"/>
      <c r="L47" s="377"/>
      <c r="N47" s="382">
        <v>9418.6299999999901</v>
      </c>
    </row>
    <row r="48" spans="1:14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'8'!F49</f>
        <v>260732.13</v>
      </c>
      <c r="F49" s="510">
        <v>260732.13</v>
      </c>
      <c r="G49" s="473">
        <f t="shared" ref="G49:G58" si="4">F49-E49</f>
        <v>0</v>
      </c>
      <c r="H49" s="460">
        <f>G49+'8'!H49</f>
        <v>0.13000000000465661</v>
      </c>
      <c r="I49" s="455"/>
      <c r="J49" s="552">
        <f>H49/DAY(B2)</f>
        <v>1.4444444444961846E-2</v>
      </c>
      <c r="K49" s="428"/>
      <c r="L49" s="377"/>
      <c r="N49" s="382">
        <v>0</v>
      </c>
    </row>
    <row r="50" spans="1:14">
      <c r="A50" s="578" t="s">
        <v>178</v>
      </c>
      <c r="B50" s="601"/>
      <c r="C50" s="601"/>
      <c r="D50" s="523" t="s">
        <v>132</v>
      </c>
      <c r="E50" s="510">
        <f>'8'!F50</f>
        <v>450325.75</v>
      </c>
      <c r="F50" s="510">
        <v>451368.91</v>
      </c>
      <c r="G50" s="473">
        <f t="shared" si="4"/>
        <v>1043.1599999999744</v>
      </c>
      <c r="H50" s="460">
        <f>G50+'8'!H50</f>
        <v>10136.909999999974</v>
      </c>
      <c r="I50" s="455"/>
      <c r="J50" s="552">
        <f>H50/DAY(B2)</f>
        <v>1126.3233333333305</v>
      </c>
      <c r="K50" s="428"/>
      <c r="L50" s="377"/>
      <c r="N50" s="382">
        <v>609.48999999999069</v>
      </c>
    </row>
    <row r="51" spans="1:14">
      <c r="A51" s="578" t="s">
        <v>166</v>
      </c>
      <c r="B51" s="601"/>
      <c r="C51" s="601"/>
      <c r="D51" s="523" t="s">
        <v>132</v>
      </c>
      <c r="E51" s="510">
        <f>'8'!F51</f>
        <v>144639.87</v>
      </c>
      <c r="F51" s="510">
        <v>144639.87</v>
      </c>
      <c r="G51" s="473">
        <f t="shared" si="4"/>
        <v>0</v>
      </c>
      <c r="H51" s="460">
        <f>G51+'8'!H51</f>
        <v>-0.13000000000465661</v>
      </c>
      <c r="I51" s="455"/>
      <c r="J51" s="552">
        <f>H51/DAY(B2)</f>
        <v>-1.4444444444961846E-2</v>
      </c>
      <c r="K51" s="428"/>
      <c r="L51" s="377"/>
      <c r="N51" s="382">
        <v>0</v>
      </c>
    </row>
    <row r="52" spans="1:14">
      <c r="A52" s="578" t="s">
        <v>179</v>
      </c>
      <c r="B52" s="601"/>
      <c r="C52" s="601"/>
      <c r="D52" s="523" t="s">
        <v>132</v>
      </c>
      <c r="E52" s="510">
        <f>'8'!F52</f>
        <v>539608</v>
      </c>
      <c r="F52" s="510">
        <v>539606.06999999995</v>
      </c>
      <c r="G52" s="473">
        <f t="shared" si="4"/>
        <v>-1.9300000000512227</v>
      </c>
      <c r="H52" s="460">
        <f>G52+'8'!H52</f>
        <v>-1.9300000000512227</v>
      </c>
      <c r="I52" s="455"/>
      <c r="J52" s="552">
        <f>H52/DAY(B2)</f>
        <v>-0.21444444445013586</v>
      </c>
      <c r="K52" s="428"/>
      <c r="L52" s="377"/>
      <c r="N52" s="382">
        <v>1071.8899999999849</v>
      </c>
    </row>
    <row r="53" spans="1:14">
      <c r="A53" s="578" t="s">
        <v>168</v>
      </c>
      <c r="B53" s="601"/>
      <c r="C53" s="601"/>
      <c r="D53" s="523" t="s">
        <v>132</v>
      </c>
      <c r="E53" s="510">
        <f>'8'!F53</f>
        <v>403744.35</v>
      </c>
      <c r="F53" s="510">
        <v>404381.15</v>
      </c>
      <c r="G53" s="473">
        <f t="shared" si="4"/>
        <v>636.80000000004657</v>
      </c>
      <c r="H53" s="460">
        <f>G53+'8'!H53</f>
        <v>3117.1500000000233</v>
      </c>
      <c r="I53" s="455"/>
      <c r="J53" s="552">
        <f>H53/DAY(B2)</f>
        <v>346.35000000000258</v>
      </c>
      <c r="K53" s="428"/>
      <c r="L53" s="377"/>
      <c r="N53" s="382">
        <v>85.455900000000838</v>
      </c>
    </row>
    <row r="54" spans="1:14">
      <c r="A54" s="578" t="s">
        <v>180</v>
      </c>
      <c r="B54" s="601"/>
      <c r="C54" s="601"/>
      <c r="D54" s="523" t="s">
        <v>132</v>
      </c>
      <c r="E54" s="510">
        <v>8200</v>
      </c>
      <c r="F54" s="510">
        <v>9812.58</v>
      </c>
      <c r="G54" s="473">
        <f t="shared" si="4"/>
        <v>1612.58</v>
      </c>
      <c r="H54" s="460">
        <f>G54+'8'!H54</f>
        <v>3655.6200000000008</v>
      </c>
      <c r="I54" s="455"/>
      <c r="J54" s="552">
        <f>H54/DAY(B2)</f>
        <v>406.18000000000006</v>
      </c>
      <c r="K54" s="428"/>
      <c r="L54" s="377"/>
      <c r="N54" s="382">
        <v>0</v>
      </c>
    </row>
    <row r="55" spans="1:14">
      <c r="A55" s="578" t="s">
        <v>181</v>
      </c>
      <c r="B55" s="601"/>
      <c r="C55" s="601"/>
      <c r="D55" s="523" t="s">
        <v>132</v>
      </c>
      <c r="E55" s="510">
        <f>'8'!F55</f>
        <v>237367.41</v>
      </c>
      <c r="F55" s="656">
        <v>243121.93</v>
      </c>
      <c r="G55" s="655">
        <f t="shared" si="4"/>
        <v>5754.5199999999895</v>
      </c>
      <c r="H55" s="708">
        <f>G55+'8'!H55</f>
        <v>27024.929999999993</v>
      </c>
      <c r="I55" s="709"/>
      <c r="J55" s="710">
        <f>H55/DAY(B2)</f>
        <v>3002.7699999999991</v>
      </c>
      <c r="K55" s="428"/>
      <c r="L55" s="377"/>
      <c r="N55" s="382">
        <v>0</v>
      </c>
    </row>
    <row r="56" spans="1:14">
      <c r="A56" s="578" t="s">
        <v>182</v>
      </c>
      <c r="B56" s="601"/>
      <c r="C56" s="601"/>
      <c r="D56" s="523" t="s">
        <v>183</v>
      </c>
      <c r="E56" s="510">
        <f>'8'!F56</f>
        <v>589049.59</v>
      </c>
      <c r="F56" s="656">
        <v>589058.51</v>
      </c>
      <c r="G56" s="473">
        <f t="shared" si="4"/>
        <v>8.9200000000419095</v>
      </c>
      <c r="H56" s="460">
        <f>G56+'8'!H56</f>
        <v>91.510000000009313</v>
      </c>
      <c r="I56" s="455"/>
      <c r="J56" s="552">
        <f>H56/DAY(B2)</f>
        <v>10.167777777778813</v>
      </c>
      <c r="K56" s="427"/>
      <c r="L56" s="377"/>
      <c r="N56" s="382">
        <v>0</v>
      </c>
    </row>
    <row r="57" spans="1:14">
      <c r="A57" s="578" t="s">
        <v>172</v>
      </c>
      <c r="B57" s="601"/>
      <c r="C57" s="601"/>
      <c r="D57" s="523" t="s">
        <v>132</v>
      </c>
      <c r="E57" s="510">
        <f>'8'!F57</f>
        <v>7711</v>
      </c>
      <c r="F57" s="510">
        <v>7711</v>
      </c>
      <c r="G57" s="473">
        <f t="shared" si="4"/>
        <v>0</v>
      </c>
      <c r="H57" s="460">
        <f>G57+'8'!H57</f>
        <v>0</v>
      </c>
      <c r="I57" s="455"/>
      <c r="J57" s="552">
        <f>H57/DAY(B2)</f>
        <v>0</v>
      </c>
      <c r="K57" s="428"/>
      <c r="L57" s="377"/>
      <c r="N57" s="382">
        <v>0</v>
      </c>
    </row>
    <row r="58" spans="1:14">
      <c r="A58" s="578" t="s">
        <v>184</v>
      </c>
      <c r="B58" s="601"/>
      <c r="C58" s="601"/>
      <c r="D58" s="523" t="s">
        <v>132</v>
      </c>
      <c r="E58" s="510">
        <f>'8'!F58</f>
        <v>43080.23</v>
      </c>
      <c r="F58" s="656">
        <v>43304.06</v>
      </c>
      <c r="G58" s="473">
        <f t="shared" si="4"/>
        <v>223.82999999999447</v>
      </c>
      <c r="H58" s="460">
        <f>G58+'8'!H58</f>
        <v>1757.0599999999977</v>
      </c>
      <c r="I58" s="455"/>
      <c r="J58" s="552">
        <f>H58/DAY(B2)</f>
        <v>195.22888888888863</v>
      </c>
      <c r="K58" s="428"/>
      <c r="L58" s="377"/>
      <c r="N58" s="382">
        <v>-0.29700000000048021</v>
      </c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9277.8799999999956</v>
      </c>
      <c r="H59" s="460">
        <f>G59+'8'!H59</f>
        <v>45781.249999999949</v>
      </c>
      <c r="I59" s="455">
        <f>G7-G60</f>
        <v>-1217.0740000000296</v>
      </c>
      <c r="J59" s="552">
        <f>H59/DAY(B2)</f>
        <v>5086.8055555555502</v>
      </c>
      <c r="K59" s="428"/>
      <c r="L59" s="377"/>
      <c r="N59" s="382">
        <v>1766.5388999999759</v>
      </c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23188.07400000003</v>
      </c>
      <c r="H60" s="460">
        <f>G60+'8'!H60</f>
        <v>197347.6999999999</v>
      </c>
      <c r="I60" s="455">
        <f>G13-G60</f>
        <v>-1889.913999999997</v>
      </c>
      <c r="J60" s="552">
        <f>H60/DAY(B2)</f>
        <v>21927.522222222211</v>
      </c>
      <c r="K60" s="428"/>
      <c r="L60" s="377"/>
      <c r="N60" s="382">
        <v>11185.168899999966</v>
      </c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'8'!F62</f>
        <v>20419</v>
      </c>
      <c r="F62" s="514">
        <v>20419</v>
      </c>
      <c r="G62" s="473">
        <f t="shared" ref="G62:G69" si="5">F62-E62</f>
        <v>0</v>
      </c>
      <c r="H62" s="460">
        <f>G62+'8'!H62</f>
        <v>1.9999999967694748E-3</v>
      </c>
      <c r="I62" s="515"/>
      <c r="J62" s="552">
        <f>H62/DAY(B2)</f>
        <v>2.2222222186327499E-4</v>
      </c>
      <c r="K62" s="428"/>
      <c r="L62" s="377"/>
      <c r="N62" s="382">
        <v>0</v>
      </c>
    </row>
    <row r="63" spans="1:14">
      <c r="A63" s="603" t="s">
        <v>188</v>
      </c>
      <c r="B63" s="604"/>
      <c r="C63" s="604"/>
      <c r="D63" s="511" t="s">
        <v>187</v>
      </c>
      <c r="E63" s="514">
        <f>'8'!F63</f>
        <v>2189.58</v>
      </c>
      <c r="F63" s="514">
        <v>2200.6799999999998</v>
      </c>
      <c r="G63" s="473">
        <f t="shared" si="5"/>
        <v>11.099999999999909</v>
      </c>
      <c r="H63" s="460">
        <f>G63+'8'!H63</f>
        <v>104.67999999999984</v>
      </c>
      <c r="I63" s="515"/>
      <c r="J63" s="552">
        <f>H63/DAY(B2)</f>
        <v>11.631111111111093</v>
      </c>
      <c r="K63" s="428"/>
      <c r="L63" s="377"/>
      <c r="N63" s="382">
        <v>0</v>
      </c>
    </row>
    <row r="64" spans="1:14" ht="27.75">
      <c r="A64" s="1499" t="s">
        <v>99</v>
      </c>
      <c r="B64" s="1500"/>
      <c r="C64" s="1501"/>
      <c r="D64" s="523" t="s">
        <v>187</v>
      </c>
      <c r="E64" s="514">
        <f>'8'!F64</f>
        <v>142907.71</v>
      </c>
      <c r="F64" s="478">
        <v>143380.39000000001</v>
      </c>
      <c r="G64" s="473">
        <f t="shared" si="5"/>
        <v>472.68000000002212</v>
      </c>
      <c r="H64" s="460">
        <f>G64+'8'!H64</f>
        <v>4200.390000000014</v>
      </c>
      <c r="I64" s="480"/>
      <c r="J64" s="552">
        <f>H64/DAY(B2)</f>
        <v>466.71000000000157</v>
      </c>
      <c r="K64" s="428"/>
      <c r="L64" s="377"/>
      <c r="N64" s="382">
        <v>161.90400000000227</v>
      </c>
    </row>
    <row r="65" spans="1:14" ht="27.75">
      <c r="A65" s="1499" t="s">
        <v>100</v>
      </c>
      <c r="B65" s="1500"/>
      <c r="C65" s="1501"/>
      <c r="D65" s="523" t="s">
        <v>187</v>
      </c>
      <c r="E65" s="514">
        <f>'8'!F65</f>
        <v>147109.56</v>
      </c>
      <c r="F65" s="654">
        <v>147456.95999999999</v>
      </c>
      <c r="G65" s="473">
        <f t="shared" si="5"/>
        <v>347.39999999999418</v>
      </c>
      <c r="H65" s="460">
        <f>G65+'8'!H65</f>
        <v>3251.9599999999919</v>
      </c>
      <c r="I65" s="489"/>
      <c r="J65" s="552">
        <f>H65/DAY(B2)</f>
        <v>361.328888888888</v>
      </c>
      <c r="K65" s="428"/>
      <c r="L65" s="377"/>
      <c r="N65" s="382">
        <v>215.74700000000303</v>
      </c>
    </row>
    <row r="66" spans="1:14" ht="27.75">
      <c r="A66" s="1499" t="s">
        <v>101</v>
      </c>
      <c r="B66" s="1500"/>
      <c r="C66" s="1501"/>
      <c r="D66" s="523" t="s">
        <v>187</v>
      </c>
      <c r="E66" s="514">
        <f>'8'!F66</f>
        <v>40373</v>
      </c>
      <c r="F66" s="654">
        <v>40746.57</v>
      </c>
      <c r="G66" s="473">
        <f t="shared" si="5"/>
        <v>373.56999999999971</v>
      </c>
      <c r="H66" s="460">
        <f>G66+'8'!H66</f>
        <v>3538.5699999999997</v>
      </c>
      <c r="I66" s="480"/>
      <c r="J66" s="552">
        <f>H66/DAY(B2)</f>
        <v>393.17444444444442</v>
      </c>
      <c r="K66" s="428"/>
      <c r="L66" s="377"/>
      <c r="N66" s="382">
        <v>243.63500000000204</v>
      </c>
    </row>
    <row r="67" spans="1:14" ht="27.75">
      <c r="A67" s="1499" t="s">
        <v>102</v>
      </c>
      <c r="B67" s="1500"/>
      <c r="C67" s="1501"/>
      <c r="D67" s="523" t="s">
        <v>187</v>
      </c>
      <c r="E67" s="514">
        <f>'8'!F67</f>
        <v>234109.79</v>
      </c>
      <c r="F67" s="478">
        <v>234676.77</v>
      </c>
      <c r="G67" s="473">
        <f t="shared" si="5"/>
        <v>566.97999999998137</v>
      </c>
      <c r="H67" s="460">
        <f>G67+'8'!H67</f>
        <v>5576.7699999999895</v>
      </c>
      <c r="I67" s="489"/>
      <c r="J67" s="552">
        <f>H67/DAY(B2)</f>
        <v>619.64111111110992</v>
      </c>
      <c r="K67" s="429"/>
      <c r="L67" s="377"/>
      <c r="N67" s="382">
        <v>74.99199999999837</v>
      </c>
    </row>
    <row r="68" spans="1:14" ht="27.75">
      <c r="A68" s="1499" t="s">
        <v>103</v>
      </c>
      <c r="B68" s="1500"/>
      <c r="C68" s="1501"/>
      <c r="D68" s="523" t="s">
        <v>187</v>
      </c>
      <c r="E68" s="514">
        <f>'8'!F68</f>
        <v>85321</v>
      </c>
      <c r="F68" s="478">
        <v>85321</v>
      </c>
      <c r="G68" s="473">
        <f t="shared" si="5"/>
        <v>0</v>
      </c>
      <c r="H68" s="460">
        <f>G68+'8'!H68</f>
        <v>2234</v>
      </c>
      <c r="I68" s="516"/>
      <c r="J68" s="552">
        <f>H68/DAY(B2)</f>
        <v>248.22222222222223</v>
      </c>
      <c r="K68" s="430"/>
      <c r="L68" s="377"/>
      <c r="N68" s="382">
        <v>92.599999999999909</v>
      </c>
    </row>
    <row r="69" spans="1:14" ht="27.75">
      <c r="A69" s="1499" t="s">
        <v>104</v>
      </c>
      <c r="B69" s="1500"/>
      <c r="C69" s="1501"/>
      <c r="D69" s="523" t="s">
        <v>187</v>
      </c>
      <c r="E69" s="514">
        <f>'8'!F69</f>
        <v>76765.649999999994</v>
      </c>
      <c r="F69" s="478">
        <v>77058.52</v>
      </c>
      <c r="G69" s="473">
        <f t="shared" si="5"/>
        <v>292.8700000000099</v>
      </c>
      <c r="H69" s="460">
        <f>G69+'8'!H69</f>
        <v>2729.5200000000041</v>
      </c>
      <c r="I69" s="516"/>
      <c r="J69" s="552">
        <f>H69/DAY(B2)</f>
        <v>303.28000000000043</v>
      </c>
      <c r="K69" s="431"/>
      <c r="L69" s="377"/>
      <c r="N69" s="382">
        <v>12.727999999999156</v>
      </c>
    </row>
    <row r="70" spans="1:14" ht="27.75">
      <c r="A70" s="1505" t="s">
        <v>189</v>
      </c>
      <c r="B70" s="1506"/>
      <c r="C70" s="1507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02" t="s">
        <v>190</v>
      </c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  <c r="N71" s="382"/>
    </row>
    <row r="72" spans="1:14" ht="27.75">
      <c r="A72" s="1499" t="s">
        <v>191</v>
      </c>
      <c r="B72" s="1500"/>
      <c r="C72" s="1501"/>
      <c r="D72" s="523" t="s">
        <v>187</v>
      </c>
      <c r="E72" s="519">
        <f>'8'!F72</f>
        <v>853970</v>
      </c>
      <c r="F72" s="657">
        <v>854069</v>
      </c>
      <c r="G72" s="473">
        <f t="shared" ref="G72:G84" si="6">F72-E72</f>
        <v>99</v>
      </c>
      <c r="H72" s="460">
        <f>G72+'8'!H72</f>
        <v>890</v>
      </c>
      <c r="I72" s="480"/>
      <c r="J72" s="552">
        <f>H72/DAY(B2)</f>
        <v>98.888888888888886</v>
      </c>
      <c r="K72" s="431"/>
      <c r="L72" s="377"/>
      <c r="N72" s="382">
        <v>11</v>
      </c>
    </row>
    <row r="73" spans="1:14" ht="27.75">
      <c r="A73" s="1499" t="s">
        <v>192</v>
      </c>
      <c r="B73" s="1500"/>
      <c r="C73" s="1501"/>
      <c r="D73" s="523" t="s">
        <v>187</v>
      </c>
      <c r="E73" s="519">
        <f>'8'!F73</f>
        <v>885812</v>
      </c>
      <c r="F73" s="658">
        <v>885813</v>
      </c>
      <c r="G73" s="655">
        <f t="shared" si="6"/>
        <v>1</v>
      </c>
      <c r="H73" s="460">
        <f>G73+'8'!H73</f>
        <v>13</v>
      </c>
      <c r="I73" s="480"/>
      <c r="J73" s="552">
        <f>H73/DAY(B2)</f>
        <v>1.4444444444444444</v>
      </c>
      <c r="K73" s="430"/>
      <c r="L73" s="377"/>
      <c r="N73" s="382">
        <v>2</v>
      </c>
    </row>
    <row r="74" spans="1:14" ht="27.75">
      <c r="A74" s="1499" t="s">
        <v>193</v>
      </c>
      <c r="B74" s="1500"/>
      <c r="C74" s="1501"/>
      <c r="D74" s="523" t="s">
        <v>187</v>
      </c>
      <c r="E74" s="519">
        <f>'8'!F74</f>
        <v>1584.65</v>
      </c>
      <c r="F74" s="657">
        <v>1614</v>
      </c>
      <c r="G74" s="473">
        <f t="shared" si="6"/>
        <v>29.349999999999909</v>
      </c>
      <c r="H74" s="460">
        <f>G74+'8'!H74</f>
        <v>244</v>
      </c>
      <c r="I74" s="480"/>
      <c r="J74" s="552">
        <f>H74/DAY(B2)</f>
        <v>27.111111111111111</v>
      </c>
      <c r="K74" s="431"/>
      <c r="L74" s="377"/>
      <c r="N74" s="382">
        <v>11</v>
      </c>
    </row>
    <row r="75" spans="1:14" ht="27.75">
      <c r="A75" s="1496" t="s">
        <v>194</v>
      </c>
      <c r="B75" s="1497"/>
      <c r="C75" s="1498"/>
      <c r="D75" s="523" t="s">
        <v>187</v>
      </c>
      <c r="E75" s="519">
        <f>'8'!F75</f>
        <v>9626.31</v>
      </c>
      <c r="F75" s="658">
        <v>9693.25</v>
      </c>
      <c r="G75" s="473">
        <f t="shared" si="6"/>
        <v>66.940000000000509</v>
      </c>
      <c r="H75" s="460">
        <f>G75+'8'!H75</f>
        <v>1013.25</v>
      </c>
      <c r="I75" s="480"/>
      <c r="J75" s="552">
        <f>H75/DAY(B2)</f>
        <v>112.58333333333333</v>
      </c>
      <c r="K75" s="430"/>
      <c r="L75" s="377"/>
      <c r="N75" s="382">
        <v>62</v>
      </c>
    </row>
    <row r="76" spans="1:14" ht="27.75">
      <c r="A76" s="1496" t="s">
        <v>195</v>
      </c>
      <c r="B76" s="1497"/>
      <c r="C76" s="1498"/>
      <c r="D76" s="523" t="s">
        <v>187</v>
      </c>
      <c r="E76" s="519">
        <f>'8'!F76</f>
        <v>4562.55</v>
      </c>
      <c r="F76" s="658">
        <v>4629.49</v>
      </c>
      <c r="G76" s="473">
        <f t="shared" si="6"/>
        <v>66.9399999999996</v>
      </c>
      <c r="H76" s="460">
        <f>G76+'8'!H76</f>
        <v>592.48999999999978</v>
      </c>
      <c r="I76" s="505"/>
      <c r="J76" s="552">
        <f>H76/DAY(B2)</f>
        <v>65.8322222222222</v>
      </c>
      <c r="K76" s="430"/>
      <c r="L76" s="377"/>
      <c r="N76" s="382">
        <v>4</v>
      </c>
    </row>
    <row r="77" spans="1:14" ht="27.75">
      <c r="A77" s="1499" t="s">
        <v>196</v>
      </c>
      <c r="B77" s="1500"/>
      <c r="C77" s="1501"/>
      <c r="D77" s="523" t="s">
        <v>187</v>
      </c>
      <c r="E77" s="519">
        <f>'8'!F77</f>
        <v>700581</v>
      </c>
      <c r="F77" s="658">
        <v>700630</v>
      </c>
      <c r="G77" s="655">
        <f t="shared" si="6"/>
        <v>49</v>
      </c>
      <c r="H77" s="460">
        <f>G77+'8'!H77</f>
        <v>416</v>
      </c>
      <c r="I77" s="505"/>
      <c r="J77" s="552">
        <f>H77/DAY(B2)</f>
        <v>46.222222222222221</v>
      </c>
      <c r="K77" s="430"/>
      <c r="L77" s="377"/>
      <c r="N77" s="382">
        <v>19</v>
      </c>
    </row>
    <row r="78" spans="1:14" ht="27.75">
      <c r="A78" s="1147" t="s">
        <v>197</v>
      </c>
      <c r="B78" s="1120"/>
      <c r="C78" s="1120"/>
      <c r="D78" s="523" t="s">
        <v>187</v>
      </c>
      <c r="E78" s="519">
        <f>'8'!F78</f>
        <v>668006</v>
      </c>
      <c r="F78" s="659">
        <v>668281</v>
      </c>
      <c r="G78" s="473">
        <f t="shared" si="6"/>
        <v>275</v>
      </c>
      <c r="H78" s="460">
        <f>G78+'8'!H78</f>
        <v>2901</v>
      </c>
      <c r="I78" s="505"/>
      <c r="J78" s="552">
        <f>H78/DAY(B2)</f>
        <v>322.33333333333331</v>
      </c>
      <c r="K78" s="430"/>
      <c r="L78" s="377"/>
      <c r="N78" s="382">
        <v>31</v>
      </c>
    </row>
    <row r="79" spans="1:14" ht="27.75">
      <c r="A79" s="1496" t="s">
        <v>92</v>
      </c>
      <c r="B79" s="1497"/>
      <c r="C79" s="1498"/>
      <c r="D79" s="524" t="s">
        <v>187</v>
      </c>
      <c r="E79" s="519">
        <f>'8'!F79</f>
        <v>822712</v>
      </c>
      <c r="F79" s="659">
        <v>822891</v>
      </c>
      <c r="G79" s="473">
        <f t="shared" si="6"/>
        <v>179</v>
      </c>
      <c r="H79" s="460">
        <f>G79+'8'!H79</f>
        <v>1678</v>
      </c>
      <c r="I79" s="505"/>
      <c r="J79" s="552">
        <f>H79/DAY(B2)</f>
        <v>186.44444444444446</v>
      </c>
      <c r="K79" s="430"/>
      <c r="L79" s="377"/>
      <c r="N79" s="382">
        <v>100</v>
      </c>
    </row>
    <row r="80" spans="1:14" ht="27.75">
      <c r="A80" s="1496" t="s">
        <v>198</v>
      </c>
      <c r="B80" s="1497"/>
      <c r="C80" s="1498"/>
      <c r="D80" s="524" t="s">
        <v>187</v>
      </c>
      <c r="E80" s="519">
        <f>'8'!F80</f>
        <v>508491.88</v>
      </c>
      <c r="F80" s="1318">
        <v>508850.52</v>
      </c>
      <c r="G80" s="473">
        <f t="shared" si="6"/>
        <v>358.64000000001397</v>
      </c>
      <c r="H80" s="460">
        <f>G80+'8'!H80</f>
        <v>3151.5200000000186</v>
      </c>
      <c r="I80" s="505"/>
      <c r="J80" s="552">
        <f>H80/DAY(B2)</f>
        <v>350.16888888889093</v>
      </c>
      <c r="K80" s="430"/>
      <c r="L80" s="377"/>
      <c r="N80" s="382">
        <v>158.95999999996275</v>
      </c>
    </row>
    <row r="81" spans="1:15" ht="27.75">
      <c r="A81" s="1496" t="s">
        <v>199</v>
      </c>
      <c r="B81" s="1497"/>
      <c r="C81" s="1498"/>
      <c r="D81" s="524" t="s">
        <v>187</v>
      </c>
      <c r="E81" s="519">
        <f>'8'!F81</f>
        <v>632208.43999999994</v>
      </c>
      <c r="F81" s="658">
        <v>632520.12</v>
      </c>
      <c r="G81" s="473">
        <f t="shared" si="6"/>
        <v>311.68000000005122</v>
      </c>
      <c r="H81" s="460">
        <f>G81+'8'!H81</f>
        <v>2335.1199999999953</v>
      </c>
      <c r="I81" s="505"/>
      <c r="J81" s="552">
        <f>H81/DAY(B2)</f>
        <v>259.45777777777727</v>
      </c>
      <c r="K81" s="430"/>
      <c r="L81" s="377"/>
      <c r="N81" s="382">
        <v>79.199999999953434</v>
      </c>
    </row>
    <row r="82" spans="1:15" ht="27.75">
      <c r="A82" s="1496" t="s">
        <v>93</v>
      </c>
      <c r="B82" s="1497"/>
      <c r="C82" s="1498"/>
      <c r="D82" s="485" t="s">
        <v>132</v>
      </c>
      <c r="E82" s="519">
        <f>'8'!F82</f>
        <v>107085.4</v>
      </c>
      <c r="F82" s="654">
        <v>107110.37</v>
      </c>
      <c r="G82" s="473">
        <f t="shared" si="6"/>
        <v>24.970000000001164</v>
      </c>
      <c r="H82" s="460">
        <f>G82+'8'!H82</f>
        <v>215.36999999999534</v>
      </c>
      <c r="I82" s="486"/>
      <c r="J82" s="552">
        <f>H82/DAY(B2)</f>
        <v>23.929999999999481</v>
      </c>
      <c r="K82" s="430"/>
      <c r="L82" s="377"/>
      <c r="N82" s="382">
        <v>30.149999999994179</v>
      </c>
    </row>
    <row r="83" spans="1:15" ht="27.75">
      <c r="A83" s="1496" t="s">
        <v>200</v>
      </c>
      <c r="B83" s="1497"/>
      <c r="C83" s="1498"/>
      <c r="D83" s="620" t="s">
        <v>132</v>
      </c>
      <c r="E83" s="519">
        <f>'8'!F83</f>
        <v>9159</v>
      </c>
      <c r="F83" s="511">
        <v>9430</v>
      </c>
      <c r="G83" s="473">
        <f t="shared" si="6"/>
        <v>271</v>
      </c>
      <c r="H83" s="460">
        <f>G83+'8'!H83</f>
        <v>2373</v>
      </c>
      <c r="I83" s="481"/>
      <c r="J83" s="552">
        <f>H83/DAY(B2)</f>
        <v>263.66666666666669</v>
      </c>
      <c r="K83" s="429"/>
      <c r="L83" s="377"/>
      <c r="N83" s="382">
        <v>316</v>
      </c>
    </row>
    <row r="84" spans="1:15">
      <c r="A84" s="1148" t="s">
        <v>201</v>
      </c>
      <c r="B84" s="571"/>
      <c r="C84" s="571"/>
      <c r="D84" s="478" t="s">
        <v>132</v>
      </c>
      <c r="E84" s="519">
        <f>'8'!F84</f>
        <v>462213</v>
      </c>
      <c r="F84" s="627">
        <v>463205</v>
      </c>
      <c r="G84" s="473">
        <f t="shared" si="6"/>
        <v>992</v>
      </c>
      <c r="H84" s="460">
        <f>G84+'8'!H84</f>
        <v>8521</v>
      </c>
      <c r="I84" s="481"/>
      <c r="J84" s="552">
        <f>H84/DAY(B2)</f>
        <v>946.77777777777783</v>
      </c>
      <c r="K84" s="380"/>
      <c r="L84" s="377"/>
      <c r="N84" s="382">
        <v>408</v>
      </c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2724.5200000000664</v>
      </c>
      <c r="H85" s="460">
        <f>G85+'8'!H85</f>
        <v>24343.750000000007</v>
      </c>
      <c r="I85" s="481"/>
      <c r="J85" s="552">
        <f>H85/DAY(B2)</f>
        <v>2704.8611111111118</v>
      </c>
      <c r="K85" s="380"/>
      <c r="L85" s="378"/>
      <c r="N85" s="382">
        <v>1232.3099999999104</v>
      </c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'8'!F86</f>
        <v>456042.52</v>
      </c>
      <c r="F86" s="639">
        <v>456173.48</v>
      </c>
      <c r="G86" s="708">
        <f t="shared" ref="G86:G90" si="7">F86-E86</f>
        <v>130.95999999996275</v>
      </c>
      <c r="H86" s="460">
        <f>G86+'8'!H86</f>
        <v>317.47999999998137</v>
      </c>
      <c r="I86" s="655"/>
      <c r="J86" s="710">
        <f>H86/DAY(B2)</f>
        <v>35.275555555553488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'8'!F87</f>
        <v>80434.399999999994</v>
      </c>
      <c r="F87" s="650">
        <v>80463.399999999994</v>
      </c>
      <c r="G87" s="708">
        <f t="shared" si="7"/>
        <v>29</v>
      </c>
      <c r="H87" s="460">
        <f>G87+'8'!H87</f>
        <v>69.399999999994179</v>
      </c>
      <c r="I87" s="655"/>
      <c r="J87" s="710">
        <f>H87/DAY(B2)</f>
        <v>7.7111111111104647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'8'!F88</f>
        <v>151037.53</v>
      </c>
      <c r="F88" s="639">
        <v>151125.01999999999</v>
      </c>
      <c r="G88" s="708">
        <f t="shared" si="7"/>
        <v>87.489999999990687</v>
      </c>
      <c r="H88" s="460">
        <f>G88+'8'!H88</f>
        <v>121.01999999998952</v>
      </c>
      <c r="I88" s="655"/>
      <c r="J88" s="710">
        <f>H88/DAY(B2)</f>
        <v>13.446666666665502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'8'!F89</f>
        <v>63899.8</v>
      </c>
      <c r="F89" s="650">
        <v>63942.5</v>
      </c>
      <c r="G89" s="708">
        <f t="shared" si="7"/>
        <v>42.69999999999709</v>
      </c>
      <c r="H89" s="460">
        <f>G89+'8'!H89</f>
        <v>86.5</v>
      </c>
      <c r="I89" s="655"/>
      <c r="J89" s="710">
        <f>H89/DAY(B2)</f>
        <v>9.6111111111111107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'8'!F90</f>
        <v>3271.6</v>
      </c>
      <c r="F90" s="650">
        <v>3271.7</v>
      </c>
      <c r="G90" s="708">
        <f t="shared" si="7"/>
        <v>9.9999999999909051E-2</v>
      </c>
      <c r="H90" s="460">
        <f>G90+'8'!H90</f>
        <v>-0.3000000000001819</v>
      </c>
      <c r="I90" s="655"/>
      <c r="J90" s="710">
        <f>H90/DAY(B2)</f>
        <v>-3.3333333333353546E-2</v>
      </c>
      <c r="K90" s="736"/>
      <c r="L90" s="737"/>
      <c r="N90" s="781"/>
      <c r="O90" s="382"/>
    </row>
    <row r="91" spans="1:15" s="379" customFormat="1">
      <c r="A91" s="606" t="s">
        <v>205</v>
      </c>
      <c r="B91" s="1150"/>
      <c r="C91" s="1150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520" t="s">
        <v>206</v>
      </c>
      <c r="B92" s="1521"/>
      <c r="C92" s="1522"/>
      <c r="D92" s="523" t="s">
        <v>144</v>
      </c>
      <c r="E92" s="484">
        <f>'8'!F92</f>
        <v>243273</v>
      </c>
      <c r="F92" s="478">
        <v>243323</v>
      </c>
      <c r="G92" s="473">
        <f t="shared" ref="G92:G93" si="8">F92-E92</f>
        <v>50</v>
      </c>
      <c r="H92" s="460">
        <f>G92+'8'!H92</f>
        <v>677</v>
      </c>
      <c r="I92" s="480"/>
      <c r="J92" s="552">
        <f>H92/DAY(B2)</f>
        <v>75.222222222222229</v>
      </c>
      <c r="K92" s="429"/>
      <c r="L92" s="377"/>
      <c r="N92" s="382">
        <v>0</v>
      </c>
    </row>
    <row r="93" spans="1:15" ht="27.75">
      <c r="A93" s="1520" t="s">
        <v>207</v>
      </c>
      <c r="B93" s="1521"/>
      <c r="C93" s="1522"/>
      <c r="D93" s="523" t="s">
        <v>144</v>
      </c>
      <c r="E93" s="484">
        <f>'8'!F93</f>
        <v>180938</v>
      </c>
      <c r="F93" s="478">
        <v>181098</v>
      </c>
      <c r="G93" s="473">
        <f t="shared" si="8"/>
        <v>160</v>
      </c>
      <c r="H93" s="460">
        <f>G93+'8'!H93</f>
        <v>1419</v>
      </c>
      <c r="I93" s="480"/>
      <c r="J93" s="552">
        <f>H93/DAY(B2)</f>
        <v>157.66666666666666</v>
      </c>
      <c r="K93" s="380"/>
      <c r="L93" s="377"/>
      <c r="N93" s="382">
        <v>71</v>
      </c>
    </row>
    <row r="94" spans="1:15">
      <c r="A94" s="1548" t="s">
        <v>208</v>
      </c>
      <c r="B94" s="1549"/>
      <c r="C94" s="1550"/>
      <c r="D94" s="523"/>
      <c r="E94" s="484">
        <f>'8'!F94</f>
        <v>0</v>
      </c>
      <c r="F94" s="478"/>
      <c r="G94" s="473">
        <f>G92+G93</f>
        <v>210</v>
      </c>
      <c r="H94" s="460">
        <f>G94+'8'!H94</f>
        <v>1877</v>
      </c>
      <c r="I94" s="480"/>
      <c r="J94" s="552">
        <f>H94/DAY(B2)</f>
        <v>208.55555555555554</v>
      </c>
      <c r="K94" s="380"/>
      <c r="L94" s="377"/>
      <c r="N94" s="382">
        <v>71</v>
      </c>
    </row>
    <row r="95" spans="1:15" ht="27.75">
      <c r="A95" s="1520" t="s">
        <v>209</v>
      </c>
      <c r="B95" s="1521"/>
      <c r="C95" s="1522"/>
      <c r="D95" s="523" t="s">
        <v>144</v>
      </c>
      <c r="E95" s="484">
        <f>'8'!F95</f>
        <v>411385</v>
      </c>
      <c r="F95" s="478">
        <v>411460</v>
      </c>
      <c r="G95" s="473">
        <f t="shared" ref="G95:G100" si="9">F95-E95</f>
        <v>75</v>
      </c>
      <c r="H95" s="460">
        <f>G95+'8'!H95</f>
        <v>675</v>
      </c>
      <c r="I95" s="480"/>
      <c r="J95" s="552">
        <f>H95/DAY(B2)</f>
        <v>75</v>
      </c>
      <c r="K95" s="380"/>
      <c r="L95" s="377"/>
      <c r="N95" s="382">
        <v>26</v>
      </c>
    </row>
    <row r="96" spans="1:15" ht="27.75">
      <c r="A96" s="1144" t="s">
        <v>210</v>
      </c>
      <c r="B96" s="1145"/>
      <c r="C96" s="1145"/>
      <c r="D96" s="523" t="s">
        <v>144</v>
      </c>
      <c r="E96" s="484">
        <f>'8'!F96</f>
        <v>101973</v>
      </c>
      <c r="F96" s="478">
        <v>101988</v>
      </c>
      <c r="G96" s="473">
        <f t="shared" si="9"/>
        <v>15</v>
      </c>
      <c r="H96" s="460">
        <f>G96+'8'!H96</f>
        <v>157</v>
      </c>
      <c r="I96" s="480"/>
      <c r="J96" s="552">
        <f>H96/DAY(B2)</f>
        <v>17.444444444444443</v>
      </c>
      <c r="K96" s="427"/>
      <c r="L96" s="377"/>
      <c r="N96" s="382">
        <v>11</v>
      </c>
    </row>
    <row r="97" spans="1:14" ht="27.75">
      <c r="A97" s="1144" t="s">
        <v>211</v>
      </c>
      <c r="B97" s="1145"/>
      <c r="C97" s="1145"/>
      <c r="D97" s="523" t="s">
        <v>144</v>
      </c>
      <c r="E97" s="484">
        <f>'8'!F97</f>
        <v>97075</v>
      </c>
      <c r="F97" s="478">
        <v>97091</v>
      </c>
      <c r="G97" s="473">
        <f t="shared" si="9"/>
        <v>16</v>
      </c>
      <c r="H97" s="460">
        <f>G97+'8'!H97</f>
        <v>163</v>
      </c>
      <c r="I97" s="480"/>
      <c r="J97" s="552">
        <f>H97/DAY(B2)</f>
        <v>18.111111111111111</v>
      </c>
      <c r="K97" s="432"/>
      <c r="L97" s="377"/>
      <c r="N97" s="382">
        <v>9</v>
      </c>
    </row>
    <row r="98" spans="1:14" ht="27.75">
      <c r="A98" s="1144" t="s">
        <v>212</v>
      </c>
      <c r="B98" s="1145"/>
      <c r="C98" s="1145"/>
      <c r="D98" s="523" t="s">
        <v>144</v>
      </c>
      <c r="E98" s="484">
        <f>'8'!F98</f>
        <v>149209</v>
      </c>
      <c r="F98" s="478">
        <v>149245</v>
      </c>
      <c r="G98" s="473">
        <f t="shared" si="9"/>
        <v>36</v>
      </c>
      <c r="H98" s="460">
        <f>G98+'8'!H98</f>
        <v>336</v>
      </c>
      <c r="I98" s="480"/>
      <c r="J98" s="552">
        <f>H98/DAY(B2)</f>
        <v>37.333333333333336</v>
      </c>
      <c r="K98" s="380"/>
      <c r="L98" s="377"/>
      <c r="N98" s="707">
        <v>24</v>
      </c>
    </row>
    <row r="99" spans="1:14" ht="27.75">
      <c r="A99" s="1144" t="s">
        <v>213</v>
      </c>
      <c r="B99" s="1145"/>
      <c r="C99" s="1145"/>
      <c r="D99" s="523" t="s">
        <v>144</v>
      </c>
      <c r="E99" s="484">
        <f>'8'!F99</f>
        <v>6979</v>
      </c>
      <c r="F99" s="478">
        <v>6992</v>
      </c>
      <c r="G99" s="473">
        <f t="shared" si="9"/>
        <v>13</v>
      </c>
      <c r="H99" s="460">
        <f>G99+'8'!H99</f>
        <v>137</v>
      </c>
      <c r="I99" s="480"/>
      <c r="J99" s="552">
        <f>H99/DAY(B2)</f>
        <v>15.222222222222221</v>
      </c>
      <c r="K99" s="380"/>
      <c r="L99" s="377"/>
      <c r="N99" s="382">
        <v>3</v>
      </c>
    </row>
    <row r="100" spans="1:14" ht="27.75">
      <c r="A100" s="1144" t="s">
        <v>214</v>
      </c>
      <c r="B100" s="1145"/>
      <c r="C100" s="1145"/>
      <c r="D100" s="523" t="s">
        <v>144</v>
      </c>
      <c r="E100" s="484">
        <f>'8'!F100</f>
        <v>4996</v>
      </c>
      <c r="F100" s="478">
        <v>5002</v>
      </c>
      <c r="G100" s="473">
        <f t="shared" si="9"/>
        <v>6</v>
      </c>
      <c r="H100" s="460">
        <f>G100+'8'!H100</f>
        <v>59</v>
      </c>
      <c r="I100" s="480"/>
      <c r="J100" s="552">
        <f>H100/DAY(B2)</f>
        <v>6.5555555555555554</v>
      </c>
      <c r="K100" s="380"/>
      <c r="L100" s="377"/>
      <c r="N100" s="382">
        <v>0</v>
      </c>
    </row>
    <row r="101" spans="1:14">
      <c r="A101" s="1548" t="s">
        <v>216</v>
      </c>
      <c r="B101" s="1549"/>
      <c r="C101" s="1550"/>
      <c r="D101" s="524"/>
      <c r="E101" s="484"/>
      <c r="F101" s="524"/>
      <c r="G101" s="525">
        <f>SUM(G95:G100)</f>
        <v>161</v>
      </c>
      <c r="H101" s="460">
        <f>G101+'8'!H101</f>
        <v>1527</v>
      </c>
      <c r="I101" s="526"/>
      <c r="J101" s="552">
        <f>H101/DAY(B2)</f>
        <v>169.66666666666666</v>
      </c>
      <c r="K101" s="380"/>
      <c r="L101" s="377"/>
      <c r="N101" s="382">
        <v>73</v>
      </c>
    </row>
    <row r="102" spans="1:14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382"/>
    </row>
    <row r="103" spans="1:14" s="442" customFormat="1" ht="27.75">
      <c r="A103" s="1551" t="s">
        <v>218</v>
      </c>
      <c r="B103" s="1552"/>
      <c r="C103" s="573"/>
      <c r="D103" s="622"/>
      <c r="E103" s="484"/>
      <c r="F103" s="661"/>
      <c r="G103" s="532"/>
      <c r="H103" s="533"/>
      <c r="I103" s="532"/>
      <c r="J103" s="558"/>
      <c r="N103" s="382"/>
    </row>
    <row r="104" spans="1:14" s="442" customFormat="1" ht="27.75">
      <c r="A104" s="1512" t="s">
        <v>219</v>
      </c>
      <c r="B104" s="1513"/>
      <c r="C104" s="1143"/>
      <c r="D104" s="622" t="s">
        <v>144</v>
      </c>
      <c r="E104" s="484">
        <f>'8'!F104</f>
        <v>7344</v>
      </c>
      <c r="F104" s="661">
        <v>7344</v>
      </c>
      <c r="G104" s="532">
        <f>F104-E104</f>
        <v>0</v>
      </c>
      <c r="H104" s="460">
        <f>G104+'8'!H104</f>
        <v>19</v>
      </c>
      <c r="I104" s="532"/>
      <c r="J104" s="558">
        <f>H104/DAY(B2)</f>
        <v>2.1111111111111112</v>
      </c>
      <c r="N104" s="382">
        <v>0</v>
      </c>
    </row>
    <row r="105" spans="1:14" s="442" customFormat="1" ht="27.75">
      <c r="A105" s="1512" t="s">
        <v>77</v>
      </c>
      <c r="B105" s="1513"/>
      <c r="C105" s="1143"/>
      <c r="D105" s="622" t="s">
        <v>144</v>
      </c>
      <c r="E105" s="484">
        <f>'8'!F105</f>
        <v>35703</v>
      </c>
      <c r="F105" s="662">
        <v>35711</v>
      </c>
      <c r="G105" s="532">
        <f t="shared" ref="G105:G106" si="10">F105-E105</f>
        <v>8</v>
      </c>
      <c r="H105" s="460">
        <f>G105+'8'!H105</f>
        <v>60</v>
      </c>
      <c r="I105" s="532"/>
      <c r="J105" s="558">
        <f>H105/DAY(B2)</f>
        <v>6.666666666666667</v>
      </c>
      <c r="N105" s="382">
        <v>0</v>
      </c>
    </row>
    <row r="106" spans="1:14" s="442" customFormat="1" ht="27.75">
      <c r="A106" s="1512" t="s">
        <v>78</v>
      </c>
      <c r="B106" s="1553"/>
      <c r="C106" s="1513"/>
      <c r="D106" s="622" t="s">
        <v>144</v>
      </c>
      <c r="E106" s="484">
        <f>'8'!F106</f>
        <v>19471</v>
      </c>
      <c r="F106" s="787">
        <v>19480</v>
      </c>
      <c r="G106" s="532">
        <f t="shared" si="10"/>
        <v>9</v>
      </c>
      <c r="H106" s="460">
        <f>G106+'8'!H106</f>
        <v>69</v>
      </c>
      <c r="I106" s="532"/>
      <c r="J106" s="558">
        <f>H106/DAY(B2)</f>
        <v>7.666666666666667</v>
      </c>
      <c r="N106" s="382">
        <v>4</v>
      </c>
    </row>
    <row r="107" spans="1:14" s="442" customFormat="1" ht="27.75">
      <c r="A107" s="1514" t="s">
        <v>202</v>
      </c>
      <c r="B107" s="1515"/>
      <c r="C107" s="1143"/>
      <c r="D107" s="622"/>
      <c r="E107" s="484"/>
      <c r="F107" s="662"/>
      <c r="G107" s="532">
        <f>SUM(G104:G106)</f>
        <v>17</v>
      </c>
      <c r="H107" s="460">
        <f>G107+'8'!H107</f>
        <v>148</v>
      </c>
      <c r="I107" s="532"/>
      <c r="J107" s="558">
        <f>H107/DAY(B2)</f>
        <v>16.444444444444443</v>
      </c>
      <c r="N107" s="382">
        <v>4</v>
      </c>
    </row>
    <row r="108" spans="1:14" s="442" customFormat="1" ht="27.75">
      <c r="A108" s="1518" t="s">
        <v>79</v>
      </c>
      <c r="B108" s="1519"/>
      <c r="C108" s="1143"/>
      <c r="D108" s="622" t="s">
        <v>144</v>
      </c>
      <c r="E108" s="484">
        <f>'8'!F108</f>
        <v>0</v>
      </c>
      <c r="F108" s="662"/>
      <c r="G108" s="532"/>
      <c r="H108" s="460">
        <f>G108+'8'!H108</f>
        <v>0</v>
      </c>
      <c r="I108" s="532"/>
      <c r="J108" s="558"/>
      <c r="N108" s="382"/>
    </row>
    <row r="109" spans="1:14" s="442" customFormat="1" ht="27.75">
      <c r="A109" s="1512" t="s">
        <v>220</v>
      </c>
      <c r="B109" s="1513"/>
      <c r="C109" s="1143"/>
      <c r="D109" s="622" t="s">
        <v>144</v>
      </c>
      <c r="E109" s="484">
        <f>'8'!F109</f>
        <v>59565</v>
      </c>
      <c r="F109" s="662">
        <v>59650</v>
      </c>
      <c r="G109" s="532">
        <f>F109-E109</f>
        <v>85</v>
      </c>
      <c r="H109" s="460">
        <f>G109+'8'!H109</f>
        <v>777</v>
      </c>
      <c r="I109" s="532"/>
      <c r="J109" s="558">
        <f>H109/DAY(B2)</f>
        <v>86.333333333333329</v>
      </c>
      <c r="N109" s="382">
        <v>40</v>
      </c>
    </row>
    <row r="110" spans="1:14" s="442" customFormat="1" ht="27.75">
      <c r="A110" s="1512" t="s">
        <v>221</v>
      </c>
      <c r="B110" s="1513"/>
      <c r="C110" s="1143"/>
      <c r="D110" s="622" t="s">
        <v>144</v>
      </c>
      <c r="E110" s="484">
        <f>'8'!F110</f>
        <v>31910</v>
      </c>
      <c r="F110" s="662">
        <v>31940</v>
      </c>
      <c r="G110" s="532">
        <f t="shared" ref="G110:G111" si="11">F110-E110</f>
        <v>30</v>
      </c>
      <c r="H110" s="460">
        <f>G110+'8'!H110</f>
        <v>294</v>
      </c>
      <c r="I110" s="532"/>
      <c r="J110" s="558">
        <f>H110/DAY(B2)</f>
        <v>32.666666666666664</v>
      </c>
      <c r="N110" s="382">
        <v>43</v>
      </c>
    </row>
    <row r="111" spans="1:14" s="442" customFormat="1" ht="27.75">
      <c r="A111" s="1512" t="s">
        <v>222</v>
      </c>
      <c r="B111" s="1513"/>
      <c r="C111" s="1143"/>
      <c r="D111" s="622" t="s">
        <v>144</v>
      </c>
      <c r="E111" s="484">
        <f>'8'!F111</f>
        <v>4224</v>
      </c>
      <c r="F111" s="662">
        <v>4239</v>
      </c>
      <c r="G111" s="532">
        <f t="shared" si="11"/>
        <v>15</v>
      </c>
      <c r="H111" s="460">
        <f>G111+'8'!H111</f>
        <v>83</v>
      </c>
      <c r="I111" s="532"/>
      <c r="J111" s="558">
        <f>H111/DAY(B2)</f>
        <v>9.2222222222222214</v>
      </c>
      <c r="N111" s="382">
        <v>0</v>
      </c>
    </row>
    <row r="112" spans="1:14" s="442" customFormat="1" ht="27.75">
      <c r="A112" s="1514" t="s">
        <v>110</v>
      </c>
      <c r="B112" s="1515"/>
      <c r="C112" s="1143"/>
      <c r="D112" s="622"/>
      <c r="E112" s="484"/>
      <c r="F112" s="662"/>
      <c r="G112" s="532">
        <f>SUM(G109:G111)</f>
        <v>130</v>
      </c>
      <c r="H112" s="460">
        <f>G112+'8'!H112</f>
        <v>1154</v>
      </c>
      <c r="I112" s="532"/>
      <c r="J112" s="558">
        <f>H112/DAY(B2)</f>
        <v>128.22222222222223</v>
      </c>
      <c r="N112" s="382">
        <v>83</v>
      </c>
    </row>
    <row r="113" spans="1:14" s="442" customFormat="1" ht="27.75">
      <c r="A113" s="1518" t="s">
        <v>223</v>
      </c>
      <c r="B113" s="1519"/>
      <c r="C113" s="1143"/>
      <c r="D113" s="622"/>
      <c r="E113" s="484"/>
      <c r="F113" s="662"/>
      <c r="G113" s="532"/>
      <c r="H113" s="460">
        <f>G113+'8'!H113</f>
        <v>0</v>
      </c>
      <c r="I113" s="532"/>
      <c r="J113" s="558">
        <f>H113/DAY(B2)</f>
        <v>0</v>
      </c>
      <c r="N113" s="382"/>
    </row>
    <row r="114" spans="1:14" s="442" customFormat="1" ht="27.75">
      <c r="A114" s="1512" t="s">
        <v>224</v>
      </c>
      <c r="B114" s="1513"/>
      <c r="C114" s="574"/>
      <c r="D114" s="622" t="s">
        <v>144</v>
      </c>
      <c r="E114" s="484">
        <f>'8'!F114</f>
        <v>11006</v>
      </c>
      <c r="F114" s="662">
        <v>11021</v>
      </c>
      <c r="G114" s="534">
        <f>F114-E114</f>
        <v>15</v>
      </c>
      <c r="H114" s="460">
        <f>G114+'8'!H114</f>
        <v>185</v>
      </c>
      <c r="I114" s="532"/>
      <c r="J114" s="558">
        <f>H114/DAY(B2)</f>
        <v>20.555555555555557</v>
      </c>
      <c r="N114" s="382">
        <v>5</v>
      </c>
    </row>
    <row r="115" spans="1:14" s="442" customFormat="1" ht="27.75">
      <c r="A115" s="1512" t="s">
        <v>225</v>
      </c>
      <c r="B115" s="1513"/>
      <c r="C115" s="574"/>
      <c r="D115" s="622" t="s">
        <v>144</v>
      </c>
      <c r="E115" s="484">
        <f>'8'!F115</f>
        <v>8019</v>
      </c>
      <c r="F115" s="662">
        <v>8021</v>
      </c>
      <c r="G115" s="534">
        <f t="shared" ref="G115:G116" si="12">F115-E115</f>
        <v>2</v>
      </c>
      <c r="H115" s="460">
        <f>G115+'8'!H115</f>
        <v>52</v>
      </c>
      <c r="I115" s="532"/>
      <c r="J115" s="558">
        <f>H115/DAY(B2)</f>
        <v>5.7777777777777777</v>
      </c>
      <c r="N115" s="382">
        <v>3</v>
      </c>
    </row>
    <row r="116" spans="1:14" s="442" customFormat="1" ht="27.75">
      <c r="A116" s="1512" t="s">
        <v>226</v>
      </c>
      <c r="B116" s="1513"/>
      <c r="C116" s="574"/>
      <c r="D116" s="622" t="s">
        <v>144</v>
      </c>
      <c r="E116" s="534"/>
      <c r="F116" s="662"/>
      <c r="G116" s="534">
        <f t="shared" si="12"/>
        <v>0</v>
      </c>
      <c r="H116" s="460">
        <f>G116+'8'!H116</f>
        <v>0</v>
      </c>
      <c r="I116" s="532"/>
      <c r="J116" s="558">
        <f>H116/DAY(B2)</f>
        <v>0</v>
      </c>
      <c r="N116" s="382">
        <v>0</v>
      </c>
    </row>
    <row r="117" spans="1:14" s="445" customFormat="1" ht="27.75">
      <c r="A117" s="1514" t="s">
        <v>202</v>
      </c>
      <c r="B117" s="1515"/>
      <c r="C117" s="574"/>
      <c r="D117" s="623"/>
      <c r="E117" s="534"/>
      <c r="F117" s="662"/>
      <c r="G117" s="534">
        <f>SUM(G114:G116)</f>
        <v>17</v>
      </c>
      <c r="H117" s="460">
        <f>G117+'8'!H117</f>
        <v>237</v>
      </c>
      <c r="I117" s="534"/>
      <c r="J117" s="558">
        <f>H117/DAY(B2)</f>
        <v>26.333333333333332</v>
      </c>
      <c r="N117" s="382">
        <v>8</v>
      </c>
    </row>
    <row r="118" spans="1:14" s="446" customFormat="1" ht="27.75">
      <c r="A118" s="1508" t="s">
        <v>227</v>
      </c>
      <c r="B118" s="1509"/>
      <c r="C118" s="1141"/>
      <c r="D118" s="624" t="s">
        <v>144</v>
      </c>
      <c r="E118" s="536"/>
      <c r="F118" s="663">
        <f>SUM(G19+G92)</f>
        <v>113</v>
      </c>
      <c r="G118" s="536">
        <f>SUM(G19+G92)</f>
        <v>113</v>
      </c>
      <c r="H118" s="460">
        <f>G118+'8'!H118</f>
        <v>1180</v>
      </c>
      <c r="I118" s="535"/>
      <c r="J118" s="559">
        <f>H118/DAY(B2)</f>
        <v>131.11111111111111</v>
      </c>
      <c r="N118" s="382">
        <v>55</v>
      </c>
    </row>
    <row r="119" spans="1:14" s="446" customFormat="1" ht="27.75">
      <c r="A119" s="1508" t="s">
        <v>228</v>
      </c>
      <c r="B119" s="1509"/>
      <c r="C119" s="1141"/>
      <c r="D119" s="624" t="s">
        <v>144</v>
      </c>
      <c r="E119" s="536"/>
      <c r="F119" s="663">
        <f>SUM(G95,G96,G97,G99,G100)</f>
        <v>125</v>
      </c>
      <c r="G119" s="536">
        <f>SUM(G95,G96,G97,G99,G100)</f>
        <v>125</v>
      </c>
      <c r="H119" s="460">
        <f>G119+'8'!H119</f>
        <v>1191</v>
      </c>
      <c r="I119" s="535"/>
      <c r="J119" s="559">
        <f>H119/DAY(B2)</f>
        <v>132.33333333333334</v>
      </c>
      <c r="N119" s="382">
        <v>49</v>
      </c>
    </row>
    <row r="120" spans="1:14" s="446" customFormat="1" ht="27.75">
      <c r="A120" s="1508" t="s">
        <v>229</v>
      </c>
      <c r="B120" s="1509"/>
      <c r="C120" s="1141"/>
      <c r="D120" s="624" t="s">
        <v>144</v>
      </c>
      <c r="E120" s="534"/>
      <c r="F120" s="662">
        <f>SUM(G112)</f>
        <v>130</v>
      </c>
      <c r="G120" s="534">
        <f>SUM(G112)</f>
        <v>130</v>
      </c>
      <c r="H120" s="460">
        <f>G120+'8'!H120</f>
        <v>1154</v>
      </c>
      <c r="I120" s="535"/>
      <c r="J120" s="559">
        <f>H120/DAY(B2)</f>
        <v>128.22222222222223</v>
      </c>
      <c r="N120" s="382">
        <v>83</v>
      </c>
    </row>
    <row r="121" spans="1:14" s="442" customFormat="1" ht="27.75">
      <c r="A121" s="1510"/>
      <c r="B121" s="1511"/>
      <c r="C121" s="1142"/>
      <c r="D121" s="560"/>
      <c r="E121" s="560"/>
      <c r="F121" s="664" t="s">
        <v>215</v>
      </c>
      <c r="G121" s="560"/>
      <c r="H121" s="561"/>
      <c r="I121" s="560"/>
      <c r="J121" s="562"/>
      <c r="N121" s="382"/>
    </row>
    <row r="122" spans="1:14">
      <c r="A122" s="1545" t="s">
        <v>230</v>
      </c>
      <c r="B122" s="1546"/>
      <c r="C122" s="1547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4" t="s">
        <v>231</v>
      </c>
      <c r="B123" s="1145"/>
      <c r="C123" s="1145"/>
      <c r="D123" s="523" t="s">
        <v>141</v>
      </c>
      <c r="E123" s="478">
        <f>'8'!F123</f>
        <v>820823.2</v>
      </c>
      <c r="F123" s="478">
        <v>821093.26</v>
      </c>
      <c r="G123" s="473">
        <f t="shared" ref="G123:G127" si="13">F123-E123</f>
        <v>270.06000000005588</v>
      </c>
      <c r="H123" s="460">
        <f>G123+'8'!H123</f>
        <v>2283.2600000000093</v>
      </c>
      <c r="I123" s="526"/>
      <c r="J123" s="552">
        <f>H123/DAY(B2)</f>
        <v>253.69555555555658</v>
      </c>
      <c r="K123" s="380"/>
      <c r="L123" s="377"/>
      <c r="N123" s="382">
        <v>111.45100000000093</v>
      </c>
    </row>
    <row r="124" spans="1:14" ht="27.75">
      <c r="A124" s="1144" t="s">
        <v>232</v>
      </c>
      <c r="B124" s="1145"/>
      <c r="C124" s="1145"/>
      <c r="D124" s="523" t="s">
        <v>141</v>
      </c>
      <c r="E124" s="626">
        <f>'8'!F124</f>
        <v>73583.399999999994</v>
      </c>
      <c r="F124" s="626">
        <v>73583.399999999994</v>
      </c>
      <c r="G124" s="473">
        <f t="shared" si="13"/>
        <v>0</v>
      </c>
      <c r="H124" s="460">
        <f>G124+'8'!H124</f>
        <v>0</v>
      </c>
      <c r="I124" s="526"/>
      <c r="J124" s="552">
        <f>H124/DAY(B2)</f>
        <v>0</v>
      </c>
      <c r="K124" s="380"/>
      <c r="L124" s="377"/>
      <c r="N124" s="382">
        <v>0</v>
      </c>
    </row>
    <row r="125" spans="1:14" ht="27.75">
      <c r="A125" s="1499" t="s">
        <v>233</v>
      </c>
      <c r="B125" s="1500"/>
      <c r="C125" s="1501"/>
      <c r="D125" s="523" t="s">
        <v>141</v>
      </c>
      <c r="E125" s="478">
        <f>'8'!F125</f>
        <v>142887.13</v>
      </c>
      <c r="F125" s="478">
        <v>142960.13</v>
      </c>
      <c r="G125" s="473">
        <f t="shared" si="13"/>
        <v>73</v>
      </c>
      <c r="H125" s="460">
        <f>G125+'8'!H125</f>
        <v>824.13000000000466</v>
      </c>
      <c r="I125" s="526"/>
      <c r="J125" s="552">
        <f>H125/DAY(B2)</f>
        <v>91.570000000000519</v>
      </c>
      <c r="K125" s="380"/>
      <c r="L125" s="377"/>
      <c r="N125" s="382">
        <v>43.220000000001164</v>
      </c>
    </row>
    <row r="126" spans="1:14" ht="27.75">
      <c r="A126" s="609" t="s">
        <v>234</v>
      </c>
      <c r="B126" s="1145"/>
      <c r="C126" s="1145"/>
      <c r="D126" s="523" t="s">
        <v>141</v>
      </c>
      <c r="E126" s="626">
        <f>'8'!F126</f>
        <v>31404.2</v>
      </c>
      <c r="F126" s="626">
        <v>31404.2</v>
      </c>
      <c r="G126" s="473">
        <f t="shared" si="13"/>
        <v>0</v>
      </c>
      <c r="H126" s="460">
        <f>G126+'8'!H126</f>
        <v>85.5</v>
      </c>
      <c r="I126" s="526"/>
      <c r="J126" s="552">
        <f>H126/DAY(B2)</f>
        <v>9.5</v>
      </c>
      <c r="K126" s="380"/>
      <c r="L126" s="377"/>
      <c r="N126" s="382">
        <v>0</v>
      </c>
    </row>
    <row r="127" spans="1:14" ht="27.75">
      <c r="A127" s="609" t="s">
        <v>235</v>
      </c>
      <c r="B127" s="1145"/>
      <c r="C127" s="1145"/>
      <c r="D127" s="523" t="s">
        <v>141</v>
      </c>
      <c r="E127" s="626">
        <f>'8'!F127</f>
        <v>8966</v>
      </c>
      <c r="F127" s="626">
        <v>8966</v>
      </c>
      <c r="G127" s="473">
        <f t="shared" si="13"/>
        <v>0</v>
      </c>
      <c r="H127" s="460">
        <f>G127+'8'!H127</f>
        <v>4</v>
      </c>
      <c r="I127" s="480"/>
      <c r="J127" s="552">
        <f>H127/DAY(B2)</f>
        <v>0.44444444444444442</v>
      </c>
      <c r="K127" s="380"/>
      <c r="L127" s="377"/>
      <c r="N127" s="382">
        <v>0</v>
      </c>
    </row>
    <row r="128" spans="1:14" s="281" customFormat="1" ht="27.75">
      <c r="A128" s="609" t="s">
        <v>236</v>
      </c>
      <c r="B128" s="1145"/>
      <c r="C128" s="1145"/>
      <c r="D128" s="523"/>
      <c r="E128" s="478"/>
      <c r="F128" s="478"/>
      <c r="G128" s="473">
        <f>G15-SUM(G123:G127)</f>
        <v>560.4000000001397</v>
      </c>
      <c r="H128" s="460"/>
      <c r="I128" s="480"/>
      <c r="J128" s="552"/>
      <c r="K128" s="364"/>
      <c r="L128" s="292"/>
      <c r="N128" s="382">
        <v>175.87500000008731</v>
      </c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4" t="s">
        <v>238</v>
      </c>
      <c r="B130" s="1145"/>
      <c r="C130" s="1145"/>
      <c r="D130" s="523" t="s">
        <v>239</v>
      </c>
      <c r="E130" s="484">
        <f>'8'!F130</f>
        <v>0</v>
      </c>
      <c r="F130" s="478">
        <v>0</v>
      </c>
      <c r="G130" s="473">
        <f t="shared" ref="G130:G140" si="14">F130-E130</f>
        <v>0</v>
      </c>
      <c r="H130" s="460">
        <f>G130+'8'!H130</f>
        <v>0</v>
      </c>
      <c r="I130" s="480"/>
      <c r="J130" s="552">
        <f>H130/DAY(B2)</f>
        <v>0</v>
      </c>
      <c r="N130" s="382">
        <v>0</v>
      </c>
    </row>
    <row r="131" spans="1:14" ht="27.75">
      <c r="A131" s="1144" t="s">
        <v>240</v>
      </c>
      <c r="B131" s="1145"/>
      <c r="C131" s="1145"/>
      <c r="D131" s="523" t="s">
        <v>239</v>
      </c>
      <c r="E131" s="484">
        <f>'8'!F131</f>
        <v>0</v>
      </c>
      <c r="F131" s="478">
        <v>0</v>
      </c>
      <c r="G131" s="473">
        <f t="shared" si="14"/>
        <v>0</v>
      </c>
      <c r="H131" s="460">
        <f>G131+'8'!H131</f>
        <v>0</v>
      </c>
      <c r="I131" s="480"/>
      <c r="J131" s="552">
        <f>H131/DAY(B2)</f>
        <v>0</v>
      </c>
      <c r="N131" s="382">
        <v>0</v>
      </c>
    </row>
    <row r="132" spans="1:14" ht="27.75">
      <c r="A132" s="1144" t="s">
        <v>241</v>
      </c>
      <c r="B132" s="1145"/>
      <c r="C132" s="1145"/>
      <c r="D132" s="523" t="s">
        <v>239</v>
      </c>
      <c r="E132" s="484">
        <f>'8'!F132</f>
        <v>39651</v>
      </c>
      <c r="F132" s="626">
        <v>39651</v>
      </c>
      <c r="G132" s="473">
        <f t="shared" si="14"/>
        <v>0</v>
      </c>
      <c r="H132" s="460">
        <f>G132+'8'!H132</f>
        <v>118</v>
      </c>
      <c r="I132" s="480"/>
      <c r="J132" s="552">
        <f>H132/DAY(B2)</f>
        <v>13.111111111111111</v>
      </c>
      <c r="N132" s="382">
        <v>22</v>
      </c>
    </row>
    <row r="133" spans="1:14" ht="27.75">
      <c r="A133" s="1144" t="s">
        <v>242</v>
      </c>
      <c r="B133" s="1145"/>
      <c r="C133" s="1145"/>
      <c r="D133" s="523" t="s">
        <v>239</v>
      </c>
      <c r="E133" s="484">
        <f>'8'!F133</f>
        <v>300</v>
      </c>
      <c r="F133" s="485">
        <v>300</v>
      </c>
      <c r="G133" s="473">
        <f t="shared" si="14"/>
        <v>0</v>
      </c>
      <c r="H133" s="460">
        <f>G133+'8'!H133</f>
        <v>0</v>
      </c>
      <c r="I133" s="480">
        <f>G130+G131+G132+G133</f>
        <v>0</v>
      </c>
      <c r="J133" s="552">
        <f>H133/DAY(B2)</f>
        <v>0</v>
      </c>
      <c r="N133" s="382">
        <v>0</v>
      </c>
    </row>
    <row r="134" spans="1:14" ht="27.75">
      <c r="A134" s="1144" t="s">
        <v>243</v>
      </c>
      <c r="B134" s="1145"/>
      <c r="C134" s="1145"/>
      <c r="D134" s="523" t="s">
        <v>239</v>
      </c>
      <c r="E134" s="484">
        <f>'8'!F134</f>
        <v>40933</v>
      </c>
      <c r="F134" s="626">
        <v>40956.51</v>
      </c>
      <c r="G134" s="473">
        <f t="shared" si="14"/>
        <v>23.510000000002037</v>
      </c>
      <c r="H134" s="460">
        <f>G134+'8'!H134</f>
        <v>117.51000000000204</v>
      </c>
      <c r="I134" s="480"/>
      <c r="J134" s="552">
        <f>H134/DAY(B2)</f>
        <v>13.056666666666892</v>
      </c>
      <c r="N134" s="382">
        <v>0</v>
      </c>
    </row>
    <row r="135" spans="1:14" ht="27.75">
      <c r="A135" s="1144" t="s">
        <v>244</v>
      </c>
      <c r="B135" s="1145"/>
      <c r="C135" s="1145"/>
      <c r="D135" s="523" t="s">
        <v>239</v>
      </c>
      <c r="E135" s="484">
        <f>'8'!F135</f>
        <v>32582.560000000001</v>
      </c>
      <c r="F135" s="626">
        <v>32582.560000000001</v>
      </c>
      <c r="G135" s="473">
        <f t="shared" si="14"/>
        <v>0</v>
      </c>
      <c r="H135" s="460">
        <f>G135+'8'!H135</f>
        <v>-0.43999999999869033</v>
      </c>
      <c r="I135" s="480"/>
      <c r="J135" s="552">
        <f>H135/DAY(B2)</f>
        <v>-4.8888888888743369E-2</v>
      </c>
      <c r="N135" s="382">
        <v>0</v>
      </c>
    </row>
    <row r="136" spans="1:14" ht="27.75">
      <c r="A136" s="1144" t="s">
        <v>245</v>
      </c>
      <c r="B136" s="1145"/>
      <c r="C136" s="1145"/>
      <c r="D136" s="523" t="s">
        <v>239</v>
      </c>
      <c r="E136" s="484">
        <f>'8'!F136</f>
        <v>22570.46</v>
      </c>
      <c r="F136" s="654">
        <v>22581.360000000001</v>
      </c>
      <c r="G136" s="473">
        <f t="shared" si="14"/>
        <v>10.900000000001455</v>
      </c>
      <c r="H136" s="460">
        <f>G136+'8'!H136</f>
        <v>92.709999999999127</v>
      </c>
      <c r="I136" s="480">
        <f>G134+G135+G136</f>
        <v>34.410000000003492</v>
      </c>
      <c r="J136" s="552">
        <f>H136/DAY(B2)</f>
        <v>10.301111111111014</v>
      </c>
      <c r="N136" s="382">
        <v>-0.2999999999992724</v>
      </c>
    </row>
    <row r="137" spans="1:14" ht="27.75">
      <c r="A137" s="1144" t="s">
        <v>246</v>
      </c>
      <c r="B137" s="1145"/>
      <c r="C137" s="1145"/>
      <c r="D137" s="523" t="s">
        <v>239</v>
      </c>
      <c r="E137" s="484">
        <f>'8'!F137</f>
        <v>25048.97</v>
      </c>
      <c r="F137" s="654">
        <v>25048.97</v>
      </c>
      <c r="G137" s="473">
        <f t="shared" si="14"/>
        <v>0</v>
      </c>
      <c r="H137" s="460">
        <f>G137+'8'!H137</f>
        <v>0.18000000000029104</v>
      </c>
      <c r="I137" s="480"/>
      <c r="J137" s="552">
        <f>H137/DAY(B2)</f>
        <v>2.0000000000032339E-2</v>
      </c>
      <c r="N137" s="382">
        <v>0</v>
      </c>
    </row>
    <row r="138" spans="1:14" ht="27.75">
      <c r="A138" s="1144" t="s">
        <v>247</v>
      </c>
      <c r="B138" s="1145"/>
      <c r="C138" s="1145"/>
      <c r="D138" s="523" t="s">
        <v>239</v>
      </c>
      <c r="E138" s="484">
        <f>'8'!F138</f>
        <v>70277.179999999993</v>
      </c>
      <c r="F138" s="654">
        <v>70279.05</v>
      </c>
      <c r="G138" s="473">
        <f t="shared" si="14"/>
        <v>1.8700000000098953</v>
      </c>
      <c r="H138" s="460">
        <f>G138+'8'!H138</f>
        <v>25.020000000004075</v>
      </c>
      <c r="I138" s="480">
        <f>G137+G138</f>
        <v>1.8700000000098953</v>
      </c>
      <c r="J138" s="552">
        <f>H138/DAY(B2)</f>
        <v>2.7800000000004528</v>
      </c>
      <c r="N138" s="382">
        <v>9.7100000000064028</v>
      </c>
    </row>
    <row r="139" spans="1:14" ht="27.75">
      <c r="A139" s="1144" t="s">
        <v>248</v>
      </c>
      <c r="B139" s="1145"/>
      <c r="C139" s="1145"/>
      <c r="D139" s="523" t="s">
        <v>239</v>
      </c>
      <c r="E139" s="484">
        <f>'8'!F139</f>
        <v>1536.52</v>
      </c>
      <c r="F139" s="626">
        <v>1536.52</v>
      </c>
      <c r="G139" s="473">
        <f t="shared" si="14"/>
        <v>0</v>
      </c>
      <c r="H139" s="460">
        <f>G139+'8'!H139</f>
        <v>0</v>
      </c>
      <c r="I139" s="542"/>
      <c r="J139" s="552">
        <f>H139/DAY(B2)</f>
        <v>0</v>
      </c>
      <c r="N139" s="382">
        <v>0</v>
      </c>
    </row>
    <row r="140" spans="1:14" ht="27.75">
      <c r="A140" s="1144" t="s">
        <v>249</v>
      </c>
      <c r="B140" s="1145"/>
      <c r="C140" s="1145"/>
      <c r="D140" s="523" t="s">
        <v>239</v>
      </c>
      <c r="E140" s="484">
        <f>'8'!F140</f>
        <v>4534.2299999999996</v>
      </c>
      <c r="F140" s="478">
        <v>4543.01</v>
      </c>
      <c r="G140" s="473">
        <f t="shared" si="14"/>
        <v>8.7800000000006548</v>
      </c>
      <c r="H140" s="460">
        <f>G140+'8'!H140</f>
        <v>74.470000000000255</v>
      </c>
      <c r="I140" s="542"/>
      <c r="J140" s="552">
        <f>H140/DAY(B2)</f>
        <v>8.2744444444444731</v>
      </c>
      <c r="N140" s="382">
        <v>3.6500000000000909</v>
      </c>
    </row>
    <row r="141" spans="1:14">
      <c r="A141" s="1526" t="s">
        <v>250</v>
      </c>
      <c r="B141" s="1527"/>
      <c r="C141" s="1150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520" t="s">
        <v>251</v>
      </c>
      <c r="B142" s="1521"/>
      <c r="C142" s="1522"/>
      <c r="D142" s="523" t="s">
        <v>132</v>
      </c>
      <c r="E142" s="523"/>
      <c r="F142" s="523"/>
      <c r="G142" s="460">
        <f>G35+G43+G49+G57</f>
        <v>5849.5200000000186</v>
      </c>
      <c r="H142" s="460">
        <f>G142+'8'!H142</f>
        <v>52845.989999999991</v>
      </c>
      <c r="I142" s="480"/>
      <c r="J142" s="552">
        <f>H142/DAY(B2)</f>
        <v>5871.7766666666657</v>
      </c>
      <c r="K142" s="380"/>
      <c r="L142" s="377"/>
      <c r="N142" s="382">
        <v>2912.0800000000163</v>
      </c>
    </row>
    <row r="143" spans="1:14" ht="27.75">
      <c r="A143" s="1520" t="s">
        <v>252</v>
      </c>
      <c r="B143" s="1521"/>
      <c r="C143" s="1522"/>
      <c r="D143" s="523" t="s">
        <v>24</v>
      </c>
      <c r="E143" s="511"/>
      <c r="F143" s="511"/>
      <c r="G143" s="543">
        <f>G142/G7</f>
        <v>0.26623822311228523</v>
      </c>
      <c r="H143" s="460">
        <f>G143+'8'!H143</f>
        <v>2.4221713579858766</v>
      </c>
      <c r="I143" s="544"/>
      <c r="J143" s="552">
        <f>H143/DAY(B2)</f>
        <v>0.26913015088731962</v>
      </c>
      <c r="K143" s="380"/>
      <c r="L143" s="377"/>
      <c r="N143" s="382">
        <v>0.25636763799630391</v>
      </c>
    </row>
    <row r="144" spans="1:14" ht="27.75">
      <c r="A144" s="1520" t="s">
        <v>253</v>
      </c>
      <c r="B144" s="1521"/>
      <c r="C144" s="1522"/>
      <c r="D144" s="523" t="s">
        <v>132</v>
      </c>
      <c r="E144" s="455"/>
      <c r="F144" s="455"/>
      <c r="G144" s="460">
        <f>G41+G42+G55+G56</f>
        <v>6545.3870000000461</v>
      </c>
      <c r="H144" s="460">
        <f>G144+'8'!H144</f>
        <v>55234.600000000006</v>
      </c>
      <c r="I144" s="480"/>
      <c r="J144" s="552">
        <f>H144/DAY(B2)</f>
        <v>6137.1777777777788</v>
      </c>
      <c r="K144" s="380"/>
      <c r="L144" s="377"/>
      <c r="N144" s="382">
        <v>2876.3199999999779</v>
      </c>
    </row>
    <row r="145" spans="1:14" ht="27.75">
      <c r="A145" s="1520" t="s">
        <v>254</v>
      </c>
      <c r="B145" s="1521"/>
      <c r="C145" s="1522"/>
      <c r="D145" s="523" t="s">
        <v>24</v>
      </c>
      <c r="E145" s="455"/>
      <c r="F145" s="455"/>
      <c r="G145" s="543">
        <f>G144/G7</f>
        <v>0.29791029083792481</v>
      </c>
      <c r="H145" s="460">
        <f>G145+'8'!H145</f>
        <v>2.5275808342663537</v>
      </c>
      <c r="I145" s="544"/>
      <c r="J145" s="552">
        <f>H145/DAY(B2)</f>
        <v>0.28084231491848377</v>
      </c>
      <c r="K145" s="380"/>
      <c r="L145" s="377"/>
      <c r="N145" s="382">
        <v>0.25321947354520452</v>
      </c>
    </row>
    <row r="146" spans="1:14" ht="27.75">
      <c r="A146" s="1520" t="s">
        <v>255</v>
      </c>
      <c r="B146" s="1521"/>
      <c r="C146" s="1522"/>
      <c r="D146" s="523" t="s">
        <v>132</v>
      </c>
      <c r="E146" s="455"/>
      <c r="F146" s="455"/>
      <c r="G146" s="460">
        <f>G39+G53</f>
        <v>3969.4800000000396</v>
      </c>
      <c r="H146" s="460">
        <f>G146+'8'!H146</f>
        <v>36901.120000000024</v>
      </c>
      <c r="I146" s="545"/>
      <c r="J146" s="552">
        <f>H146/DAY(B2)</f>
        <v>4100.1244444444474</v>
      </c>
      <c r="K146" s="380"/>
      <c r="L146" s="377"/>
      <c r="N146" s="382">
        <v>2036.5859000000055</v>
      </c>
    </row>
    <row r="147" spans="1:14" ht="27.75">
      <c r="A147" s="1520" t="s">
        <v>256</v>
      </c>
      <c r="B147" s="1521"/>
      <c r="C147" s="1522"/>
      <c r="D147" s="523" t="s">
        <v>24</v>
      </c>
      <c r="E147" s="455"/>
      <c r="F147" s="455"/>
      <c r="G147" s="543">
        <f>G146/G7</f>
        <v>0.18066906376587499</v>
      </c>
      <c r="H147" s="460">
        <f>G147+'8'!H147</f>
        <v>1.6902325165199146</v>
      </c>
      <c r="I147" s="545"/>
      <c r="J147" s="552">
        <f>H147/DAY(B2)</f>
        <v>0.18780361294665718</v>
      </c>
      <c r="N147" s="382">
        <v>0.17929271062593585</v>
      </c>
    </row>
    <row r="148" spans="1:14" ht="27.75">
      <c r="A148" s="1520" t="s">
        <v>257</v>
      </c>
      <c r="B148" s="1521"/>
      <c r="C148" s="1522"/>
      <c r="D148" s="523" t="s">
        <v>183</v>
      </c>
      <c r="E148" s="455"/>
      <c r="F148" s="455"/>
      <c r="G148" s="460">
        <f>G38+G52</f>
        <v>1593.1899999999441</v>
      </c>
      <c r="H148" s="460">
        <f>G148+'8'!H148</f>
        <v>15477.599999999948</v>
      </c>
      <c r="I148" s="480"/>
      <c r="J148" s="552">
        <f>H148/DAY(B2)</f>
        <v>1719.7333333333274</v>
      </c>
      <c r="K148" s="381"/>
      <c r="N148" s="382">
        <v>1071.8899999999849</v>
      </c>
    </row>
    <row r="149" spans="1:14" ht="27.75">
      <c r="A149" s="1520" t="s">
        <v>258</v>
      </c>
      <c r="B149" s="1521"/>
      <c r="C149" s="1522"/>
      <c r="D149" s="523" t="s">
        <v>24</v>
      </c>
      <c r="E149" s="455"/>
      <c r="F149" s="455"/>
      <c r="G149" s="543">
        <f>G148/G7</f>
        <v>7.251331300350207E-2</v>
      </c>
      <c r="H149" s="460">
        <f>G149+'8'!H149</f>
        <v>0.70952858402923824</v>
      </c>
      <c r="I149" s="545"/>
      <c r="J149" s="552">
        <f>H149/DAY(B2)</f>
        <v>7.8836509336582025E-2</v>
      </c>
      <c r="N149" s="382">
        <v>9.4364820846904202E-2</v>
      </c>
    </row>
    <row r="150" spans="1:14" ht="27.75">
      <c r="A150" s="1520" t="s">
        <v>259</v>
      </c>
      <c r="B150" s="1521"/>
      <c r="C150" s="1522"/>
      <c r="D150" s="523" t="s">
        <v>183</v>
      </c>
      <c r="E150" s="455"/>
      <c r="F150" s="455"/>
      <c r="G150" s="460">
        <f>G36+G50</f>
        <v>2039.859999999986</v>
      </c>
      <c r="H150" s="460">
        <f>G150+'8'!H150</f>
        <v>18103.079999999958</v>
      </c>
      <c r="I150" s="545"/>
      <c r="J150" s="552">
        <f>H150/DAY(B2)</f>
        <v>2011.4533333333286</v>
      </c>
      <c r="N150" s="382">
        <v>1124.1299999999901</v>
      </c>
    </row>
    <row r="151" spans="1:14" ht="27.75">
      <c r="A151" s="1520" t="s">
        <v>260</v>
      </c>
      <c r="B151" s="1521"/>
      <c r="C151" s="1522"/>
      <c r="D151" s="523" t="s">
        <v>24</v>
      </c>
      <c r="E151" s="455"/>
      <c r="F151" s="455"/>
      <c r="G151" s="543">
        <f>G150/G7</f>
        <v>9.2843293432250965E-2</v>
      </c>
      <c r="H151" s="460">
        <f>G151+'8'!H151</f>
        <v>0.82790341784417254</v>
      </c>
      <c r="I151" s="480"/>
      <c r="J151" s="552">
        <f>H151/DAY(B2)</f>
        <v>9.1989268649352501E-2</v>
      </c>
      <c r="N151" s="382">
        <v>9.8963817237432E-2</v>
      </c>
    </row>
    <row r="152" spans="1:14" ht="27.75">
      <c r="A152" s="1520" t="s">
        <v>261</v>
      </c>
      <c r="B152" s="1521"/>
      <c r="C152" s="1522"/>
      <c r="D152" s="523" t="s">
        <v>183</v>
      </c>
      <c r="E152" s="455"/>
      <c r="F152" s="455"/>
      <c r="G152" s="460">
        <f>G37+G51</f>
        <v>1354.226999999999</v>
      </c>
      <c r="H152" s="460">
        <f>G152+'8'!H152</f>
        <v>12571.459999999992</v>
      </c>
      <c r="I152" s="480"/>
      <c r="J152" s="552">
        <f>H152/DAY(B2)</f>
        <v>1396.8288888888881</v>
      </c>
      <c r="N152" s="382">
        <v>1164.4599999999919</v>
      </c>
    </row>
    <row r="153" spans="1:14" ht="27" customHeight="1" thickBot="1">
      <c r="A153" s="1523" t="s">
        <v>262</v>
      </c>
      <c r="B153" s="1524"/>
      <c r="C153" s="1525"/>
      <c r="D153" s="625" t="s">
        <v>24</v>
      </c>
      <c r="E153" s="565"/>
      <c r="F153" s="565"/>
      <c r="G153" s="566">
        <f>G152/G7</f>
        <v>6.1637021528378272E-2</v>
      </c>
      <c r="H153" s="460">
        <f>G153+'8'!H153</f>
        <v>0.57630355676283207</v>
      </c>
      <c r="I153" s="568"/>
      <c r="J153" s="569">
        <f>H153/DAY(B2)</f>
        <v>6.4033728529203568E-2</v>
      </c>
      <c r="N153" s="382">
        <v>0.10251430583678069</v>
      </c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382"/>
    </row>
    <row r="157" spans="1:14" ht="27.75">
      <c r="A157" s="1554" t="s">
        <v>267</v>
      </c>
      <c r="B157" s="1555"/>
      <c r="C157" s="1555"/>
      <c r="D157" s="1555"/>
      <c r="E157" s="1555"/>
      <c r="F157" s="1555"/>
      <c r="G157" s="1556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1064">
        <f>'8'!F160</f>
        <v>34107.43</v>
      </c>
      <c r="F160" s="661">
        <v>34189.75</v>
      </c>
      <c r="G160" s="473">
        <f t="shared" ref="G160:G171" si="15">F160-E160</f>
        <v>82.319999999999709</v>
      </c>
    </row>
    <row r="161" spans="1:7">
      <c r="A161" s="788" t="s">
        <v>264</v>
      </c>
      <c r="B161" s="789"/>
      <c r="C161" s="789"/>
      <c r="D161" s="511" t="s">
        <v>187</v>
      </c>
      <c r="E161" s="1064">
        <f>'8'!F161</f>
        <v>72251.490000000005</v>
      </c>
      <c r="F161" s="661">
        <v>72741.820000000007</v>
      </c>
      <c r="G161" s="473">
        <f t="shared" si="15"/>
        <v>490.33000000000175</v>
      </c>
    </row>
    <row r="162" spans="1:7">
      <c r="A162" s="788" t="s">
        <v>265</v>
      </c>
      <c r="B162" s="789"/>
      <c r="C162" s="789"/>
      <c r="D162" s="511" t="s">
        <v>187</v>
      </c>
      <c r="E162" s="1064">
        <f>'8'!F162</f>
        <v>31593.43</v>
      </c>
      <c r="F162" s="661">
        <v>31859.406999999999</v>
      </c>
      <c r="G162" s="473">
        <f t="shared" si="15"/>
        <v>265.97699999999895</v>
      </c>
    </row>
    <row r="163" spans="1:7">
      <c r="A163" s="788" t="s">
        <v>266</v>
      </c>
      <c r="B163" s="789"/>
      <c r="C163" s="789"/>
      <c r="D163" s="511" t="s">
        <v>187</v>
      </c>
      <c r="E163" s="1064">
        <f>'8'!F163</f>
        <v>5897</v>
      </c>
      <c r="F163" s="661">
        <v>5904.14</v>
      </c>
      <c r="G163" s="473">
        <f t="shared" si="15"/>
        <v>7.1400000000003274</v>
      </c>
    </row>
    <row r="164" spans="1:7">
      <c r="A164" s="790" t="s">
        <v>98</v>
      </c>
      <c r="B164" s="604"/>
      <c r="C164" s="604"/>
      <c r="D164" s="511" t="s">
        <v>187</v>
      </c>
      <c r="E164" s="1064">
        <f>'8'!F164</f>
        <v>20419</v>
      </c>
      <c r="F164" s="514">
        <f>F62</f>
        <v>20419</v>
      </c>
      <c r="G164" s="473">
        <f t="shared" si="15"/>
        <v>0</v>
      </c>
    </row>
    <row r="165" spans="1:7">
      <c r="A165" s="790" t="s">
        <v>188</v>
      </c>
      <c r="B165" s="604"/>
      <c r="C165" s="604"/>
      <c r="D165" s="511" t="s">
        <v>187</v>
      </c>
      <c r="E165" s="1064">
        <f>'8'!F165</f>
        <v>2189.58</v>
      </c>
      <c r="F165" s="514">
        <f t="shared" ref="F165:F171" si="16">F63</f>
        <v>2200.6799999999998</v>
      </c>
      <c r="G165" s="473">
        <f t="shared" si="15"/>
        <v>11.099999999999909</v>
      </c>
    </row>
    <row r="166" spans="1:7" ht="27.75">
      <c r="A166" s="1495" t="s">
        <v>99</v>
      </c>
      <c r="B166" s="1495"/>
      <c r="C166" s="1495"/>
      <c r="D166" s="523" t="s">
        <v>187</v>
      </c>
      <c r="E166" s="1064">
        <f>'8'!F166</f>
        <v>142907.71</v>
      </c>
      <c r="F166" s="514">
        <f t="shared" si="16"/>
        <v>143380.39000000001</v>
      </c>
      <c r="G166" s="473">
        <f t="shared" si="15"/>
        <v>472.68000000002212</v>
      </c>
    </row>
    <row r="167" spans="1:7" ht="27.75">
      <c r="A167" s="1495" t="s">
        <v>100</v>
      </c>
      <c r="B167" s="1495"/>
      <c r="C167" s="1495"/>
      <c r="D167" s="523" t="s">
        <v>187</v>
      </c>
      <c r="E167" s="1064">
        <f>'8'!F167</f>
        <v>147109.56</v>
      </c>
      <c r="F167" s="514">
        <f t="shared" si="16"/>
        <v>147456.95999999999</v>
      </c>
      <c r="G167" s="473">
        <f t="shared" si="15"/>
        <v>347.39999999999418</v>
      </c>
    </row>
    <row r="168" spans="1:7" ht="27.75">
      <c r="A168" s="1495" t="s">
        <v>101</v>
      </c>
      <c r="B168" s="1495"/>
      <c r="C168" s="1495"/>
      <c r="D168" s="523" t="s">
        <v>187</v>
      </c>
      <c r="E168" s="1064">
        <f>'8'!F168</f>
        <v>40373</v>
      </c>
      <c r="F168" s="514">
        <f t="shared" si="16"/>
        <v>40746.57</v>
      </c>
      <c r="G168" s="473">
        <f t="shared" si="15"/>
        <v>373.56999999999971</v>
      </c>
    </row>
    <row r="169" spans="1:7" ht="27.75">
      <c r="A169" s="1495" t="s">
        <v>102</v>
      </c>
      <c r="B169" s="1495"/>
      <c r="C169" s="1495"/>
      <c r="D169" s="523" t="s">
        <v>187</v>
      </c>
      <c r="E169" s="1064">
        <f>'8'!F169</f>
        <v>234109.79</v>
      </c>
      <c r="F169" s="514">
        <f t="shared" si="16"/>
        <v>234676.77</v>
      </c>
      <c r="G169" s="473">
        <f t="shared" si="15"/>
        <v>566.97999999998137</v>
      </c>
    </row>
    <row r="170" spans="1:7" ht="27.75">
      <c r="A170" s="1495" t="s">
        <v>103</v>
      </c>
      <c r="B170" s="1495"/>
      <c r="C170" s="1495"/>
      <c r="D170" s="523" t="s">
        <v>187</v>
      </c>
      <c r="E170" s="1064">
        <f>'8'!F170</f>
        <v>85321</v>
      </c>
      <c r="F170" s="514">
        <f t="shared" si="16"/>
        <v>85321</v>
      </c>
      <c r="G170" s="473">
        <f t="shared" si="15"/>
        <v>0</v>
      </c>
    </row>
    <row r="171" spans="1:7" ht="27.75">
      <c r="A171" s="1495" t="s">
        <v>104</v>
      </c>
      <c r="B171" s="1495"/>
      <c r="C171" s="1495"/>
      <c r="D171" s="523" t="s">
        <v>187</v>
      </c>
      <c r="E171" s="1064">
        <f>'8'!F171</f>
        <v>76765.649999999994</v>
      </c>
      <c r="F171" s="514">
        <f t="shared" si="16"/>
        <v>77058.52</v>
      </c>
      <c r="G171" s="473">
        <f t="shared" si="15"/>
        <v>292.8700000000099</v>
      </c>
    </row>
    <row r="176" spans="1:7" ht="18.75" customHeight="1"/>
    <row r="177" spans="6:6" ht="18.75" customHeight="1">
      <c r="F177" s="666" t="s">
        <v>215</v>
      </c>
    </row>
    <row r="181" spans="6:6" ht="19.5" customHeight="1"/>
    <row r="184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view="pageBreakPreview" topLeftCell="A18" zoomScale="60" zoomScaleNormal="55" workbookViewId="0">
      <selection activeCell="F102" sqref="F102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528" t="s">
        <v>117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4" s="281" customFormat="1" ht="27">
      <c r="A2" s="575" t="s">
        <v>354</v>
      </c>
      <c r="B2" s="1036">
        <v>44296</v>
      </c>
      <c r="C2" s="1146" t="s">
        <v>69</v>
      </c>
      <c r="D2" s="611">
        <v>0.42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3"/>
    </row>
    <row r="3" spans="1:14" s="281" customFormat="1" ht="27">
      <c r="A3" s="570"/>
      <c r="B3" s="614"/>
      <c r="C3" s="1146" t="s">
        <v>120</v>
      </c>
      <c r="D3" s="612">
        <v>28</v>
      </c>
      <c r="E3" s="1537" t="s">
        <v>121</v>
      </c>
      <c r="F3" s="1538"/>
      <c r="G3" s="462"/>
      <c r="H3" s="463"/>
      <c r="I3" s="463"/>
      <c r="J3" s="615"/>
      <c r="K3" s="371"/>
      <c r="L3" s="292"/>
      <c r="N3" s="713"/>
    </row>
    <row r="4" spans="1:14" s="281" customFormat="1" ht="27">
      <c r="A4" s="576"/>
      <c r="B4" s="616"/>
      <c r="C4" s="1146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3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31" t="s">
        <v>130</v>
      </c>
      <c r="B6" s="1532"/>
      <c r="C6" s="1533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'9'!F7</f>
        <v>5310400</v>
      </c>
      <c r="F7" s="455">
        <v>5331228</v>
      </c>
      <c r="G7" s="681">
        <f>F7-E7</f>
        <v>20828</v>
      </c>
      <c r="H7" s="682">
        <f>G7+'9'!H7</f>
        <v>217305</v>
      </c>
      <c r="I7" s="683">
        <v>12000</v>
      </c>
      <c r="J7" s="684">
        <f>H7/DAY(B2)</f>
        <v>21730.5</v>
      </c>
      <c r="K7" s="549"/>
      <c r="L7" s="377"/>
      <c r="N7" s="714"/>
    </row>
    <row r="8" spans="1:14" ht="27.75" thickBot="1">
      <c r="A8" s="685" t="s">
        <v>133</v>
      </c>
      <c r="B8" s="686"/>
      <c r="C8" s="687"/>
      <c r="D8" s="688" t="s">
        <v>25</v>
      </c>
      <c r="E8" s="633">
        <f>'9'!F8</f>
        <v>5342740</v>
      </c>
      <c r="F8" s="475">
        <v>5363644</v>
      </c>
      <c r="G8" s="692">
        <f>F8-E8</f>
        <v>20904</v>
      </c>
      <c r="H8" s="682">
        <f>G8+'9'!H8</f>
        <v>218326</v>
      </c>
      <c r="I8" s="689">
        <v>12000</v>
      </c>
      <c r="J8" s="684">
        <f>H8/DAY(B2)</f>
        <v>21832.6</v>
      </c>
      <c r="K8" s="549"/>
      <c r="L8" s="425"/>
      <c r="M8" s="440"/>
      <c r="N8" s="715"/>
    </row>
    <row r="9" spans="1:14">
      <c r="A9" s="690" t="s">
        <v>134</v>
      </c>
      <c r="B9" s="691"/>
      <c r="C9" s="691"/>
      <c r="D9" s="638" t="s">
        <v>132</v>
      </c>
      <c r="E9" s="633">
        <f>'9'!F9</f>
        <v>586630.31000000006</v>
      </c>
      <c r="F9" s="478">
        <v>606820.94999999995</v>
      </c>
      <c r="G9" s="705">
        <f t="shared" ref="G9:G12" si="0">F9-E9</f>
        <v>20190.639999999898</v>
      </c>
      <c r="H9" s="682">
        <f>G9+'9'!H9</f>
        <v>210751.94999999995</v>
      </c>
      <c r="I9" s="693">
        <f>I7-J7</f>
        <v>-9730.5</v>
      </c>
      <c r="J9" s="684">
        <f>H9/DAY(B2)</f>
        <v>21075.194999999996</v>
      </c>
      <c r="K9" s="428"/>
      <c r="L9" s="377"/>
      <c r="N9" s="716"/>
    </row>
    <row r="10" spans="1:14">
      <c r="A10" s="679" t="s">
        <v>135</v>
      </c>
      <c r="B10" s="680"/>
      <c r="C10" s="680"/>
      <c r="D10" s="638" t="s">
        <v>132</v>
      </c>
      <c r="E10" s="633">
        <f>'9'!F10</f>
        <v>2322.58</v>
      </c>
      <c r="F10" s="478">
        <v>2322.58</v>
      </c>
      <c r="G10" s="692">
        <f t="shared" si="0"/>
        <v>0</v>
      </c>
      <c r="H10" s="682">
        <f>G10+'9'!H10</f>
        <v>0</v>
      </c>
      <c r="I10" s="694"/>
      <c r="J10" s="684">
        <f>H10/DAY(B2)</f>
        <v>0</v>
      </c>
      <c r="K10" s="428"/>
      <c r="L10" s="377"/>
      <c r="N10" s="716"/>
    </row>
    <row r="11" spans="1:14">
      <c r="A11" s="679" t="s">
        <v>136</v>
      </c>
      <c r="B11" s="680"/>
      <c r="C11" s="680"/>
      <c r="D11" s="638" t="s">
        <v>132</v>
      </c>
      <c r="E11" s="633">
        <f>'9'!E11</f>
        <v>37000</v>
      </c>
      <c r="F11" s="455">
        <v>37000</v>
      </c>
      <c r="G11" s="692">
        <f t="shared" si="0"/>
        <v>0</v>
      </c>
      <c r="H11" s="682">
        <f>G11+'9'!H11</f>
        <v>0</v>
      </c>
      <c r="I11" s="694"/>
      <c r="J11" s="684">
        <f>H11/DAY(B2)</f>
        <v>0</v>
      </c>
      <c r="K11" s="428"/>
      <c r="L11" s="377"/>
      <c r="N11" s="716"/>
    </row>
    <row r="12" spans="1:14">
      <c r="A12" s="679" t="s">
        <v>137</v>
      </c>
      <c r="B12" s="680"/>
      <c r="C12" s="680"/>
      <c r="D12" s="638" t="s">
        <v>132</v>
      </c>
      <c r="E12" s="633">
        <f>'9'!E12</f>
        <v>40010</v>
      </c>
      <c r="F12" s="478">
        <v>40010</v>
      </c>
      <c r="G12" s="692">
        <f t="shared" si="0"/>
        <v>0</v>
      </c>
      <c r="H12" s="682">
        <f>G12+'9'!H12</f>
        <v>0</v>
      </c>
      <c r="I12" s="694"/>
      <c r="J12" s="684">
        <f>H12/DAY(B2)</f>
        <v>0</v>
      </c>
      <c r="K12" s="428"/>
      <c r="L12" s="377"/>
      <c r="N12" s="716"/>
    </row>
    <row r="13" spans="1:14">
      <c r="A13" s="695" t="s">
        <v>138</v>
      </c>
      <c r="B13" s="696"/>
      <c r="C13" s="696"/>
      <c r="D13" s="638"/>
      <c r="E13" s="633"/>
      <c r="F13" s="455"/>
      <c r="G13" s="697">
        <f>G9+G10+G11+G12</f>
        <v>20190.639999999898</v>
      </c>
      <c r="H13" s="682">
        <f>G13+'9'!H13</f>
        <v>210751.94999999995</v>
      </c>
      <c r="I13" s="698">
        <f>G7-G13</f>
        <v>637.36000000010245</v>
      </c>
      <c r="J13" s="684">
        <f>H13/DAY(B2)</f>
        <v>21075.194999999996</v>
      </c>
      <c r="K13" s="428"/>
      <c r="L13" s="377"/>
      <c r="N13" s="716"/>
    </row>
    <row r="14" spans="1:14">
      <c r="A14" s="1534" t="s">
        <v>139</v>
      </c>
      <c r="B14" s="1535"/>
      <c r="C14" s="1536"/>
      <c r="D14" s="472"/>
      <c r="E14" s="472"/>
      <c r="F14" s="472"/>
      <c r="G14" s="483"/>
      <c r="H14" s="472"/>
      <c r="I14" s="472"/>
      <c r="J14" s="551"/>
      <c r="K14" s="429"/>
      <c r="L14" s="377"/>
      <c r="N14" s="716"/>
    </row>
    <row r="15" spans="1:14">
      <c r="A15" s="796" t="s">
        <v>140</v>
      </c>
      <c r="B15" s="791"/>
      <c r="C15" s="791"/>
      <c r="D15" s="524" t="s">
        <v>141</v>
      </c>
      <c r="E15" s="485">
        <f>'9'!F15</f>
        <v>1655192.4920000001</v>
      </c>
      <c r="F15" s="485">
        <v>1655984.112</v>
      </c>
      <c r="G15" s="667">
        <f>(F15-E15)</f>
        <v>791.61999999987893</v>
      </c>
      <c r="H15" s="486">
        <f>G15+'9'!H15</f>
        <v>9295.1119999999646</v>
      </c>
      <c r="I15" s="474">
        <v>800</v>
      </c>
      <c r="J15" s="553">
        <f>H15/DAY(B2)</f>
        <v>929.51119999999651</v>
      </c>
      <c r="K15" s="428"/>
      <c r="L15" s="377"/>
      <c r="N15" s="716"/>
    </row>
    <row r="16" spans="1:14">
      <c r="A16" s="794"/>
      <c r="B16" s="795"/>
      <c r="C16" s="795"/>
      <c r="D16" s="792"/>
      <c r="E16" s="793"/>
      <c r="F16" s="485"/>
      <c r="G16" s="672"/>
      <c r="H16" s="486"/>
      <c r="I16" s="482">
        <f>I15-J15</f>
        <v>-129.51119999999651</v>
      </c>
      <c r="J16" s="553"/>
      <c r="K16" s="428"/>
      <c r="L16" s="377"/>
      <c r="N16" s="716"/>
    </row>
    <row r="17" spans="1:14">
      <c r="A17" s="1534" t="s">
        <v>142</v>
      </c>
      <c r="B17" s="1535"/>
      <c r="C17" s="1536"/>
      <c r="D17" s="472"/>
      <c r="E17" s="472"/>
      <c r="F17" s="472"/>
      <c r="G17" s="488"/>
      <c r="H17" s="472"/>
      <c r="I17" s="472"/>
      <c r="J17" s="551"/>
      <c r="K17" s="428"/>
      <c r="L17" s="377"/>
      <c r="N17" s="716"/>
    </row>
    <row r="18" spans="1:14" ht="27.75">
      <c r="A18" s="1560" t="s">
        <v>143</v>
      </c>
      <c r="B18" s="1561"/>
      <c r="C18" s="1562"/>
      <c r="D18" s="638" t="s">
        <v>144</v>
      </c>
      <c r="E18" s="635">
        <f>'9'!F18</f>
        <v>8</v>
      </c>
      <c r="F18" s="478">
        <v>8</v>
      </c>
      <c r="G18" s="697">
        <f>F18*10</f>
        <v>80</v>
      </c>
      <c r="H18" s="682">
        <f>G18+'9'!H18</f>
        <v>1060</v>
      </c>
      <c r="I18" s="683">
        <v>65</v>
      </c>
      <c r="J18" s="684">
        <f>H18/DAY(B2)</f>
        <v>106</v>
      </c>
      <c r="K18" s="428"/>
      <c r="L18" s="377"/>
      <c r="N18" s="716"/>
    </row>
    <row r="19" spans="1:14" ht="27.75">
      <c r="A19" s="1560" t="s">
        <v>71</v>
      </c>
      <c r="B19" s="1561"/>
      <c r="C19" s="1562"/>
      <c r="D19" s="638" t="s">
        <v>144</v>
      </c>
      <c r="E19" s="635">
        <f>'9'!F19</f>
        <v>136593</v>
      </c>
      <c r="F19" s="478">
        <v>136656</v>
      </c>
      <c r="G19" s="692">
        <f t="shared" ref="G19" si="1">F19-E19</f>
        <v>63</v>
      </c>
      <c r="H19" s="682">
        <f>G19+'9'!H19</f>
        <v>566</v>
      </c>
      <c r="I19" s="699"/>
      <c r="J19" s="684">
        <f>H19/DAY(B2)</f>
        <v>56.6</v>
      </c>
      <c r="K19" s="428"/>
      <c r="L19" s="377"/>
      <c r="N19" s="716"/>
    </row>
    <row r="20" spans="1:14">
      <c r="A20" s="695" t="s">
        <v>145</v>
      </c>
      <c r="B20" s="696"/>
      <c r="C20" s="696"/>
      <c r="D20" s="638"/>
      <c r="E20" s="638"/>
      <c r="F20" s="524"/>
      <c r="G20" s="700">
        <f>G18+G19</f>
        <v>143</v>
      </c>
      <c r="H20" s="682">
        <f>G20+'9'!H20</f>
        <v>1626</v>
      </c>
      <c r="I20" s="701">
        <f>I18-J20</f>
        <v>-97.6</v>
      </c>
      <c r="J20" s="684">
        <f>H20/DAY(B2)</f>
        <v>162.6</v>
      </c>
      <c r="K20" s="428"/>
      <c r="L20" s="377"/>
      <c r="N20" s="716"/>
    </row>
    <row r="21" spans="1:14">
      <c r="A21" s="1534" t="s">
        <v>146</v>
      </c>
      <c r="B21" s="1535"/>
      <c r="C21" s="1536"/>
      <c r="D21" s="472"/>
      <c r="E21" s="472"/>
      <c r="F21" s="472"/>
      <c r="G21" s="483"/>
      <c r="H21" s="472"/>
      <c r="I21" s="472"/>
      <c r="J21" s="551"/>
      <c r="K21" s="428"/>
      <c r="L21" s="377"/>
      <c r="N21" s="716"/>
    </row>
    <row r="22" spans="1:14">
      <c r="A22" s="1144" t="s">
        <v>147</v>
      </c>
      <c r="B22" s="589"/>
      <c r="C22" s="589"/>
      <c r="D22" s="523" t="s">
        <v>148</v>
      </c>
      <c r="E22" s="635">
        <f>'9'!F22</f>
        <v>1290</v>
      </c>
      <c r="F22" s="478">
        <v>1290</v>
      </c>
      <c r="G22" s="481">
        <f t="shared" ref="G22" si="2">(F22-E22)</f>
        <v>0</v>
      </c>
      <c r="H22" s="460">
        <f>G22+'9'!H22</f>
        <v>0</v>
      </c>
      <c r="I22" s="480"/>
      <c r="J22" s="552">
        <f>H22/DAY(B2)</f>
        <v>0</v>
      </c>
      <c r="K22" s="428"/>
      <c r="L22" s="377"/>
      <c r="N22" s="716"/>
    </row>
    <row r="23" spans="1:14">
      <c r="A23" s="1144" t="s">
        <v>149</v>
      </c>
      <c r="B23" s="589"/>
      <c r="C23" s="589"/>
      <c r="D23" s="523" t="s">
        <v>148</v>
      </c>
      <c r="E23" s="635">
        <f>'9'!F23</f>
        <v>2900</v>
      </c>
      <c r="F23" s="478">
        <v>2900</v>
      </c>
      <c r="G23" s="481">
        <v>0</v>
      </c>
      <c r="H23" s="460">
        <f>G23+'9'!H23</f>
        <v>0</v>
      </c>
      <c r="I23" s="480"/>
      <c r="J23" s="552">
        <f>H23/DAY(B2)</f>
        <v>0</v>
      </c>
      <c r="K23" s="428"/>
      <c r="L23" s="377"/>
      <c r="N23" s="716"/>
    </row>
    <row r="24" spans="1:14">
      <c r="A24" s="590" t="s">
        <v>150</v>
      </c>
      <c r="B24" s="591"/>
      <c r="C24" s="591"/>
      <c r="D24" s="511" t="s">
        <v>148</v>
      </c>
      <c r="E24" s="493">
        <f>'9'!F24</f>
        <v>4250</v>
      </c>
      <c r="F24" s="485">
        <v>4250</v>
      </c>
      <c r="G24" s="481">
        <v>0</v>
      </c>
      <c r="H24" s="460">
        <f>G24+'9'!H24</f>
        <v>0</v>
      </c>
      <c r="I24" s="480"/>
      <c r="J24" s="552">
        <f>H24/DAY(B2)</f>
        <v>0</v>
      </c>
      <c r="K24" s="428"/>
      <c r="L24" s="377"/>
      <c r="N24" s="716"/>
    </row>
    <row r="25" spans="1:14" s="442" customFormat="1" ht="27">
      <c r="A25" s="1539" t="s">
        <v>151</v>
      </c>
      <c r="B25" s="1540"/>
      <c r="C25" s="1541"/>
      <c r="D25" s="471"/>
      <c r="E25" s="471"/>
      <c r="F25" s="471"/>
      <c r="G25" s="494"/>
      <c r="H25" s="495"/>
      <c r="I25" s="496"/>
      <c r="J25" s="554"/>
      <c r="K25" s="373"/>
      <c r="L25" s="443"/>
      <c r="N25" s="716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6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20904</v>
      </c>
      <c r="F27" s="501">
        <v>9</v>
      </c>
      <c r="G27" s="502">
        <f>E27*F27</f>
        <v>188136</v>
      </c>
      <c r="H27" s="460">
        <f>G27+'9'!H27</f>
        <v>1964934</v>
      </c>
      <c r="I27" s="503"/>
      <c r="J27" s="552">
        <f>H27/DAY(B2)</f>
        <v>196493.4</v>
      </c>
      <c r="K27" s="373"/>
      <c r="L27" s="443"/>
      <c r="N27" s="716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791.61999999987893</v>
      </c>
      <c r="F28" s="501">
        <v>51.45</v>
      </c>
      <c r="G28" s="502">
        <f>E28*F28</f>
        <v>40728.848999993774</v>
      </c>
      <c r="H28" s="460">
        <f>G28+'9'!H28</f>
        <v>478233.51239999814</v>
      </c>
      <c r="I28" s="505"/>
      <c r="J28" s="552">
        <f>H28/DAY(B2)</f>
        <v>47823.351239999814</v>
      </c>
      <c r="K28" s="373"/>
      <c r="L28" s="443"/>
      <c r="N28" s="716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G29+'9'!H29</f>
        <v>0</v>
      </c>
      <c r="I29" s="505"/>
      <c r="J29" s="552">
        <f>H29/DAY(B2)</f>
        <v>0</v>
      </c>
      <c r="K29" s="373"/>
      <c r="L29" s="443"/>
      <c r="N29" s="716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63</v>
      </c>
      <c r="F30" s="501">
        <v>134</v>
      </c>
      <c r="G30" s="502">
        <f>E30*F30</f>
        <v>8442</v>
      </c>
      <c r="H30" s="460">
        <f>G30+'9'!H30</f>
        <v>77212</v>
      </c>
      <c r="I30" s="505"/>
      <c r="J30" s="552">
        <f>H30/DAY(B2)</f>
        <v>7721.2</v>
      </c>
      <c r="K30" s="373"/>
      <c r="L30" s="443"/>
      <c r="N30" s="716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G31+'9'!H31</f>
        <v>84800</v>
      </c>
      <c r="I31" s="505"/>
      <c r="J31" s="552">
        <f>H31/DAY(B2)</f>
        <v>8480</v>
      </c>
      <c r="K31" s="373"/>
      <c r="L31" s="443"/>
      <c r="N31" s="716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243706.84899999376</v>
      </c>
      <c r="H32" s="460">
        <f>G32+'9'!H32</f>
        <v>2605179.5123999985</v>
      </c>
      <c r="I32" s="509"/>
      <c r="J32" s="552">
        <f>H32/DAY(B2)</f>
        <v>260517.95123999985</v>
      </c>
      <c r="K32" s="373"/>
      <c r="L32" s="443"/>
      <c r="N32" s="716"/>
    </row>
    <row r="33" spans="1:14" ht="25.5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  <c r="N33" s="716"/>
    </row>
    <row r="34" spans="1:14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716"/>
    </row>
    <row r="35" spans="1:14">
      <c r="A35" s="578" t="s">
        <v>164</v>
      </c>
      <c r="B35" s="579"/>
      <c r="C35" s="579"/>
      <c r="D35" s="523" t="s">
        <v>132</v>
      </c>
      <c r="E35" s="510">
        <f>'9'!F35</f>
        <v>828729.67</v>
      </c>
      <c r="F35" s="1037">
        <v>831910.39</v>
      </c>
      <c r="G35" s="473">
        <f t="shared" ref="G35:G46" si="3">F35-E35</f>
        <v>3180.7199999999721</v>
      </c>
      <c r="H35" s="460">
        <f>G35+'9'!H35</f>
        <v>33521.390000000014</v>
      </c>
      <c r="I35" s="455"/>
      <c r="J35" s="552">
        <f>H35/DAY(B2)</f>
        <v>3352.1390000000015</v>
      </c>
      <c r="K35" s="428"/>
      <c r="L35" s="377"/>
      <c r="N35" s="716"/>
    </row>
    <row r="36" spans="1:14">
      <c r="A36" s="578" t="s">
        <v>165</v>
      </c>
      <c r="B36" s="579"/>
      <c r="C36" s="579"/>
      <c r="D36" s="523" t="s">
        <v>132</v>
      </c>
      <c r="E36" s="510">
        <f>'9'!F36</f>
        <v>325402.17</v>
      </c>
      <c r="F36" s="1037">
        <v>326272.69</v>
      </c>
      <c r="G36" s="473">
        <f t="shared" si="3"/>
        <v>870.52000000001863</v>
      </c>
      <c r="H36" s="460">
        <f>G36+'9'!H36</f>
        <v>8836.6900000000023</v>
      </c>
      <c r="I36" s="455"/>
      <c r="J36" s="552">
        <f>H36/DAY(B2)</f>
        <v>883.66900000000021</v>
      </c>
      <c r="K36" s="428"/>
      <c r="L36" s="377"/>
      <c r="N36" s="717"/>
    </row>
    <row r="37" spans="1:14">
      <c r="A37" s="578" t="s">
        <v>166</v>
      </c>
      <c r="B37" s="579"/>
      <c r="C37" s="579"/>
      <c r="D37" s="523" t="s">
        <v>132</v>
      </c>
      <c r="E37" s="510">
        <f>'9'!F37</f>
        <v>67368.59</v>
      </c>
      <c r="F37" s="1037">
        <v>68671.839999999997</v>
      </c>
      <c r="G37" s="473">
        <f t="shared" si="3"/>
        <v>1303.25</v>
      </c>
      <c r="H37" s="460">
        <f>G37+'9'!H37</f>
        <v>13874.839999999997</v>
      </c>
      <c r="I37" s="455"/>
      <c r="J37" s="552">
        <f>H37/DAY(B2)</f>
        <v>1387.4839999999997</v>
      </c>
      <c r="K37" s="428"/>
      <c r="L37" s="377"/>
      <c r="N37" s="717"/>
    </row>
    <row r="38" spans="1:14">
      <c r="A38" s="578" t="s">
        <v>167</v>
      </c>
      <c r="B38" s="579"/>
      <c r="C38" s="579"/>
      <c r="D38" s="523" t="s">
        <v>132</v>
      </c>
      <c r="E38" s="510">
        <f>'9'!F38</f>
        <v>87787.53</v>
      </c>
      <c r="F38" s="467">
        <v>89396.3</v>
      </c>
      <c r="G38" s="473">
        <f t="shared" si="3"/>
        <v>1608.7700000000041</v>
      </c>
      <c r="H38" s="460">
        <f>G38+'9'!H38</f>
        <v>17088.300000000003</v>
      </c>
      <c r="I38" s="455"/>
      <c r="J38" s="552">
        <f>H38/DAY(B2)</f>
        <v>1708.8300000000004</v>
      </c>
      <c r="K38" s="428"/>
      <c r="L38" s="377"/>
      <c r="N38" s="716"/>
    </row>
    <row r="39" spans="1:14">
      <c r="A39" s="578" t="s">
        <v>168</v>
      </c>
      <c r="B39" s="579"/>
      <c r="C39" s="579"/>
      <c r="D39" s="523" t="s">
        <v>132</v>
      </c>
      <c r="E39" s="510">
        <f>'9'!F39</f>
        <v>186605.97</v>
      </c>
      <c r="F39" s="1037">
        <v>189839.47</v>
      </c>
      <c r="G39" s="473">
        <f t="shared" si="3"/>
        <v>3233.5</v>
      </c>
      <c r="H39" s="460">
        <f>G39+'9'!H39</f>
        <v>37017.47</v>
      </c>
      <c r="I39" s="455"/>
      <c r="J39" s="552">
        <f>H39/DAY(B2)</f>
        <v>3701.7470000000003</v>
      </c>
      <c r="K39" s="428"/>
      <c r="L39" s="377"/>
      <c r="N39" s="716"/>
    </row>
    <row r="40" spans="1:14">
      <c r="A40" s="599" t="s">
        <v>169</v>
      </c>
      <c r="B40" s="600"/>
      <c r="C40" s="600"/>
      <c r="D40" s="523" t="s">
        <v>132</v>
      </c>
      <c r="E40" s="510">
        <f>'9'!F40</f>
        <v>0.23</v>
      </c>
      <c r="F40" s="1037">
        <v>0.23</v>
      </c>
      <c r="G40" s="473">
        <f t="shared" si="3"/>
        <v>0</v>
      </c>
      <c r="H40" s="460">
        <f>G40+'9'!H40</f>
        <v>0.17</v>
      </c>
      <c r="I40" s="455"/>
      <c r="J40" s="552">
        <f>H40/DAY(B2)</f>
        <v>1.7000000000000001E-2</v>
      </c>
      <c r="K40" s="429"/>
      <c r="L40" s="377"/>
      <c r="N40" s="716"/>
    </row>
    <row r="41" spans="1:14">
      <c r="A41" s="578" t="s">
        <v>170</v>
      </c>
      <c r="B41" s="579"/>
      <c r="C41" s="579"/>
      <c r="D41" s="523" t="s">
        <v>132</v>
      </c>
      <c r="E41" s="510">
        <f>'9'!F41</f>
        <v>161259.16</v>
      </c>
      <c r="F41" s="1037">
        <v>161910.42000000001</v>
      </c>
      <c r="G41" s="473">
        <f>F41-E41</f>
        <v>651.26000000000931</v>
      </c>
      <c r="H41" s="460">
        <f>G41+'9'!H41</f>
        <v>28769.420000000013</v>
      </c>
      <c r="I41" s="455"/>
      <c r="J41" s="552">
        <f>H41/DAY(B2)</f>
        <v>2876.9420000000014</v>
      </c>
      <c r="K41" s="428"/>
      <c r="L41" s="377"/>
      <c r="N41" s="716"/>
    </row>
    <row r="42" spans="1:14">
      <c r="A42" s="578" t="s">
        <v>171</v>
      </c>
      <c r="B42" s="579"/>
      <c r="C42" s="579"/>
      <c r="D42" s="523" t="s">
        <v>132</v>
      </c>
      <c r="E42" s="510">
        <f>'9'!F42</f>
        <v>59128.160000000003</v>
      </c>
      <c r="F42" s="1037">
        <v>59128</v>
      </c>
      <c r="G42" s="473">
        <f t="shared" si="3"/>
        <v>-0.16000000000349246</v>
      </c>
      <c r="H42" s="460">
        <f>G42+'9'!H42</f>
        <v>-0.16000000000349246</v>
      </c>
      <c r="I42" s="455"/>
      <c r="J42" s="552">
        <f>H42/DAY(B2)</f>
        <v>-1.6000000000349245E-2</v>
      </c>
      <c r="K42" s="428"/>
      <c r="L42" s="377"/>
      <c r="N42" s="716"/>
    </row>
    <row r="43" spans="1:14">
      <c r="A43" s="578" t="s">
        <v>172</v>
      </c>
      <c r="B43" s="579"/>
      <c r="C43" s="579"/>
      <c r="D43" s="523" t="s">
        <v>132</v>
      </c>
      <c r="E43" s="510">
        <f>'9'!F43</f>
        <v>924553.19</v>
      </c>
      <c r="F43" s="1037">
        <v>927033.05</v>
      </c>
      <c r="G43" s="473">
        <f t="shared" si="3"/>
        <v>2479.8600000001024</v>
      </c>
      <c r="H43" s="460">
        <f>G43+'9'!H43</f>
        <v>24985.050000000047</v>
      </c>
      <c r="I43" s="455"/>
      <c r="J43" s="552">
        <f>H43/DAY(B2)</f>
        <v>2498.5050000000047</v>
      </c>
      <c r="K43" s="428"/>
      <c r="L43" s="377"/>
      <c r="N43" s="716"/>
    </row>
    <row r="44" spans="1:14">
      <c r="A44" s="578" t="s">
        <v>173</v>
      </c>
      <c r="B44" s="579"/>
      <c r="C44" s="579"/>
      <c r="D44" s="523" t="s">
        <v>132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2">
        <f>H44/DAY(B2)</f>
        <v>0</v>
      </c>
      <c r="K44" s="428"/>
      <c r="L44" s="377"/>
      <c r="N44" s="716"/>
    </row>
    <row r="45" spans="1:14">
      <c r="A45" s="578" t="s">
        <v>174</v>
      </c>
      <c r="B45" s="579"/>
      <c r="C45" s="579"/>
      <c r="D45" s="523" t="s">
        <v>132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614</v>
      </c>
      <c r="I45" s="455"/>
      <c r="J45" s="552">
        <f>H45/DAY(B2)</f>
        <v>61.4</v>
      </c>
      <c r="K45" s="428"/>
      <c r="L45" s="377"/>
      <c r="N45" s="716"/>
    </row>
    <row r="46" spans="1:14">
      <c r="A46" s="578" t="s">
        <v>175</v>
      </c>
      <c r="B46" s="579"/>
      <c r="C46" s="579"/>
      <c r="D46" s="523" t="s">
        <v>132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187</v>
      </c>
      <c r="I46" s="455"/>
      <c r="J46" s="552">
        <f>H46/DAY(B2)</f>
        <v>18.7</v>
      </c>
      <c r="K46" s="428"/>
      <c r="L46" s="377"/>
      <c r="N46" s="716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13327.720000000103</v>
      </c>
      <c r="H47" s="460">
        <f>G47+'9'!H47</f>
        <v>164894.17000000004</v>
      </c>
      <c r="I47" s="455"/>
      <c r="J47" s="552">
        <f>H47/DAY(B2)</f>
        <v>16489.417000000005</v>
      </c>
      <c r="K47" s="428"/>
      <c r="L47" s="377"/>
      <c r="N47" s="716"/>
    </row>
    <row r="48" spans="1:14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716"/>
    </row>
    <row r="49" spans="1:14">
      <c r="A49" s="578" t="s">
        <v>164</v>
      </c>
      <c r="B49" s="601"/>
      <c r="C49" s="601"/>
      <c r="D49" s="523" t="s">
        <v>132</v>
      </c>
      <c r="E49" s="510">
        <f>'9'!F49</f>
        <v>260732.13</v>
      </c>
      <c r="F49" s="510">
        <v>260732.13</v>
      </c>
      <c r="G49" s="473">
        <f t="shared" ref="G49:G58" si="4">F49-E49</f>
        <v>0</v>
      </c>
      <c r="H49" s="460">
        <f>G49+'9'!H49</f>
        <v>0.13000000000465661</v>
      </c>
      <c r="I49" s="455"/>
      <c r="J49" s="552">
        <f>H49/DAY(B2)</f>
        <v>1.3000000000465662E-2</v>
      </c>
      <c r="K49" s="428"/>
      <c r="L49" s="377"/>
      <c r="N49" s="716"/>
    </row>
    <row r="50" spans="1:14">
      <c r="A50" s="578" t="s">
        <v>178</v>
      </c>
      <c r="B50" s="601"/>
      <c r="C50" s="601"/>
      <c r="D50" s="523" t="s">
        <v>132</v>
      </c>
      <c r="E50" s="510">
        <f>'9'!F50</f>
        <v>451368.91</v>
      </c>
      <c r="F50" s="1037">
        <v>452410.95</v>
      </c>
      <c r="G50" s="473">
        <f t="shared" si="4"/>
        <v>1042.0400000000373</v>
      </c>
      <c r="H50" s="460">
        <f>G50+'9'!H50</f>
        <v>11178.950000000012</v>
      </c>
      <c r="I50" s="455"/>
      <c r="J50" s="552">
        <f>H50/DAY(B2)</f>
        <v>1117.8950000000011</v>
      </c>
      <c r="K50" s="428"/>
      <c r="L50" s="377"/>
      <c r="N50" s="716"/>
    </row>
    <row r="51" spans="1:14">
      <c r="A51" s="578" t="s">
        <v>166</v>
      </c>
      <c r="B51" s="601"/>
      <c r="C51" s="601"/>
      <c r="D51" s="523" t="s">
        <v>132</v>
      </c>
      <c r="E51" s="510">
        <f>'9'!F51</f>
        <v>144639.87</v>
      </c>
      <c r="F51" s="510">
        <v>144639.87</v>
      </c>
      <c r="G51" s="473">
        <f t="shared" si="4"/>
        <v>0</v>
      </c>
      <c r="H51" s="460">
        <f>G51+'9'!H51</f>
        <v>-0.13000000000465661</v>
      </c>
      <c r="I51" s="455"/>
      <c r="J51" s="552">
        <f>H51/DAY(B2)</f>
        <v>-1.3000000000465662E-2</v>
      </c>
      <c r="K51" s="428"/>
      <c r="L51" s="377"/>
      <c r="N51" s="716"/>
    </row>
    <row r="52" spans="1:14">
      <c r="A52" s="578" t="s">
        <v>179</v>
      </c>
      <c r="B52" s="601"/>
      <c r="C52" s="601"/>
      <c r="D52" s="523" t="s">
        <v>132</v>
      </c>
      <c r="E52" s="510">
        <f>'9'!F52</f>
        <v>539606.06999999995</v>
      </c>
      <c r="F52" s="510">
        <v>539606.06999999995</v>
      </c>
      <c r="G52" s="473">
        <f t="shared" si="4"/>
        <v>0</v>
      </c>
      <c r="H52" s="460">
        <f>G52+'9'!H52</f>
        <v>-1.9300000000512227</v>
      </c>
      <c r="I52" s="455"/>
      <c r="J52" s="552">
        <f>H52/DAY(B2)</f>
        <v>-0.19300000000512227</v>
      </c>
      <c r="K52" s="428"/>
      <c r="L52" s="377"/>
      <c r="N52" s="716"/>
    </row>
    <row r="53" spans="1:14">
      <c r="A53" s="578" t="s">
        <v>168</v>
      </c>
      <c r="B53" s="601"/>
      <c r="C53" s="601"/>
      <c r="D53" s="523" t="s">
        <v>132</v>
      </c>
      <c r="E53" s="510">
        <f>'9'!F53</f>
        <v>404381.15</v>
      </c>
      <c r="F53" s="510">
        <v>404950.95</v>
      </c>
      <c r="G53" s="473">
        <f t="shared" si="4"/>
        <v>569.79999999998836</v>
      </c>
      <c r="H53" s="460">
        <f>G53+'9'!H53</f>
        <v>3686.9500000000116</v>
      </c>
      <c r="I53" s="455"/>
      <c r="J53" s="552">
        <f>H53/DAY(B2)</f>
        <v>368.69500000000119</v>
      </c>
      <c r="K53" s="428"/>
      <c r="L53" s="377"/>
      <c r="N53" s="716"/>
    </row>
    <row r="54" spans="1:14">
      <c r="A54" s="578" t="s">
        <v>180</v>
      </c>
      <c r="B54" s="601"/>
      <c r="C54" s="601"/>
      <c r="D54" s="523" t="s">
        <v>132</v>
      </c>
      <c r="E54" s="510">
        <f>'9'!F54</f>
        <v>9812.58</v>
      </c>
      <c r="F54" s="510">
        <v>9880.59</v>
      </c>
      <c r="G54" s="473">
        <f t="shared" si="4"/>
        <v>68.010000000000218</v>
      </c>
      <c r="H54" s="460">
        <f>G54+'9'!H54</f>
        <v>3723.630000000001</v>
      </c>
      <c r="I54" s="455"/>
      <c r="J54" s="552">
        <f>H54/DAY(B2)</f>
        <v>372.36300000000011</v>
      </c>
      <c r="K54" s="428"/>
      <c r="L54" s="377"/>
      <c r="N54" s="716"/>
    </row>
    <row r="55" spans="1:14">
      <c r="A55" s="578" t="s">
        <v>181</v>
      </c>
      <c r="B55" s="601"/>
      <c r="C55" s="601"/>
      <c r="D55" s="523" t="s">
        <v>132</v>
      </c>
      <c r="E55" s="510">
        <f>'9'!F55</f>
        <v>243121.93</v>
      </c>
      <c r="F55" s="656">
        <v>248478.13</v>
      </c>
      <c r="G55" s="655">
        <f t="shared" si="4"/>
        <v>5356.2000000000116</v>
      </c>
      <c r="H55" s="708">
        <f>G55+'9'!H55</f>
        <v>32381.130000000005</v>
      </c>
      <c r="I55" s="709"/>
      <c r="J55" s="710">
        <f>H55/DAY(B2)</f>
        <v>3238.1130000000003</v>
      </c>
      <c r="K55" s="428"/>
      <c r="L55" s="377"/>
      <c r="N55" s="716"/>
    </row>
    <row r="56" spans="1:14">
      <c r="A56" s="578" t="s">
        <v>182</v>
      </c>
      <c r="B56" s="601"/>
      <c r="C56" s="601"/>
      <c r="D56" s="523" t="s">
        <v>183</v>
      </c>
      <c r="E56" s="510">
        <f>'9'!F56</f>
        <v>589058.51</v>
      </c>
      <c r="F56" s="656">
        <v>589067.67000000004</v>
      </c>
      <c r="G56" s="473">
        <f t="shared" si="4"/>
        <v>9.1600000000325963</v>
      </c>
      <c r="H56" s="460">
        <f>G56+'9'!H56</f>
        <v>100.67000000004191</v>
      </c>
      <c r="I56" s="455"/>
      <c r="J56" s="552">
        <f>H56/DAY(B2)</f>
        <v>10.067000000004191</v>
      </c>
      <c r="K56" s="427"/>
      <c r="L56" s="377"/>
      <c r="N56" s="716"/>
    </row>
    <row r="57" spans="1:14">
      <c r="A57" s="578" t="s">
        <v>172</v>
      </c>
      <c r="B57" s="601"/>
      <c r="C57" s="601"/>
      <c r="D57" s="523" t="s">
        <v>132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0</v>
      </c>
      <c r="I57" s="455"/>
      <c r="J57" s="552">
        <f>H57/DAY(B2)</f>
        <v>0</v>
      </c>
      <c r="K57" s="428"/>
      <c r="L57" s="377"/>
      <c r="N57" s="716"/>
    </row>
    <row r="58" spans="1:14">
      <c r="A58" s="578" t="s">
        <v>184</v>
      </c>
      <c r="B58" s="601"/>
      <c r="C58" s="601"/>
      <c r="D58" s="523" t="s">
        <v>132</v>
      </c>
      <c r="E58" s="510">
        <f>'9'!F58</f>
        <v>43304.06</v>
      </c>
      <c r="F58" s="656">
        <v>43458.400000000001</v>
      </c>
      <c r="G58" s="473">
        <f t="shared" si="4"/>
        <v>154.34000000000378</v>
      </c>
      <c r="H58" s="460">
        <f>G58+'9'!H58</f>
        <v>1911.4000000000015</v>
      </c>
      <c r="I58" s="455"/>
      <c r="J58" s="552">
        <f>H58/DAY(B2)</f>
        <v>191.14000000000016</v>
      </c>
      <c r="K58" s="428"/>
      <c r="L58" s="377"/>
      <c r="N58" s="716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7199.5500000000739</v>
      </c>
      <c r="H59" s="460">
        <f>G59+'9'!H59</f>
        <v>52980.800000000025</v>
      </c>
      <c r="I59" s="455">
        <f>G7-G60</f>
        <v>300.7299999998213</v>
      </c>
      <c r="J59" s="552">
        <f>H59/DAY(B2)</f>
        <v>5298.0800000000027</v>
      </c>
      <c r="K59" s="428"/>
      <c r="L59" s="377"/>
      <c r="N59" s="716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20527.270000000179</v>
      </c>
      <c r="H60" s="460">
        <f>G60+'9'!H60</f>
        <v>217874.97000000009</v>
      </c>
      <c r="I60" s="455">
        <f>G8-G60</f>
        <v>376.7299999998213</v>
      </c>
      <c r="J60" s="552">
        <f>H60/DAY(B2)</f>
        <v>21787.49700000001</v>
      </c>
      <c r="K60" s="428"/>
      <c r="L60" s="377"/>
      <c r="N60" s="716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6"/>
    </row>
    <row r="62" spans="1:14">
      <c r="A62" s="603" t="s">
        <v>98</v>
      </c>
      <c r="B62" s="604"/>
      <c r="C62" s="604"/>
      <c r="D62" s="511" t="s">
        <v>187</v>
      </c>
      <c r="E62" s="514">
        <f>'9'!F62</f>
        <v>20419</v>
      </c>
      <c r="F62" s="514">
        <v>20419</v>
      </c>
      <c r="G62" s="473">
        <f t="shared" ref="G62:G69" si="5">F62-E62</f>
        <v>0</v>
      </c>
      <c r="H62" s="460">
        <f>G62+'9'!H62</f>
        <v>1.9999999967694748E-3</v>
      </c>
      <c r="I62" s="515"/>
      <c r="J62" s="552">
        <f>H62/DAY(B2)</f>
        <v>1.9999999967694747E-4</v>
      </c>
      <c r="K62" s="428"/>
      <c r="L62" s="377"/>
      <c r="N62" s="716"/>
    </row>
    <row r="63" spans="1:14">
      <c r="A63" s="603" t="s">
        <v>188</v>
      </c>
      <c r="B63" s="604"/>
      <c r="C63" s="604"/>
      <c r="D63" s="511" t="s">
        <v>187</v>
      </c>
      <c r="E63" s="514">
        <f>'9'!F63</f>
        <v>2200.6799999999998</v>
      </c>
      <c r="F63" s="514">
        <v>2212.16</v>
      </c>
      <c r="G63" s="473">
        <f t="shared" si="5"/>
        <v>11.480000000000018</v>
      </c>
      <c r="H63" s="460">
        <f>G63+'9'!H63</f>
        <v>116.15999999999985</v>
      </c>
      <c r="I63" s="515"/>
      <c r="J63" s="552">
        <f>H63/DAY(B2)</f>
        <v>11.615999999999985</v>
      </c>
      <c r="K63" s="428"/>
      <c r="L63" s="377"/>
      <c r="N63" s="716"/>
    </row>
    <row r="64" spans="1:14" ht="27.75">
      <c r="A64" s="1499" t="s">
        <v>99</v>
      </c>
      <c r="B64" s="1500"/>
      <c r="C64" s="1501"/>
      <c r="D64" s="523" t="s">
        <v>187</v>
      </c>
      <c r="E64" s="514">
        <f>'9'!F64</f>
        <v>143380.39000000001</v>
      </c>
      <c r="F64" s="478">
        <v>143854.65</v>
      </c>
      <c r="G64" s="473">
        <f t="shared" si="5"/>
        <v>474.25999999998021</v>
      </c>
      <c r="H64" s="460">
        <f>G64+'9'!H64</f>
        <v>4674.6499999999942</v>
      </c>
      <c r="I64" s="480"/>
      <c r="J64" s="552">
        <f>H64/DAY(B2)</f>
        <v>467.46499999999941</v>
      </c>
      <c r="K64" s="428"/>
      <c r="L64" s="377"/>
      <c r="N64" s="716"/>
    </row>
    <row r="65" spans="1:14" ht="27.75">
      <c r="A65" s="1499" t="s">
        <v>100</v>
      </c>
      <c r="B65" s="1500"/>
      <c r="C65" s="1501"/>
      <c r="D65" s="523" t="s">
        <v>187</v>
      </c>
      <c r="E65" s="514">
        <f>'9'!F65</f>
        <v>147456.95999999999</v>
      </c>
      <c r="F65" s="654">
        <v>147807.49</v>
      </c>
      <c r="G65" s="473">
        <f t="shared" si="5"/>
        <v>350.52999999999884</v>
      </c>
      <c r="H65" s="460">
        <f>G65+'9'!H65</f>
        <v>3602.4899999999907</v>
      </c>
      <c r="I65" s="489"/>
      <c r="J65" s="552">
        <f>H65/DAY(B2)</f>
        <v>360.24899999999906</v>
      </c>
      <c r="K65" s="428"/>
      <c r="L65" s="377"/>
      <c r="N65" s="716"/>
    </row>
    <row r="66" spans="1:14" ht="27.75">
      <c r="A66" s="1499" t="s">
        <v>101</v>
      </c>
      <c r="B66" s="1500"/>
      <c r="C66" s="1501"/>
      <c r="D66" s="523" t="s">
        <v>187</v>
      </c>
      <c r="E66" s="514">
        <f>'9'!F66</f>
        <v>40746.57</v>
      </c>
      <c r="F66" s="478">
        <v>41106.910000000003</v>
      </c>
      <c r="G66" s="473">
        <f t="shared" si="5"/>
        <v>360.34000000000378</v>
      </c>
      <c r="H66" s="460">
        <f>G66+'9'!H66</f>
        <v>3898.9100000000035</v>
      </c>
      <c r="I66" s="480"/>
      <c r="J66" s="552">
        <f>H66/DAY(B2)</f>
        <v>389.89100000000036</v>
      </c>
      <c r="K66" s="428"/>
      <c r="L66" s="377"/>
      <c r="N66" s="716"/>
    </row>
    <row r="67" spans="1:14" ht="27.75">
      <c r="A67" s="1499" t="s">
        <v>102</v>
      </c>
      <c r="B67" s="1500"/>
      <c r="C67" s="1501"/>
      <c r="D67" s="523" t="s">
        <v>187</v>
      </c>
      <c r="E67" s="514">
        <f>'9'!F67</f>
        <v>234676.77</v>
      </c>
      <c r="F67" s="478">
        <v>235174.85</v>
      </c>
      <c r="G67" s="473">
        <f t="shared" si="5"/>
        <v>498.0800000000163</v>
      </c>
      <c r="H67" s="460">
        <f>G67+'9'!H67</f>
        <v>6074.8500000000058</v>
      </c>
      <c r="I67" s="489"/>
      <c r="J67" s="552">
        <f>H67/DAY(B2)</f>
        <v>607.48500000000058</v>
      </c>
      <c r="K67" s="429"/>
      <c r="L67" s="377"/>
      <c r="N67" s="716"/>
    </row>
    <row r="68" spans="1:14" ht="27.75">
      <c r="A68" s="1499" t="s">
        <v>103</v>
      </c>
      <c r="B68" s="1500"/>
      <c r="C68" s="1501"/>
      <c r="D68" s="523" t="s">
        <v>187</v>
      </c>
      <c r="E68" s="514">
        <f>'9'!F68</f>
        <v>85321</v>
      </c>
      <c r="F68" s="478">
        <v>85321</v>
      </c>
      <c r="G68" s="473">
        <f t="shared" si="5"/>
        <v>0</v>
      </c>
      <c r="H68" s="460">
        <f>G68+'9'!H68</f>
        <v>2234</v>
      </c>
      <c r="I68" s="516"/>
      <c r="J68" s="552">
        <f>H68/DAY(B2)</f>
        <v>223.4</v>
      </c>
      <c r="K68" s="430"/>
      <c r="L68" s="377"/>
      <c r="N68" s="716"/>
    </row>
    <row r="69" spans="1:14" ht="27.75">
      <c r="A69" s="1499" t="s">
        <v>104</v>
      </c>
      <c r="B69" s="1500"/>
      <c r="C69" s="1501"/>
      <c r="D69" s="523" t="s">
        <v>187</v>
      </c>
      <c r="E69" s="514">
        <f>'9'!F69</f>
        <v>77058.52</v>
      </c>
      <c r="F69" s="478">
        <v>77383.75</v>
      </c>
      <c r="G69" s="473">
        <f t="shared" si="5"/>
        <v>325.22999999999593</v>
      </c>
      <c r="H69" s="460">
        <f>G69+'9'!H69</f>
        <v>3054.75</v>
      </c>
      <c r="I69" s="516"/>
      <c r="J69" s="552">
        <f>H69/DAY(B2)</f>
        <v>305.47500000000002</v>
      </c>
      <c r="K69" s="431"/>
      <c r="L69" s="377"/>
      <c r="N69" s="716"/>
    </row>
    <row r="70" spans="1:14" ht="27.75">
      <c r="A70" s="1505" t="s">
        <v>189</v>
      </c>
      <c r="B70" s="1506"/>
      <c r="C70" s="1507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16"/>
    </row>
    <row r="71" spans="1:14" ht="31.5">
      <c r="A71" s="1502" t="s">
        <v>190</v>
      </c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  <c r="N71" s="716"/>
    </row>
    <row r="72" spans="1:14" ht="27.75">
      <c r="A72" s="1499" t="s">
        <v>191</v>
      </c>
      <c r="B72" s="1500"/>
      <c r="C72" s="1501"/>
      <c r="D72" s="523" t="s">
        <v>187</v>
      </c>
      <c r="E72" s="519">
        <f>'9'!F72</f>
        <v>854069</v>
      </c>
      <c r="F72" s="657">
        <v>854160</v>
      </c>
      <c r="G72" s="473">
        <f t="shared" ref="G72:G84" si="6">F72-E72</f>
        <v>91</v>
      </c>
      <c r="H72" s="460">
        <f>G72+'9'!H72</f>
        <v>981</v>
      </c>
      <c r="I72" s="480"/>
      <c r="J72" s="552">
        <f>H72/DAY(B2)</f>
        <v>98.1</v>
      </c>
      <c r="K72" s="431"/>
      <c r="L72" s="377"/>
      <c r="N72" s="716"/>
    </row>
    <row r="73" spans="1:14" ht="27.75">
      <c r="A73" s="1499" t="s">
        <v>192</v>
      </c>
      <c r="B73" s="1500"/>
      <c r="C73" s="1501"/>
      <c r="D73" s="523" t="s">
        <v>187</v>
      </c>
      <c r="E73" s="519">
        <f>'9'!F73</f>
        <v>885813</v>
      </c>
      <c r="F73" s="658">
        <v>885815</v>
      </c>
      <c r="G73" s="655">
        <f t="shared" si="6"/>
        <v>2</v>
      </c>
      <c r="H73" s="460">
        <f>G73+'9'!H73</f>
        <v>15</v>
      </c>
      <c r="I73" s="480"/>
      <c r="J73" s="552">
        <f>H73/DAY(B2)</f>
        <v>1.5</v>
      </c>
      <c r="K73" s="430"/>
      <c r="L73" s="377"/>
      <c r="N73" s="716"/>
    </row>
    <row r="74" spans="1:14" ht="27.75">
      <c r="A74" s="1499" t="s">
        <v>193</v>
      </c>
      <c r="B74" s="1500"/>
      <c r="C74" s="1501"/>
      <c r="D74" s="523" t="s">
        <v>187</v>
      </c>
      <c r="E74" s="519">
        <f>'9'!F74</f>
        <v>1614</v>
      </c>
      <c r="F74" s="657">
        <v>1647.02</v>
      </c>
      <c r="G74" s="473">
        <f t="shared" si="6"/>
        <v>33.019999999999982</v>
      </c>
      <c r="H74" s="460">
        <f>G74+'9'!H74</f>
        <v>277.02</v>
      </c>
      <c r="I74" s="480"/>
      <c r="J74" s="552">
        <f>H74/DAY(B2)</f>
        <v>27.701999999999998</v>
      </c>
      <c r="K74" s="431"/>
      <c r="L74" s="377"/>
      <c r="N74" s="716"/>
    </row>
    <row r="75" spans="1:14" ht="27.75">
      <c r="A75" s="1496" t="s">
        <v>194</v>
      </c>
      <c r="B75" s="1497"/>
      <c r="C75" s="1498"/>
      <c r="D75" s="523" t="s">
        <v>187</v>
      </c>
      <c r="E75" s="519">
        <f>'9'!F75</f>
        <v>9693.25</v>
      </c>
      <c r="F75" s="658">
        <v>9756.65</v>
      </c>
      <c r="G75" s="473">
        <f t="shared" si="6"/>
        <v>63.399999999999636</v>
      </c>
      <c r="H75" s="460">
        <f>G75+'9'!H75</f>
        <v>1076.6499999999996</v>
      </c>
      <c r="I75" s="480"/>
      <c r="J75" s="552">
        <f>H75/DAY(B2)</f>
        <v>107.66499999999996</v>
      </c>
      <c r="K75" s="430"/>
      <c r="L75" s="377"/>
      <c r="N75" s="716"/>
    </row>
    <row r="76" spans="1:14" ht="27.75">
      <c r="A76" s="1496" t="s">
        <v>195</v>
      </c>
      <c r="B76" s="1497"/>
      <c r="C76" s="1498"/>
      <c r="D76" s="523" t="s">
        <v>187</v>
      </c>
      <c r="E76" s="519">
        <f>'9'!F76</f>
        <v>4629.49</v>
      </c>
      <c r="F76" s="658">
        <v>4700.09</v>
      </c>
      <c r="G76" s="473">
        <f t="shared" si="6"/>
        <v>70.600000000000364</v>
      </c>
      <c r="H76" s="460">
        <f>G76+'9'!H76</f>
        <v>663.09000000000015</v>
      </c>
      <c r="I76" s="505"/>
      <c r="J76" s="552">
        <f>H76/DAY(B2)</f>
        <v>66.309000000000012</v>
      </c>
      <c r="K76" s="430"/>
      <c r="L76" s="377"/>
      <c r="N76" s="716"/>
    </row>
    <row r="77" spans="1:14" ht="27.75">
      <c r="A77" s="1499" t="s">
        <v>196</v>
      </c>
      <c r="B77" s="1500"/>
      <c r="C77" s="1501"/>
      <c r="D77" s="523" t="s">
        <v>187</v>
      </c>
      <c r="E77" s="519">
        <f>'9'!F77</f>
        <v>700630</v>
      </c>
      <c r="F77" s="658">
        <v>700673</v>
      </c>
      <c r="G77" s="655">
        <f t="shared" si="6"/>
        <v>43</v>
      </c>
      <c r="H77" s="460">
        <f>G77+'9'!H77</f>
        <v>459</v>
      </c>
      <c r="I77" s="505"/>
      <c r="J77" s="552">
        <f>H77/DAY(B2)</f>
        <v>45.9</v>
      </c>
      <c r="K77" s="430"/>
      <c r="L77" s="377"/>
      <c r="N77" s="716"/>
    </row>
    <row r="78" spans="1:14" ht="27.75">
      <c r="A78" s="1147" t="s">
        <v>197</v>
      </c>
      <c r="B78" s="1120"/>
      <c r="C78" s="1120"/>
      <c r="D78" s="523" t="s">
        <v>187</v>
      </c>
      <c r="E78" s="519">
        <f>'9'!F78</f>
        <v>668281</v>
      </c>
      <c r="F78" s="659">
        <v>668477</v>
      </c>
      <c r="G78" s="473">
        <f t="shared" si="6"/>
        <v>196</v>
      </c>
      <c r="H78" s="460">
        <f>G78+'9'!H78</f>
        <v>3097</v>
      </c>
      <c r="I78" s="505"/>
      <c r="J78" s="552">
        <f>H78/DAY(B2)</f>
        <v>309.7</v>
      </c>
      <c r="K78" s="430"/>
      <c r="L78" s="377"/>
      <c r="N78" s="716"/>
    </row>
    <row r="79" spans="1:14" ht="27.75">
      <c r="A79" s="1496" t="s">
        <v>92</v>
      </c>
      <c r="B79" s="1497"/>
      <c r="C79" s="1498"/>
      <c r="D79" s="524" t="s">
        <v>187</v>
      </c>
      <c r="E79" s="519">
        <f>'9'!F79</f>
        <v>822891</v>
      </c>
      <c r="F79" s="659">
        <v>823078</v>
      </c>
      <c r="G79" s="473">
        <f t="shared" si="6"/>
        <v>187</v>
      </c>
      <c r="H79" s="460">
        <f>G79+'9'!H79</f>
        <v>1865</v>
      </c>
      <c r="I79" s="505"/>
      <c r="J79" s="552">
        <f>H79/DAY(B2)</f>
        <v>186.5</v>
      </c>
      <c r="K79" s="430"/>
      <c r="L79" s="377"/>
      <c r="N79" s="716"/>
    </row>
    <row r="80" spans="1:14" ht="27.75">
      <c r="A80" s="1496" t="s">
        <v>198</v>
      </c>
      <c r="B80" s="1497"/>
      <c r="C80" s="1498"/>
      <c r="D80" s="524" t="s">
        <v>187</v>
      </c>
      <c r="E80" s="519">
        <f>'9'!F80</f>
        <v>508850.52</v>
      </c>
      <c r="F80" s="658">
        <v>509203.96</v>
      </c>
      <c r="G80" s="473">
        <f>F80-E80</f>
        <v>353.44000000000233</v>
      </c>
      <c r="H80" s="460">
        <f>G80+'9'!H80</f>
        <v>3504.960000000021</v>
      </c>
      <c r="I80" s="505"/>
      <c r="J80" s="552">
        <f>H80/DAY(B2)</f>
        <v>350.49600000000208</v>
      </c>
      <c r="K80" s="430"/>
      <c r="L80" s="377"/>
      <c r="N80" s="716"/>
    </row>
    <row r="81" spans="1:15" ht="27.75">
      <c r="A81" s="1496" t="s">
        <v>199</v>
      </c>
      <c r="B81" s="1497"/>
      <c r="C81" s="1498"/>
      <c r="D81" s="524" t="s">
        <v>187</v>
      </c>
      <c r="E81" s="519">
        <f>'9'!F81</f>
        <v>632520.12</v>
      </c>
      <c r="F81" s="658">
        <v>632749.31999999995</v>
      </c>
      <c r="G81" s="473">
        <f t="shared" si="6"/>
        <v>229.19999999995343</v>
      </c>
      <c r="H81" s="460">
        <f>G81+'9'!H81</f>
        <v>2564.3199999999488</v>
      </c>
      <c r="I81" s="505"/>
      <c r="J81" s="552">
        <f>H81/DAY(B2)</f>
        <v>256.4319999999949</v>
      </c>
      <c r="K81" s="430"/>
      <c r="L81" s="377"/>
      <c r="N81" s="716"/>
    </row>
    <row r="82" spans="1:15" ht="27.75">
      <c r="A82" s="1496" t="s">
        <v>93</v>
      </c>
      <c r="B82" s="1497"/>
      <c r="C82" s="1498"/>
      <c r="D82" s="485" t="s">
        <v>132</v>
      </c>
      <c r="E82" s="519">
        <f>'9'!F82</f>
        <v>107110.37</v>
      </c>
      <c r="F82" s="654">
        <v>107132.35</v>
      </c>
      <c r="G82" s="473">
        <f t="shared" si="6"/>
        <v>21.980000000010477</v>
      </c>
      <c r="H82" s="460">
        <f>G82+'9'!H82</f>
        <v>237.35000000000582</v>
      </c>
      <c r="I82" s="486"/>
      <c r="J82" s="552">
        <f>H82/DAY(B2)</f>
        <v>23.735000000000582</v>
      </c>
      <c r="K82" s="430"/>
      <c r="L82" s="377"/>
      <c r="N82" s="716"/>
    </row>
    <row r="83" spans="1:15" ht="27.75">
      <c r="A83" s="1496" t="s">
        <v>200</v>
      </c>
      <c r="B83" s="1497"/>
      <c r="C83" s="1498"/>
      <c r="D83" s="620" t="s">
        <v>132</v>
      </c>
      <c r="E83" s="519">
        <f>'9'!F83</f>
        <v>9430</v>
      </c>
      <c r="F83" s="511">
        <v>9718</v>
      </c>
      <c r="G83" s="473">
        <f t="shared" si="6"/>
        <v>288</v>
      </c>
      <c r="H83" s="460">
        <f>G83+'9'!H83</f>
        <v>2661</v>
      </c>
      <c r="I83" s="481"/>
      <c r="J83" s="552">
        <f>H83/DAY(B2)</f>
        <v>266.10000000000002</v>
      </c>
      <c r="K83" s="429"/>
      <c r="L83" s="377"/>
      <c r="N83" s="716"/>
    </row>
    <row r="84" spans="1:15">
      <c r="A84" s="1148" t="s">
        <v>201</v>
      </c>
      <c r="B84" s="571"/>
      <c r="C84" s="571"/>
      <c r="D84" s="478" t="s">
        <v>132</v>
      </c>
      <c r="E84" s="519">
        <f>'9'!F84</f>
        <v>463205</v>
      </c>
      <c r="F84" s="627">
        <v>464196</v>
      </c>
      <c r="G84" s="473">
        <f t="shared" si="6"/>
        <v>991</v>
      </c>
      <c r="H84" s="460">
        <f>G84+'9'!H84</f>
        <v>9512</v>
      </c>
      <c r="I84" s="481"/>
      <c r="J84" s="552">
        <f>H84/DAY(B2)</f>
        <v>951.2</v>
      </c>
      <c r="K84" s="380"/>
      <c r="L84" s="377"/>
      <c r="N84" s="716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2569.6399999999662</v>
      </c>
      <c r="H85" s="460">
        <f>G85+'9'!H85</f>
        <v>26913.389999999974</v>
      </c>
      <c r="I85" s="481"/>
      <c r="J85" s="552">
        <f>H85/DAY(B2)</f>
        <v>2691.3389999999972</v>
      </c>
      <c r="K85" s="380"/>
      <c r="L85" s="378"/>
      <c r="N85" s="716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'9'!F86</f>
        <v>456173.48</v>
      </c>
      <c r="F86" s="650">
        <v>456336.24</v>
      </c>
      <c r="G86" s="708">
        <f t="shared" ref="G86:G90" si="7">F86-E86</f>
        <v>162.76000000000931</v>
      </c>
      <c r="H86" s="460">
        <f>G86+'9'!H86</f>
        <v>480.23999999999069</v>
      </c>
      <c r="I86" s="655"/>
      <c r="J86" s="710">
        <f>H86/DAY(B2)</f>
        <v>48.02399999999907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'9'!F87</f>
        <v>80463.399999999994</v>
      </c>
      <c r="F87" s="650">
        <v>80485.399999999994</v>
      </c>
      <c r="G87" s="708">
        <f t="shared" si="7"/>
        <v>22</v>
      </c>
      <c r="H87" s="460">
        <f>G87+'9'!H87</f>
        <v>91.399999999994179</v>
      </c>
      <c r="I87" s="655"/>
      <c r="J87" s="710">
        <f>H87/DAY(B2)</f>
        <v>9.1399999999994179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'9'!F88</f>
        <v>151125.01999999999</v>
      </c>
      <c r="F88" s="639">
        <v>151147.70000000001</v>
      </c>
      <c r="G88" s="708">
        <f t="shared" si="7"/>
        <v>22.680000000022119</v>
      </c>
      <c r="H88" s="460">
        <f>G88+'9'!H88</f>
        <v>143.70000000001164</v>
      </c>
      <c r="I88" s="655"/>
      <c r="J88" s="710">
        <f>H88/DAY(B2)</f>
        <v>14.370000000001165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'9'!F89</f>
        <v>63942.5</v>
      </c>
      <c r="F89" s="650">
        <v>63985.3</v>
      </c>
      <c r="G89" s="708">
        <f t="shared" si="7"/>
        <v>42.80000000000291</v>
      </c>
      <c r="H89" s="460">
        <f>G89+'9'!H89</f>
        <v>129.30000000000291</v>
      </c>
      <c r="I89" s="655"/>
      <c r="J89" s="710">
        <f>H89/DAY(B2)</f>
        <v>12.930000000000291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'9'!F90</f>
        <v>3271.7</v>
      </c>
      <c r="F90" s="650">
        <v>3271.8</v>
      </c>
      <c r="G90" s="708">
        <f t="shared" si="7"/>
        <v>0.1000000000003638</v>
      </c>
      <c r="H90" s="460">
        <f>G90+'9'!H90</f>
        <v>-0.1999999999998181</v>
      </c>
      <c r="I90" s="655"/>
      <c r="J90" s="710">
        <f>H90/DAY(B2)</f>
        <v>-1.999999999998181E-2</v>
      </c>
      <c r="K90" s="736"/>
      <c r="L90" s="737"/>
      <c r="N90" s="781"/>
      <c r="O90" s="382"/>
    </row>
    <row r="91" spans="1:15" s="379" customFormat="1">
      <c r="A91" s="606" t="s">
        <v>205</v>
      </c>
      <c r="B91" s="1150"/>
      <c r="C91" s="1150"/>
      <c r="D91" s="472"/>
      <c r="E91" s="472"/>
      <c r="F91" s="472"/>
      <c r="G91" s="488"/>
      <c r="H91" s="472"/>
      <c r="I91" s="472"/>
      <c r="J91" s="551"/>
      <c r="K91" s="380"/>
      <c r="L91" s="378"/>
      <c r="N91" s="716"/>
    </row>
    <row r="92" spans="1:15" ht="27.75">
      <c r="A92" s="1520" t="s">
        <v>206</v>
      </c>
      <c r="B92" s="1521"/>
      <c r="C92" s="1522"/>
      <c r="D92" s="523" t="s">
        <v>144</v>
      </c>
      <c r="E92" s="484">
        <f>'9'!F92</f>
        <v>243323</v>
      </c>
      <c r="F92" s="478">
        <v>243385</v>
      </c>
      <c r="G92" s="473">
        <f t="shared" ref="G92:G93" si="8">F92-E92</f>
        <v>62</v>
      </c>
      <c r="H92" s="460">
        <f>G92+'9'!H92</f>
        <v>739</v>
      </c>
      <c r="I92" s="480"/>
      <c r="J92" s="552">
        <f>H92/DAY(B2)</f>
        <v>73.900000000000006</v>
      </c>
      <c r="K92" s="429"/>
      <c r="L92" s="377"/>
      <c r="N92" s="716"/>
    </row>
    <row r="93" spans="1:15" ht="27.75">
      <c r="A93" s="1520" t="s">
        <v>207</v>
      </c>
      <c r="B93" s="1521"/>
      <c r="C93" s="1522"/>
      <c r="D93" s="523" t="s">
        <v>144</v>
      </c>
      <c r="E93" s="484">
        <f>'9'!F93</f>
        <v>181098</v>
      </c>
      <c r="F93" s="478">
        <v>181252</v>
      </c>
      <c r="G93" s="473">
        <f t="shared" si="8"/>
        <v>154</v>
      </c>
      <c r="H93" s="460">
        <f>G93+'9'!H93</f>
        <v>1573</v>
      </c>
      <c r="I93" s="480"/>
      <c r="J93" s="552">
        <f>H93/DAY(B2)</f>
        <v>157.30000000000001</v>
      </c>
      <c r="K93" s="380"/>
      <c r="L93" s="377"/>
      <c r="N93" s="716"/>
    </row>
    <row r="94" spans="1:15">
      <c r="A94" s="1548" t="s">
        <v>208</v>
      </c>
      <c r="B94" s="1549"/>
      <c r="C94" s="1550"/>
      <c r="D94" s="523"/>
      <c r="E94" s="484"/>
      <c r="F94" s="478"/>
      <c r="G94" s="473">
        <f>G92+G93</f>
        <v>216</v>
      </c>
      <c r="H94" s="460">
        <f>G94+'9'!H94</f>
        <v>2093</v>
      </c>
      <c r="I94" s="480"/>
      <c r="J94" s="552">
        <f>H94/DAY(B2)</f>
        <v>209.3</v>
      </c>
      <c r="K94" s="380"/>
      <c r="L94" s="377"/>
      <c r="N94" s="716"/>
    </row>
    <row r="95" spans="1:15" ht="27.75">
      <c r="A95" s="1520" t="s">
        <v>209</v>
      </c>
      <c r="B95" s="1521"/>
      <c r="C95" s="1522"/>
      <c r="D95" s="523" t="s">
        <v>144</v>
      </c>
      <c r="E95" s="484">
        <f>'9'!F95</f>
        <v>411460</v>
      </c>
      <c r="F95" s="478">
        <v>411529</v>
      </c>
      <c r="G95" s="473">
        <f t="shared" ref="G95:G100" si="9">F95-E95</f>
        <v>69</v>
      </c>
      <c r="H95" s="460">
        <f>G95+'9'!H95</f>
        <v>744</v>
      </c>
      <c r="I95" s="480"/>
      <c r="J95" s="552">
        <f>H95/DAY(B2)</f>
        <v>74.400000000000006</v>
      </c>
      <c r="K95" s="380"/>
      <c r="L95" s="377"/>
      <c r="N95" s="716"/>
    </row>
    <row r="96" spans="1:15" ht="27.75">
      <c r="A96" s="1144" t="s">
        <v>210</v>
      </c>
      <c r="B96" s="1145"/>
      <c r="C96" s="1145"/>
      <c r="D96" s="523" t="s">
        <v>144</v>
      </c>
      <c r="E96" s="484">
        <f>'9'!F96</f>
        <v>101988</v>
      </c>
      <c r="F96" s="478">
        <v>102003</v>
      </c>
      <c r="G96" s="473">
        <f t="shared" si="9"/>
        <v>15</v>
      </c>
      <c r="H96" s="460">
        <f>G96+'9'!H96</f>
        <v>172</v>
      </c>
      <c r="I96" s="480"/>
      <c r="J96" s="552">
        <f>H96/DAY(B2)</f>
        <v>17.2</v>
      </c>
      <c r="K96" s="427"/>
      <c r="L96" s="377"/>
      <c r="N96" s="716"/>
    </row>
    <row r="97" spans="1:14" ht="27.75">
      <c r="A97" s="1144" t="s">
        <v>211</v>
      </c>
      <c r="B97" s="1145"/>
      <c r="C97" s="1145"/>
      <c r="D97" s="523" t="s">
        <v>144</v>
      </c>
      <c r="E97" s="484">
        <f>'9'!F97</f>
        <v>97091</v>
      </c>
      <c r="F97" s="478">
        <v>97104</v>
      </c>
      <c r="G97" s="473">
        <f t="shared" si="9"/>
        <v>13</v>
      </c>
      <c r="H97" s="460">
        <f>G97+'9'!H97</f>
        <v>176</v>
      </c>
      <c r="I97" s="480"/>
      <c r="J97" s="552">
        <f>H97/DAY(B2)</f>
        <v>17.600000000000001</v>
      </c>
      <c r="K97" s="432"/>
      <c r="L97" s="377"/>
      <c r="N97" s="716"/>
    </row>
    <row r="98" spans="1:14" ht="27.75">
      <c r="A98" s="1144" t="s">
        <v>212</v>
      </c>
      <c r="B98" s="1145"/>
      <c r="C98" s="1145"/>
      <c r="D98" s="523" t="s">
        <v>144</v>
      </c>
      <c r="E98" s="484">
        <f>'9'!F98</f>
        <v>149245</v>
      </c>
      <c r="F98" s="478">
        <v>149295</v>
      </c>
      <c r="G98" s="473">
        <f t="shared" si="9"/>
        <v>50</v>
      </c>
      <c r="H98" s="460">
        <f>G98+'9'!H98</f>
        <v>386</v>
      </c>
      <c r="I98" s="480"/>
      <c r="J98" s="552">
        <f>H98/DAY(B2)</f>
        <v>38.6</v>
      </c>
      <c r="K98" s="380"/>
      <c r="L98" s="377"/>
      <c r="N98" s="718"/>
    </row>
    <row r="99" spans="1:14" ht="27.75">
      <c r="A99" s="1144" t="s">
        <v>213</v>
      </c>
      <c r="B99" s="1145"/>
      <c r="C99" s="1145"/>
      <c r="D99" s="523" t="s">
        <v>144</v>
      </c>
      <c r="E99" s="484">
        <f>'9'!F99</f>
        <v>6992</v>
      </c>
      <c r="F99" s="478">
        <v>6999</v>
      </c>
      <c r="G99" s="473">
        <f t="shared" si="9"/>
        <v>7</v>
      </c>
      <c r="H99" s="460">
        <f>G99+'9'!H99</f>
        <v>144</v>
      </c>
      <c r="I99" s="480"/>
      <c r="J99" s="552">
        <f>H99/DAY(B2)</f>
        <v>14.4</v>
      </c>
      <c r="K99" s="380"/>
      <c r="L99" s="377"/>
      <c r="N99" s="716"/>
    </row>
    <row r="100" spans="1:14" ht="27.75">
      <c r="A100" s="1144" t="s">
        <v>214</v>
      </c>
      <c r="B100" s="1145"/>
      <c r="C100" s="1145"/>
      <c r="D100" s="523" t="s">
        <v>144</v>
      </c>
      <c r="E100" s="484">
        <f>'9'!F100</f>
        <v>5002</v>
      </c>
      <c r="F100" s="478">
        <v>5007</v>
      </c>
      <c r="G100" s="473">
        <f t="shared" si="9"/>
        <v>5</v>
      </c>
      <c r="H100" s="460">
        <f>G100+'9'!H100</f>
        <v>64</v>
      </c>
      <c r="I100" s="480"/>
      <c r="J100" s="552">
        <f>H100/DAY(B2)</f>
        <v>6.4</v>
      </c>
      <c r="K100" s="380"/>
      <c r="L100" s="377"/>
      <c r="N100" s="716"/>
    </row>
    <row r="101" spans="1:14">
      <c r="A101" s="1548" t="s">
        <v>216</v>
      </c>
      <c r="B101" s="1549"/>
      <c r="C101" s="1550"/>
      <c r="D101" s="524"/>
      <c r="E101" s="484"/>
      <c r="F101" s="524"/>
      <c r="G101" s="525">
        <f>SUM(G95:G100)</f>
        <v>159</v>
      </c>
      <c r="H101" s="460">
        <f>G101+'9'!H101</f>
        <v>1686</v>
      </c>
      <c r="I101" s="526"/>
      <c r="J101" s="552">
        <f>H101/DAY(B2)</f>
        <v>168.6</v>
      </c>
      <c r="K101" s="380"/>
      <c r="L101" s="377"/>
      <c r="N101" s="716"/>
    </row>
    <row r="102" spans="1:14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16"/>
    </row>
    <row r="103" spans="1:14" s="442" customFormat="1" ht="27.75">
      <c r="A103" s="1551" t="s">
        <v>218</v>
      </c>
      <c r="B103" s="1552"/>
      <c r="C103" s="573"/>
      <c r="D103" s="622"/>
      <c r="E103" s="484"/>
      <c r="F103" s="661"/>
      <c r="G103" s="532"/>
      <c r="H103" s="533"/>
      <c r="I103" s="532"/>
      <c r="J103" s="558"/>
      <c r="N103" s="716"/>
    </row>
    <row r="104" spans="1:14" s="442" customFormat="1" ht="27.75">
      <c r="A104" s="1512" t="s">
        <v>219</v>
      </c>
      <c r="B104" s="1513"/>
      <c r="C104" s="1143"/>
      <c r="D104" s="622" t="s">
        <v>144</v>
      </c>
      <c r="E104" s="484">
        <f>'9'!F104</f>
        <v>7344</v>
      </c>
      <c r="F104" s="661">
        <v>7343</v>
      </c>
      <c r="G104" s="532">
        <v>8</v>
      </c>
      <c r="H104" s="460">
        <f>G104+'9'!H104</f>
        <v>27</v>
      </c>
      <c r="I104" s="532"/>
      <c r="J104" s="558">
        <f>H104/DAY(B2)</f>
        <v>2.7</v>
      </c>
      <c r="N104" s="716"/>
    </row>
    <row r="105" spans="1:14" s="442" customFormat="1" ht="27.75">
      <c r="A105" s="1512" t="s">
        <v>77</v>
      </c>
      <c r="B105" s="1513"/>
      <c r="C105" s="1143"/>
      <c r="D105" s="622" t="s">
        <v>144</v>
      </c>
      <c r="E105" s="484">
        <f>'9'!F105</f>
        <v>35711</v>
      </c>
      <c r="F105" s="662">
        <v>35715</v>
      </c>
      <c r="G105" s="532">
        <f t="shared" ref="G105:G106" si="10">F105-E105</f>
        <v>4</v>
      </c>
      <c r="H105" s="460">
        <f>G105+'9'!H105</f>
        <v>64</v>
      </c>
      <c r="I105" s="532"/>
      <c r="J105" s="558">
        <f>H105/DAY(B2)</f>
        <v>6.4</v>
      </c>
      <c r="N105" s="716"/>
    </row>
    <row r="106" spans="1:14" s="442" customFormat="1" ht="27.75">
      <c r="A106" s="1512" t="s">
        <v>78</v>
      </c>
      <c r="B106" s="1553"/>
      <c r="C106" s="1513"/>
      <c r="D106" s="622" t="s">
        <v>144</v>
      </c>
      <c r="E106" s="484">
        <f>'9'!F106</f>
        <v>19480</v>
      </c>
      <c r="F106" s="662">
        <v>19485</v>
      </c>
      <c r="G106" s="532">
        <f t="shared" si="10"/>
        <v>5</v>
      </c>
      <c r="H106" s="460">
        <f>G106+'9'!H106</f>
        <v>74</v>
      </c>
      <c r="I106" s="532"/>
      <c r="J106" s="558">
        <f>H106/DAY(B2)</f>
        <v>7.4</v>
      </c>
      <c r="N106" s="716"/>
    </row>
    <row r="107" spans="1:14" s="442" customFormat="1" ht="27.75">
      <c r="A107" s="1514" t="s">
        <v>202</v>
      </c>
      <c r="B107" s="1515"/>
      <c r="C107" s="1143"/>
      <c r="D107" s="622"/>
      <c r="E107" s="484"/>
      <c r="F107" s="662"/>
      <c r="G107" s="532">
        <f>SUM(G104:G106)</f>
        <v>17</v>
      </c>
      <c r="H107" s="460">
        <f>G107+'9'!H107</f>
        <v>165</v>
      </c>
      <c r="I107" s="532"/>
      <c r="J107" s="558">
        <f>H107/DAY(B2)</f>
        <v>16.5</v>
      </c>
      <c r="N107" s="716"/>
    </row>
    <row r="108" spans="1:14" s="442" customFormat="1" ht="27.75">
      <c r="A108" s="1518" t="s">
        <v>79</v>
      </c>
      <c r="B108" s="1519"/>
      <c r="C108" s="1143"/>
      <c r="D108" s="622" t="s">
        <v>144</v>
      </c>
      <c r="E108" s="484"/>
      <c r="F108" s="662"/>
      <c r="G108" s="532"/>
      <c r="H108" s="533"/>
      <c r="I108" s="532"/>
      <c r="J108" s="558"/>
      <c r="N108" s="716"/>
    </row>
    <row r="109" spans="1:14" s="442" customFormat="1" ht="27.75">
      <c r="A109" s="1512" t="s">
        <v>220</v>
      </c>
      <c r="B109" s="1513"/>
      <c r="C109" s="1143"/>
      <c r="D109" s="622" t="s">
        <v>144</v>
      </c>
      <c r="E109" s="484">
        <f>'9'!F109</f>
        <v>59650</v>
      </c>
      <c r="F109" s="662">
        <v>59712</v>
      </c>
      <c r="G109" s="532">
        <f>F109-E109</f>
        <v>62</v>
      </c>
      <c r="H109" s="460">
        <f>G109+'9'!H109</f>
        <v>839</v>
      </c>
      <c r="I109" s="532"/>
      <c r="J109" s="558">
        <f>H109/DAY(B2)</f>
        <v>83.9</v>
      </c>
      <c r="N109" s="716"/>
    </row>
    <row r="110" spans="1:14" s="442" customFormat="1" ht="27.75">
      <c r="A110" s="1512" t="s">
        <v>221</v>
      </c>
      <c r="B110" s="1513"/>
      <c r="C110" s="1143"/>
      <c r="D110" s="622" t="s">
        <v>144</v>
      </c>
      <c r="E110" s="484">
        <f>'9'!F110</f>
        <v>31940</v>
      </c>
      <c r="F110" s="662">
        <v>31991</v>
      </c>
      <c r="G110" s="532">
        <f t="shared" ref="G110:G111" si="11">F110-E110</f>
        <v>51</v>
      </c>
      <c r="H110" s="460">
        <f>G110+'9'!H110</f>
        <v>345</v>
      </c>
      <c r="I110" s="532"/>
      <c r="J110" s="558">
        <f>H110/DAY(B2)</f>
        <v>34.5</v>
      </c>
      <c r="N110" s="716"/>
    </row>
    <row r="111" spans="1:14" s="442" customFormat="1" ht="27.75">
      <c r="A111" s="1512" t="s">
        <v>222</v>
      </c>
      <c r="B111" s="1513"/>
      <c r="C111" s="1143"/>
      <c r="D111" s="622" t="s">
        <v>144</v>
      </c>
      <c r="E111" s="484">
        <f>'9'!F111</f>
        <v>4239</v>
      </c>
      <c r="F111" s="662">
        <v>4239</v>
      </c>
      <c r="G111" s="532">
        <f t="shared" si="11"/>
        <v>0</v>
      </c>
      <c r="H111" s="460">
        <f>G111+'9'!H111</f>
        <v>83</v>
      </c>
      <c r="I111" s="532"/>
      <c r="J111" s="558">
        <f>H111/DAY(B2)</f>
        <v>8.3000000000000007</v>
      </c>
      <c r="N111" s="716"/>
    </row>
    <row r="112" spans="1:14" s="442" customFormat="1" ht="27.75">
      <c r="A112" s="1514" t="s">
        <v>110</v>
      </c>
      <c r="B112" s="1515"/>
      <c r="C112" s="1143"/>
      <c r="D112" s="622"/>
      <c r="E112" s="484"/>
      <c r="F112" s="662"/>
      <c r="G112" s="532">
        <f>SUM(G109:G111)</f>
        <v>113</v>
      </c>
      <c r="H112" s="460">
        <f>G112+'9'!H112</f>
        <v>1267</v>
      </c>
      <c r="I112" s="532"/>
      <c r="J112" s="558">
        <f>H112/DAY(B2)</f>
        <v>126.7</v>
      </c>
      <c r="N112" s="716"/>
    </row>
    <row r="113" spans="1:14" s="442" customFormat="1" ht="27.75">
      <c r="A113" s="1518" t="s">
        <v>223</v>
      </c>
      <c r="B113" s="1519"/>
      <c r="C113" s="1143"/>
      <c r="D113" s="622"/>
      <c r="E113" s="484"/>
      <c r="F113" s="662"/>
      <c r="G113" s="532"/>
      <c r="H113" s="460">
        <f>G113+'9'!H113</f>
        <v>0</v>
      </c>
      <c r="I113" s="532"/>
      <c r="J113" s="558">
        <f>H113/DAY(B2)</f>
        <v>0</v>
      </c>
      <c r="N113" s="716"/>
    </row>
    <row r="114" spans="1:14" s="442" customFormat="1" ht="27.75">
      <c r="A114" s="1512" t="s">
        <v>224</v>
      </c>
      <c r="B114" s="1513"/>
      <c r="C114" s="574"/>
      <c r="D114" s="622" t="s">
        <v>144</v>
      </c>
      <c r="E114" s="484">
        <f>'9'!F114</f>
        <v>11021</v>
      </c>
      <c r="F114" s="662">
        <v>11029</v>
      </c>
      <c r="G114" s="534">
        <f>F114-E114</f>
        <v>8</v>
      </c>
      <c r="H114" s="460">
        <f>G114+'9'!H114</f>
        <v>193</v>
      </c>
      <c r="I114" s="532"/>
      <c r="J114" s="558">
        <f>H114/DAY(B2)</f>
        <v>19.3</v>
      </c>
      <c r="N114" s="716"/>
    </row>
    <row r="115" spans="1:14" s="442" customFormat="1" ht="27.75">
      <c r="A115" s="1512" t="s">
        <v>225</v>
      </c>
      <c r="B115" s="1513"/>
      <c r="C115" s="574"/>
      <c r="D115" s="622" t="s">
        <v>144</v>
      </c>
      <c r="E115" s="484">
        <f>'9'!F115</f>
        <v>8021</v>
      </c>
      <c r="F115" s="662">
        <v>8025</v>
      </c>
      <c r="G115" s="534">
        <f t="shared" ref="G115:G116" si="12">F115-E115</f>
        <v>4</v>
      </c>
      <c r="H115" s="460">
        <f>G115+'9'!H115</f>
        <v>56</v>
      </c>
      <c r="I115" s="532"/>
      <c r="J115" s="558">
        <f>H115/DAY(B2)</f>
        <v>5.6</v>
      </c>
      <c r="N115" s="716"/>
    </row>
    <row r="116" spans="1:14" s="442" customFormat="1" ht="27.75">
      <c r="A116" s="1512" t="s">
        <v>226</v>
      </c>
      <c r="B116" s="1513"/>
      <c r="C116" s="574"/>
      <c r="D116" s="622" t="s">
        <v>144</v>
      </c>
      <c r="E116" s="534"/>
      <c r="F116" s="662"/>
      <c r="G116" s="534">
        <f t="shared" si="12"/>
        <v>0</v>
      </c>
      <c r="H116" s="460">
        <f>G116+'9'!H116</f>
        <v>0</v>
      </c>
      <c r="I116" s="532"/>
      <c r="J116" s="558">
        <f>H116/DAY(B2)</f>
        <v>0</v>
      </c>
      <c r="N116" s="716"/>
    </row>
    <row r="117" spans="1:14" s="445" customFormat="1" ht="27.75">
      <c r="A117" s="1514" t="s">
        <v>202</v>
      </c>
      <c r="B117" s="1515"/>
      <c r="C117" s="574"/>
      <c r="D117" s="623"/>
      <c r="E117" s="534"/>
      <c r="F117" s="662"/>
      <c r="G117" s="534">
        <f>SUM(G114:G116)</f>
        <v>12</v>
      </c>
      <c r="H117" s="460">
        <f>G117+'9'!H117</f>
        <v>249</v>
      </c>
      <c r="I117" s="534"/>
      <c r="J117" s="558">
        <f>H117/DAY(B2)</f>
        <v>24.9</v>
      </c>
      <c r="N117" s="716"/>
    </row>
    <row r="118" spans="1:14" s="446" customFormat="1" ht="27.75">
      <c r="A118" s="1508" t="s">
        <v>227</v>
      </c>
      <c r="B118" s="1509"/>
      <c r="C118" s="1141"/>
      <c r="D118" s="624" t="s">
        <v>144</v>
      </c>
      <c r="E118" s="536"/>
      <c r="F118" s="663">
        <f>SUM(G19+G92)</f>
        <v>125</v>
      </c>
      <c r="G118" s="536">
        <f>SUM(G19+G92)</f>
        <v>125</v>
      </c>
      <c r="H118" s="460">
        <f>G118+'9'!H118</f>
        <v>1305</v>
      </c>
      <c r="I118" s="535"/>
      <c r="J118" s="559">
        <f>H118/DAY(B2)</f>
        <v>130.5</v>
      </c>
      <c r="N118" s="716"/>
    </row>
    <row r="119" spans="1:14" s="446" customFormat="1" ht="27.75">
      <c r="A119" s="1508" t="s">
        <v>228</v>
      </c>
      <c r="B119" s="1509"/>
      <c r="C119" s="1141"/>
      <c r="D119" s="624" t="s">
        <v>144</v>
      </c>
      <c r="E119" s="536"/>
      <c r="F119" s="663">
        <f>SUM(G95,G96,G97,G99,G100)</f>
        <v>109</v>
      </c>
      <c r="G119" s="536">
        <f>SUM(G95,G96,G97,G99,G100)</f>
        <v>109</v>
      </c>
      <c r="H119" s="460">
        <f>G119+'9'!H119</f>
        <v>1300</v>
      </c>
      <c r="I119" s="535"/>
      <c r="J119" s="559">
        <f>H119/DAY(B2)</f>
        <v>130</v>
      </c>
      <c r="N119" s="716"/>
    </row>
    <row r="120" spans="1:14" s="446" customFormat="1" ht="27.75">
      <c r="A120" s="1508" t="s">
        <v>229</v>
      </c>
      <c r="B120" s="1509"/>
      <c r="C120" s="1141"/>
      <c r="D120" s="624" t="s">
        <v>144</v>
      </c>
      <c r="E120" s="534"/>
      <c r="F120" s="662">
        <f>SUM(G112)</f>
        <v>113</v>
      </c>
      <c r="G120" s="534">
        <f>SUM(G112)</f>
        <v>113</v>
      </c>
      <c r="H120" s="460">
        <f>G120+'9'!H120</f>
        <v>1267</v>
      </c>
      <c r="I120" s="535"/>
      <c r="J120" s="559">
        <f>H120/DAY(B2)</f>
        <v>126.7</v>
      </c>
      <c r="N120" s="716"/>
    </row>
    <row r="121" spans="1:14" s="442" customFormat="1" ht="27.75">
      <c r="A121" s="1510"/>
      <c r="B121" s="1511"/>
      <c r="C121" s="1142"/>
      <c r="D121" s="560"/>
      <c r="E121" s="560"/>
      <c r="F121" s="664" t="s">
        <v>215</v>
      </c>
      <c r="G121" s="560"/>
      <c r="H121" s="561"/>
      <c r="I121" s="560"/>
      <c r="J121" s="562"/>
      <c r="N121" s="716"/>
    </row>
    <row r="122" spans="1:14">
      <c r="A122" s="1545" t="s">
        <v>230</v>
      </c>
      <c r="B122" s="1546"/>
      <c r="C122" s="1547"/>
      <c r="D122" s="472"/>
      <c r="E122" s="472"/>
      <c r="F122" s="472"/>
      <c r="G122" s="483"/>
      <c r="H122" s="483"/>
      <c r="I122" s="483"/>
      <c r="J122" s="563"/>
      <c r="K122" s="380"/>
      <c r="L122" s="377"/>
      <c r="N122" s="716"/>
    </row>
    <row r="123" spans="1:14" ht="27.75">
      <c r="A123" s="1144" t="s">
        <v>231</v>
      </c>
      <c r="B123" s="1145"/>
      <c r="C123" s="1145"/>
      <c r="D123" s="523" t="s">
        <v>141</v>
      </c>
      <c r="E123" s="478">
        <f>'9'!F123</f>
        <v>821093.26</v>
      </c>
      <c r="F123" s="478">
        <v>821353.76</v>
      </c>
      <c r="G123" s="473">
        <f t="shared" ref="G123:G127" si="13">F123-E123</f>
        <v>260.5</v>
      </c>
      <c r="H123" s="460">
        <f>G123+'9'!H123</f>
        <v>2543.7600000000093</v>
      </c>
      <c r="I123" s="526"/>
      <c r="J123" s="552">
        <f>H123/DAY(B2)</f>
        <v>254.37600000000094</v>
      </c>
      <c r="K123" s="380"/>
      <c r="L123" s="377"/>
      <c r="N123" s="716"/>
    </row>
    <row r="124" spans="1:14" ht="27.75">
      <c r="A124" s="1144" t="s">
        <v>232</v>
      </c>
      <c r="B124" s="1145"/>
      <c r="C124" s="1145"/>
      <c r="D124" s="523" t="s">
        <v>141</v>
      </c>
      <c r="E124" s="626">
        <f>'9'!F124</f>
        <v>73583.399999999994</v>
      </c>
      <c r="F124" s="626">
        <v>73583.399999999994</v>
      </c>
      <c r="G124" s="473">
        <f t="shared" si="13"/>
        <v>0</v>
      </c>
      <c r="H124" s="460">
        <f>G124+'9'!H124</f>
        <v>0</v>
      </c>
      <c r="I124" s="526"/>
      <c r="J124" s="552">
        <f>H124/DAY(B2)</f>
        <v>0</v>
      </c>
      <c r="K124" s="380"/>
      <c r="L124" s="377"/>
      <c r="N124" s="716"/>
    </row>
    <row r="125" spans="1:14" ht="27.75">
      <c r="A125" s="1499" t="s">
        <v>233</v>
      </c>
      <c r="B125" s="1500"/>
      <c r="C125" s="1501"/>
      <c r="D125" s="523" t="s">
        <v>141</v>
      </c>
      <c r="E125" s="478">
        <f>'9'!F125</f>
        <v>142960.13</v>
      </c>
      <c r="F125" s="478">
        <v>143045.32999999999</v>
      </c>
      <c r="G125" s="473">
        <f t="shared" si="13"/>
        <v>85.199999999982538</v>
      </c>
      <c r="H125" s="460">
        <f>G125+'9'!H125</f>
        <v>909.32999999998719</v>
      </c>
      <c r="I125" s="526"/>
      <c r="J125" s="552">
        <f>H125/DAY(B2)</f>
        <v>90.932999999998714</v>
      </c>
      <c r="K125" s="380"/>
      <c r="L125" s="377"/>
      <c r="N125" s="716"/>
    </row>
    <row r="126" spans="1:14" ht="27.75">
      <c r="A126" s="609" t="s">
        <v>234</v>
      </c>
      <c r="B126" s="1145"/>
      <c r="C126" s="1145"/>
      <c r="D126" s="523" t="s">
        <v>141</v>
      </c>
      <c r="E126" s="626">
        <f>'9'!F126</f>
        <v>31404.2</v>
      </c>
      <c r="F126" s="626">
        <v>31404.2</v>
      </c>
      <c r="G126" s="473">
        <f t="shared" si="13"/>
        <v>0</v>
      </c>
      <c r="H126" s="460">
        <f>G126+'9'!H126</f>
        <v>85.5</v>
      </c>
      <c r="I126" s="526"/>
      <c r="J126" s="552">
        <f>H126/DAY(B2)</f>
        <v>8.5500000000000007</v>
      </c>
      <c r="K126" s="380"/>
      <c r="L126" s="377"/>
      <c r="N126" s="716"/>
    </row>
    <row r="127" spans="1:14" ht="27.75">
      <c r="A127" s="609" t="s">
        <v>235</v>
      </c>
      <c r="B127" s="1145"/>
      <c r="C127" s="1145"/>
      <c r="D127" s="523" t="s">
        <v>141</v>
      </c>
      <c r="E127" s="626">
        <f>'9'!F127</f>
        <v>8966</v>
      </c>
      <c r="F127" s="626">
        <v>8966.6</v>
      </c>
      <c r="G127" s="473">
        <f t="shared" si="13"/>
        <v>0.6000000000003638</v>
      </c>
      <c r="H127" s="460">
        <f>G127+'9'!H127</f>
        <v>4.6000000000003638</v>
      </c>
      <c r="I127" s="480"/>
      <c r="J127" s="552">
        <f>H127/DAY(B2)</f>
        <v>0.46000000000003638</v>
      </c>
      <c r="K127" s="380"/>
      <c r="L127" s="377"/>
      <c r="N127" s="716"/>
    </row>
    <row r="128" spans="1:14" s="281" customFormat="1" ht="27.75">
      <c r="A128" s="609" t="s">
        <v>236</v>
      </c>
      <c r="B128" s="1145"/>
      <c r="C128" s="1145"/>
      <c r="D128" s="523"/>
      <c r="E128" s="478"/>
      <c r="F128" s="478"/>
      <c r="G128" s="473">
        <f>G15-SUM(G123:G127)</f>
        <v>445.31999999989603</v>
      </c>
      <c r="H128" s="460"/>
      <c r="I128" s="480"/>
      <c r="J128" s="552"/>
      <c r="K128" s="364"/>
      <c r="L128" s="292"/>
      <c r="N128" s="716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16"/>
    </row>
    <row r="130" spans="1:14" ht="27.75">
      <c r="A130" s="1144" t="s">
        <v>238</v>
      </c>
      <c r="B130" s="1145"/>
      <c r="C130" s="1145"/>
      <c r="D130" s="523" t="s">
        <v>239</v>
      </c>
      <c r="E130" s="484">
        <f>'9'!F130</f>
        <v>0</v>
      </c>
      <c r="F130" s="478">
        <v>0</v>
      </c>
      <c r="G130" s="473">
        <f t="shared" ref="G130:G140" si="14">F130-E130</f>
        <v>0</v>
      </c>
      <c r="H130" s="460">
        <f>G130+'9'!H130</f>
        <v>0</v>
      </c>
      <c r="I130" s="480"/>
      <c r="J130" s="552">
        <f>H130/DAY(B2)</f>
        <v>0</v>
      </c>
      <c r="N130" s="716"/>
    </row>
    <row r="131" spans="1:14" ht="27.75">
      <c r="A131" s="1144" t="s">
        <v>240</v>
      </c>
      <c r="B131" s="1145"/>
      <c r="C131" s="1145"/>
      <c r="D131" s="523" t="s">
        <v>239</v>
      </c>
      <c r="E131" s="484">
        <f>'9'!F131</f>
        <v>0</v>
      </c>
      <c r="F131" s="478">
        <v>0</v>
      </c>
      <c r="G131" s="473">
        <f t="shared" si="14"/>
        <v>0</v>
      </c>
      <c r="H131" s="460">
        <f>G131+'9'!H131</f>
        <v>0</v>
      </c>
      <c r="I131" s="480"/>
      <c r="J131" s="552">
        <f>H131/DAY(B2)</f>
        <v>0</v>
      </c>
      <c r="N131" s="716"/>
    </row>
    <row r="132" spans="1:14" ht="27.75">
      <c r="A132" s="1144" t="s">
        <v>241</v>
      </c>
      <c r="B132" s="1145"/>
      <c r="C132" s="1145"/>
      <c r="D132" s="523" t="s">
        <v>239</v>
      </c>
      <c r="E132" s="1390">
        <f>'9'!F132</f>
        <v>39651</v>
      </c>
      <c r="F132" s="1391">
        <v>39659.230000000003</v>
      </c>
      <c r="G132" s="1392">
        <f t="shared" si="14"/>
        <v>8.2300000000032014</v>
      </c>
      <c r="H132" s="460">
        <f>G132+'9'!H132</f>
        <v>126.2300000000032</v>
      </c>
      <c r="I132" s="480"/>
      <c r="J132" s="552">
        <f>H132/DAY(B2)</f>
        <v>12.623000000000321</v>
      </c>
      <c r="N132" s="716"/>
    </row>
    <row r="133" spans="1:14" ht="27.75">
      <c r="A133" s="1144" t="s">
        <v>242</v>
      </c>
      <c r="B133" s="1145"/>
      <c r="C133" s="1145"/>
      <c r="D133" s="523" t="s">
        <v>239</v>
      </c>
      <c r="E133" s="1390">
        <f>'9'!F133</f>
        <v>300</v>
      </c>
      <c r="F133" s="1391">
        <v>300</v>
      </c>
      <c r="G133" s="1392">
        <f t="shared" si="14"/>
        <v>0</v>
      </c>
      <c r="H133" s="460">
        <f>G133+'9'!H133</f>
        <v>0</v>
      </c>
      <c r="I133" s="480">
        <f>G130+G131+G132+G133</f>
        <v>8.2300000000032014</v>
      </c>
      <c r="J133" s="552">
        <f>H133/DAY(B2)</f>
        <v>0</v>
      </c>
      <c r="N133" s="716"/>
    </row>
    <row r="134" spans="1:14" ht="27.75">
      <c r="A134" s="1144" t="s">
        <v>243</v>
      </c>
      <c r="B134" s="1145"/>
      <c r="C134" s="1145"/>
      <c r="D134" s="523" t="s">
        <v>239</v>
      </c>
      <c r="E134" s="1390">
        <f>'9'!F134</f>
        <v>40956.51</v>
      </c>
      <c r="F134" s="1391">
        <v>40980.449999999997</v>
      </c>
      <c r="G134" s="1392">
        <f t="shared" si="14"/>
        <v>23.939999999995052</v>
      </c>
      <c r="H134" s="460">
        <f>G134+'9'!H134</f>
        <v>141.44999999999709</v>
      </c>
      <c r="I134" s="480"/>
      <c r="J134" s="552">
        <f>H134/DAY(B2)</f>
        <v>14.144999999999708</v>
      </c>
      <c r="N134" s="716"/>
    </row>
    <row r="135" spans="1:14" ht="27.75">
      <c r="A135" s="1144" t="s">
        <v>244</v>
      </c>
      <c r="B135" s="1145"/>
      <c r="C135" s="1145"/>
      <c r="D135" s="523" t="s">
        <v>239</v>
      </c>
      <c r="E135" s="1390">
        <f>'9'!F135</f>
        <v>32582.560000000001</v>
      </c>
      <c r="F135" s="1391">
        <v>32582.560000000001</v>
      </c>
      <c r="G135" s="1392">
        <f t="shared" si="14"/>
        <v>0</v>
      </c>
      <c r="H135" s="460">
        <f>G135+'9'!H135</f>
        <v>-0.43999999999869033</v>
      </c>
      <c r="I135" s="480"/>
      <c r="J135" s="552">
        <f>H135/DAY(B2)</f>
        <v>-4.3999999999869033E-2</v>
      </c>
      <c r="N135" s="716"/>
    </row>
    <row r="136" spans="1:14" ht="27.75">
      <c r="A136" s="1144" t="s">
        <v>245</v>
      </c>
      <c r="B136" s="1145"/>
      <c r="C136" s="1145"/>
      <c r="D136" s="523" t="s">
        <v>239</v>
      </c>
      <c r="E136" s="1390">
        <f>'9'!F136</f>
        <v>22581.360000000001</v>
      </c>
      <c r="F136" s="1391">
        <v>22590.17</v>
      </c>
      <c r="G136" s="1392">
        <f t="shared" si="14"/>
        <v>8.8099999999976717</v>
      </c>
      <c r="H136" s="460">
        <f>G136+'9'!H136</f>
        <v>101.5199999999968</v>
      </c>
      <c r="I136" s="480">
        <f>G134+G135+G136</f>
        <v>32.749999999992724</v>
      </c>
      <c r="J136" s="552">
        <f>H136/DAY(B2)</f>
        <v>10.15199999999968</v>
      </c>
      <c r="N136" s="716"/>
    </row>
    <row r="137" spans="1:14" ht="27.75">
      <c r="A137" s="1144" t="s">
        <v>246</v>
      </c>
      <c r="B137" s="1145"/>
      <c r="C137" s="1145"/>
      <c r="D137" s="523" t="s">
        <v>239</v>
      </c>
      <c r="E137" s="1390">
        <f>'9'!F137</f>
        <v>25048.97</v>
      </c>
      <c r="F137" s="1391">
        <v>25048.97</v>
      </c>
      <c r="G137" s="1392">
        <f t="shared" si="14"/>
        <v>0</v>
      </c>
      <c r="H137" s="460">
        <f>G137+'9'!H137</f>
        <v>0.18000000000029104</v>
      </c>
      <c r="I137" s="480"/>
      <c r="J137" s="552">
        <f>H137/DAY(B2)</f>
        <v>1.8000000000029104E-2</v>
      </c>
      <c r="N137" s="716"/>
    </row>
    <row r="138" spans="1:14" ht="27.75">
      <c r="A138" s="1144" t="s">
        <v>247</v>
      </c>
      <c r="B138" s="1145"/>
      <c r="C138" s="1145"/>
      <c r="D138" s="523" t="s">
        <v>239</v>
      </c>
      <c r="E138" s="1390">
        <f>'9'!F138</f>
        <v>70279.05</v>
      </c>
      <c r="F138" s="1391">
        <v>70279.05</v>
      </c>
      <c r="G138" s="1392">
        <f t="shared" si="14"/>
        <v>0</v>
      </c>
      <c r="H138" s="460">
        <f>G138+'9'!H138</f>
        <v>25.020000000004075</v>
      </c>
      <c r="I138" s="480">
        <f>G137+G138</f>
        <v>0</v>
      </c>
      <c r="J138" s="552">
        <f>H138/DAY(B2)</f>
        <v>2.5020000000004075</v>
      </c>
      <c r="N138" s="716"/>
    </row>
    <row r="139" spans="1:14" ht="27.75">
      <c r="A139" s="1144" t="s">
        <v>248</v>
      </c>
      <c r="B139" s="1145"/>
      <c r="C139" s="1145"/>
      <c r="D139" s="523" t="s">
        <v>239</v>
      </c>
      <c r="E139" s="1390">
        <f>'9'!F139</f>
        <v>1536.52</v>
      </c>
      <c r="F139" s="1391">
        <v>1536.52</v>
      </c>
      <c r="G139" s="1392">
        <f t="shared" si="14"/>
        <v>0</v>
      </c>
      <c r="H139" s="460">
        <f>G139+'9'!H139</f>
        <v>0</v>
      </c>
      <c r="I139" s="542"/>
      <c r="J139" s="552">
        <f>H139/DAY(B2)</f>
        <v>0</v>
      </c>
      <c r="N139" s="716"/>
    </row>
    <row r="140" spans="1:14" ht="27.75">
      <c r="A140" s="1144" t="s">
        <v>249</v>
      </c>
      <c r="B140" s="1145"/>
      <c r="C140" s="1145"/>
      <c r="D140" s="523" t="s">
        <v>239</v>
      </c>
      <c r="E140" s="1390">
        <f>'9'!F140</f>
        <v>4543.01</v>
      </c>
      <c r="F140" s="1391">
        <v>4551.58</v>
      </c>
      <c r="G140" s="1392">
        <f t="shared" si="14"/>
        <v>8.569999999999709</v>
      </c>
      <c r="H140" s="460">
        <f>G140+'9'!H140</f>
        <v>83.039999999999964</v>
      </c>
      <c r="I140" s="542"/>
      <c r="J140" s="552">
        <f>H140/DAY(B2)</f>
        <v>8.3039999999999967</v>
      </c>
      <c r="N140" s="716"/>
    </row>
    <row r="141" spans="1:14">
      <c r="A141" s="1526" t="s">
        <v>250</v>
      </c>
      <c r="B141" s="1527"/>
      <c r="C141" s="1150"/>
      <c r="D141" s="472"/>
      <c r="E141" s="472"/>
      <c r="F141" s="472"/>
      <c r="G141" s="483"/>
      <c r="H141" s="483"/>
      <c r="I141" s="483"/>
      <c r="J141" s="563"/>
      <c r="K141" s="380"/>
      <c r="L141" s="377"/>
      <c r="N141" s="716"/>
    </row>
    <row r="142" spans="1:14" ht="27.75">
      <c r="A142" s="1520" t="s">
        <v>251</v>
      </c>
      <c r="B142" s="1521"/>
      <c r="C142" s="1522"/>
      <c r="D142" s="523" t="s">
        <v>132</v>
      </c>
      <c r="E142" s="523"/>
      <c r="F142" s="523"/>
      <c r="G142" s="460">
        <f>G35+G43+G49+G57</f>
        <v>5660.5800000000745</v>
      </c>
      <c r="H142" s="460">
        <f>G142+'9'!H142</f>
        <v>58506.570000000065</v>
      </c>
      <c r="I142" s="480"/>
      <c r="J142" s="552">
        <f>H142/DAY(B2)</f>
        <v>5850.6570000000065</v>
      </c>
      <c r="K142" s="380"/>
      <c r="L142" s="377"/>
      <c r="N142" s="716"/>
    </row>
    <row r="143" spans="1:14" ht="27.75">
      <c r="A143" s="1520" t="s">
        <v>252</v>
      </c>
      <c r="B143" s="1521"/>
      <c r="C143" s="1522"/>
      <c r="D143" s="523" t="s">
        <v>24</v>
      </c>
      <c r="E143" s="511"/>
      <c r="F143" s="511"/>
      <c r="G143" s="543">
        <f>G142/G7</f>
        <v>0.27177741501824826</v>
      </c>
      <c r="H143" s="460">
        <f>G143+'9'!H143</f>
        <v>2.6939487730041249</v>
      </c>
      <c r="I143" s="544"/>
      <c r="J143" s="552">
        <f>H143/DAY(B2)</f>
        <v>0.26939487730041251</v>
      </c>
      <c r="K143" s="380"/>
      <c r="L143" s="377"/>
      <c r="N143" s="716"/>
    </row>
    <row r="144" spans="1:14" ht="27.75">
      <c r="A144" s="1520" t="s">
        <v>253</v>
      </c>
      <c r="B144" s="1521"/>
      <c r="C144" s="1522"/>
      <c r="D144" s="523" t="s">
        <v>132</v>
      </c>
      <c r="E144" s="455"/>
      <c r="F144" s="455"/>
      <c r="G144" s="460">
        <f>G41+G42+G55+G56</f>
        <v>6016.4600000000501</v>
      </c>
      <c r="H144" s="460">
        <f>G144+'9'!H144</f>
        <v>61251.060000000056</v>
      </c>
      <c r="I144" s="480"/>
      <c r="J144" s="552">
        <f>H144/DAY(B2)</f>
        <v>6125.1060000000052</v>
      </c>
      <c r="K144" s="380"/>
      <c r="L144" s="377"/>
      <c r="N144" s="716"/>
    </row>
    <row r="145" spans="1:14" ht="27.75">
      <c r="A145" s="1520" t="s">
        <v>254</v>
      </c>
      <c r="B145" s="1521"/>
      <c r="C145" s="1522"/>
      <c r="D145" s="523" t="s">
        <v>24</v>
      </c>
      <c r="E145" s="455"/>
      <c r="F145" s="455"/>
      <c r="G145" s="543">
        <f>G144/G7</f>
        <v>0.28886402919147541</v>
      </c>
      <c r="H145" s="460">
        <f>G145+'9'!H145</f>
        <v>2.816444863457829</v>
      </c>
      <c r="I145" s="544"/>
      <c r="J145" s="552">
        <f>H145/DAY(B2)</f>
        <v>0.28164448634578287</v>
      </c>
      <c r="K145" s="380"/>
      <c r="L145" s="377"/>
      <c r="N145" s="716"/>
    </row>
    <row r="146" spans="1:14" ht="27.75">
      <c r="A146" s="1520" t="s">
        <v>255</v>
      </c>
      <c r="B146" s="1521"/>
      <c r="C146" s="1522"/>
      <c r="D146" s="523" t="s">
        <v>132</v>
      </c>
      <c r="E146" s="455"/>
      <c r="F146" s="455"/>
      <c r="G146" s="460">
        <f>G39+G53</f>
        <v>3803.2999999999884</v>
      </c>
      <c r="H146" s="460">
        <f>G146+'9'!H146</f>
        <v>40704.420000000013</v>
      </c>
      <c r="I146" s="545"/>
      <c r="J146" s="552">
        <f>H146/DAY(B2)</f>
        <v>4070.4420000000014</v>
      </c>
      <c r="K146" s="380"/>
      <c r="L146" s="377"/>
      <c r="N146" s="716"/>
    </row>
    <row r="147" spans="1:14" ht="27.75">
      <c r="A147" s="1520" t="s">
        <v>256</v>
      </c>
      <c r="B147" s="1521"/>
      <c r="C147" s="1522"/>
      <c r="D147" s="523" t="s">
        <v>24</v>
      </c>
      <c r="E147" s="455"/>
      <c r="F147" s="455"/>
      <c r="G147" s="543">
        <f>G146/G7</f>
        <v>0.18260514691761034</v>
      </c>
      <c r="H147" s="460">
        <f>G147+'9'!H147</f>
        <v>1.872837663437525</v>
      </c>
      <c r="I147" s="545"/>
      <c r="J147" s="552">
        <f>H147/DAY(B2)</f>
        <v>0.18728376634375249</v>
      </c>
      <c r="N147" s="716"/>
    </row>
    <row r="148" spans="1:14" ht="27.75">
      <c r="A148" s="1520" t="s">
        <v>257</v>
      </c>
      <c r="B148" s="1521"/>
      <c r="C148" s="1522"/>
      <c r="D148" s="523" t="s">
        <v>183</v>
      </c>
      <c r="E148" s="455"/>
      <c r="F148" s="455"/>
      <c r="G148" s="460">
        <f>G38+G52</f>
        <v>1608.7700000000041</v>
      </c>
      <c r="H148" s="460">
        <f>G148+'9'!H148</f>
        <v>17086.369999999952</v>
      </c>
      <c r="I148" s="480"/>
      <c r="J148" s="552">
        <f>H148/DAY(B2)</f>
        <v>1708.6369999999952</v>
      </c>
      <c r="K148" s="381"/>
      <c r="N148" s="716"/>
    </row>
    <row r="149" spans="1:14" ht="27.75">
      <c r="A149" s="1520" t="s">
        <v>258</v>
      </c>
      <c r="B149" s="1521"/>
      <c r="C149" s="1522"/>
      <c r="D149" s="523" t="s">
        <v>24</v>
      </c>
      <c r="E149" s="455"/>
      <c r="F149" s="455"/>
      <c r="G149" s="543">
        <f>G148/G7</f>
        <v>7.7240733627808908E-2</v>
      </c>
      <c r="H149" s="460">
        <f>G149+'9'!H149</f>
        <v>0.78676931765704716</v>
      </c>
      <c r="I149" s="545"/>
      <c r="J149" s="552">
        <f>H149/DAY(B2)</f>
        <v>7.8676931765704713E-2</v>
      </c>
      <c r="N149" s="716"/>
    </row>
    <row r="150" spans="1:14" ht="27.75">
      <c r="A150" s="1520" t="s">
        <v>259</v>
      </c>
      <c r="B150" s="1521"/>
      <c r="C150" s="1522"/>
      <c r="D150" s="523" t="s">
        <v>183</v>
      </c>
      <c r="E150" s="455"/>
      <c r="F150" s="455"/>
      <c r="G150" s="460">
        <f>G36+G50</f>
        <v>1912.5600000000559</v>
      </c>
      <c r="H150" s="460">
        <f>G150+'9'!H150</f>
        <v>20015.640000000014</v>
      </c>
      <c r="I150" s="545"/>
      <c r="J150" s="552">
        <f>H150/DAY(B2)</f>
        <v>2001.5640000000014</v>
      </c>
      <c r="N150" s="716"/>
    </row>
    <row r="151" spans="1:14" ht="27.75">
      <c r="A151" s="1520" t="s">
        <v>260</v>
      </c>
      <c r="B151" s="1521"/>
      <c r="C151" s="1522"/>
      <c r="D151" s="523" t="s">
        <v>24</v>
      </c>
      <c r="E151" s="455"/>
      <c r="F151" s="455"/>
      <c r="G151" s="543">
        <f>G150/G7</f>
        <v>9.1826387555216812E-2</v>
      </c>
      <c r="H151" s="460">
        <f>G151+'9'!H151</f>
        <v>0.91972980539938931</v>
      </c>
      <c r="I151" s="480"/>
      <c r="J151" s="552">
        <f>H151/DAY(B2)</f>
        <v>9.1972980539938937E-2</v>
      </c>
      <c r="N151" s="716"/>
    </row>
    <row r="152" spans="1:14" ht="27.75">
      <c r="A152" s="1520" t="s">
        <v>261</v>
      </c>
      <c r="B152" s="1521"/>
      <c r="C152" s="1522"/>
      <c r="D152" s="523" t="s">
        <v>183</v>
      </c>
      <c r="E152" s="455"/>
      <c r="F152" s="455"/>
      <c r="G152" s="460">
        <f>G37+G51</f>
        <v>1303.25</v>
      </c>
      <c r="H152" s="460">
        <f>G152+'9'!H152</f>
        <v>13874.709999999992</v>
      </c>
      <c r="I152" s="480"/>
      <c r="J152" s="552">
        <f>H152/DAY(B2)</f>
        <v>1387.4709999999991</v>
      </c>
      <c r="N152" s="716"/>
    </row>
    <row r="153" spans="1:14" ht="28.5" thickBot="1">
      <c r="A153" s="1523" t="s">
        <v>262</v>
      </c>
      <c r="B153" s="1524"/>
      <c r="C153" s="1525"/>
      <c r="D153" s="625" t="s">
        <v>24</v>
      </c>
      <c r="E153" s="565"/>
      <c r="F153" s="565"/>
      <c r="G153" s="566">
        <f>G152/G7</f>
        <v>6.2572018436719806E-2</v>
      </c>
      <c r="H153" s="567">
        <f>G153+'9'!H153</f>
        <v>0.63887557519955185</v>
      </c>
      <c r="I153" s="568"/>
      <c r="J153" s="569">
        <f>H153/DAY(B2)</f>
        <v>6.3887557519955188E-2</v>
      </c>
      <c r="N153" s="716"/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16"/>
    </row>
    <row r="157" spans="1:14" ht="27.75">
      <c r="A157" s="1554" t="s">
        <v>267</v>
      </c>
      <c r="B157" s="1555"/>
      <c r="C157" s="1555"/>
      <c r="D157" s="1555"/>
      <c r="E157" s="1555"/>
      <c r="F157" s="1555"/>
      <c r="G157" s="1556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1064">
        <f>'9'!F160</f>
        <v>34189.75</v>
      </c>
      <c r="F160" s="661">
        <v>34272.35</v>
      </c>
      <c r="G160" s="473">
        <f>F160-E160</f>
        <v>82.599999999998545</v>
      </c>
    </row>
    <row r="161" spans="1:8">
      <c r="A161" s="788" t="s">
        <v>264</v>
      </c>
      <c r="B161" s="789"/>
      <c r="C161" s="789"/>
      <c r="D161" s="511" t="s">
        <v>187</v>
      </c>
      <c r="E161" s="1064">
        <f>'9'!F161</f>
        <v>72741.820000000007</v>
      </c>
      <c r="F161" s="661">
        <v>73194.38</v>
      </c>
      <c r="G161" s="473">
        <f t="shared" ref="G161:G171" si="15">F161-E161</f>
        <v>452.55999999999767</v>
      </c>
    </row>
    <row r="162" spans="1:8">
      <c r="A162" s="788" t="s">
        <v>265</v>
      </c>
      <c r="B162" s="789"/>
      <c r="C162" s="789"/>
      <c r="D162" s="511" t="s">
        <v>187</v>
      </c>
      <c r="E162" s="1064">
        <f>'9'!F162</f>
        <v>31859.406999999999</v>
      </c>
      <c r="F162" s="661">
        <v>32127.45</v>
      </c>
      <c r="G162" s="473">
        <f t="shared" si="15"/>
        <v>268.04300000000148</v>
      </c>
      <c r="H162" s="514"/>
    </row>
    <row r="163" spans="1:8">
      <c r="A163" s="788" t="s">
        <v>266</v>
      </c>
      <c r="B163" s="789"/>
      <c r="C163" s="789"/>
      <c r="D163" s="511" t="s">
        <v>187</v>
      </c>
      <c r="E163" s="1064">
        <f>'9'!F163</f>
        <v>5904.14</v>
      </c>
      <c r="F163" s="661">
        <v>5910</v>
      </c>
      <c r="G163" s="473">
        <f t="shared" si="15"/>
        <v>5.8599999999996726</v>
      </c>
    </row>
    <row r="164" spans="1:8">
      <c r="A164" s="790" t="s">
        <v>98</v>
      </c>
      <c r="B164" s="604"/>
      <c r="C164" s="604"/>
      <c r="D164" s="511" t="s">
        <v>187</v>
      </c>
      <c r="E164" s="1064">
        <f>'9'!F164</f>
        <v>20419</v>
      </c>
      <c r="F164" s="514">
        <f>F62</f>
        <v>20419</v>
      </c>
      <c r="G164" s="473">
        <f t="shared" si="15"/>
        <v>0</v>
      </c>
    </row>
    <row r="165" spans="1:8" ht="34.5" customHeight="1">
      <c r="A165" s="790" t="s">
        <v>188</v>
      </c>
      <c r="B165" s="604"/>
      <c r="C165" s="604"/>
      <c r="D165" s="511" t="s">
        <v>187</v>
      </c>
      <c r="E165" s="1064">
        <f>'9'!F165</f>
        <v>2200.6799999999998</v>
      </c>
      <c r="F165" s="514">
        <f t="shared" ref="F165:F171" si="16">F63</f>
        <v>2212.16</v>
      </c>
      <c r="G165" s="473">
        <f t="shared" si="15"/>
        <v>11.480000000000018</v>
      </c>
    </row>
    <row r="166" spans="1:8" ht="31.5" customHeight="1">
      <c r="A166" s="1495" t="s">
        <v>99</v>
      </c>
      <c r="B166" s="1495"/>
      <c r="C166" s="1495"/>
      <c r="D166" s="523" t="s">
        <v>187</v>
      </c>
      <c r="E166" s="1064">
        <f>'9'!F166</f>
        <v>143380.39000000001</v>
      </c>
      <c r="F166" s="514">
        <f t="shared" si="16"/>
        <v>143854.65</v>
      </c>
      <c r="G166" s="473">
        <f t="shared" si="15"/>
        <v>474.25999999998021</v>
      </c>
    </row>
    <row r="167" spans="1:8" ht="21.75" customHeight="1">
      <c r="A167" s="1495" t="s">
        <v>100</v>
      </c>
      <c r="B167" s="1495"/>
      <c r="C167" s="1495"/>
      <c r="D167" s="523" t="s">
        <v>187</v>
      </c>
      <c r="E167" s="1064">
        <f>'9'!F167</f>
        <v>147456.95999999999</v>
      </c>
      <c r="F167" s="514">
        <f t="shared" si="16"/>
        <v>147807.49</v>
      </c>
      <c r="G167" s="473">
        <f t="shared" si="15"/>
        <v>350.52999999999884</v>
      </c>
    </row>
    <row r="168" spans="1:8" ht="27.75" customHeight="1">
      <c r="A168" s="1495" t="s">
        <v>101</v>
      </c>
      <c r="B168" s="1495"/>
      <c r="C168" s="1495"/>
      <c r="D168" s="523" t="s">
        <v>187</v>
      </c>
      <c r="E168" s="1064">
        <f>'9'!F168</f>
        <v>40746.57</v>
      </c>
      <c r="F168" s="514">
        <f t="shared" si="16"/>
        <v>41106.910000000003</v>
      </c>
      <c r="G168" s="473">
        <f t="shared" si="15"/>
        <v>360.34000000000378</v>
      </c>
    </row>
    <row r="169" spans="1:8" ht="21.75" customHeight="1">
      <c r="A169" s="1495" t="s">
        <v>102</v>
      </c>
      <c r="B169" s="1495"/>
      <c r="C169" s="1495"/>
      <c r="D169" s="523" t="s">
        <v>187</v>
      </c>
      <c r="E169" s="1064">
        <f>'9'!F169</f>
        <v>234676.77</v>
      </c>
      <c r="F169" s="514">
        <f t="shared" si="16"/>
        <v>235174.85</v>
      </c>
      <c r="G169" s="473">
        <f t="shared" si="15"/>
        <v>498.0800000000163</v>
      </c>
    </row>
    <row r="170" spans="1:8" ht="27.75" customHeight="1">
      <c r="A170" s="1495" t="s">
        <v>103</v>
      </c>
      <c r="B170" s="1495"/>
      <c r="C170" s="1495"/>
      <c r="D170" s="523" t="s">
        <v>187</v>
      </c>
      <c r="E170" s="1064">
        <f>'9'!F170</f>
        <v>85321</v>
      </c>
      <c r="F170" s="514">
        <f t="shared" si="16"/>
        <v>85321</v>
      </c>
      <c r="G170" s="473">
        <f t="shared" si="15"/>
        <v>0</v>
      </c>
    </row>
    <row r="171" spans="1:8" ht="27.75">
      <c r="A171" s="1495" t="s">
        <v>104</v>
      </c>
      <c r="B171" s="1495"/>
      <c r="C171" s="1495"/>
      <c r="D171" s="523" t="s">
        <v>187</v>
      </c>
      <c r="E171" s="1064">
        <f>'9'!F171</f>
        <v>77058.52</v>
      </c>
      <c r="F171" s="514">
        <f t="shared" si="16"/>
        <v>77383.75</v>
      </c>
      <c r="G171" s="473">
        <f t="shared" si="15"/>
        <v>325.22999999999593</v>
      </c>
    </row>
    <row r="176" spans="1:8" ht="18.75" customHeight="1"/>
    <row r="177" spans="1:7" ht="44.25" customHeight="1">
      <c r="A177" s="454" t="s">
        <v>217</v>
      </c>
    </row>
    <row r="178" spans="1:7" ht="21.75" customHeight="1">
      <c r="A178" s="454" t="s">
        <v>218</v>
      </c>
    </row>
    <row r="179" spans="1:7" ht="21.75" customHeight="1">
      <c r="A179" s="454" t="s">
        <v>219</v>
      </c>
      <c r="D179" s="537" t="s">
        <v>144</v>
      </c>
      <c r="E179" s="537">
        <v>7010</v>
      </c>
      <c r="F179" s="666">
        <v>7010</v>
      </c>
      <c r="G179" s="537">
        <f>F179-E179</f>
        <v>0</v>
      </c>
    </row>
    <row r="180" spans="1:7" ht="21.75" customHeight="1">
      <c r="A180" s="454" t="s">
        <v>77</v>
      </c>
      <c r="D180" s="537" t="s">
        <v>144</v>
      </c>
      <c r="E180" s="537">
        <v>34070</v>
      </c>
      <c r="F180" s="666">
        <v>34070</v>
      </c>
      <c r="G180" s="537">
        <f t="shared" ref="G180:G181" si="17">F180-E180</f>
        <v>0</v>
      </c>
    </row>
    <row r="181" spans="1:7" ht="21.75" customHeight="1">
      <c r="A181" s="454" t="s">
        <v>78</v>
      </c>
      <c r="D181" s="537" t="s">
        <v>144</v>
      </c>
      <c r="E181" s="537">
        <v>18160</v>
      </c>
      <c r="F181" s="666">
        <v>18171</v>
      </c>
      <c r="G181" s="537">
        <f t="shared" si="17"/>
        <v>11</v>
      </c>
    </row>
    <row r="182" spans="1:7" ht="21.75" customHeight="1">
      <c r="A182" s="454" t="s">
        <v>202</v>
      </c>
      <c r="G182" s="537">
        <f>SUM(G179:G181)</f>
        <v>11</v>
      </c>
    </row>
    <row r="183" spans="1:7" ht="21.75" customHeight="1">
      <c r="A183" s="454" t="s">
        <v>79</v>
      </c>
      <c r="D183" s="537" t="s">
        <v>144</v>
      </c>
    </row>
    <row r="184" spans="1:7" ht="21.75" customHeight="1">
      <c r="A184" s="454" t="s">
        <v>220</v>
      </c>
      <c r="D184" s="537" t="s">
        <v>144</v>
      </c>
      <c r="E184" s="537">
        <v>42234</v>
      </c>
      <c r="F184" s="666">
        <v>42285</v>
      </c>
      <c r="G184" s="537">
        <f>F184-E184</f>
        <v>51</v>
      </c>
    </row>
    <row r="185" spans="1:7" ht="21.75" customHeight="1">
      <c r="A185" s="454" t="s">
        <v>221</v>
      </c>
      <c r="D185" s="537" t="s">
        <v>144</v>
      </c>
      <c r="E185" s="537">
        <v>20656</v>
      </c>
      <c r="F185" s="666">
        <v>20656</v>
      </c>
      <c r="G185" s="537">
        <f t="shared" ref="G185:G186" si="18">F185-E185</f>
        <v>0</v>
      </c>
    </row>
    <row r="186" spans="1:7" ht="21.75" customHeight="1">
      <c r="A186" s="454" t="s">
        <v>222</v>
      </c>
      <c r="D186" s="537" t="s">
        <v>144</v>
      </c>
      <c r="E186" s="537">
        <v>2801</v>
      </c>
      <c r="F186" s="666">
        <v>2801</v>
      </c>
      <c r="G186" s="537">
        <f t="shared" si="18"/>
        <v>0</v>
      </c>
    </row>
    <row r="187" spans="1:7" ht="21.75" customHeight="1">
      <c r="A187" s="454" t="s">
        <v>110</v>
      </c>
      <c r="G187" s="537">
        <f>SUM(G184:G186)</f>
        <v>51</v>
      </c>
    </row>
    <row r="188" spans="1:7" ht="21.75" customHeight="1">
      <c r="A188" s="454" t="s">
        <v>223</v>
      </c>
    </row>
    <row r="189" spans="1:7" ht="21.75" customHeight="1">
      <c r="A189" s="454" t="s">
        <v>224</v>
      </c>
      <c r="D189" s="537" t="s">
        <v>144</v>
      </c>
      <c r="E189" s="537">
        <v>6979</v>
      </c>
      <c r="F189" s="666">
        <v>6983</v>
      </c>
      <c r="G189" s="537">
        <f>F189-E189</f>
        <v>4</v>
      </c>
    </row>
    <row r="190" spans="1:7" ht="21.75" customHeight="1">
      <c r="A190" s="454" t="s">
        <v>225</v>
      </c>
      <c r="D190" s="537" t="s">
        <v>144</v>
      </c>
      <c r="E190" s="537">
        <v>5846</v>
      </c>
      <c r="F190" s="666">
        <v>5849</v>
      </c>
      <c r="G190" s="537">
        <f t="shared" ref="G190:G191" si="19">F190-E190</f>
        <v>3</v>
      </c>
    </row>
    <row r="191" spans="1:7" ht="21.75" customHeight="1">
      <c r="A191" s="454" t="s">
        <v>226</v>
      </c>
      <c r="D191" s="537" t="s">
        <v>144</v>
      </c>
      <c r="G191" s="537">
        <f t="shared" si="19"/>
        <v>0</v>
      </c>
    </row>
    <row r="192" spans="1:7" ht="21.75" customHeight="1"/>
    <row r="193" spans="1:8" ht="36.75" customHeight="1">
      <c r="A193" s="454" t="s">
        <v>202</v>
      </c>
      <c r="G193" s="537">
        <f>SUM(G189:G191)</f>
        <v>7</v>
      </c>
    </row>
    <row r="194" spans="1:8">
      <c r="A194" s="454" t="s">
        <v>227</v>
      </c>
      <c r="D194" s="537" t="s">
        <v>144</v>
      </c>
      <c r="F194" s="666">
        <f>SUM(G92+G19)</f>
        <v>125</v>
      </c>
      <c r="G194" s="537">
        <f>F194+'[4]9'!I145</f>
        <v>125</v>
      </c>
      <c r="H194" s="538" t="e">
        <f>G194/DAY(D147)</f>
        <v>#VALUE!</v>
      </c>
    </row>
    <row r="196" spans="1:8">
      <c r="A196" s="454" t="s">
        <v>228</v>
      </c>
      <c r="D196" s="537" t="s">
        <v>144</v>
      </c>
      <c r="F196" s="666">
        <f>SUM(G95:G97,G189:G191)</f>
        <v>104</v>
      </c>
      <c r="G196" s="537">
        <f>F196+'[4]9'!I147</f>
        <v>104</v>
      </c>
      <c r="H196" s="538" t="e">
        <f>G196/DAY(D147)</f>
        <v>#VALUE!</v>
      </c>
    </row>
    <row r="198" spans="1:8">
      <c r="A198" s="454" t="s">
        <v>229</v>
      </c>
      <c r="D198" s="537" t="s">
        <v>144</v>
      </c>
      <c r="F198" s="666">
        <f>H188+H139</f>
        <v>0</v>
      </c>
      <c r="G198" s="537">
        <f>SUM(G98,G184:G186)</f>
        <v>101</v>
      </c>
      <c r="H198" s="538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5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109:B109"/>
    <mergeCell ref="A110:B110"/>
    <mergeCell ref="A111:B111"/>
    <mergeCell ref="A112:B112"/>
    <mergeCell ref="A113:B113"/>
    <mergeCell ref="A104:B104"/>
    <mergeCell ref="A105:B105"/>
    <mergeCell ref="A106:C106"/>
    <mergeCell ref="A107:B107"/>
    <mergeCell ref="A108:B108"/>
    <mergeCell ref="A92:C92"/>
    <mergeCell ref="A93:C93"/>
    <mergeCell ref="A94:C94"/>
    <mergeCell ref="A95:C95"/>
    <mergeCell ref="A103:B103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57:G15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topLeftCell="A118" zoomScale="55" zoomScaleNormal="55" workbookViewId="0">
      <selection activeCell="F45" sqref="F45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1463" customWidth="1"/>
    <col min="6" max="6" width="30" style="1464" customWidth="1"/>
    <col min="7" max="7" width="28.88671875" style="1463" customWidth="1"/>
    <col min="8" max="8" width="39.21875" style="1465" customWidth="1"/>
    <col min="9" max="9" width="13.88671875" style="1463" bestFit="1" customWidth="1"/>
    <col min="10" max="10" width="24" style="1466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6384" width="22.33203125" style="376"/>
  </cols>
  <sheetData>
    <row r="1" spans="1:16" ht="33.75">
      <c r="A1" s="1528" t="s">
        <v>117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6" s="281" customFormat="1" ht="27">
      <c r="A2" s="575" t="s">
        <v>318</v>
      </c>
      <c r="B2" s="1036">
        <v>44297</v>
      </c>
      <c r="C2" s="1146" t="s">
        <v>69</v>
      </c>
      <c r="D2" s="611">
        <v>0.37</v>
      </c>
      <c r="E2" s="1393"/>
      <c r="F2" s="1393"/>
      <c r="G2" s="1393" t="s">
        <v>118</v>
      </c>
      <c r="H2" s="1393" t="s">
        <v>6</v>
      </c>
      <c r="I2" s="1393" t="s">
        <v>8</v>
      </c>
      <c r="J2" s="1394" t="s">
        <v>119</v>
      </c>
      <c r="N2" s="720"/>
    </row>
    <row r="3" spans="1:16" s="281" customFormat="1" ht="27">
      <c r="A3" s="570"/>
      <c r="B3" s="614"/>
      <c r="C3" s="1146" t="s">
        <v>120</v>
      </c>
      <c r="D3" s="612">
        <v>24</v>
      </c>
      <c r="E3" s="1563" t="s">
        <v>121</v>
      </c>
      <c r="F3" s="1564"/>
      <c r="G3" s="1395"/>
      <c r="H3" s="1396"/>
      <c r="I3" s="1396"/>
      <c r="J3" s="1397"/>
      <c r="K3" s="371"/>
      <c r="L3" s="292"/>
      <c r="N3" s="720"/>
    </row>
    <row r="4" spans="1:16" s="281" customFormat="1" ht="27">
      <c r="A4" s="576"/>
      <c r="B4" s="616"/>
      <c r="C4" s="1146" t="s">
        <v>122</v>
      </c>
      <c r="D4" s="611">
        <v>0.8</v>
      </c>
      <c r="E4" s="1398"/>
      <c r="F4" s="1398"/>
      <c r="G4" s="1398"/>
      <c r="H4" s="1398"/>
      <c r="I4" s="1399"/>
      <c r="J4" s="1397"/>
      <c r="K4" s="372"/>
      <c r="L4" s="292"/>
      <c r="N4" s="720"/>
    </row>
    <row r="5" spans="1:16">
      <c r="A5" s="577" t="s">
        <v>123</v>
      </c>
      <c r="B5" s="459"/>
      <c r="C5" s="459"/>
      <c r="D5" s="511" t="s">
        <v>124</v>
      </c>
      <c r="E5" s="1400" t="s">
        <v>125</v>
      </c>
      <c r="F5" s="1400" t="s">
        <v>112</v>
      </c>
      <c r="G5" s="1401" t="s">
        <v>126</v>
      </c>
      <c r="H5" s="1400" t="s">
        <v>127</v>
      </c>
      <c r="I5" s="1112" t="s">
        <v>128</v>
      </c>
      <c r="J5" s="1402" t="s">
        <v>129</v>
      </c>
      <c r="K5" s="426"/>
      <c r="L5" s="377"/>
    </row>
    <row r="6" spans="1:16">
      <c r="A6" s="1531" t="s">
        <v>130</v>
      </c>
      <c r="B6" s="1532"/>
      <c r="C6" s="1533"/>
      <c r="D6" s="471"/>
      <c r="E6" s="1403"/>
      <c r="F6" s="1403"/>
      <c r="G6" s="1403"/>
      <c r="H6" s="627"/>
      <c r="I6" s="627"/>
      <c r="J6" s="1404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1405">
        <f>'10'!F7</f>
        <v>5331228</v>
      </c>
      <c r="F7" s="709">
        <v>5352107</v>
      </c>
      <c r="G7" s="1406">
        <f>F7-E7</f>
        <v>20879</v>
      </c>
      <c r="H7" s="753">
        <f>G7+'10'!H7</f>
        <v>238184</v>
      </c>
      <c r="I7" s="1407">
        <v>12000</v>
      </c>
      <c r="J7" s="1408">
        <f>H7/DAY(B2)</f>
        <v>21653.090909090908</v>
      </c>
      <c r="K7" s="549"/>
      <c r="L7" s="377"/>
      <c r="N7" s="721"/>
      <c r="P7" s="724"/>
    </row>
    <row r="8" spans="1:16" ht="27.75" thickBot="1">
      <c r="A8" s="685" t="s">
        <v>133</v>
      </c>
      <c r="B8" s="686"/>
      <c r="C8" s="687"/>
      <c r="D8" s="688" t="s">
        <v>25</v>
      </c>
      <c r="E8" s="1405">
        <f>'10'!F8</f>
        <v>5363644</v>
      </c>
      <c r="F8" s="1409">
        <v>5384609</v>
      </c>
      <c r="G8" s="1406">
        <f t="shared" ref="G8:G12" si="0">F8-E8</f>
        <v>20965</v>
      </c>
      <c r="H8" s="753">
        <f>G8+'10'!H8</f>
        <v>239291</v>
      </c>
      <c r="I8" s="1410">
        <v>12000</v>
      </c>
      <c r="J8" s="1408">
        <f>H8/DAY(B2)</f>
        <v>21753.727272727272</v>
      </c>
      <c r="K8" s="549"/>
      <c r="L8" s="425"/>
      <c r="M8" s="440"/>
      <c r="N8" s="721"/>
      <c r="P8" s="382"/>
    </row>
    <row r="9" spans="1:16">
      <c r="A9" s="690" t="s">
        <v>134</v>
      </c>
      <c r="B9" s="691"/>
      <c r="C9" s="691"/>
      <c r="D9" s="638" t="s">
        <v>132</v>
      </c>
      <c r="E9" s="1405">
        <f>'10'!F9</f>
        <v>606820.94999999995</v>
      </c>
      <c r="F9" s="654">
        <v>627055.63</v>
      </c>
      <c r="G9" s="1411">
        <f t="shared" si="0"/>
        <v>20234.680000000051</v>
      </c>
      <c r="H9" s="753">
        <f>G9+'10'!H9</f>
        <v>230986.63</v>
      </c>
      <c r="I9" s="753">
        <f>I7-J7</f>
        <v>-9653.0909090909081</v>
      </c>
      <c r="J9" s="1408">
        <f>H9/DAY(B2)</f>
        <v>20998.784545454546</v>
      </c>
      <c r="K9" s="428"/>
      <c r="L9" s="377"/>
      <c r="N9" s="721"/>
      <c r="P9" s="382"/>
    </row>
    <row r="10" spans="1:16">
      <c r="A10" s="679" t="s">
        <v>135</v>
      </c>
      <c r="B10" s="680"/>
      <c r="C10" s="680"/>
      <c r="D10" s="638" t="s">
        <v>132</v>
      </c>
      <c r="E10" s="1405">
        <f>'10'!F10</f>
        <v>2322.58</v>
      </c>
      <c r="F10" s="654">
        <v>2322.58</v>
      </c>
      <c r="G10" s="1406">
        <f t="shared" si="0"/>
        <v>0</v>
      </c>
      <c r="H10" s="753">
        <f>G10+'10'!H10</f>
        <v>0</v>
      </c>
      <c r="I10" s="1412"/>
      <c r="J10" s="1408">
        <f>H10/DAY(B2)</f>
        <v>0</v>
      </c>
      <c r="K10" s="428"/>
      <c r="L10" s="377"/>
      <c r="N10" s="721"/>
      <c r="P10" s="382"/>
    </row>
    <row r="11" spans="1:16">
      <c r="A11" s="679" t="s">
        <v>136</v>
      </c>
      <c r="B11" s="680"/>
      <c r="C11" s="680"/>
      <c r="D11" s="638" t="s">
        <v>132</v>
      </c>
      <c r="E11" s="1405">
        <f>'5'!E11</f>
        <v>37000</v>
      </c>
      <c r="F11" s="709">
        <v>37000</v>
      </c>
      <c r="G11" s="1406">
        <f t="shared" si="0"/>
        <v>0</v>
      </c>
      <c r="H11" s="753">
        <f>G11+'10'!H11</f>
        <v>0</v>
      </c>
      <c r="I11" s="1412"/>
      <c r="J11" s="1408">
        <f>H11/DAY(B2)</f>
        <v>0</v>
      </c>
      <c r="K11" s="428"/>
      <c r="L11" s="377"/>
      <c r="N11" s="721"/>
      <c r="P11" s="382"/>
    </row>
    <row r="12" spans="1:16">
      <c r="A12" s="679" t="s">
        <v>137</v>
      </c>
      <c r="B12" s="680"/>
      <c r="C12" s="680"/>
      <c r="D12" s="638" t="s">
        <v>132</v>
      </c>
      <c r="E12" s="1405">
        <f>'5'!E12</f>
        <v>40010</v>
      </c>
      <c r="F12" s="654">
        <v>40010</v>
      </c>
      <c r="G12" s="1406">
        <f t="shared" si="0"/>
        <v>0</v>
      </c>
      <c r="H12" s="753">
        <f>G12+'10'!H12</f>
        <v>0</v>
      </c>
      <c r="I12" s="1412"/>
      <c r="J12" s="1408">
        <f>H12/DAY(B2)</f>
        <v>0</v>
      </c>
      <c r="K12" s="428"/>
      <c r="L12" s="377"/>
      <c r="N12" s="721"/>
      <c r="P12" s="382"/>
    </row>
    <row r="13" spans="1:16">
      <c r="A13" s="695" t="s">
        <v>138</v>
      </c>
      <c r="B13" s="696"/>
      <c r="C13" s="696"/>
      <c r="D13" s="638"/>
      <c r="E13" s="1405"/>
      <c r="F13" s="709"/>
      <c r="G13" s="1406">
        <f>G9+G10+G11+G12</f>
        <v>20234.680000000051</v>
      </c>
      <c r="H13" s="753">
        <f>G13+'9'!H13</f>
        <v>210795.99000000011</v>
      </c>
      <c r="I13" s="1405">
        <f>G7-G13</f>
        <v>644.31999999994878</v>
      </c>
      <c r="J13" s="1408">
        <f>H13/DAY(B2)</f>
        <v>19163.271818181827</v>
      </c>
      <c r="K13" s="428"/>
      <c r="L13" s="377"/>
      <c r="N13" s="721"/>
      <c r="P13" s="382"/>
    </row>
    <row r="14" spans="1:16">
      <c r="A14" s="1534" t="s">
        <v>139</v>
      </c>
      <c r="B14" s="1535"/>
      <c r="C14" s="1536"/>
      <c r="D14" s="472"/>
      <c r="E14" s="627"/>
      <c r="F14" s="627"/>
      <c r="G14" s="650"/>
      <c r="H14" s="627"/>
      <c r="I14" s="627"/>
      <c r="J14" s="1404"/>
      <c r="K14" s="429"/>
      <c r="L14" s="377"/>
      <c r="N14" s="721"/>
      <c r="P14" s="382"/>
    </row>
    <row r="15" spans="1:16">
      <c r="A15" s="796" t="s">
        <v>140</v>
      </c>
      <c r="B15" s="797"/>
      <c r="C15" s="797"/>
      <c r="D15" s="524" t="s">
        <v>141</v>
      </c>
      <c r="E15" s="654">
        <f>'10'!F15</f>
        <v>1655984.112</v>
      </c>
      <c r="F15" s="654">
        <v>1656830.94</v>
      </c>
      <c r="G15" s="655">
        <f>(F15-E15)</f>
        <v>846.82799999997951</v>
      </c>
      <c r="H15" s="708">
        <f>G15+'10'!H15</f>
        <v>10141.939999999944</v>
      </c>
      <c r="I15" s="1414">
        <v>800</v>
      </c>
      <c r="J15" s="710">
        <f>H15/DAY(B2)</f>
        <v>921.99454545454034</v>
      </c>
      <c r="K15" s="428"/>
      <c r="L15" s="377"/>
      <c r="N15" s="721"/>
      <c r="P15" s="382"/>
    </row>
    <row r="16" spans="1:16">
      <c r="A16" s="587"/>
      <c r="B16" s="588"/>
      <c r="C16" s="588"/>
      <c r="D16" s="524"/>
      <c r="E16" s="654"/>
      <c r="F16" s="654"/>
      <c r="G16" s="1413"/>
      <c r="H16" s="708"/>
      <c r="I16" s="709">
        <f>I15-J15</f>
        <v>-121.99454545454034</v>
      </c>
      <c r="J16" s="710"/>
      <c r="K16" s="428"/>
      <c r="L16" s="377"/>
      <c r="N16" s="721"/>
      <c r="P16" s="382"/>
    </row>
    <row r="17" spans="1:16">
      <c r="A17" s="1534" t="s">
        <v>142</v>
      </c>
      <c r="B17" s="1535"/>
      <c r="C17" s="1536"/>
      <c r="D17" s="472"/>
      <c r="E17" s="627"/>
      <c r="F17" s="627"/>
      <c r="G17" s="753"/>
      <c r="H17" s="627"/>
      <c r="I17" s="627"/>
      <c r="J17" s="1404"/>
      <c r="K17" s="428"/>
      <c r="L17" s="377"/>
      <c r="N17" s="721"/>
      <c r="P17" s="382"/>
    </row>
    <row r="18" spans="1:16" ht="27.75">
      <c r="A18" s="1560" t="s">
        <v>143</v>
      </c>
      <c r="B18" s="1561"/>
      <c r="C18" s="1562"/>
      <c r="D18" s="638" t="s">
        <v>144</v>
      </c>
      <c r="E18" s="636">
        <f>'10'!F18</f>
        <v>8</v>
      </c>
      <c r="F18" s="654">
        <v>8</v>
      </c>
      <c r="G18" s="1406">
        <f>F18*10</f>
        <v>80</v>
      </c>
      <c r="H18" s="753">
        <f>G18+'10'!H18</f>
        <v>1140</v>
      </c>
      <c r="I18" s="1407">
        <v>65</v>
      </c>
      <c r="J18" s="1408">
        <f>H18/DAY(B2)</f>
        <v>103.63636363636364</v>
      </c>
      <c r="K18" s="428"/>
      <c r="L18" s="377"/>
      <c r="N18" s="721"/>
      <c r="P18" s="382"/>
    </row>
    <row r="19" spans="1:16" ht="27.75">
      <c r="A19" s="1560" t="s">
        <v>71</v>
      </c>
      <c r="B19" s="1561"/>
      <c r="C19" s="1562"/>
      <c r="D19" s="638" t="s">
        <v>144</v>
      </c>
      <c r="E19" s="636">
        <f>'10'!F19</f>
        <v>136656</v>
      </c>
      <c r="F19" s="654">
        <v>136713</v>
      </c>
      <c r="G19" s="1406">
        <f t="shared" ref="G19" si="1">F19-E19</f>
        <v>57</v>
      </c>
      <c r="H19" s="753">
        <f>G19+'10'!H19</f>
        <v>623</v>
      </c>
      <c r="I19" s="1415"/>
      <c r="J19" s="1408">
        <f>H19/DAY(B2)</f>
        <v>56.636363636363633</v>
      </c>
      <c r="K19" s="428"/>
      <c r="L19" s="377"/>
      <c r="N19" s="721"/>
      <c r="P19" s="382"/>
    </row>
    <row r="20" spans="1:16">
      <c r="A20" s="695" t="s">
        <v>145</v>
      </c>
      <c r="B20" s="696"/>
      <c r="C20" s="696"/>
      <c r="D20" s="638"/>
      <c r="E20" s="650"/>
      <c r="F20" s="627"/>
      <c r="G20" s="1416">
        <f>G18+G19</f>
        <v>137</v>
      </c>
      <c r="H20" s="753">
        <f>G20+'10'!H20</f>
        <v>1763</v>
      </c>
      <c r="I20" s="1417">
        <f>I18-J20</f>
        <v>-95.27272727272728</v>
      </c>
      <c r="J20" s="1408">
        <f>H20/DAY(B2)</f>
        <v>160.27272727272728</v>
      </c>
      <c r="K20" s="428"/>
      <c r="L20" s="377"/>
      <c r="N20" s="721"/>
      <c r="P20" s="382"/>
    </row>
    <row r="21" spans="1:16">
      <c r="A21" s="1534" t="s">
        <v>146</v>
      </c>
      <c r="B21" s="1535"/>
      <c r="C21" s="1536"/>
      <c r="D21" s="472"/>
      <c r="E21" s="627"/>
      <c r="F21" s="627"/>
      <c r="G21" s="650"/>
      <c r="H21" s="627"/>
      <c r="I21" s="627"/>
      <c r="J21" s="1404"/>
      <c r="K21" s="428"/>
      <c r="L21" s="377"/>
      <c r="N21" s="721"/>
      <c r="P21" s="382"/>
    </row>
    <row r="22" spans="1:16">
      <c r="A22" s="1144" t="s">
        <v>147</v>
      </c>
      <c r="B22" s="589"/>
      <c r="C22" s="589"/>
      <c r="D22" s="523" t="s">
        <v>148</v>
      </c>
      <c r="E22" s="636">
        <f>'10'!F22</f>
        <v>1290</v>
      </c>
      <c r="F22" s="654">
        <v>2970</v>
      </c>
      <c r="G22" s="655">
        <f t="shared" ref="G22" si="2">(F22-E22)</f>
        <v>1680</v>
      </c>
      <c r="H22" s="708">
        <f>G22+'10'!H22</f>
        <v>1680</v>
      </c>
      <c r="I22" s="1076"/>
      <c r="J22" s="710">
        <f>H22/DAY(B2)</f>
        <v>152.72727272727272</v>
      </c>
      <c r="K22" s="428"/>
      <c r="L22" s="377"/>
      <c r="N22" s="721"/>
      <c r="P22" s="382"/>
    </row>
    <row r="23" spans="1:16">
      <c r="A23" s="1144" t="s">
        <v>149</v>
      </c>
      <c r="B23" s="589"/>
      <c r="C23" s="589"/>
      <c r="D23" s="523" t="s">
        <v>148</v>
      </c>
      <c r="E23" s="636">
        <f>'10'!F23</f>
        <v>2900</v>
      </c>
      <c r="F23" s="654">
        <v>2900</v>
      </c>
      <c r="G23" s="655">
        <v>0</v>
      </c>
      <c r="H23" s="708">
        <f>G23+'10'!H23</f>
        <v>0</v>
      </c>
      <c r="I23" s="1076"/>
      <c r="J23" s="710">
        <f>H23/DAY(B2)</f>
        <v>0</v>
      </c>
      <c r="K23" s="428"/>
      <c r="L23" s="377"/>
      <c r="N23" s="721"/>
      <c r="P23" s="382"/>
    </row>
    <row r="24" spans="1:16">
      <c r="A24" s="590" t="s">
        <v>150</v>
      </c>
      <c r="B24" s="591"/>
      <c r="C24" s="591"/>
      <c r="D24" s="511" t="s">
        <v>148</v>
      </c>
      <c r="E24" s="1418">
        <f>'10'!F24</f>
        <v>4250</v>
      </c>
      <c r="F24" s="654">
        <v>4250</v>
      </c>
      <c r="G24" s="655">
        <v>0</v>
      </c>
      <c r="H24" s="708">
        <f>G24+'10'!H24</f>
        <v>0</v>
      </c>
      <c r="I24" s="1076"/>
      <c r="J24" s="710">
        <f>H24/DAY(B2)</f>
        <v>0</v>
      </c>
      <c r="K24" s="428"/>
      <c r="L24" s="377"/>
      <c r="N24" s="721"/>
      <c r="P24" s="382"/>
    </row>
    <row r="25" spans="1:16" s="442" customFormat="1" ht="27">
      <c r="A25" s="1539" t="s">
        <v>151</v>
      </c>
      <c r="B25" s="1540"/>
      <c r="C25" s="1541"/>
      <c r="D25" s="471"/>
      <c r="E25" s="1403"/>
      <c r="F25" s="1403"/>
      <c r="G25" s="1419"/>
      <c r="H25" s="1112"/>
      <c r="I25" s="1420"/>
      <c r="J25" s="1421"/>
      <c r="K25" s="373"/>
      <c r="L25" s="443"/>
      <c r="N25" s="721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1422"/>
      <c r="F26" s="709"/>
      <c r="G26" s="1423"/>
      <c r="H26" s="708"/>
      <c r="I26" s="1424"/>
      <c r="J26" s="710"/>
      <c r="K26" s="374"/>
      <c r="L26" s="443"/>
      <c r="N26" s="721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1425">
        <f>G8</f>
        <v>20965</v>
      </c>
      <c r="F27" s="1426">
        <v>9</v>
      </c>
      <c r="G27" s="1427">
        <f>E27*F27</f>
        <v>188685</v>
      </c>
      <c r="H27" s="708">
        <f>G27+'10'!H27</f>
        <v>2153619</v>
      </c>
      <c r="I27" s="1428"/>
      <c r="J27" s="710">
        <f>H27/DAY(B2)</f>
        <v>195783.54545454544</v>
      </c>
      <c r="K27" s="373"/>
      <c r="L27" s="443"/>
      <c r="N27" s="721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1425">
        <f>G15</f>
        <v>846.82799999997951</v>
      </c>
      <c r="F28" s="1426">
        <v>51.45</v>
      </c>
      <c r="G28" s="1427">
        <f>E28*F28</f>
        <v>43569.300599998947</v>
      </c>
      <c r="H28" s="708">
        <f>G28+'10'!H28</f>
        <v>521802.81299999711</v>
      </c>
      <c r="I28" s="1429"/>
      <c r="J28" s="710">
        <f>H28/DAY(B2)</f>
        <v>47436.619363636099</v>
      </c>
      <c r="K28" s="373"/>
      <c r="L28" s="443"/>
      <c r="N28" s="721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1425">
        <f>G24</f>
        <v>0</v>
      </c>
      <c r="F29" s="1426">
        <v>69</v>
      </c>
      <c r="G29" s="1427">
        <f>E29*F29</f>
        <v>0</v>
      </c>
      <c r="H29" s="708">
        <f>G29+'10'!H29</f>
        <v>0</v>
      </c>
      <c r="I29" s="1429"/>
      <c r="J29" s="710">
        <f>H29/DAY(B2)</f>
        <v>0</v>
      </c>
      <c r="K29" s="373"/>
      <c r="L29" s="443"/>
      <c r="N29" s="721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1425">
        <f>G19</f>
        <v>57</v>
      </c>
      <c r="F30" s="1426">
        <v>134</v>
      </c>
      <c r="G30" s="1427">
        <f>E30*F30</f>
        <v>7638</v>
      </c>
      <c r="H30" s="708">
        <f>G30+'10'!H30</f>
        <v>84850</v>
      </c>
      <c r="I30" s="1429"/>
      <c r="J30" s="710">
        <f>H30/DAY(B2)</f>
        <v>7713.636363636364</v>
      </c>
      <c r="K30" s="373"/>
      <c r="L30" s="443"/>
      <c r="N30" s="721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1425">
        <f>G18</f>
        <v>80</v>
      </c>
      <c r="F31" s="1426">
        <v>80</v>
      </c>
      <c r="G31" s="1427">
        <f>E31*F31</f>
        <v>6400</v>
      </c>
      <c r="H31" s="708">
        <f>G31+'10'!H31</f>
        <v>91200</v>
      </c>
      <c r="I31" s="1429"/>
      <c r="J31" s="710">
        <f>H31/DAY(B2)</f>
        <v>8290.9090909090901</v>
      </c>
      <c r="K31" s="373"/>
      <c r="L31" s="443"/>
      <c r="N31" s="721"/>
      <c r="P31" s="382"/>
    </row>
    <row r="32" spans="1:16" s="442" customFormat="1" ht="27.75">
      <c r="A32" s="595" t="s">
        <v>161</v>
      </c>
      <c r="B32" s="596"/>
      <c r="C32" s="597"/>
      <c r="D32" s="507"/>
      <c r="E32" s="1430"/>
      <c r="F32" s="627"/>
      <c r="G32" s="1431">
        <f>G27+G28+G29+G30+G31</f>
        <v>246292.30059999894</v>
      </c>
      <c r="H32" s="708">
        <f>G32+'10'!H32</f>
        <v>2851471.8129999973</v>
      </c>
      <c r="I32" s="1432"/>
      <c r="J32" s="710">
        <f>H32/DAY(B2)</f>
        <v>259224.71027272704</v>
      </c>
      <c r="K32" s="373"/>
      <c r="L32" s="443"/>
      <c r="N32" s="721"/>
      <c r="P32" s="382"/>
    </row>
    <row r="33" spans="1:16" ht="25.5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  <c r="N33" s="721"/>
      <c r="P33" s="382"/>
    </row>
    <row r="34" spans="1:16">
      <c r="A34" s="598" t="s">
        <v>163</v>
      </c>
      <c r="B34" s="1149"/>
      <c r="C34" s="1149"/>
      <c r="D34" s="472"/>
      <c r="E34" s="1403"/>
      <c r="F34" s="1403"/>
      <c r="G34" s="627"/>
      <c r="H34" s="627"/>
      <c r="I34" s="627"/>
      <c r="J34" s="1404"/>
      <c r="K34" s="428"/>
      <c r="L34" s="377"/>
      <c r="N34" s="721"/>
      <c r="P34" s="382"/>
    </row>
    <row r="35" spans="1:16">
      <c r="A35" s="578" t="s">
        <v>164</v>
      </c>
      <c r="B35" s="579"/>
      <c r="C35" s="579"/>
      <c r="D35" s="523" t="s">
        <v>132</v>
      </c>
      <c r="E35" s="656">
        <f>'10'!F35</f>
        <v>831910.39</v>
      </c>
      <c r="F35" s="656">
        <v>835033.11</v>
      </c>
      <c r="G35" s="655">
        <f t="shared" ref="G35:G46" si="3">F35-E35</f>
        <v>3122.7199999999721</v>
      </c>
      <c r="H35" s="708">
        <f>G35+'10'!H35</f>
        <v>36644.109999999986</v>
      </c>
      <c r="I35" s="709"/>
      <c r="J35" s="710">
        <f>H35/DAY(B2)</f>
        <v>3331.2827272727259</v>
      </c>
      <c r="K35" s="428"/>
      <c r="L35" s="377"/>
      <c r="N35" s="721"/>
      <c r="P35" s="382"/>
    </row>
    <row r="36" spans="1:16">
      <c r="A36" s="578" t="s">
        <v>165</v>
      </c>
      <c r="B36" s="579"/>
      <c r="C36" s="579"/>
      <c r="D36" s="523" t="s">
        <v>132</v>
      </c>
      <c r="E36" s="656">
        <f>'10'!F36</f>
        <v>326272.69</v>
      </c>
      <c r="F36" s="656">
        <v>327306.33</v>
      </c>
      <c r="G36" s="655">
        <f t="shared" si="3"/>
        <v>1033.640000000014</v>
      </c>
      <c r="H36" s="708">
        <f>G36+'10'!H36</f>
        <v>9870.3300000000163</v>
      </c>
      <c r="I36" s="709"/>
      <c r="J36" s="710">
        <f>H36/DAY(B2)</f>
        <v>897.3027272727287</v>
      </c>
      <c r="K36" s="428"/>
      <c r="L36" s="377"/>
      <c r="N36" s="722"/>
      <c r="P36" s="382"/>
    </row>
    <row r="37" spans="1:16">
      <c r="A37" s="578" t="s">
        <v>166</v>
      </c>
      <c r="B37" s="579"/>
      <c r="C37" s="579"/>
      <c r="D37" s="523" t="s">
        <v>132</v>
      </c>
      <c r="E37" s="656">
        <f>'10'!F37</f>
        <v>68671.839999999997</v>
      </c>
      <c r="F37" s="656">
        <v>70027.45</v>
      </c>
      <c r="G37" s="655">
        <f t="shared" si="3"/>
        <v>1355.6100000000006</v>
      </c>
      <c r="H37" s="708">
        <f>G37+'10'!H37</f>
        <v>15230.449999999997</v>
      </c>
      <c r="I37" s="709"/>
      <c r="J37" s="710">
        <f>H37/DAY(B2)</f>
        <v>1384.5863636363633</v>
      </c>
      <c r="K37" s="428"/>
      <c r="L37" s="377"/>
      <c r="N37" s="722"/>
      <c r="P37" s="382"/>
    </row>
    <row r="38" spans="1:16">
      <c r="A38" s="578" t="s">
        <v>167</v>
      </c>
      <c r="B38" s="579"/>
      <c r="C38" s="579"/>
      <c r="D38" s="523" t="s">
        <v>132</v>
      </c>
      <c r="E38" s="656">
        <f>'10'!F38</f>
        <v>89396.3</v>
      </c>
      <c r="F38" s="1400">
        <v>91007.31</v>
      </c>
      <c r="G38" s="655">
        <f t="shared" si="3"/>
        <v>1611.0099999999948</v>
      </c>
      <c r="H38" s="708">
        <f>G38+'10'!H38</f>
        <v>18699.309999999998</v>
      </c>
      <c r="I38" s="709"/>
      <c r="J38" s="710">
        <f>H38/DAY(B2)</f>
        <v>1699.9372727272726</v>
      </c>
      <c r="K38" s="428"/>
      <c r="L38" s="377"/>
      <c r="N38" s="721"/>
      <c r="P38" s="382"/>
    </row>
    <row r="39" spans="1:16">
      <c r="A39" s="578" t="s">
        <v>168</v>
      </c>
      <c r="B39" s="579"/>
      <c r="C39" s="579"/>
      <c r="D39" s="523" t="s">
        <v>132</v>
      </c>
      <c r="E39" s="656">
        <f>'10'!F39</f>
        <v>189839.47</v>
      </c>
      <c r="F39" s="656">
        <v>193206.67300000001</v>
      </c>
      <c r="G39" s="655">
        <f t="shared" si="3"/>
        <v>3367.2030000000086</v>
      </c>
      <c r="H39" s="708">
        <f>G39+'10'!H39</f>
        <v>40384.67300000001</v>
      </c>
      <c r="I39" s="709"/>
      <c r="J39" s="710">
        <f>H39/DAY(B2)</f>
        <v>3671.3339090909099</v>
      </c>
      <c r="K39" s="428"/>
      <c r="L39" s="377"/>
      <c r="N39" s="721"/>
      <c r="P39" s="382"/>
    </row>
    <row r="40" spans="1:16">
      <c r="A40" s="599" t="s">
        <v>169</v>
      </c>
      <c r="B40" s="600"/>
      <c r="C40" s="600"/>
      <c r="D40" s="523" t="s">
        <v>132</v>
      </c>
      <c r="E40" s="656">
        <f>'10'!F40</f>
        <v>0.23</v>
      </c>
      <c r="F40" s="656">
        <v>0.23</v>
      </c>
      <c r="G40" s="655">
        <f t="shared" si="3"/>
        <v>0</v>
      </c>
      <c r="H40" s="708">
        <f>G40+'10'!H40</f>
        <v>0.17</v>
      </c>
      <c r="I40" s="709"/>
      <c r="J40" s="710">
        <f>H40/DAY(B2)</f>
        <v>1.5454545454545455E-2</v>
      </c>
      <c r="K40" s="429"/>
      <c r="L40" s="377"/>
      <c r="N40" s="721"/>
      <c r="P40" s="382"/>
    </row>
    <row r="41" spans="1:16">
      <c r="A41" s="578" t="s">
        <v>170</v>
      </c>
      <c r="B41" s="579"/>
      <c r="C41" s="579"/>
      <c r="D41" s="523" t="s">
        <v>132</v>
      </c>
      <c r="E41" s="656">
        <f>'10'!F41</f>
        <v>161910.42000000001</v>
      </c>
      <c r="F41" s="656">
        <v>161910.42000000001</v>
      </c>
      <c r="G41" s="655">
        <f t="shared" si="3"/>
        <v>0</v>
      </c>
      <c r="H41" s="708">
        <f>G41+'10'!H41</f>
        <v>28769.420000000013</v>
      </c>
      <c r="I41" s="709"/>
      <c r="J41" s="710">
        <f>H41/DAY(B2)</f>
        <v>2615.4018181818192</v>
      </c>
      <c r="K41" s="428"/>
      <c r="L41" s="377"/>
      <c r="N41" s="721"/>
      <c r="P41" s="724"/>
    </row>
    <row r="42" spans="1:16">
      <c r="A42" s="578" t="s">
        <v>171</v>
      </c>
      <c r="B42" s="579"/>
      <c r="C42" s="579"/>
      <c r="D42" s="523" t="s">
        <v>132</v>
      </c>
      <c r="E42" s="656">
        <f>'10'!F42</f>
        <v>59128</v>
      </c>
      <c r="F42" s="656">
        <v>59128</v>
      </c>
      <c r="G42" s="655">
        <f t="shared" si="3"/>
        <v>0</v>
      </c>
      <c r="H42" s="708">
        <f>G42+'10'!H42</f>
        <v>-0.16000000000349246</v>
      </c>
      <c r="I42" s="709"/>
      <c r="J42" s="710">
        <f>H42/DAY(B2)</f>
        <v>-1.4545454545772041E-2</v>
      </c>
      <c r="K42" s="428"/>
      <c r="L42" s="377"/>
      <c r="N42" s="721"/>
      <c r="P42" s="382"/>
    </row>
    <row r="43" spans="1:16">
      <c r="A43" s="578" t="s">
        <v>172</v>
      </c>
      <c r="B43" s="579"/>
      <c r="C43" s="579"/>
      <c r="D43" s="523" t="s">
        <v>132</v>
      </c>
      <c r="E43" s="656">
        <f>'10'!F43</f>
        <v>927033.05</v>
      </c>
      <c r="F43" s="656">
        <v>929431.35</v>
      </c>
      <c r="G43" s="655">
        <f>F43-E43</f>
        <v>2398.2999999999302</v>
      </c>
      <c r="H43" s="708">
        <f>G43+'10'!H43</f>
        <v>27383.349999999977</v>
      </c>
      <c r="I43" s="709"/>
      <c r="J43" s="710">
        <f>H43/DAY(B2)</f>
        <v>2489.3954545454526</v>
      </c>
      <c r="K43" s="428"/>
      <c r="L43" s="377"/>
      <c r="N43" s="721"/>
      <c r="P43" s="382"/>
    </row>
    <row r="44" spans="1:16">
      <c r="A44" s="578" t="s">
        <v>173</v>
      </c>
      <c r="B44" s="579"/>
      <c r="C44" s="579"/>
      <c r="D44" s="523" t="s">
        <v>132</v>
      </c>
      <c r="E44" s="656">
        <f>'10'!F44</f>
        <v>0</v>
      </c>
      <c r="F44" s="656">
        <v>0</v>
      </c>
      <c r="G44" s="655">
        <f t="shared" si="3"/>
        <v>0</v>
      </c>
      <c r="H44" s="708">
        <f>G44+'10'!H44</f>
        <v>0</v>
      </c>
      <c r="I44" s="709"/>
      <c r="J44" s="710">
        <f>H44/DAY(B2)</f>
        <v>0</v>
      </c>
      <c r="K44" s="428"/>
      <c r="L44" s="377"/>
      <c r="N44" s="721"/>
      <c r="P44" s="382"/>
    </row>
    <row r="45" spans="1:16">
      <c r="A45" s="578" t="s">
        <v>174</v>
      </c>
      <c r="B45" s="579"/>
      <c r="C45" s="579"/>
      <c r="D45" s="523" t="s">
        <v>132</v>
      </c>
      <c r="E45" s="656">
        <f>'10'!F45</f>
        <v>614</v>
      </c>
      <c r="F45" s="656">
        <v>614</v>
      </c>
      <c r="G45" s="655">
        <f t="shared" si="3"/>
        <v>0</v>
      </c>
      <c r="H45" s="708">
        <f>G45+'10'!H45</f>
        <v>614</v>
      </c>
      <c r="I45" s="709"/>
      <c r="J45" s="710">
        <f>H45/DAY(B2)</f>
        <v>55.81818181818182</v>
      </c>
      <c r="K45" s="428"/>
      <c r="L45" s="377"/>
      <c r="N45" s="721"/>
      <c r="P45" s="382"/>
    </row>
    <row r="46" spans="1:16">
      <c r="A46" s="578" t="s">
        <v>175</v>
      </c>
      <c r="B46" s="579"/>
      <c r="C46" s="579"/>
      <c r="D46" s="523" t="s">
        <v>132</v>
      </c>
      <c r="E46" s="656">
        <f>'10'!F46</f>
        <v>187</v>
      </c>
      <c r="F46" s="656">
        <v>187.49</v>
      </c>
      <c r="G46" s="655">
        <f t="shared" si="3"/>
        <v>0.49000000000000909</v>
      </c>
      <c r="H46" s="708">
        <f>G46+'10'!H46</f>
        <v>187.49</v>
      </c>
      <c r="I46" s="709"/>
      <c r="J46" s="710">
        <f>H46/DAY(B2)</f>
        <v>17.044545454545457</v>
      </c>
      <c r="K46" s="428"/>
      <c r="L46" s="377"/>
      <c r="N46" s="721"/>
      <c r="P46" s="382"/>
    </row>
    <row r="47" spans="1:16">
      <c r="A47" s="585" t="s">
        <v>176</v>
      </c>
      <c r="B47" s="586"/>
      <c r="C47" s="586"/>
      <c r="D47" s="470"/>
      <c r="E47" s="1403"/>
      <c r="F47" s="1403"/>
      <c r="G47" s="655">
        <f>G35+G36+G37+G38+G39+G40+G41+G42+G43+G44+G45+G46</f>
        <v>12888.97299999992</v>
      </c>
      <c r="H47" s="708">
        <f>G47+'10'!H47</f>
        <v>177783.14299999995</v>
      </c>
      <c r="I47" s="709"/>
      <c r="J47" s="710">
        <f>H47/DAY(B2)</f>
        <v>16162.103909090905</v>
      </c>
      <c r="K47" s="428"/>
      <c r="L47" s="377"/>
      <c r="N47" s="721"/>
      <c r="P47" s="382"/>
    </row>
    <row r="48" spans="1:16">
      <c r="A48" s="598" t="s">
        <v>177</v>
      </c>
      <c r="B48" s="1149"/>
      <c r="C48" s="1149"/>
      <c r="D48" s="472"/>
      <c r="E48" s="1403"/>
      <c r="F48" s="1403"/>
      <c r="G48" s="627"/>
      <c r="H48" s="627"/>
      <c r="I48" s="627"/>
      <c r="J48" s="1404"/>
      <c r="K48" s="428"/>
      <c r="L48" s="377"/>
      <c r="N48" s="721"/>
      <c r="P48" s="382"/>
    </row>
    <row r="49" spans="1:16">
      <c r="A49" s="578" t="s">
        <v>164</v>
      </c>
      <c r="B49" s="601"/>
      <c r="C49" s="601"/>
      <c r="D49" s="523" t="s">
        <v>132</v>
      </c>
      <c r="E49" s="656">
        <f>'10'!F49</f>
        <v>260732.13</v>
      </c>
      <c r="F49" s="656">
        <v>260732</v>
      </c>
      <c r="G49" s="655">
        <f t="shared" ref="G49:G58" si="4">F49-E49</f>
        <v>-0.13000000000465661</v>
      </c>
      <c r="H49" s="708">
        <f>G49+'9'!H49</f>
        <v>0</v>
      </c>
      <c r="I49" s="709"/>
      <c r="J49" s="710">
        <f>H49/DAY(B2)</f>
        <v>0</v>
      </c>
      <c r="K49" s="428"/>
      <c r="L49" s="377"/>
      <c r="N49" s="721"/>
      <c r="P49" s="382"/>
    </row>
    <row r="50" spans="1:16">
      <c r="A50" s="578" t="s">
        <v>178</v>
      </c>
      <c r="B50" s="601"/>
      <c r="C50" s="601"/>
      <c r="D50" s="523" t="s">
        <v>132</v>
      </c>
      <c r="E50" s="656">
        <f>'10'!F50</f>
        <v>452410.95</v>
      </c>
      <c r="F50" s="656">
        <v>453536.03</v>
      </c>
      <c r="G50" s="655">
        <f t="shared" si="4"/>
        <v>1125.0800000000163</v>
      </c>
      <c r="H50" s="708">
        <f>G50+'9'!H50</f>
        <v>11261.989999999991</v>
      </c>
      <c r="I50" s="709"/>
      <c r="J50" s="710">
        <f>H50/DAY(B2)</f>
        <v>1023.8172727272719</v>
      </c>
      <c r="K50" s="428"/>
      <c r="L50" s="377"/>
      <c r="N50" s="721"/>
      <c r="P50" s="382"/>
    </row>
    <row r="51" spans="1:16">
      <c r="A51" s="578" t="s">
        <v>166</v>
      </c>
      <c r="B51" s="601"/>
      <c r="C51" s="601"/>
      <c r="D51" s="523" t="s">
        <v>132</v>
      </c>
      <c r="E51" s="656">
        <f>'10'!F51</f>
        <v>144639.87</v>
      </c>
      <c r="F51" s="656">
        <v>144639.87</v>
      </c>
      <c r="G51" s="655">
        <f t="shared" si="4"/>
        <v>0</v>
      </c>
      <c r="H51" s="708">
        <f>G51+'9'!H51</f>
        <v>-0.13000000000465661</v>
      </c>
      <c r="I51" s="709"/>
      <c r="J51" s="710">
        <f>H51/DAY(B2)</f>
        <v>-1.1818181818605146E-2</v>
      </c>
      <c r="K51" s="428"/>
      <c r="L51" s="377"/>
      <c r="N51" s="721"/>
      <c r="P51" s="382"/>
    </row>
    <row r="52" spans="1:16">
      <c r="A52" s="578" t="s">
        <v>179</v>
      </c>
      <c r="B52" s="601"/>
      <c r="C52" s="601"/>
      <c r="D52" s="523" t="s">
        <v>132</v>
      </c>
      <c r="E52" s="656">
        <f>'10'!F52</f>
        <v>539606.06999999995</v>
      </c>
      <c r="F52" s="656">
        <v>539606.06999999995</v>
      </c>
      <c r="G52" s="655">
        <f t="shared" si="4"/>
        <v>0</v>
      </c>
      <c r="H52" s="708">
        <f>G52+'9'!H52</f>
        <v>-1.9300000000512227</v>
      </c>
      <c r="I52" s="709"/>
      <c r="J52" s="710">
        <f>H52/DAY(B2)</f>
        <v>-0.17545454545920205</v>
      </c>
      <c r="K52" s="428"/>
      <c r="L52" s="377"/>
      <c r="N52" s="721"/>
      <c r="P52" s="382"/>
    </row>
    <row r="53" spans="1:16">
      <c r="A53" s="578" t="s">
        <v>168</v>
      </c>
      <c r="B53" s="601"/>
      <c r="C53" s="601"/>
      <c r="D53" s="523" t="s">
        <v>132</v>
      </c>
      <c r="E53" s="656">
        <f>'10'!F53</f>
        <v>404950.95</v>
      </c>
      <c r="F53" s="656">
        <v>405485.15</v>
      </c>
      <c r="G53" s="655">
        <f t="shared" si="4"/>
        <v>534.20000000001164</v>
      </c>
      <c r="H53" s="708">
        <f>G53+'9'!H53</f>
        <v>3651.3500000000349</v>
      </c>
      <c r="I53" s="709"/>
      <c r="J53" s="710">
        <f>H53/DAY(B2)</f>
        <v>331.94090909091227</v>
      </c>
      <c r="K53" s="428"/>
      <c r="L53" s="377"/>
      <c r="N53" s="721"/>
      <c r="P53" s="382"/>
    </row>
    <row r="54" spans="1:16">
      <c r="A54" s="578" t="s">
        <v>180</v>
      </c>
      <c r="B54" s="601"/>
      <c r="C54" s="601"/>
      <c r="D54" s="523" t="s">
        <v>132</v>
      </c>
      <c r="E54" s="656">
        <f>'10'!F54</f>
        <v>9880.59</v>
      </c>
      <c r="F54" s="656">
        <v>9950.2999999999993</v>
      </c>
      <c r="G54" s="655">
        <f t="shared" si="4"/>
        <v>69.709999999999127</v>
      </c>
      <c r="H54" s="708">
        <f>G54+'9'!H54</f>
        <v>3725.33</v>
      </c>
      <c r="I54" s="709"/>
      <c r="J54" s="710">
        <f>H54/DAY(B2)</f>
        <v>338.66636363636366</v>
      </c>
      <c r="K54" s="428"/>
      <c r="L54" s="377"/>
      <c r="N54" s="721"/>
      <c r="P54" s="382"/>
    </row>
    <row r="55" spans="1:16">
      <c r="A55" s="578" t="s">
        <v>181</v>
      </c>
      <c r="B55" s="601"/>
      <c r="C55" s="601"/>
      <c r="D55" s="523" t="s">
        <v>132</v>
      </c>
      <c r="E55" s="656">
        <f>'10'!F55</f>
        <v>248478.13</v>
      </c>
      <c r="F55" s="656">
        <v>254221.09</v>
      </c>
      <c r="G55" s="655">
        <f t="shared" si="4"/>
        <v>5742.9599999999919</v>
      </c>
      <c r="H55" s="708">
        <f>G55+'9'!H55</f>
        <v>32767.889999999985</v>
      </c>
      <c r="I55" s="709"/>
      <c r="J55" s="710">
        <f>H55/DAY(B2)</f>
        <v>2978.8990909090894</v>
      </c>
      <c r="K55" s="428"/>
      <c r="L55" s="377"/>
      <c r="N55" s="721"/>
      <c r="P55" s="382"/>
    </row>
    <row r="56" spans="1:16">
      <c r="A56" s="578" t="s">
        <v>182</v>
      </c>
      <c r="B56" s="601"/>
      <c r="C56" s="601"/>
      <c r="D56" s="523" t="s">
        <v>183</v>
      </c>
      <c r="E56" s="656">
        <f>'10'!F56</f>
        <v>589067.67000000004</v>
      </c>
      <c r="F56" s="656">
        <v>589076.91</v>
      </c>
      <c r="G56" s="655">
        <f t="shared" si="4"/>
        <v>9.2399999999906868</v>
      </c>
      <c r="H56" s="708">
        <f>G56+'9'!H56</f>
        <v>100.75</v>
      </c>
      <c r="I56" s="709"/>
      <c r="J56" s="710">
        <f>H56/DAY(B2)</f>
        <v>9.1590909090909083</v>
      </c>
      <c r="K56" s="427"/>
      <c r="L56" s="377"/>
      <c r="N56" s="721"/>
      <c r="P56" s="382"/>
    </row>
    <row r="57" spans="1:16">
      <c r="A57" s="578" t="s">
        <v>172</v>
      </c>
      <c r="B57" s="601"/>
      <c r="C57" s="601"/>
      <c r="D57" s="523" t="s">
        <v>132</v>
      </c>
      <c r="E57" s="656">
        <f>'10'!F57</f>
        <v>7711</v>
      </c>
      <c r="F57" s="656">
        <v>7711</v>
      </c>
      <c r="G57" s="655">
        <f t="shared" si="4"/>
        <v>0</v>
      </c>
      <c r="H57" s="708">
        <f>G57+'9'!H57</f>
        <v>0</v>
      </c>
      <c r="I57" s="709"/>
      <c r="J57" s="710">
        <f>H57/DAY(B2)</f>
        <v>0</v>
      </c>
      <c r="K57" s="428"/>
      <c r="L57" s="377"/>
      <c r="N57" s="721"/>
      <c r="P57" s="382"/>
    </row>
    <row r="58" spans="1:16">
      <c r="A58" s="578" t="s">
        <v>184</v>
      </c>
      <c r="B58" s="601"/>
      <c r="C58" s="601"/>
      <c r="D58" s="523" t="s">
        <v>132</v>
      </c>
      <c r="E58" s="656">
        <f>'10'!F58</f>
        <v>43458.400000000001</v>
      </c>
      <c r="F58" s="656">
        <v>43640.07</v>
      </c>
      <c r="G58" s="655">
        <f t="shared" si="4"/>
        <v>181.66999999999825</v>
      </c>
      <c r="H58" s="708">
        <f>G58+'9'!H58</f>
        <v>1938.7299999999959</v>
      </c>
      <c r="I58" s="709"/>
      <c r="J58" s="710">
        <f>H58/DAY(B2)</f>
        <v>176.24818181818145</v>
      </c>
      <c r="K58" s="428"/>
      <c r="L58" s="377"/>
      <c r="N58" s="721"/>
      <c r="P58" s="382"/>
    </row>
    <row r="59" spans="1:16">
      <c r="A59" s="585" t="s">
        <v>176</v>
      </c>
      <c r="B59" s="586"/>
      <c r="C59" s="586"/>
      <c r="D59" s="511"/>
      <c r="E59" s="1403"/>
      <c r="F59" s="1403"/>
      <c r="G59" s="655">
        <f>G49+G50+G51+G52+G53+G54+G55+G56+G57+G58</f>
        <v>7662.7300000000032</v>
      </c>
      <c r="H59" s="708">
        <f>G59+'9'!H59</f>
        <v>53443.979999999952</v>
      </c>
      <c r="I59" s="709">
        <f>G7-G60</f>
        <v>327.2970000000787</v>
      </c>
      <c r="J59" s="710">
        <f>H59/DAY(B2)</f>
        <v>4858.5436363636318</v>
      </c>
      <c r="K59" s="428"/>
      <c r="L59" s="377"/>
      <c r="N59" s="721"/>
      <c r="P59" s="382"/>
    </row>
    <row r="60" spans="1:16">
      <c r="A60" s="578"/>
      <c r="B60" s="579"/>
      <c r="C60" s="579"/>
      <c r="D60" s="511" t="s">
        <v>185</v>
      </c>
      <c r="E60" s="1403"/>
      <c r="F60" s="1403"/>
      <c r="G60" s="655">
        <f>G47+G59</f>
        <v>20551.702999999921</v>
      </c>
      <c r="H60" s="708">
        <f>G60+'10'!H60</f>
        <v>238426.67300000001</v>
      </c>
      <c r="I60" s="709">
        <f>G13-G60</f>
        <v>-317.02299999987008</v>
      </c>
      <c r="J60" s="710">
        <f>H60/DAY(B2)</f>
        <v>21675.15209090909</v>
      </c>
      <c r="K60" s="428"/>
      <c r="L60" s="377"/>
      <c r="N60" s="721"/>
      <c r="P60" s="382"/>
    </row>
    <row r="61" spans="1:16">
      <c r="A61" s="602" t="s">
        <v>186</v>
      </c>
      <c r="B61" s="453"/>
      <c r="C61" s="453"/>
      <c r="D61" s="513"/>
      <c r="E61" s="1433"/>
      <c r="F61" s="1433"/>
      <c r="G61" s="1434"/>
      <c r="H61" s="1434"/>
      <c r="I61" s="1434"/>
      <c r="J61" s="1435"/>
      <c r="K61" s="428"/>
      <c r="L61" s="377"/>
      <c r="N61" s="721"/>
      <c r="P61" s="382"/>
    </row>
    <row r="62" spans="1:16">
      <c r="A62" s="603" t="s">
        <v>98</v>
      </c>
      <c r="B62" s="604"/>
      <c r="C62" s="604"/>
      <c r="D62" s="511" t="s">
        <v>187</v>
      </c>
      <c r="E62" s="1112">
        <f>'10'!F62</f>
        <v>20419</v>
      </c>
      <c r="F62" s="1112">
        <v>20419</v>
      </c>
      <c r="G62" s="655">
        <f t="shared" ref="G62:G69" si="5">F62-E62</f>
        <v>0</v>
      </c>
      <c r="H62" s="708">
        <f>G62+'10'!H62</f>
        <v>1.9999999967694748E-3</v>
      </c>
      <c r="I62" s="1436"/>
      <c r="J62" s="710">
        <f>H62/DAY(B2)</f>
        <v>1.818181815244977E-4</v>
      </c>
      <c r="K62" s="428"/>
      <c r="L62" s="377"/>
      <c r="N62" s="721"/>
      <c r="P62" s="382"/>
    </row>
    <row r="63" spans="1:16">
      <c r="A63" s="603" t="s">
        <v>188</v>
      </c>
      <c r="B63" s="604"/>
      <c r="C63" s="604"/>
      <c r="D63" s="511" t="s">
        <v>187</v>
      </c>
      <c r="E63" s="1112">
        <f>'10'!F63</f>
        <v>2212.16</v>
      </c>
      <c r="F63" s="1112">
        <v>2224.6999999999998</v>
      </c>
      <c r="G63" s="655">
        <f t="shared" si="5"/>
        <v>12.539999999999964</v>
      </c>
      <c r="H63" s="708">
        <f>G63+'10'!H63</f>
        <v>128.69999999999982</v>
      </c>
      <c r="I63" s="1436"/>
      <c r="J63" s="710">
        <f>H63/DAY(B2)</f>
        <v>11.699999999999983</v>
      </c>
      <c r="K63" s="428"/>
      <c r="L63" s="377"/>
      <c r="N63" s="721"/>
      <c r="P63" s="382"/>
    </row>
    <row r="64" spans="1:16" ht="27.75">
      <c r="A64" s="1499" t="s">
        <v>99</v>
      </c>
      <c r="B64" s="1500"/>
      <c r="C64" s="1501"/>
      <c r="D64" s="523" t="s">
        <v>187</v>
      </c>
      <c r="E64" s="1112">
        <f>'10'!F64</f>
        <v>143854.65</v>
      </c>
      <c r="F64" s="654">
        <v>144343.99</v>
      </c>
      <c r="G64" s="655">
        <f t="shared" si="5"/>
        <v>489.33999999999651</v>
      </c>
      <c r="H64" s="708">
        <f>G64+'10'!H64</f>
        <v>5163.9899999999907</v>
      </c>
      <c r="I64" s="1076"/>
      <c r="J64" s="710">
        <f>H64/DAY(B2)</f>
        <v>469.4536363636355</v>
      </c>
      <c r="K64" s="428"/>
      <c r="L64" s="377"/>
      <c r="N64" s="721"/>
      <c r="P64" s="382"/>
    </row>
    <row r="65" spans="1:16" ht="27.75">
      <c r="A65" s="1499" t="s">
        <v>100</v>
      </c>
      <c r="B65" s="1500"/>
      <c r="C65" s="1501"/>
      <c r="D65" s="523" t="s">
        <v>187</v>
      </c>
      <c r="E65" s="1112">
        <f>'10'!F65</f>
        <v>147807.49</v>
      </c>
      <c r="F65" s="654">
        <v>148180.85</v>
      </c>
      <c r="G65" s="655">
        <f t="shared" si="5"/>
        <v>373.36000000001513</v>
      </c>
      <c r="H65" s="708">
        <f>G65+'10'!H65</f>
        <v>3975.8500000000058</v>
      </c>
      <c r="I65" s="735"/>
      <c r="J65" s="710">
        <f>H65/DAY(B2)</f>
        <v>361.4409090909096</v>
      </c>
      <c r="K65" s="428"/>
      <c r="L65" s="377"/>
      <c r="N65" s="721"/>
      <c r="P65" s="382"/>
    </row>
    <row r="66" spans="1:16" ht="27.75">
      <c r="A66" s="1499" t="s">
        <v>101</v>
      </c>
      <c r="B66" s="1500"/>
      <c r="C66" s="1501"/>
      <c r="D66" s="523" t="s">
        <v>187</v>
      </c>
      <c r="E66" s="1112">
        <f>'10'!F66</f>
        <v>41106.910000000003</v>
      </c>
      <c r="F66" s="654">
        <v>41518.35</v>
      </c>
      <c r="G66" s="655">
        <f t="shared" si="5"/>
        <v>411.43999999999505</v>
      </c>
      <c r="H66" s="708">
        <f>G66+'10'!H66</f>
        <v>4310.3499999999985</v>
      </c>
      <c r="I66" s="1076"/>
      <c r="J66" s="710">
        <f>H66/DAY(B2)</f>
        <v>391.84999999999985</v>
      </c>
      <c r="K66" s="428"/>
      <c r="L66" s="377"/>
      <c r="N66" s="721"/>
      <c r="P66" s="382"/>
    </row>
    <row r="67" spans="1:16" ht="27.75">
      <c r="A67" s="1499" t="s">
        <v>102</v>
      </c>
      <c r="B67" s="1500"/>
      <c r="C67" s="1501"/>
      <c r="D67" s="523" t="s">
        <v>187</v>
      </c>
      <c r="E67" s="1112">
        <f>'10'!F67</f>
        <v>235174.85</v>
      </c>
      <c r="F67" s="654">
        <v>235656.03</v>
      </c>
      <c r="G67" s="655">
        <f t="shared" si="5"/>
        <v>481.17999999999302</v>
      </c>
      <c r="H67" s="708">
        <f>G67+'10'!H67</f>
        <v>6556.0299999999988</v>
      </c>
      <c r="I67" s="735"/>
      <c r="J67" s="710">
        <f>H67/DAY(B2)</f>
        <v>596.00272727272716</v>
      </c>
      <c r="K67" s="429"/>
      <c r="L67" s="377"/>
      <c r="N67" s="721"/>
      <c r="P67" s="382"/>
    </row>
    <row r="68" spans="1:16" ht="27.75">
      <c r="A68" s="1499" t="s">
        <v>103</v>
      </c>
      <c r="B68" s="1500"/>
      <c r="C68" s="1501"/>
      <c r="D68" s="523" t="s">
        <v>187</v>
      </c>
      <c r="E68" s="1112">
        <f>'10'!F68</f>
        <v>85321</v>
      </c>
      <c r="F68" s="654">
        <v>85321</v>
      </c>
      <c r="G68" s="655">
        <f t="shared" si="5"/>
        <v>0</v>
      </c>
      <c r="H68" s="708">
        <f>G68+'10'!H68</f>
        <v>2234</v>
      </c>
      <c r="I68" s="1437"/>
      <c r="J68" s="710">
        <f>H68/DAY(B2)</f>
        <v>203.09090909090909</v>
      </c>
      <c r="K68" s="430"/>
      <c r="L68" s="377"/>
      <c r="N68" s="721"/>
      <c r="P68" s="382"/>
    </row>
    <row r="69" spans="1:16" ht="27.75">
      <c r="A69" s="1499" t="s">
        <v>104</v>
      </c>
      <c r="B69" s="1500"/>
      <c r="C69" s="1501"/>
      <c r="D69" s="523" t="s">
        <v>187</v>
      </c>
      <c r="E69" s="1112">
        <f>'10'!F69</f>
        <v>77383.75</v>
      </c>
      <c r="F69" s="654">
        <v>77688.86</v>
      </c>
      <c r="G69" s="655">
        <f t="shared" si="5"/>
        <v>305.11000000000058</v>
      </c>
      <c r="H69" s="708">
        <f>G69+'10'!H69</f>
        <v>3359.8600000000006</v>
      </c>
      <c r="I69" s="1437"/>
      <c r="J69" s="710">
        <f>H69/DAY(B2)</f>
        <v>305.44181818181823</v>
      </c>
      <c r="K69" s="431"/>
      <c r="L69" s="377"/>
      <c r="N69" s="721"/>
      <c r="P69" s="382"/>
    </row>
    <row r="70" spans="1:16" ht="27.75">
      <c r="A70" s="1505" t="s">
        <v>189</v>
      </c>
      <c r="B70" s="1506"/>
      <c r="C70" s="1507"/>
      <c r="D70" s="523" t="s">
        <v>187</v>
      </c>
      <c r="E70" s="1438"/>
      <c r="F70" s="1438"/>
      <c r="G70" s="1438"/>
      <c r="H70" s="708">
        <f>G70+'10'!H70</f>
        <v>0</v>
      </c>
      <c r="I70" s="1438"/>
      <c r="J70" s="1439">
        <f>H70/DAY(B2)</f>
        <v>0</v>
      </c>
      <c r="K70" s="431"/>
      <c r="L70" s="377"/>
      <c r="N70" s="721"/>
      <c r="P70" s="382"/>
    </row>
    <row r="71" spans="1:16" ht="31.5">
      <c r="A71" s="1502" t="s">
        <v>190</v>
      </c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  <c r="N71" s="721"/>
      <c r="P71" s="382"/>
    </row>
    <row r="72" spans="1:16" ht="27.75">
      <c r="A72" s="1499" t="s">
        <v>191</v>
      </c>
      <c r="B72" s="1500"/>
      <c r="C72" s="1501"/>
      <c r="D72" s="523" t="s">
        <v>187</v>
      </c>
      <c r="E72" s="520">
        <f>'10'!F72</f>
        <v>854160</v>
      </c>
      <c r="F72" s="658">
        <v>854255</v>
      </c>
      <c r="G72" s="655">
        <f t="shared" ref="G72:G84" si="6">F72-E72</f>
        <v>95</v>
      </c>
      <c r="H72" s="708">
        <f>G72+'10'!H72</f>
        <v>1076</v>
      </c>
      <c r="I72" s="1076"/>
      <c r="J72" s="710">
        <f>H72/DAY(B2)</f>
        <v>97.818181818181813</v>
      </c>
      <c r="K72" s="431"/>
      <c r="L72" s="377"/>
      <c r="N72" s="721"/>
      <c r="P72" s="382"/>
    </row>
    <row r="73" spans="1:16" ht="27.75">
      <c r="A73" s="1499" t="s">
        <v>192</v>
      </c>
      <c r="B73" s="1500"/>
      <c r="C73" s="1501"/>
      <c r="D73" s="523" t="s">
        <v>187</v>
      </c>
      <c r="E73" s="520">
        <f>'10'!F73</f>
        <v>885815</v>
      </c>
      <c r="F73" s="658">
        <v>885818</v>
      </c>
      <c r="G73" s="655">
        <f t="shared" si="6"/>
        <v>3</v>
      </c>
      <c r="H73" s="708">
        <f>G73+'10'!H73</f>
        <v>18</v>
      </c>
      <c r="I73" s="1076"/>
      <c r="J73" s="710">
        <f>H73/DAY(B2)</f>
        <v>1.6363636363636365</v>
      </c>
      <c r="K73" s="430"/>
      <c r="L73" s="377"/>
      <c r="N73" s="721"/>
      <c r="P73" s="382"/>
    </row>
    <row r="74" spans="1:16" ht="27.75">
      <c r="A74" s="1499" t="s">
        <v>193</v>
      </c>
      <c r="B74" s="1500"/>
      <c r="C74" s="1501"/>
      <c r="D74" s="523" t="s">
        <v>187</v>
      </c>
      <c r="E74" s="520">
        <f>'10'!F74</f>
        <v>1647.02</v>
      </c>
      <c r="F74" s="658">
        <v>1678.63</v>
      </c>
      <c r="G74" s="655">
        <f t="shared" si="6"/>
        <v>31.610000000000127</v>
      </c>
      <c r="H74" s="708">
        <f>G74+'10'!H74</f>
        <v>308.63000000000011</v>
      </c>
      <c r="I74" s="1076"/>
      <c r="J74" s="710">
        <f>H74/DAY(B2)</f>
        <v>28.057272727272736</v>
      </c>
      <c r="K74" s="431"/>
      <c r="L74" s="377"/>
      <c r="N74" s="721"/>
      <c r="P74" s="382"/>
    </row>
    <row r="75" spans="1:16" ht="27.75">
      <c r="A75" s="1496" t="s">
        <v>194</v>
      </c>
      <c r="B75" s="1497"/>
      <c r="C75" s="1498"/>
      <c r="D75" s="523" t="s">
        <v>187</v>
      </c>
      <c r="E75" s="520">
        <f>'10'!F75</f>
        <v>9756.65</v>
      </c>
      <c r="F75" s="658">
        <v>9822.4</v>
      </c>
      <c r="G75" s="655">
        <f t="shared" si="6"/>
        <v>65.75</v>
      </c>
      <c r="H75" s="708">
        <f>G75+'10'!H75</f>
        <v>1142.3999999999996</v>
      </c>
      <c r="I75" s="1076"/>
      <c r="J75" s="710">
        <f>H75/DAY(B2)</f>
        <v>103.85454545454542</v>
      </c>
      <c r="K75" s="430"/>
      <c r="L75" s="377"/>
      <c r="N75" s="721"/>
      <c r="P75" s="382"/>
    </row>
    <row r="76" spans="1:16" ht="27.75">
      <c r="A76" s="1496" t="s">
        <v>195</v>
      </c>
      <c r="B76" s="1497"/>
      <c r="C76" s="1498"/>
      <c r="D76" s="523" t="s">
        <v>187</v>
      </c>
      <c r="E76" s="520">
        <f>'10'!F76</f>
        <v>4700.09</v>
      </c>
      <c r="F76" s="658">
        <v>4765.4799999999996</v>
      </c>
      <c r="G76" s="655">
        <f t="shared" si="6"/>
        <v>65.389999999999418</v>
      </c>
      <c r="H76" s="708">
        <f>G76+'10'!H76</f>
        <v>728.47999999999956</v>
      </c>
      <c r="I76" s="1429"/>
      <c r="J76" s="710">
        <f>H76/DAY(B2)</f>
        <v>66.225454545454511</v>
      </c>
      <c r="K76" s="430"/>
      <c r="L76" s="377"/>
      <c r="N76" s="721"/>
      <c r="P76" s="382"/>
    </row>
    <row r="77" spans="1:16" ht="27.75">
      <c r="A77" s="1499" t="s">
        <v>196</v>
      </c>
      <c r="B77" s="1500"/>
      <c r="C77" s="1501"/>
      <c r="D77" s="523" t="s">
        <v>187</v>
      </c>
      <c r="E77" s="520">
        <f>'10'!F77</f>
        <v>700673</v>
      </c>
      <c r="F77" s="658">
        <v>700718</v>
      </c>
      <c r="G77" s="655">
        <f t="shared" si="6"/>
        <v>45</v>
      </c>
      <c r="H77" s="708">
        <f>G77+'10'!H77</f>
        <v>504</v>
      </c>
      <c r="I77" s="1429"/>
      <c r="J77" s="710">
        <f>H77/DAY(B2)</f>
        <v>45.81818181818182</v>
      </c>
      <c r="K77" s="430"/>
      <c r="L77" s="377"/>
      <c r="N77" s="721"/>
      <c r="P77" s="382"/>
    </row>
    <row r="78" spans="1:16" ht="27.75">
      <c r="A78" s="1147" t="s">
        <v>197</v>
      </c>
      <c r="B78" s="1120"/>
      <c r="C78" s="1120"/>
      <c r="D78" s="523" t="s">
        <v>187</v>
      </c>
      <c r="E78" s="520">
        <f>'10'!F78</f>
        <v>668477</v>
      </c>
      <c r="F78" s="658">
        <v>668595</v>
      </c>
      <c r="G78" s="655">
        <f t="shared" si="6"/>
        <v>118</v>
      </c>
      <c r="H78" s="708">
        <f>G78+'10'!H78</f>
        <v>3215</v>
      </c>
      <c r="I78" s="1429"/>
      <c r="J78" s="710">
        <f>H78/DAY(B2)</f>
        <v>292.27272727272725</v>
      </c>
      <c r="K78" s="430"/>
      <c r="L78" s="377"/>
      <c r="N78" s="721"/>
      <c r="P78" s="382"/>
    </row>
    <row r="79" spans="1:16" ht="27.75">
      <c r="A79" s="1496" t="s">
        <v>92</v>
      </c>
      <c r="B79" s="1497"/>
      <c r="C79" s="1498"/>
      <c r="D79" s="524" t="s">
        <v>187</v>
      </c>
      <c r="E79" s="520">
        <f>'10'!F79</f>
        <v>823078</v>
      </c>
      <c r="F79" s="658">
        <v>823267</v>
      </c>
      <c r="G79" s="655">
        <f t="shared" si="6"/>
        <v>189</v>
      </c>
      <c r="H79" s="708">
        <f>G79+'10'!H79</f>
        <v>2054</v>
      </c>
      <c r="I79" s="1429"/>
      <c r="J79" s="710">
        <f>H79/DAY(B2)</f>
        <v>186.72727272727272</v>
      </c>
      <c r="K79" s="430"/>
      <c r="L79" s="377"/>
      <c r="N79" s="721"/>
      <c r="P79" s="382"/>
    </row>
    <row r="80" spans="1:16" ht="27.75">
      <c r="A80" s="1496" t="s">
        <v>198</v>
      </c>
      <c r="B80" s="1497"/>
      <c r="C80" s="1498"/>
      <c r="D80" s="524" t="s">
        <v>187</v>
      </c>
      <c r="E80" s="520">
        <f>'10'!F80</f>
        <v>509203.96</v>
      </c>
      <c r="F80" s="658">
        <v>509559.32</v>
      </c>
      <c r="G80" s="655">
        <f t="shared" si="6"/>
        <v>355.35999999998603</v>
      </c>
      <c r="H80" s="708">
        <f>G80+'10'!H80</f>
        <v>3860.320000000007</v>
      </c>
      <c r="I80" s="1429"/>
      <c r="J80" s="710">
        <f>H80/DAY(B2)</f>
        <v>350.93818181818244</v>
      </c>
      <c r="K80" s="430"/>
      <c r="L80" s="377"/>
      <c r="N80" s="721"/>
      <c r="P80" s="382"/>
    </row>
    <row r="81" spans="1:16" ht="27.75">
      <c r="A81" s="1496" t="s">
        <v>199</v>
      </c>
      <c r="B81" s="1497"/>
      <c r="C81" s="1498"/>
      <c r="D81" s="524" t="s">
        <v>187</v>
      </c>
      <c r="E81" s="520">
        <f>'10'!F81</f>
        <v>632749.31999999995</v>
      </c>
      <c r="F81" s="658">
        <v>633019.80000000005</v>
      </c>
      <c r="G81" s="655">
        <f t="shared" si="6"/>
        <v>270.48000000009779</v>
      </c>
      <c r="H81" s="708">
        <f>G81+'10'!H81</f>
        <v>2834.8000000000466</v>
      </c>
      <c r="I81" s="1429"/>
      <c r="J81" s="710">
        <f>H81/DAY(B2)</f>
        <v>257.70909090909515</v>
      </c>
      <c r="K81" s="430"/>
      <c r="L81" s="377"/>
      <c r="N81" s="721"/>
      <c r="P81" s="382"/>
    </row>
    <row r="82" spans="1:16" ht="27.75">
      <c r="A82" s="1496" t="s">
        <v>93</v>
      </c>
      <c r="B82" s="1497"/>
      <c r="C82" s="1498"/>
      <c r="D82" s="485" t="s">
        <v>132</v>
      </c>
      <c r="E82" s="520">
        <f>'10'!F82</f>
        <v>107132.35</v>
      </c>
      <c r="F82" s="654">
        <v>107155.73</v>
      </c>
      <c r="G82" s="655">
        <f t="shared" si="6"/>
        <v>23.379999999990105</v>
      </c>
      <c r="H82" s="708">
        <f>G82+'10'!H82</f>
        <v>260.72999999999593</v>
      </c>
      <c r="I82" s="708"/>
      <c r="J82" s="710">
        <f>H82/DAY(B2)</f>
        <v>23.702727272726904</v>
      </c>
      <c r="K82" s="430"/>
      <c r="L82" s="377"/>
      <c r="N82" s="721"/>
      <c r="P82" s="382"/>
    </row>
    <row r="83" spans="1:16" ht="27.75">
      <c r="A83" s="1496" t="s">
        <v>200</v>
      </c>
      <c r="B83" s="1497"/>
      <c r="C83" s="1498"/>
      <c r="D83" s="620" t="s">
        <v>132</v>
      </c>
      <c r="E83" s="520">
        <f>'10'!F83</f>
        <v>9718</v>
      </c>
      <c r="F83" s="1403">
        <v>9968</v>
      </c>
      <c r="G83" s="655">
        <f t="shared" si="6"/>
        <v>250</v>
      </c>
      <c r="H83" s="708">
        <f>G83+'10'!H83</f>
        <v>2911</v>
      </c>
      <c r="I83" s="655"/>
      <c r="J83" s="710">
        <f>H83/DAY(B2)</f>
        <v>264.63636363636363</v>
      </c>
      <c r="K83" s="429"/>
      <c r="L83" s="377"/>
      <c r="N83" s="721"/>
      <c r="P83" s="382"/>
    </row>
    <row r="84" spans="1:16">
      <c r="A84" s="1148" t="s">
        <v>201</v>
      </c>
      <c r="B84" s="571"/>
      <c r="C84" s="571"/>
      <c r="D84" s="478" t="s">
        <v>132</v>
      </c>
      <c r="E84" s="520">
        <f>'10'!F84</f>
        <v>464196</v>
      </c>
      <c r="F84" s="627">
        <v>465216</v>
      </c>
      <c r="G84" s="655">
        <f t="shared" si="6"/>
        <v>1020</v>
      </c>
      <c r="H84" s="708">
        <f>G84+'10'!H84</f>
        <v>10532</v>
      </c>
      <c r="I84" s="655"/>
      <c r="J84" s="710">
        <f>H84/DAY(B2)</f>
        <v>957.4545454545455</v>
      </c>
      <c r="K84" s="380"/>
      <c r="L84" s="377"/>
      <c r="N84" s="721"/>
      <c r="P84" s="382"/>
    </row>
    <row r="85" spans="1:16" s="379" customFormat="1">
      <c r="A85" s="605" t="s">
        <v>202</v>
      </c>
      <c r="B85" s="572"/>
      <c r="C85" s="572"/>
      <c r="D85" s="489"/>
      <c r="E85" s="627"/>
      <c r="F85" s="627"/>
      <c r="G85" s="708">
        <f xml:space="preserve"> SUM(G71:G84)</f>
        <v>2531.9700000000735</v>
      </c>
      <c r="H85" s="708">
        <f>G85+'10'!H85</f>
        <v>29445.360000000048</v>
      </c>
      <c r="I85" s="655"/>
      <c r="J85" s="710">
        <f>H85/DAY(B2)</f>
        <v>2676.8509090909133</v>
      </c>
      <c r="K85" s="380"/>
      <c r="L85" s="378"/>
      <c r="N85" s="721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'10'!F86</f>
        <v>456336.24</v>
      </c>
      <c r="F86" s="650">
        <v>456565.2</v>
      </c>
      <c r="G86" s="708">
        <f>F86-E86</f>
        <v>228.96000000002095</v>
      </c>
      <c r="H86" s="708">
        <f t="shared" ref="H86:H88" si="7">G86</f>
        <v>228.96000000002095</v>
      </c>
      <c r="I86" s="655"/>
      <c r="J86" s="710">
        <f>H86/DAY(B2)</f>
        <v>20.81454545454736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'10'!F87</f>
        <v>80485.399999999994</v>
      </c>
      <c r="F87" s="650">
        <v>80510.100000000006</v>
      </c>
      <c r="G87" s="708">
        <f t="shared" ref="G87:G90" si="8">F87-E87</f>
        <v>24.700000000011642</v>
      </c>
      <c r="H87" s="708">
        <f t="shared" si="7"/>
        <v>24.700000000011642</v>
      </c>
      <c r="I87" s="655"/>
      <c r="J87" s="710">
        <f>H87/DAY(B2)</f>
        <v>2.2454545454556039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'10'!F88</f>
        <v>151147.70000000001</v>
      </c>
      <c r="F88" s="650">
        <v>151171.63</v>
      </c>
      <c r="G88" s="708">
        <f t="shared" si="8"/>
        <v>23.929999999993015</v>
      </c>
      <c r="H88" s="708">
        <f t="shared" si="7"/>
        <v>23.929999999993015</v>
      </c>
      <c r="I88" s="655"/>
      <c r="J88" s="710">
        <f>H88/DAY(B2)</f>
        <v>2.1754545454539103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'10'!F89</f>
        <v>63985.3</v>
      </c>
      <c r="F89" s="650">
        <v>64029.3</v>
      </c>
      <c r="G89" s="708">
        <f t="shared" si="8"/>
        <v>44</v>
      </c>
      <c r="H89" s="708">
        <f>G89</f>
        <v>44</v>
      </c>
      <c r="I89" s="655"/>
      <c r="J89" s="710">
        <f>H89/DAY(B2)</f>
        <v>4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'10'!F90</f>
        <v>3271.8</v>
      </c>
      <c r="F90" s="650">
        <v>3271.8</v>
      </c>
      <c r="G90" s="708">
        <f t="shared" si="8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379" customFormat="1">
      <c r="A91" s="606" t="s">
        <v>205</v>
      </c>
      <c r="B91" s="1150"/>
      <c r="C91" s="1150"/>
      <c r="D91" s="472"/>
      <c r="E91" s="627"/>
      <c r="F91" s="627"/>
      <c r="G91" s="753"/>
      <c r="H91" s="627"/>
      <c r="I91" s="627"/>
      <c r="J91" s="1404"/>
      <c r="K91" s="380"/>
      <c r="L91" s="378"/>
      <c r="N91" s="721"/>
      <c r="P91" s="382"/>
    </row>
    <row r="92" spans="1:16" ht="27.75">
      <c r="A92" s="1520" t="s">
        <v>206</v>
      </c>
      <c r="B92" s="1521"/>
      <c r="C92" s="1522"/>
      <c r="D92" s="523" t="s">
        <v>144</v>
      </c>
      <c r="E92" s="541">
        <f>'10'!F92</f>
        <v>243385</v>
      </c>
      <c r="F92" s="654">
        <v>243440</v>
      </c>
      <c r="G92" s="655">
        <f t="shared" ref="G92:G93" si="9">F92-E92</f>
        <v>55</v>
      </c>
      <c r="H92" s="708">
        <f>G92+'10'!H92</f>
        <v>794</v>
      </c>
      <c r="I92" s="1076"/>
      <c r="J92" s="710">
        <f>H92/DAY(B2)</f>
        <v>72.181818181818187</v>
      </c>
      <c r="K92" s="429"/>
      <c r="L92" s="377"/>
      <c r="N92" s="721"/>
      <c r="P92" s="382"/>
    </row>
    <row r="93" spans="1:16" ht="27.75">
      <c r="A93" s="1520" t="s">
        <v>207</v>
      </c>
      <c r="B93" s="1521"/>
      <c r="C93" s="1522"/>
      <c r="D93" s="523" t="s">
        <v>144</v>
      </c>
      <c r="E93" s="541">
        <f>'10'!F93</f>
        <v>181252</v>
      </c>
      <c r="F93" s="654">
        <v>181394</v>
      </c>
      <c r="G93" s="655">
        <f t="shared" si="9"/>
        <v>142</v>
      </c>
      <c r="H93" s="708">
        <f>G93+'10'!H93</f>
        <v>1715</v>
      </c>
      <c r="I93" s="1076"/>
      <c r="J93" s="710">
        <f>H93/DAY(B2)</f>
        <v>155.90909090909091</v>
      </c>
      <c r="K93" s="380"/>
      <c r="L93" s="377"/>
      <c r="N93" s="721"/>
      <c r="P93" s="382"/>
    </row>
    <row r="94" spans="1:16">
      <c r="A94" s="1548" t="s">
        <v>208</v>
      </c>
      <c r="B94" s="1549"/>
      <c r="C94" s="1550"/>
      <c r="D94" s="523"/>
      <c r="E94" s="541">
        <f>'10'!F94</f>
        <v>0</v>
      </c>
      <c r="F94" s="654"/>
      <c r="G94" s="655">
        <f>G92+G93</f>
        <v>197</v>
      </c>
      <c r="H94" s="708">
        <f>G94+'10'!H94</f>
        <v>2290</v>
      </c>
      <c r="I94" s="1076"/>
      <c r="J94" s="710">
        <f>H94/DAY(B2)</f>
        <v>208.18181818181819</v>
      </c>
      <c r="K94" s="380"/>
      <c r="L94" s="377"/>
      <c r="N94" s="721"/>
      <c r="P94" s="382"/>
    </row>
    <row r="95" spans="1:16" ht="27.75">
      <c r="A95" s="1520" t="s">
        <v>209</v>
      </c>
      <c r="B95" s="1521"/>
      <c r="C95" s="1522"/>
      <c r="D95" s="523" t="s">
        <v>144</v>
      </c>
      <c r="E95" s="541">
        <f>'10'!F95</f>
        <v>411529</v>
      </c>
      <c r="F95" s="654">
        <v>411602</v>
      </c>
      <c r="G95" s="655">
        <f t="shared" ref="G95:G100" si="10">F95-E95</f>
        <v>73</v>
      </c>
      <c r="H95" s="708">
        <f>G95+'10'!H95</f>
        <v>817</v>
      </c>
      <c r="I95" s="1076"/>
      <c r="J95" s="710">
        <f>H95/DAY(B2)</f>
        <v>74.272727272727266</v>
      </c>
      <c r="K95" s="380"/>
      <c r="L95" s="377"/>
      <c r="N95" s="721"/>
      <c r="P95" s="382"/>
    </row>
    <row r="96" spans="1:16" ht="27.75">
      <c r="A96" s="1144" t="s">
        <v>210</v>
      </c>
      <c r="B96" s="1145"/>
      <c r="C96" s="1145"/>
      <c r="D96" s="523" t="s">
        <v>144</v>
      </c>
      <c r="E96" s="541">
        <f>'10'!F96</f>
        <v>102003</v>
      </c>
      <c r="F96" s="654">
        <v>102018</v>
      </c>
      <c r="G96" s="655">
        <f t="shared" si="10"/>
        <v>15</v>
      </c>
      <c r="H96" s="708">
        <f>G96+'10'!H96</f>
        <v>187</v>
      </c>
      <c r="I96" s="1076"/>
      <c r="J96" s="710">
        <f>H96/DAY(B2)</f>
        <v>17</v>
      </c>
      <c r="K96" s="427"/>
      <c r="L96" s="377"/>
      <c r="N96" s="721"/>
      <c r="P96" s="382"/>
    </row>
    <row r="97" spans="1:16" ht="27.75">
      <c r="A97" s="1144" t="s">
        <v>211</v>
      </c>
      <c r="B97" s="1145"/>
      <c r="C97" s="1145"/>
      <c r="D97" s="523" t="s">
        <v>144</v>
      </c>
      <c r="E97" s="541">
        <f>'10'!F97</f>
        <v>97104</v>
      </c>
      <c r="F97" s="654">
        <v>97121</v>
      </c>
      <c r="G97" s="655">
        <f t="shared" si="10"/>
        <v>17</v>
      </c>
      <c r="H97" s="708">
        <f>G97+'10'!H97</f>
        <v>193</v>
      </c>
      <c r="I97" s="1076"/>
      <c r="J97" s="710">
        <f>H97/DAY(B2)</f>
        <v>17.545454545454547</v>
      </c>
      <c r="K97" s="432"/>
      <c r="L97" s="377"/>
      <c r="N97" s="721"/>
      <c r="P97" s="382"/>
    </row>
    <row r="98" spans="1:16" ht="27.75">
      <c r="A98" s="1144" t="s">
        <v>212</v>
      </c>
      <c r="B98" s="1145"/>
      <c r="C98" s="1145"/>
      <c r="D98" s="523" t="s">
        <v>144</v>
      </c>
      <c r="E98" s="541">
        <f>'10'!F98</f>
        <v>149295</v>
      </c>
      <c r="F98" s="654">
        <v>149323</v>
      </c>
      <c r="G98" s="655">
        <f t="shared" si="10"/>
        <v>28</v>
      </c>
      <c r="H98" s="708">
        <f>G98+'10'!H98</f>
        <v>414</v>
      </c>
      <c r="I98" s="1076"/>
      <c r="J98" s="710">
        <f>H98/DAY(B2)</f>
        <v>37.636363636363633</v>
      </c>
      <c r="K98" s="380"/>
      <c r="L98" s="377"/>
      <c r="N98" s="723"/>
      <c r="P98" s="382"/>
    </row>
    <row r="99" spans="1:16" ht="27.75">
      <c r="A99" s="1144" t="s">
        <v>213</v>
      </c>
      <c r="B99" s="1145"/>
      <c r="C99" s="1145"/>
      <c r="D99" s="523" t="s">
        <v>144</v>
      </c>
      <c r="E99" s="541">
        <f>'10'!F99</f>
        <v>6999</v>
      </c>
      <c r="F99" s="654">
        <v>7005</v>
      </c>
      <c r="G99" s="655">
        <f t="shared" si="10"/>
        <v>6</v>
      </c>
      <c r="H99" s="708">
        <f>G99+'10'!H99</f>
        <v>150</v>
      </c>
      <c r="I99" s="1076"/>
      <c r="J99" s="710">
        <f>H99/DAY(B2)</f>
        <v>13.636363636363637</v>
      </c>
      <c r="K99" s="380"/>
      <c r="L99" s="377"/>
      <c r="N99" s="721"/>
      <c r="P99" s="382"/>
    </row>
    <row r="100" spans="1:16" ht="27.75">
      <c r="A100" s="1144" t="s">
        <v>214</v>
      </c>
      <c r="B100" s="1145"/>
      <c r="C100" s="1145"/>
      <c r="D100" s="523" t="s">
        <v>144</v>
      </c>
      <c r="E100" s="541">
        <f>'10'!F100</f>
        <v>5007</v>
      </c>
      <c r="F100" s="654">
        <v>5013</v>
      </c>
      <c r="G100" s="655">
        <f t="shared" si="10"/>
        <v>6</v>
      </c>
      <c r="H100" s="708">
        <f>G100+'10'!H100</f>
        <v>70</v>
      </c>
      <c r="I100" s="1076"/>
      <c r="J100" s="710">
        <f>H100/DAY(B2)</f>
        <v>6.3636363636363633</v>
      </c>
      <c r="K100" s="380"/>
      <c r="L100" s="377"/>
      <c r="N100" s="721"/>
      <c r="P100" s="382"/>
    </row>
    <row r="101" spans="1:16">
      <c r="A101" s="1548" t="s">
        <v>216</v>
      </c>
      <c r="B101" s="1549"/>
      <c r="C101" s="1550"/>
      <c r="D101" s="524"/>
      <c r="E101" s="541"/>
      <c r="F101" s="627"/>
      <c r="G101" s="753">
        <f>SUM(G95:G100)</f>
        <v>145</v>
      </c>
      <c r="H101" s="708">
        <f>G101+'10'!H101</f>
        <v>1831</v>
      </c>
      <c r="I101" s="1440"/>
      <c r="J101" s="710">
        <f>H101/DAY(B2)</f>
        <v>166.45454545454547</v>
      </c>
      <c r="K101" s="380"/>
      <c r="L101" s="377"/>
      <c r="N101" s="721"/>
      <c r="P101" s="382"/>
    </row>
    <row r="102" spans="1:16" s="442" customFormat="1" ht="27">
      <c r="A102" s="607" t="s">
        <v>217</v>
      </c>
      <c r="B102" s="608"/>
      <c r="C102" s="608"/>
      <c r="D102" s="621"/>
      <c r="E102" s="541"/>
      <c r="F102" s="1441"/>
      <c r="G102" s="1442"/>
      <c r="H102" s="1443"/>
      <c r="I102" s="1444"/>
      <c r="J102" s="1445"/>
      <c r="N102" s="721"/>
      <c r="P102" s="382"/>
    </row>
    <row r="103" spans="1:16" s="442" customFormat="1" ht="27.75">
      <c r="A103" s="1551" t="s">
        <v>218</v>
      </c>
      <c r="B103" s="1552"/>
      <c r="C103" s="573"/>
      <c r="D103" s="622"/>
      <c r="E103" s="541"/>
      <c r="F103" s="662"/>
      <c r="G103" s="534"/>
      <c r="H103" s="536"/>
      <c r="I103" s="534"/>
      <c r="J103" s="559"/>
      <c r="N103" s="721"/>
      <c r="P103" s="382"/>
    </row>
    <row r="104" spans="1:16" s="442" customFormat="1" ht="27.75">
      <c r="A104" s="1512" t="s">
        <v>219</v>
      </c>
      <c r="B104" s="1513"/>
      <c r="C104" s="1143"/>
      <c r="D104" s="622" t="s">
        <v>144</v>
      </c>
      <c r="E104" s="541">
        <f>'10'!F104</f>
        <v>7343</v>
      </c>
      <c r="F104" s="662">
        <v>7361</v>
      </c>
      <c r="G104" s="534">
        <f>F104-E104</f>
        <v>18</v>
      </c>
      <c r="H104" s="536">
        <f>SUM(G104+'1'!G76)</f>
        <v>77</v>
      </c>
      <c r="I104" s="534"/>
      <c r="J104" s="559">
        <f>H104/DAY(B2)</f>
        <v>7</v>
      </c>
      <c r="N104" s="721"/>
      <c r="P104" s="382"/>
    </row>
    <row r="105" spans="1:16" s="442" customFormat="1" ht="27.75">
      <c r="A105" s="1512" t="s">
        <v>77</v>
      </c>
      <c r="B105" s="1513"/>
      <c r="C105" s="1143"/>
      <c r="D105" s="622" t="s">
        <v>144</v>
      </c>
      <c r="E105" s="541">
        <f>'10'!F105</f>
        <v>35715</v>
      </c>
      <c r="F105" s="662">
        <v>35721</v>
      </c>
      <c r="G105" s="534">
        <f t="shared" ref="G105:G106" si="11">F105-E105</f>
        <v>6</v>
      </c>
      <c r="H105" s="536">
        <f>SUM(G105+'1'!G77)</f>
        <v>56</v>
      </c>
      <c r="I105" s="534"/>
      <c r="J105" s="559">
        <f>H105/DAY(B2)</f>
        <v>5.0909090909090908</v>
      </c>
      <c r="N105" s="721"/>
      <c r="P105" s="382"/>
    </row>
    <row r="106" spans="1:16" s="442" customFormat="1" ht="27.75">
      <c r="A106" s="1512" t="s">
        <v>78</v>
      </c>
      <c r="B106" s="1553"/>
      <c r="C106" s="1513"/>
      <c r="D106" s="622" t="s">
        <v>144</v>
      </c>
      <c r="E106" s="541">
        <f>'10'!F106</f>
        <v>19485</v>
      </c>
      <c r="F106" s="662">
        <v>19491</v>
      </c>
      <c r="G106" s="534">
        <f t="shared" si="11"/>
        <v>6</v>
      </c>
      <c r="H106" s="536">
        <f>SUM(G106+'1'!G78)</f>
        <v>401</v>
      </c>
      <c r="I106" s="534"/>
      <c r="J106" s="559">
        <f>H106/DAY(B2)</f>
        <v>36.454545454545453</v>
      </c>
      <c r="N106" s="721"/>
      <c r="P106" s="382"/>
    </row>
    <row r="107" spans="1:16" s="442" customFormat="1" ht="27.75">
      <c r="A107" s="1514" t="s">
        <v>202</v>
      </c>
      <c r="B107" s="1515"/>
      <c r="C107" s="1143"/>
      <c r="D107" s="622"/>
      <c r="E107" s="541"/>
      <c r="F107" s="662"/>
      <c r="G107" s="534">
        <f>SUM(G104:G106)</f>
        <v>30</v>
      </c>
      <c r="H107" s="536">
        <f>SUM(G107+'1'!G79)</f>
        <v>224</v>
      </c>
      <c r="I107" s="534"/>
      <c r="J107" s="559">
        <f>H107/DAY(B2)</f>
        <v>20.363636363636363</v>
      </c>
      <c r="N107" s="721"/>
      <c r="P107" s="382"/>
    </row>
    <row r="108" spans="1:16" s="442" customFormat="1" ht="27.75">
      <c r="A108" s="1518" t="s">
        <v>79</v>
      </c>
      <c r="B108" s="1519"/>
      <c r="C108" s="1143"/>
      <c r="D108" s="622" t="s">
        <v>144</v>
      </c>
      <c r="E108" s="541"/>
      <c r="F108" s="662"/>
      <c r="G108" s="534"/>
      <c r="H108" s="536"/>
      <c r="I108" s="534"/>
      <c r="J108" s="559"/>
      <c r="N108" s="721"/>
      <c r="P108" s="382"/>
    </row>
    <row r="109" spans="1:16" s="442" customFormat="1" ht="27.75">
      <c r="A109" s="1512" t="s">
        <v>220</v>
      </c>
      <c r="B109" s="1513"/>
      <c r="C109" s="1143"/>
      <c r="D109" s="622" t="s">
        <v>144</v>
      </c>
      <c r="E109" s="541">
        <f>'10'!F109</f>
        <v>59712</v>
      </c>
      <c r="F109" s="662">
        <v>59799</v>
      </c>
      <c r="G109" s="534">
        <f>F109-E109</f>
        <v>87</v>
      </c>
      <c r="H109" s="536">
        <f>SUM(G109+'1'!G81)</f>
        <v>285</v>
      </c>
      <c r="I109" s="534"/>
      <c r="J109" s="559">
        <f>H109/DAY(B2)</f>
        <v>25.90909090909091</v>
      </c>
      <c r="N109" s="721"/>
      <c r="P109" s="382"/>
    </row>
    <row r="110" spans="1:16" s="442" customFormat="1" ht="27.75">
      <c r="A110" s="1512" t="s">
        <v>221</v>
      </c>
      <c r="B110" s="1513"/>
      <c r="C110" s="1143"/>
      <c r="D110" s="622" t="s">
        <v>144</v>
      </c>
      <c r="E110" s="541">
        <f>'10'!F110</f>
        <v>31991</v>
      </c>
      <c r="F110" s="662">
        <v>32010</v>
      </c>
      <c r="G110" s="534">
        <f t="shared" ref="G110:G111" si="12">F110-E110</f>
        <v>19</v>
      </c>
      <c r="H110" s="536">
        <f>SUM(G110+'1'!G82)</f>
        <v>42</v>
      </c>
      <c r="I110" s="534"/>
      <c r="J110" s="559">
        <f>H110/DAY(B2)</f>
        <v>3.8181818181818183</v>
      </c>
      <c r="N110" s="721"/>
      <c r="P110" s="382"/>
    </row>
    <row r="111" spans="1:16" s="442" customFormat="1" ht="27.75">
      <c r="A111" s="1512" t="s">
        <v>222</v>
      </c>
      <c r="B111" s="1513"/>
      <c r="C111" s="1143"/>
      <c r="D111" s="622" t="s">
        <v>144</v>
      </c>
      <c r="E111" s="541">
        <f>'10'!F111</f>
        <v>4239</v>
      </c>
      <c r="F111" s="662">
        <v>4239</v>
      </c>
      <c r="G111" s="534">
        <f t="shared" si="12"/>
        <v>0</v>
      </c>
      <c r="H111" s="536">
        <f>SUM(G111+'1'!G83)</f>
        <v>239</v>
      </c>
      <c r="I111" s="534"/>
      <c r="J111" s="559">
        <f>H111/DAY(B2)</f>
        <v>21.727272727272727</v>
      </c>
      <c r="N111" s="721"/>
      <c r="P111" s="382"/>
    </row>
    <row r="112" spans="1:16" s="442" customFormat="1" ht="27.75">
      <c r="A112" s="1514" t="s">
        <v>110</v>
      </c>
      <c r="B112" s="1515"/>
      <c r="C112" s="1143"/>
      <c r="D112" s="622"/>
      <c r="E112" s="541"/>
      <c r="F112" s="662"/>
      <c r="G112" s="534">
        <f>SUM(G109:G111)</f>
        <v>106</v>
      </c>
      <c r="H112" s="536">
        <f>SUM(G112+'1'!G84)</f>
        <v>1021</v>
      </c>
      <c r="I112" s="534"/>
      <c r="J112" s="559">
        <f>H112/DAY(B2)</f>
        <v>92.818181818181813</v>
      </c>
      <c r="N112" s="721"/>
      <c r="P112" s="382"/>
    </row>
    <row r="113" spans="1:16" s="442" customFormat="1" ht="27.75">
      <c r="A113" s="1518" t="s">
        <v>223</v>
      </c>
      <c r="B113" s="1519"/>
      <c r="C113" s="1143"/>
      <c r="D113" s="622"/>
      <c r="E113" s="541"/>
      <c r="F113" s="662"/>
      <c r="G113" s="534"/>
      <c r="H113" s="536"/>
      <c r="I113" s="534"/>
      <c r="J113" s="559">
        <f>H113/DAY(B2)</f>
        <v>0</v>
      </c>
      <c r="N113" s="721"/>
      <c r="P113" s="382"/>
    </row>
    <row r="114" spans="1:16" s="442" customFormat="1" ht="27.75">
      <c r="A114" s="1512" t="s">
        <v>224</v>
      </c>
      <c r="B114" s="1513"/>
      <c r="C114" s="574"/>
      <c r="D114" s="622" t="s">
        <v>144</v>
      </c>
      <c r="E114" s="541">
        <f>'10'!F114</f>
        <v>11029</v>
      </c>
      <c r="F114" s="662">
        <v>11037</v>
      </c>
      <c r="G114" s="534">
        <f>F114-E114</f>
        <v>8</v>
      </c>
      <c r="H114" s="536">
        <f>SUM(G114+'1'!G91)</f>
        <v>8</v>
      </c>
      <c r="I114" s="534"/>
      <c r="J114" s="559">
        <f>H114/DAY(B2)</f>
        <v>0.72727272727272729</v>
      </c>
      <c r="N114" s="721"/>
      <c r="P114" s="382"/>
    </row>
    <row r="115" spans="1:16" s="442" customFormat="1" ht="27.75">
      <c r="A115" s="1512" t="s">
        <v>225</v>
      </c>
      <c r="B115" s="1513"/>
      <c r="C115" s="574"/>
      <c r="D115" s="622" t="s">
        <v>144</v>
      </c>
      <c r="E115" s="541">
        <f>'10'!F115</f>
        <v>8025</v>
      </c>
      <c r="F115" s="662">
        <v>8029</v>
      </c>
      <c r="G115" s="534">
        <f t="shared" ref="G115:G116" si="13">F115-E115</f>
        <v>4</v>
      </c>
      <c r="H115" s="536">
        <f>SUM(G115+'1'!G92)</f>
        <v>96</v>
      </c>
      <c r="I115" s="534"/>
      <c r="J115" s="559">
        <f>H115/DAY(B2)</f>
        <v>8.7272727272727266</v>
      </c>
      <c r="N115" s="721"/>
      <c r="P115" s="382"/>
    </row>
    <row r="116" spans="1:16" s="442" customFormat="1" ht="27.75">
      <c r="A116" s="1512" t="s">
        <v>226</v>
      </c>
      <c r="B116" s="1513"/>
      <c r="C116" s="574"/>
      <c r="D116" s="622" t="s">
        <v>144</v>
      </c>
      <c r="E116" s="534"/>
      <c r="F116" s="662"/>
      <c r="G116" s="534">
        <f t="shared" si="13"/>
        <v>0</v>
      </c>
      <c r="H116" s="536">
        <f>SUM(G116+'1'!G93)</f>
        <v>127</v>
      </c>
      <c r="I116" s="534"/>
      <c r="J116" s="559">
        <f>H116/DAY(B2)</f>
        <v>11.545454545454545</v>
      </c>
      <c r="N116" s="721"/>
      <c r="P116" s="382"/>
    </row>
    <row r="117" spans="1:16" s="445" customFormat="1" ht="27.75">
      <c r="A117" s="1514" t="s">
        <v>202</v>
      </c>
      <c r="B117" s="1515"/>
      <c r="C117" s="574"/>
      <c r="D117" s="623"/>
      <c r="E117" s="534"/>
      <c r="F117" s="662"/>
      <c r="G117" s="534">
        <f>SUM(G114:G116)</f>
        <v>12</v>
      </c>
      <c r="H117" s="536">
        <f>SUM(G117+'1'!G95)</f>
        <v>89</v>
      </c>
      <c r="I117" s="534"/>
      <c r="J117" s="559">
        <f>H117/DAY(B2)</f>
        <v>8.0909090909090917</v>
      </c>
      <c r="N117" s="721"/>
      <c r="P117" s="382"/>
    </row>
    <row r="118" spans="1:16" s="446" customFormat="1" ht="27.75">
      <c r="A118" s="1508" t="s">
        <v>227</v>
      </c>
      <c r="B118" s="1509"/>
      <c r="C118" s="1141"/>
      <c r="D118" s="624" t="s">
        <v>144</v>
      </c>
      <c r="E118" s="536"/>
      <c r="F118" s="663">
        <f>SUM(G19+G92)</f>
        <v>112</v>
      </c>
      <c r="G118" s="536">
        <f>SUM(G19+G92)</f>
        <v>112</v>
      </c>
      <c r="H118" s="536">
        <f>SUM(G118+'1'!G96)</f>
        <v>129</v>
      </c>
      <c r="I118" s="535"/>
      <c r="J118" s="559">
        <f>H118/DAY(B2)</f>
        <v>11.727272727272727</v>
      </c>
      <c r="N118" s="721"/>
      <c r="P118" s="382"/>
    </row>
    <row r="119" spans="1:16" s="446" customFormat="1" ht="27.75">
      <c r="A119" s="1508" t="s">
        <v>228</v>
      </c>
      <c r="B119" s="1509"/>
      <c r="C119" s="1141"/>
      <c r="D119" s="624" t="s">
        <v>144</v>
      </c>
      <c r="E119" s="536"/>
      <c r="F119" s="663">
        <f>SUM(G95,G96,G97,G99,G100)</f>
        <v>117</v>
      </c>
      <c r="G119" s="536">
        <f>SUM(G95,G96,G97,G99,G100)</f>
        <v>117</v>
      </c>
      <c r="H119" s="536">
        <f>SUM(G119+'1'!G98)</f>
        <v>145</v>
      </c>
      <c r="I119" s="535"/>
      <c r="J119" s="559">
        <f>H119/DAY(B2)</f>
        <v>13.181818181818182</v>
      </c>
      <c r="N119" s="721"/>
      <c r="P119" s="382"/>
    </row>
    <row r="120" spans="1:16" s="446" customFormat="1" ht="27.75">
      <c r="A120" s="1508" t="s">
        <v>229</v>
      </c>
      <c r="B120" s="1509"/>
      <c r="C120" s="1141"/>
      <c r="D120" s="624" t="s">
        <v>144</v>
      </c>
      <c r="E120" s="534"/>
      <c r="F120" s="662">
        <f>SUM(G112)</f>
        <v>106</v>
      </c>
      <c r="G120" s="534">
        <f>SUM(G112)</f>
        <v>106</v>
      </c>
      <c r="H120" s="536">
        <f>SUM(G120+'1'!G100)</f>
        <v>112</v>
      </c>
      <c r="I120" s="535"/>
      <c r="J120" s="559">
        <f>H120/DAY(B2)</f>
        <v>10.181818181818182</v>
      </c>
      <c r="N120" s="721"/>
      <c r="P120" s="382"/>
    </row>
    <row r="121" spans="1:16" s="442" customFormat="1" ht="27.75">
      <c r="A121" s="1510"/>
      <c r="B121" s="1511"/>
      <c r="C121" s="1142"/>
      <c r="D121" s="560"/>
      <c r="E121" s="1446"/>
      <c r="F121" s="1447" t="s">
        <v>215</v>
      </c>
      <c r="G121" s="1446"/>
      <c r="H121" s="1448"/>
      <c r="I121" s="1446"/>
      <c r="J121" s="1449"/>
      <c r="N121" s="721"/>
      <c r="P121" s="382"/>
    </row>
    <row r="122" spans="1:16">
      <c r="A122" s="1545" t="s">
        <v>230</v>
      </c>
      <c r="B122" s="1546"/>
      <c r="C122" s="1547"/>
      <c r="D122" s="472"/>
      <c r="E122" s="627"/>
      <c r="F122" s="627"/>
      <c r="G122" s="650"/>
      <c r="H122" s="650"/>
      <c r="I122" s="650"/>
      <c r="J122" s="1450"/>
      <c r="K122" s="380"/>
      <c r="L122" s="377"/>
      <c r="N122" s="721"/>
      <c r="P122" s="382"/>
    </row>
    <row r="123" spans="1:16" ht="27.75">
      <c r="A123" s="1144" t="s">
        <v>231</v>
      </c>
      <c r="B123" s="1145"/>
      <c r="C123" s="1145"/>
      <c r="D123" s="523" t="s">
        <v>141</v>
      </c>
      <c r="E123" s="654">
        <f>'10'!F123</f>
        <v>821353.76</v>
      </c>
      <c r="F123" s="654">
        <v>821601.8</v>
      </c>
      <c r="G123" s="655">
        <f t="shared" ref="G123:G127" si="14">F123-E123</f>
        <v>248.04000000003725</v>
      </c>
      <c r="H123" s="708">
        <f>G123+'10'!H123</f>
        <v>2791.8000000000466</v>
      </c>
      <c r="I123" s="1440"/>
      <c r="J123" s="710">
        <f>H123/DAY(B2)</f>
        <v>253.80000000000425</v>
      </c>
      <c r="K123" s="380"/>
      <c r="L123" s="377"/>
      <c r="N123" s="721"/>
      <c r="P123" s="382"/>
    </row>
    <row r="124" spans="1:16" ht="27.75">
      <c r="A124" s="1144" t="s">
        <v>232</v>
      </c>
      <c r="B124" s="1145"/>
      <c r="C124" s="1145"/>
      <c r="D124" s="523" t="s">
        <v>141</v>
      </c>
      <c r="E124" s="654">
        <f>'10'!F124</f>
        <v>73583.399999999994</v>
      </c>
      <c r="F124" s="654">
        <v>73583.399999999994</v>
      </c>
      <c r="G124" s="655">
        <f t="shared" si="14"/>
        <v>0</v>
      </c>
      <c r="H124" s="708">
        <f>G124+'10'!H124</f>
        <v>0</v>
      </c>
      <c r="I124" s="1440"/>
      <c r="J124" s="710">
        <f>H124/DAY(B2)</f>
        <v>0</v>
      </c>
      <c r="K124" s="380"/>
      <c r="L124" s="377"/>
      <c r="N124" s="721"/>
      <c r="P124" s="382"/>
    </row>
    <row r="125" spans="1:16" ht="27.75">
      <c r="A125" s="1499" t="s">
        <v>233</v>
      </c>
      <c r="B125" s="1500"/>
      <c r="C125" s="1501"/>
      <c r="D125" s="523" t="s">
        <v>141</v>
      </c>
      <c r="E125" s="654">
        <f>'10'!F125</f>
        <v>143045.32999999999</v>
      </c>
      <c r="F125" s="654">
        <v>143144.68</v>
      </c>
      <c r="G125" s="655">
        <f t="shared" si="14"/>
        <v>99.350000000005821</v>
      </c>
      <c r="H125" s="708">
        <f>G125+'10'!H125</f>
        <v>1008.679999999993</v>
      </c>
      <c r="I125" s="1440"/>
      <c r="J125" s="710">
        <f>H125/DAY(B2)</f>
        <v>91.698181818181183</v>
      </c>
      <c r="K125" s="380"/>
      <c r="L125" s="377"/>
      <c r="N125" s="721"/>
      <c r="P125" s="382"/>
    </row>
    <row r="126" spans="1:16" ht="27.75">
      <c r="A126" s="609" t="s">
        <v>234</v>
      </c>
      <c r="B126" s="1145"/>
      <c r="C126" s="1145"/>
      <c r="D126" s="523" t="s">
        <v>141</v>
      </c>
      <c r="E126" s="654">
        <f>'10'!F126</f>
        <v>31404.2</v>
      </c>
      <c r="F126" s="654">
        <v>31404.2</v>
      </c>
      <c r="G126" s="655">
        <f t="shared" si="14"/>
        <v>0</v>
      </c>
      <c r="H126" s="708">
        <f>G126+'10'!H126</f>
        <v>85.5</v>
      </c>
      <c r="I126" s="1440"/>
      <c r="J126" s="710">
        <f>H126/DAY(B2)</f>
        <v>7.7727272727272725</v>
      </c>
      <c r="K126" s="380"/>
      <c r="L126" s="377"/>
      <c r="N126" s="721"/>
      <c r="P126" s="382"/>
    </row>
    <row r="127" spans="1:16" ht="27.75">
      <c r="A127" s="609" t="s">
        <v>235</v>
      </c>
      <c r="B127" s="1145"/>
      <c r="C127" s="1145"/>
      <c r="D127" s="523" t="s">
        <v>141</v>
      </c>
      <c r="E127" s="654">
        <f>'10'!F127</f>
        <v>8966.6</v>
      </c>
      <c r="F127" s="654">
        <v>8966.6</v>
      </c>
      <c r="G127" s="655">
        <f t="shared" si="14"/>
        <v>0</v>
      </c>
      <c r="H127" s="708">
        <f>G127+'10'!H127</f>
        <v>4.6000000000003638</v>
      </c>
      <c r="I127" s="1076"/>
      <c r="J127" s="710">
        <f>H127/DAY(B2)</f>
        <v>0.41818181818185124</v>
      </c>
      <c r="K127" s="380"/>
      <c r="L127" s="377"/>
      <c r="N127" s="721"/>
      <c r="P127" s="382"/>
    </row>
    <row r="128" spans="1:16" s="281" customFormat="1" ht="27.75">
      <c r="A128" s="609" t="s">
        <v>236</v>
      </c>
      <c r="B128" s="1145"/>
      <c r="C128" s="1145"/>
      <c r="D128" s="523"/>
      <c r="E128" s="654"/>
      <c r="F128" s="654"/>
      <c r="G128" s="655">
        <f>G15-SUM(G123:G127)</f>
        <v>499.43799999993644</v>
      </c>
      <c r="H128" s="708"/>
      <c r="I128" s="1076"/>
      <c r="J128" s="710"/>
      <c r="K128" s="364"/>
      <c r="L128" s="292"/>
      <c r="N128" s="721"/>
      <c r="P128" s="382"/>
    </row>
    <row r="129" spans="1:16">
      <c r="A129" s="610" t="s">
        <v>237</v>
      </c>
      <c r="B129" s="458"/>
      <c r="C129" s="458"/>
      <c r="D129" s="471"/>
      <c r="E129" s="1403"/>
      <c r="F129" s="1403"/>
      <c r="G129" s="1451"/>
      <c r="H129" s="1451"/>
      <c r="I129" s="1451"/>
      <c r="J129" s="1452"/>
      <c r="N129" s="721"/>
      <c r="P129" s="382"/>
    </row>
    <row r="130" spans="1:16" ht="27.75">
      <c r="A130" s="1144" t="s">
        <v>238</v>
      </c>
      <c r="B130" s="1145"/>
      <c r="C130" s="1145"/>
      <c r="D130" s="523" t="s">
        <v>239</v>
      </c>
      <c r="E130" s="541">
        <f>'10'!F130</f>
        <v>0</v>
      </c>
      <c r="F130" s="654">
        <v>0</v>
      </c>
      <c r="G130" s="655">
        <f t="shared" ref="G130:G140" si="15">F130-E130</f>
        <v>0</v>
      </c>
      <c r="H130" s="708">
        <f>G130+'10'!H130</f>
        <v>0</v>
      </c>
      <c r="I130" s="1076"/>
      <c r="J130" s="710">
        <f>H130/DAY(B2)</f>
        <v>0</v>
      </c>
      <c r="N130" s="721"/>
      <c r="P130" s="382"/>
    </row>
    <row r="131" spans="1:16" ht="27.75">
      <c r="A131" s="1144" t="s">
        <v>240</v>
      </c>
      <c r="B131" s="1145"/>
      <c r="C131" s="1145"/>
      <c r="D131" s="523" t="s">
        <v>239</v>
      </c>
      <c r="E131" s="541">
        <f>'10'!F131</f>
        <v>0</v>
      </c>
      <c r="F131" s="654">
        <v>0</v>
      </c>
      <c r="G131" s="655">
        <f t="shared" si="15"/>
        <v>0</v>
      </c>
      <c r="H131" s="708">
        <f>G131+'10'!H131</f>
        <v>0</v>
      </c>
      <c r="I131" s="1076"/>
      <c r="J131" s="710">
        <f>H131/DAY(B2)</f>
        <v>0</v>
      </c>
      <c r="N131" s="721"/>
      <c r="P131" s="382"/>
    </row>
    <row r="132" spans="1:16" ht="27.75">
      <c r="A132" s="1144" t="s">
        <v>241</v>
      </c>
      <c r="B132" s="1145"/>
      <c r="C132" s="1145"/>
      <c r="D132" s="523" t="s">
        <v>239</v>
      </c>
      <c r="E132" s="541">
        <f>'10'!F132</f>
        <v>39659.230000000003</v>
      </c>
      <c r="F132" s="654">
        <v>39659.230000000003</v>
      </c>
      <c r="G132" s="655">
        <f t="shared" si="15"/>
        <v>0</v>
      </c>
      <c r="H132" s="708">
        <f>G132+'10'!H132</f>
        <v>126.2300000000032</v>
      </c>
      <c r="I132" s="1076"/>
      <c r="J132" s="710">
        <f>H132/DAY(B2)</f>
        <v>11.475454545454836</v>
      </c>
      <c r="N132" s="721"/>
      <c r="P132" s="382"/>
    </row>
    <row r="133" spans="1:16" ht="27.75">
      <c r="A133" s="1144" t="s">
        <v>242</v>
      </c>
      <c r="B133" s="1145"/>
      <c r="C133" s="1145"/>
      <c r="D133" s="523" t="s">
        <v>239</v>
      </c>
      <c r="E133" s="541">
        <f>'10'!F133</f>
        <v>300</v>
      </c>
      <c r="F133" s="654">
        <v>300</v>
      </c>
      <c r="G133" s="655">
        <f t="shared" si="15"/>
        <v>0</v>
      </c>
      <c r="H133" s="708">
        <f>G133+'10'!H133</f>
        <v>0</v>
      </c>
      <c r="I133" s="1076">
        <f>G130+G131+G132+G133</f>
        <v>0</v>
      </c>
      <c r="J133" s="710">
        <f>H133/DAY(B2)</f>
        <v>0</v>
      </c>
      <c r="N133" s="721"/>
      <c r="P133" s="382"/>
    </row>
    <row r="134" spans="1:16" ht="27.75">
      <c r="A134" s="1144" t="s">
        <v>243</v>
      </c>
      <c r="B134" s="1145"/>
      <c r="C134" s="1145"/>
      <c r="D134" s="523" t="s">
        <v>239</v>
      </c>
      <c r="E134" s="541">
        <f>'10'!F134</f>
        <v>40980.449999999997</v>
      </c>
      <c r="F134" s="654">
        <v>41004.26</v>
      </c>
      <c r="G134" s="655">
        <f t="shared" si="15"/>
        <v>23.810000000004948</v>
      </c>
      <c r="H134" s="708">
        <f>G134+'10'!H134</f>
        <v>165.26000000000204</v>
      </c>
      <c r="I134" s="1076"/>
      <c r="J134" s="710">
        <f>H134/DAY(B2)</f>
        <v>15.023636363636548</v>
      </c>
      <c r="N134" s="721"/>
      <c r="P134" s="382"/>
    </row>
    <row r="135" spans="1:16" ht="27.75">
      <c r="A135" s="1144" t="s">
        <v>244</v>
      </c>
      <c r="B135" s="1145"/>
      <c r="C135" s="1145"/>
      <c r="D135" s="523" t="s">
        <v>239</v>
      </c>
      <c r="E135" s="541">
        <f>'10'!F135</f>
        <v>32582.560000000001</v>
      </c>
      <c r="F135" s="654">
        <v>32582.560000000001</v>
      </c>
      <c r="G135" s="655">
        <f t="shared" si="15"/>
        <v>0</v>
      </c>
      <c r="H135" s="708">
        <f>G135+'10'!H135</f>
        <v>-0.43999999999869033</v>
      </c>
      <c r="I135" s="1076"/>
      <c r="J135" s="710">
        <f>H135/DAY(B2)</f>
        <v>-3.9999999999880936E-2</v>
      </c>
      <c r="N135" s="721"/>
      <c r="P135" s="382"/>
    </row>
    <row r="136" spans="1:16" ht="27.75">
      <c r="A136" s="1144" t="s">
        <v>245</v>
      </c>
      <c r="B136" s="1145"/>
      <c r="C136" s="1145"/>
      <c r="D136" s="523" t="s">
        <v>239</v>
      </c>
      <c r="E136" s="541">
        <f>'10'!F136</f>
        <v>22590.17</v>
      </c>
      <c r="F136" s="654">
        <v>22599.85</v>
      </c>
      <c r="G136" s="655">
        <f t="shared" si="15"/>
        <v>9.680000000000291</v>
      </c>
      <c r="H136" s="708">
        <f>G136+'10'!H136</f>
        <v>111.19999999999709</v>
      </c>
      <c r="I136" s="1076">
        <f>G134+G135+G136</f>
        <v>33.490000000005239</v>
      </c>
      <c r="J136" s="710">
        <f>H136/DAY(B2)</f>
        <v>10.109090909090645</v>
      </c>
      <c r="N136" s="721"/>
      <c r="P136" s="382"/>
    </row>
    <row r="137" spans="1:16" ht="27.75">
      <c r="A137" s="1144" t="s">
        <v>246</v>
      </c>
      <c r="B137" s="1145"/>
      <c r="C137" s="1145"/>
      <c r="D137" s="523" t="s">
        <v>239</v>
      </c>
      <c r="E137" s="541">
        <f>'10'!F137</f>
        <v>25048.97</v>
      </c>
      <c r="F137" s="654">
        <v>25049.97</v>
      </c>
      <c r="G137" s="655">
        <f t="shared" si="15"/>
        <v>1</v>
      </c>
      <c r="H137" s="708">
        <f>G137+'10'!H137</f>
        <v>1.180000000000291</v>
      </c>
      <c r="I137" s="1076"/>
      <c r="J137" s="710">
        <f>H137/DAY(B2)</f>
        <v>0.10727272727275373</v>
      </c>
      <c r="N137" s="721"/>
      <c r="P137" s="382"/>
    </row>
    <row r="138" spans="1:16" ht="27.75">
      <c r="A138" s="1144" t="s">
        <v>247</v>
      </c>
      <c r="B138" s="1145"/>
      <c r="C138" s="1145"/>
      <c r="D138" s="523" t="s">
        <v>239</v>
      </c>
      <c r="E138" s="541">
        <f>'10'!F138</f>
        <v>70279.05</v>
      </c>
      <c r="F138" s="654">
        <v>70279.05</v>
      </c>
      <c r="G138" s="655">
        <f t="shared" si="15"/>
        <v>0</v>
      </c>
      <c r="H138" s="708">
        <f>G138+'10'!H138</f>
        <v>25.020000000004075</v>
      </c>
      <c r="I138" s="1076">
        <f>G137+G138</f>
        <v>1</v>
      </c>
      <c r="J138" s="710">
        <f>H138/DAY(B2)</f>
        <v>2.2745454545458248</v>
      </c>
      <c r="N138" s="721"/>
      <c r="P138" s="382"/>
    </row>
    <row r="139" spans="1:16" ht="27.75">
      <c r="A139" s="1144" t="s">
        <v>248</v>
      </c>
      <c r="B139" s="1145"/>
      <c r="C139" s="1145"/>
      <c r="D139" s="523" t="s">
        <v>239</v>
      </c>
      <c r="E139" s="541">
        <f>'10'!F139</f>
        <v>1536.52</v>
      </c>
      <c r="F139" s="654">
        <v>1536.52</v>
      </c>
      <c r="G139" s="655">
        <f t="shared" si="15"/>
        <v>0</v>
      </c>
      <c r="H139" s="708">
        <f>G139+'10'!H139</f>
        <v>0</v>
      </c>
      <c r="I139" s="535"/>
      <c r="J139" s="710">
        <f>H139/DAY(B2)</f>
        <v>0</v>
      </c>
      <c r="N139" s="721"/>
      <c r="P139" s="382"/>
    </row>
    <row r="140" spans="1:16" ht="27.75">
      <c r="A140" s="1144" t="s">
        <v>249</v>
      </c>
      <c r="B140" s="1145"/>
      <c r="C140" s="1145"/>
      <c r="D140" s="523" t="s">
        <v>239</v>
      </c>
      <c r="E140" s="541">
        <f>'10'!F140</f>
        <v>4551.58</v>
      </c>
      <c r="F140" s="654">
        <v>4559.79</v>
      </c>
      <c r="G140" s="655">
        <f t="shared" si="15"/>
        <v>8.2100000000000364</v>
      </c>
      <c r="H140" s="708">
        <f>G140+'10'!H140</f>
        <v>91.25</v>
      </c>
      <c r="I140" s="535"/>
      <c r="J140" s="710">
        <f>H140/DAY(B2)</f>
        <v>8.295454545454545</v>
      </c>
      <c r="N140" s="721"/>
      <c r="P140" s="382"/>
    </row>
    <row r="141" spans="1:16">
      <c r="A141" s="1526" t="s">
        <v>250</v>
      </c>
      <c r="B141" s="1527"/>
      <c r="C141" s="1150"/>
      <c r="D141" s="472"/>
      <c r="E141" s="627"/>
      <c r="F141" s="627"/>
      <c r="G141" s="650"/>
      <c r="H141" s="650"/>
      <c r="I141" s="650"/>
      <c r="J141" s="1450"/>
      <c r="K141" s="380"/>
      <c r="L141" s="377"/>
      <c r="N141" s="721"/>
      <c r="P141" s="382"/>
    </row>
    <row r="142" spans="1:16" ht="27.75">
      <c r="A142" s="1520" t="s">
        <v>251</v>
      </c>
      <c r="B142" s="1521"/>
      <c r="C142" s="1522"/>
      <c r="D142" s="523" t="s">
        <v>132</v>
      </c>
      <c r="E142" s="627"/>
      <c r="F142" s="627"/>
      <c r="G142" s="708">
        <f>G35+G43+G49+G57</f>
        <v>5520.8899999998976</v>
      </c>
      <c r="H142" s="708">
        <f>G142+'10'!H142</f>
        <v>64027.459999999963</v>
      </c>
      <c r="I142" s="1076"/>
      <c r="J142" s="710">
        <f>H142/DAY(B2)</f>
        <v>5820.678181818178</v>
      </c>
      <c r="K142" s="380"/>
      <c r="L142" s="377"/>
      <c r="N142" s="721"/>
      <c r="P142" s="382"/>
    </row>
    <row r="143" spans="1:16" ht="27.75">
      <c r="A143" s="1520" t="s">
        <v>252</v>
      </c>
      <c r="B143" s="1521"/>
      <c r="C143" s="1522"/>
      <c r="D143" s="523" t="s">
        <v>24</v>
      </c>
      <c r="E143" s="1403"/>
      <c r="F143" s="1403"/>
      <c r="G143" s="1453">
        <f>G142/G7</f>
        <v>0.26442310455481094</v>
      </c>
      <c r="H143" s="708">
        <f>G143+'10'!H143</f>
        <v>2.9583718775589358</v>
      </c>
      <c r="I143" s="544"/>
      <c r="J143" s="710">
        <f>H143/DAY(B2)</f>
        <v>0.26894289795990328</v>
      </c>
      <c r="K143" s="380"/>
      <c r="L143" s="377"/>
      <c r="N143" s="721"/>
      <c r="P143" s="382"/>
    </row>
    <row r="144" spans="1:16" ht="27.75">
      <c r="A144" s="1520" t="s">
        <v>253</v>
      </c>
      <c r="B144" s="1521"/>
      <c r="C144" s="1522"/>
      <c r="D144" s="523" t="s">
        <v>132</v>
      </c>
      <c r="E144" s="709"/>
      <c r="F144" s="709"/>
      <c r="G144" s="708">
        <f>G41+G42+G55+G56</f>
        <v>5752.1999999999825</v>
      </c>
      <c r="H144" s="708">
        <f>G144+'10'!H144</f>
        <v>67003.260000000038</v>
      </c>
      <c r="I144" s="1076"/>
      <c r="J144" s="710">
        <f>H144/DAY(B2)</f>
        <v>6091.2054545454585</v>
      </c>
      <c r="K144" s="380"/>
      <c r="L144" s="377"/>
      <c r="N144" s="721"/>
      <c r="P144" s="382"/>
    </row>
    <row r="145" spans="1:16" ht="27.75">
      <c r="A145" s="1520" t="s">
        <v>254</v>
      </c>
      <c r="B145" s="1521"/>
      <c r="C145" s="1522"/>
      <c r="D145" s="523" t="s">
        <v>24</v>
      </c>
      <c r="E145" s="709"/>
      <c r="F145" s="709"/>
      <c r="G145" s="1453">
        <f>G144/G7</f>
        <v>0.27550170027300075</v>
      </c>
      <c r="H145" s="708">
        <f>G145+'10'!H145</f>
        <v>3.0919465637308297</v>
      </c>
      <c r="I145" s="544"/>
      <c r="J145" s="710">
        <f>H145/DAY(B2)</f>
        <v>0.28108605124825725</v>
      </c>
      <c r="K145" s="380"/>
      <c r="L145" s="377"/>
      <c r="N145" s="721"/>
      <c r="P145" s="382"/>
    </row>
    <row r="146" spans="1:16" ht="27.75">
      <c r="A146" s="1520" t="s">
        <v>255</v>
      </c>
      <c r="B146" s="1521"/>
      <c r="C146" s="1522"/>
      <c r="D146" s="523" t="s">
        <v>132</v>
      </c>
      <c r="E146" s="709"/>
      <c r="F146" s="709"/>
      <c r="G146" s="708">
        <f>G39+G53</f>
        <v>3901.4030000000203</v>
      </c>
      <c r="H146" s="708">
        <f>G146+'10'!H146</f>
        <v>44605.823000000033</v>
      </c>
      <c r="I146" s="1454"/>
      <c r="J146" s="710">
        <f>H146/DAY(B2)</f>
        <v>4055.0748181818212</v>
      </c>
      <c r="K146" s="380"/>
      <c r="L146" s="377"/>
      <c r="N146" s="721"/>
      <c r="P146" s="382"/>
    </row>
    <row r="147" spans="1:16" ht="27.75">
      <c r="A147" s="1520" t="s">
        <v>256</v>
      </c>
      <c r="B147" s="1521"/>
      <c r="C147" s="1522"/>
      <c r="D147" s="523" t="s">
        <v>24</v>
      </c>
      <c r="E147" s="709"/>
      <c r="F147" s="709"/>
      <c r="G147" s="1453">
        <f>G146/G7</f>
        <v>0.18685775180803776</v>
      </c>
      <c r="H147" s="708">
        <f>G147+'10'!H147</f>
        <v>2.0596954152455629</v>
      </c>
      <c r="I147" s="1454"/>
      <c r="J147" s="710">
        <f>H147/DAY(B2)</f>
        <v>0.18724503774959664</v>
      </c>
      <c r="N147" s="721"/>
      <c r="P147" s="382"/>
    </row>
    <row r="148" spans="1:16" ht="27.75">
      <c r="A148" s="1520" t="s">
        <v>257</v>
      </c>
      <c r="B148" s="1521"/>
      <c r="C148" s="1522"/>
      <c r="D148" s="523" t="s">
        <v>183</v>
      </c>
      <c r="E148" s="709"/>
      <c r="F148" s="709"/>
      <c r="G148" s="708">
        <f>G38+G52</f>
        <v>1611.0099999999948</v>
      </c>
      <c r="H148" s="708">
        <f>G148+'10'!H148</f>
        <v>18697.379999999946</v>
      </c>
      <c r="I148" s="1076"/>
      <c r="J148" s="710">
        <f>H148/DAY(B2)</f>
        <v>1699.7618181818134</v>
      </c>
      <c r="K148" s="381"/>
      <c r="N148" s="721"/>
      <c r="P148" s="382"/>
    </row>
    <row r="149" spans="1:16" ht="27.75">
      <c r="A149" s="1520" t="s">
        <v>258</v>
      </c>
      <c r="B149" s="1521"/>
      <c r="C149" s="1522"/>
      <c r="D149" s="523" t="s">
        <v>24</v>
      </c>
      <c r="E149" s="709"/>
      <c r="F149" s="709" t="s">
        <v>215</v>
      </c>
      <c r="G149" s="1453">
        <f>G148/G7</f>
        <v>7.7159346712007026E-2</v>
      </c>
      <c r="H149" s="708">
        <f>G149+'10'!H149</f>
        <v>0.86392866436905424</v>
      </c>
      <c r="I149" s="1454"/>
      <c r="J149" s="710">
        <f>H149/DAY(B2)</f>
        <v>7.8538969488095842E-2</v>
      </c>
      <c r="N149" s="721"/>
      <c r="P149" s="382"/>
    </row>
    <row r="150" spans="1:16" ht="27.75">
      <c r="A150" s="1520" t="s">
        <v>259</v>
      </c>
      <c r="B150" s="1521"/>
      <c r="C150" s="1522"/>
      <c r="D150" s="523" t="s">
        <v>183</v>
      </c>
      <c r="E150" s="709"/>
      <c r="F150" s="709"/>
      <c r="G150" s="708">
        <f>G36+G50</f>
        <v>2158.7200000000303</v>
      </c>
      <c r="H150" s="708">
        <f>G150+'10'!H150</f>
        <v>22174.360000000044</v>
      </c>
      <c r="I150" s="1454"/>
      <c r="J150" s="710">
        <f>H150/DAY(B2)</f>
        <v>2015.8509090909131</v>
      </c>
      <c r="N150" s="721"/>
      <c r="P150" s="382"/>
    </row>
    <row r="151" spans="1:16" ht="27.75">
      <c r="A151" s="1520" t="s">
        <v>260</v>
      </c>
      <c r="B151" s="1521"/>
      <c r="C151" s="1522"/>
      <c r="D151" s="523" t="s">
        <v>24</v>
      </c>
      <c r="E151" s="709"/>
      <c r="F151" s="709"/>
      <c r="G151" s="1453">
        <f>G150/G7</f>
        <v>0.1033919249006193</v>
      </c>
      <c r="H151" s="708">
        <f>G151+'10'!H151</f>
        <v>1.0231217303000086</v>
      </c>
      <c r="I151" s="1076"/>
      <c r="J151" s="710">
        <f>H151/DAY(B2)</f>
        <v>9.3011066390909877E-2</v>
      </c>
      <c r="N151" s="721"/>
      <c r="P151" s="382"/>
    </row>
    <row r="152" spans="1:16" ht="27.75">
      <c r="A152" s="1520" t="s">
        <v>261</v>
      </c>
      <c r="B152" s="1521"/>
      <c r="C152" s="1522"/>
      <c r="D152" s="523" t="s">
        <v>183</v>
      </c>
      <c r="E152" s="709"/>
      <c r="F152" s="709"/>
      <c r="G152" s="708">
        <f>G37+G51</f>
        <v>1355.6100000000006</v>
      </c>
      <c r="H152" s="708">
        <f>G152+'10'!H152</f>
        <v>15230.319999999992</v>
      </c>
      <c r="I152" s="1076"/>
      <c r="J152" s="710"/>
      <c r="N152" s="721"/>
      <c r="P152" s="382"/>
    </row>
    <row r="153" spans="1:16" ht="28.5" thickBot="1">
      <c r="A153" s="1523" t="s">
        <v>262</v>
      </c>
      <c r="B153" s="1524"/>
      <c r="C153" s="1525"/>
      <c r="D153" s="625" t="s">
        <v>24</v>
      </c>
      <c r="E153" s="1455"/>
      <c r="F153" s="1455"/>
      <c r="G153" s="1456">
        <f>G152/G7</f>
        <v>6.4926960103453252E-2</v>
      </c>
      <c r="H153" s="708">
        <f>G153+'10'!H153</f>
        <v>0.70380253530300507</v>
      </c>
      <c r="I153" s="1457"/>
      <c r="J153" s="1458">
        <f>H153/DAY(B2)</f>
        <v>6.3982048663909552E-2</v>
      </c>
      <c r="N153" s="721"/>
      <c r="P153" s="382"/>
    </row>
    <row r="154" spans="1:16">
      <c r="A154" s="466"/>
      <c r="B154" s="456"/>
      <c r="C154" s="456"/>
      <c r="D154" s="546"/>
      <c r="E154" s="1459"/>
      <c r="F154" s="1460"/>
      <c r="G154" s="1459"/>
      <c r="H154" s="1461"/>
      <c r="I154" s="1459"/>
      <c r="J154" s="1462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88" t="s">
        <v>263</v>
      </c>
      <c r="B160" s="789"/>
      <c r="C160" s="789"/>
      <c r="D160" s="511" t="s">
        <v>187</v>
      </c>
      <c r="E160" s="654">
        <f>'10'!F160</f>
        <v>34272.35</v>
      </c>
      <c r="F160" s="662">
        <v>34356.43</v>
      </c>
      <c r="G160" s="655">
        <f t="shared" ref="G160:G163" si="16">F160-E160</f>
        <v>84.080000000001746</v>
      </c>
      <c r="N160" s="721"/>
    </row>
    <row r="161" spans="1:14">
      <c r="A161" s="788" t="s">
        <v>264</v>
      </c>
      <c r="B161" s="789"/>
      <c r="C161" s="789"/>
      <c r="D161" s="511" t="s">
        <v>187</v>
      </c>
      <c r="E161" s="654">
        <f>'10'!F161</f>
        <v>73194.38</v>
      </c>
      <c r="F161" s="662">
        <v>73644.03</v>
      </c>
      <c r="G161" s="655">
        <f t="shared" si="16"/>
        <v>449.64999999999418</v>
      </c>
      <c r="N161" s="721"/>
    </row>
    <row r="162" spans="1:14">
      <c r="A162" s="788" t="s">
        <v>265</v>
      </c>
      <c r="B162" s="789"/>
      <c r="C162" s="789"/>
      <c r="D162" s="511" t="s">
        <v>187</v>
      </c>
      <c r="E162" s="654">
        <f>'10'!F162</f>
        <v>32127.45</v>
      </c>
      <c r="F162" s="662">
        <v>32399.19</v>
      </c>
      <c r="G162" s="655">
        <f t="shared" si="16"/>
        <v>271.73999999999796</v>
      </c>
      <c r="N162" s="721"/>
    </row>
    <row r="163" spans="1:14">
      <c r="A163" s="788" t="s">
        <v>266</v>
      </c>
      <c r="B163" s="789"/>
      <c r="C163" s="789"/>
      <c r="D163" s="511" t="s">
        <v>187</v>
      </c>
      <c r="E163" s="654">
        <f>'10'!F163</f>
        <v>5910</v>
      </c>
      <c r="F163" s="662">
        <v>5917.6</v>
      </c>
      <c r="G163" s="655">
        <f t="shared" si="16"/>
        <v>7.6000000000003638</v>
      </c>
      <c r="N163" s="721"/>
    </row>
    <row r="164" spans="1:14" ht="37.5" customHeight="1">
      <c r="A164" s="790" t="s">
        <v>98</v>
      </c>
      <c r="B164" s="604"/>
      <c r="C164" s="604"/>
      <c r="D164" s="511" t="s">
        <v>187</v>
      </c>
      <c r="E164" s="654">
        <f>'12'!F164</f>
        <v>20419</v>
      </c>
      <c r="F164" s="1112">
        <f>F62</f>
        <v>20419</v>
      </c>
      <c r="G164" s="655">
        <f t="shared" ref="G164:G171" si="17">F164-E164</f>
        <v>0</v>
      </c>
      <c r="N164" s="721"/>
    </row>
    <row r="165" spans="1:14">
      <c r="A165" s="790" t="s">
        <v>188</v>
      </c>
      <c r="B165" s="604"/>
      <c r="C165" s="604"/>
      <c r="D165" s="511" t="s">
        <v>187</v>
      </c>
      <c r="E165" s="748">
        <f>E63</f>
        <v>2212.16</v>
      </c>
      <c r="F165" s="1112">
        <f>F63</f>
        <v>2224.6999999999998</v>
      </c>
      <c r="G165" s="655">
        <f t="shared" si="17"/>
        <v>12.539999999999964</v>
      </c>
      <c r="N165" s="721"/>
    </row>
    <row r="166" spans="1:14" ht="35.25" customHeight="1">
      <c r="A166" s="1495" t="s">
        <v>99</v>
      </c>
      <c r="B166" s="1495"/>
      <c r="C166" s="1495"/>
      <c r="D166" s="523" t="s">
        <v>187</v>
      </c>
      <c r="E166" s="748">
        <f t="shared" ref="E166:E171" si="18">E64</f>
        <v>143854.65</v>
      </c>
      <c r="F166" s="1112">
        <f t="shared" ref="F166:F171" si="19">F64</f>
        <v>144343.99</v>
      </c>
      <c r="G166" s="655">
        <f t="shared" si="17"/>
        <v>489.33999999999651</v>
      </c>
      <c r="N166" s="721"/>
    </row>
    <row r="167" spans="1:14" ht="33" customHeight="1">
      <c r="A167" s="1495" t="s">
        <v>100</v>
      </c>
      <c r="B167" s="1495"/>
      <c r="C167" s="1495"/>
      <c r="D167" s="523" t="s">
        <v>187</v>
      </c>
      <c r="E167" s="748">
        <f t="shared" si="18"/>
        <v>147807.49</v>
      </c>
      <c r="F167" s="1112">
        <f t="shared" si="19"/>
        <v>148180.85</v>
      </c>
      <c r="G167" s="655">
        <f t="shared" si="17"/>
        <v>373.36000000001513</v>
      </c>
      <c r="N167" s="721"/>
    </row>
    <row r="168" spans="1:14" ht="40.5" customHeight="1">
      <c r="A168" s="1495" t="s">
        <v>101</v>
      </c>
      <c r="B168" s="1495"/>
      <c r="C168" s="1495"/>
      <c r="D168" s="523" t="s">
        <v>187</v>
      </c>
      <c r="E168" s="748">
        <f t="shared" si="18"/>
        <v>41106.910000000003</v>
      </c>
      <c r="F168" s="1112">
        <f t="shared" si="19"/>
        <v>41518.35</v>
      </c>
      <c r="G168" s="655">
        <f t="shared" si="17"/>
        <v>411.43999999999505</v>
      </c>
      <c r="N168" s="721"/>
    </row>
    <row r="169" spans="1:14" ht="30.75" customHeight="1">
      <c r="A169" s="1495" t="s">
        <v>102</v>
      </c>
      <c r="B169" s="1495"/>
      <c r="C169" s="1495"/>
      <c r="D169" s="523" t="s">
        <v>187</v>
      </c>
      <c r="E169" s="748">
        <f t="shared" si="18"/>
        <v>235174.85</v>
      </c>
      <c r="F169" s="1112">
        <f t="shared" si="19"/>
        <v>235656.03</v>
      </c>
      <c r="G169" s="655">
        <f t="shared" si="17"/>
        <v>481.17999999999302</v>
      </c>
      <c r="N169" s="721"/>
    </row>
    <row r="170" spans="1:14" ht="30.75" customHeight="1">
      <c r="A170" s="1495" t="s">
        <v>103</v>
      </c>
      <c r="B170" s="1495"/>
      <c r="C170" s="1495"/>
      <c r="D170" s="523" t="s">
        <v>187</v>
      </c>
      <c r="E170" s="748">
        <f t="shared" si="18"/>
        <v>85321</v>
      </c>
      <c r="F170" s="1112">
        <f t="shared" si="19"/>
        <v>85321</v>
      </c>
      <c r="G170" s="655">
        <f t="shared" si="17"/>
        <v>0</v>
      </c>
      <c r="N170" s="721"/>
    </row>
    <row r="171" spans="1:14" ht="28.5" customHeight="1">
      <c r="A171" s="1495" t="s">
        <v>104</v>
      </c>
      <c r="B171" s="1495"/>
      <c r="C171" s="1495"/>
      <c r="D171" s="523" t="s">
        <v>187</v>
      </c>
      <c r="E171" s="748">
        <f t="shared" si="18"/>
        <v>77383.75</v>
      </c>
      <c r="F171" s="1112">
        <f t="shared" si="19"/>
        <v>77688.86</v>
      </c>
      <c r="G171" s="655">
        <f t="shared" si="17"/>
        <v>305.11000000000058</v>
      </c>
      <c r="N171" s="721"/>
    </row>
    <row r="172" spans="1:14">
      <c r="G172" s="1466">
        <f>SUM(G160:G171)</f>
        <v>2886.0399999999945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44.25" customHeight="1">
      <c r="N177" s="721"/>
    </row>
    <row r="178" spans="14:14" ht="21.75" customHeight="1">
      <c r="N178" s="721"/>
    </row>
    <row r="179" spans="14:14" ht="21.75" customHeight="1">
      <c r="N179" s="721"/>
    </row>
    <row r="180" spans="14:14" ht="21.75" customHeight="1">
      <c r="N180" s="721"/>
    </row>
    <row r="181" spans="14:14" ht="21.75" customHeight="1">
      <c r="N181" s="721"/>
    </row>
    <row r="182" spans="14:14" ht="21.75" customHeight="1">
      <c r="N182" s="721"/>
    </row>
    <row r="183" spans="14:14" ht="21.75" customHeight="1">
      <c r="N183" s="721"/>
    </row>
    <row r="184" spans="14:14" ht="21.75" customHeight="1">
      <c r="N184" s="721"/>
    </row>
    <row r="185" spans="14:14" ht="21.75" customHeight="1">
      <c r="N185" s="721"/>
    </row>
    <row r="186" spans="14:14" ht="21.75" customHeight="1">
      <c r="N186" s="721"/>
    </row>
    <row r="187" spans="14:14" ht="21.75" customHeight="1">
      <c r="N187" s="721"/>
    </row>
    <row r="188" spans="14:14" ht="21.75" customHeight="1">
      <c r="N188" s="721"/>
    </row>
    <row r="189" spans="14:14" ht="21.75" customHeight="1">
      <c r="N189" s="721"/>
    </row>
    <row r="190" spans="14:14" ht="21.75" customHeight="1">
      <c r="N190" s="721"/>
    </row>
    <row r="191" spans="14:14" ht="21.75" customHeight="1">
      <c r="N191" s="721"/>
    </row>
    <row r="192" spans="14:14" ht="21.75" customHeight="1">
      <c r="N192" s="721"/>
    </row>
    <row r="193" spans="14:14" ht="36.75" customHeight="1">
      <c r="N193" s="721"/>
    </row>
    <row r="194" spans="14:14">
      <c r="N194" s="721"/>
    </row>
    <row r="195" spans="14:14">
      <c r="N195" s="721"/>
    </row>
    <row r="196" spans="14:14">
      <c r="N196" s="721"/>
    </row>
    <row r="197" spans="14:14">
      <c r="N197" s="721"/>
    </row>
    <row r="199" spans="14:14" ht="21.75" customHeight="1"/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7"/>
  <sheetViews>
    <sheetView view="pageBreakPreview" topLeftCell="A124" zoomScale="55" zoomScaleNormal="75" zoomScaleSheetLayoutView="55" workbookViewId="0">
      <selection activeCell="H53" sqref="H53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1185"/>
    <col min="16" max="17" width="22.33203125" style="441"/>
    <col min="18" max="16384" width="22.33203125" style="376"/>
  </cols>
  <sheetData>
    <row r="1" spans="1:17" ht="33.75">
      <c r="A1" s="1528" t="s">
        <v>117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7" s="281" customFormat="1" ht="27">
      <c r="A2" s="575" t="s">
        <v>288</v>
      </c>
      <c r="B2" s="1036">
        <v>44298</v>
      </c>
      <c r="C2" s="1146" t="s">
        <v>69</v>
      </c>
      <c r="D2" s="611">
        <v>0.63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1186"/>
      <c r="P2" s="713"/>
      <c r="Q2" s="713"/>
    </row>
    <row r="3" spans="1:17" s="281" customFormat="1" ht="27">
      <c r="A3" s="570"/>
      <c r="B3" s="614"/>
      <c r="C3" s="1146" t="s">
        <v>120</v>
      </c>
      <c r="D3" s="612">
        <v>32</v>
      </c>
      <c r="E3" s="1537" t="s">
        <v>121</v>
      </c>
      <c r="F3" s="1538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20"/>
      <c r="O3" s="1186"/>
      <c r="P3" s="713"/>
      <c r="Q3" s="713"/>
    </row>
    <row r="4" spans="1:17" s="281" customFormat="1" ht="27">
      <c r="A4" s="576"/>
      <c r="B4" s="616"/>
      <c r="C4" s="1146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0"/>
      <c r="O4" s="1186"/>
      <c r="P4" s="713"/>
      <c r="Q4" s="713"/>
    </row>
    <row r="5" spans="1:17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531" t="s">
        <v>130</v>
      </c>
      <c r="B6" s="1532"/>
      <c r="C6" s="1533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9" t="s">
        <v>131</v>
      </c>
      <c r="B7" s="680"/>
      <c r="C7" s="680"/>
      <c r="D7" s="638" t="s">
        <v>132</v>
      </c>
      <c r="E7" s="633">
        <f>'11'!F7</f>
        <v>5352107</v>
      </c>
      <c r="F7" s="455">
        <v>5372573</v>
      </c>
      <c r="G7" s="681">
        <f>F7-E7</f>
        <v>20466</v>
      </c>
      <c r="H7" s="682">
        <f>G7+'11'!H7</f>
        <v>258650</v>
      </c>
      <c r="I7" s="683">
        <f>'1'!I7</f>
        <v>12000</v>
      </c>
      <c r="J7" s="684">
        <f>H7/DAY(B2)</f>
        <v>21554.166666666668</v>
      </c>
      <c r="K7" s="549"/>
      <c r="L7" s="377"/>
      <c r="N7" s="721"/>
      <c r="O7" s="730"/>
      <c r="P7" s="714"/>
    </row>
    <row r="8" spans="1:17" ht="27.75" thickBot="1">
      <c r="A8" s="685" t="s">
        <v>133</v>
      </c>
      <c r="B8" s="686"/>
      <c r="C8" s="687"/>
      <c r="D8" s="688" t="s">
        <v>25</v>
      </c>
      <c r="E8" s="633">
        <f>'11'!F8</f>
        <v>5384609</v>
      </c>
      <c r="F8" s="475">
        <v>5405163</v>
      </c>
      <c r="G8" s="692">
        <f>F8-E8</f>
        <v>20554</v>
      </c>
      <c r="H8" s="682">
        <f>G8+'11'!H8</f>
        <v>259845</v>
      </c>
      <c r="I8" s="689">
        <f>'1'!I8</f>
        <v>12000</v>
      </c>
      <c r="J8" s="684">
        <f>H8/DAY(B2)</f>
        <v>21653.75</v>
      </c>
      <c r="K8" s="549"/>
      <c r="L8" s="425"/>
      <c r="M8" s="440"/>
      <c r="N8" s="721"/>
      <c r="O8" s="730"/>
      <c r="P8" s="716"/>
    </row>
    <row r="9" spans="1:17">
      <c r="A9" s="690" t="s">
        <v>134</v>
      </c>
      <c r="B9" s="691"/>
      <c r="C9" s="691"/>
      <c r="D9" s="638" t="s">
        <v>132</v>
      </c>
      <c r="E9" s="633">
        <f>'11'!F9</f>
        <v>627055.63</v>
      </c>
      <c r="F9" s="478">
        <v>646782</v>
      </c>
      <c r="G9" s="705">
        <f t="shared" ref="G9:G12" si="0">F9-E9</f>
        <v>19726.369999999995</v>
      </c>
      <c r="H9" s="682">
        <f>G9+'11'!H9</f>
        <v>250713</v>
      </c>
      <c r="I9" s="693">
        <f>I7-J7</f>
        <v>-9554.1666666666679</v>
      </c>
      <c r="J9" s="684">
        <f>H9/DAY(B2)</f>
        <v>20892.75</v>
      </c>
      <c r="K9" s="428"/>
      <c r="L9" s="377"/>
      <c r="N9" s="721"/>
      <c r="O9" s="730"/>
      <c r="P9" s="716"/>
    </row>
    <row r="10" spans="1:17">
      <c r="A10" s="679" t="s">
        <v>135</v>
      </c>
      <c r="B10" s="680"/>
      <c r="C10" s="680"/>
      <c r="D10" s="638" t="s">
        <v>132</v>
      </c>
      <c r="E10" s="633">
        <f>'11'!F10</f>
        <v>2322.58</v>
      </c>
      <c r="F10" s="478">
        <v>2322.58</v>
      </c>
      <c r="G10" s="692">
        <f t="shared" si="0"/>
        <v>0</v>
      </c>
      <c r="H10" s="682">
        <f>G10+'11'!H10</f>
        <v>0</v>
      </c>
      <c r="I10" s="694"/>
      <c r="J10" s="684">
        <f>H10/DAY(B2)</f>
        <v>0</v>
      </c>
      <c r="K10" s="428"/>
      <c r="L10" s="377"/>
      <c r="N10" s="721"/>
      <c r="O10" s="730"/>
      <c r="P10" s="716"/>
    </row>
    <row r="11" spans="1:17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G11+'11'!H11</f>
        <v>0</v>
      </c>
      <c r="I11" s="694"/>
      <c r="J11" s="684">
        <f>H11/DAY(B2)</f>
        <v>0</v>
      </c>
      <c r="K11" s="428"/>
      <c r="L11" s="377"/>
      <c r="N11" s="721"/>
      <c r="O11" s="730"/>
      <c r="P11" s="716"/>
    </row>
    <row r="12" spans="1:17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G12+'11'!H12</f>
        <v>0</v>
      </c>
      <c r="I12" s="694"/>
      <c r="J12" s="684">
        <f>H12/DAY(B2)</f>
        <v>0</v>
      </c>
      <c r="K12" s="428"/>
      <c r="L12" s="377"/>
      <c r="N12" s="721"/>
      <c r="O12" s="730"/>
      <c r="P12" s="716"/>
    </row>
    <row r="13" spans="1:17">
      <c r="A13" s="695" t="s">
        <v>138</v>
      </c>
      <c r="B13" s="696"/>
      <c r="C13" s="696"/>
      <c r="D13" s="638"/>
      <c r="E13" s="633"/>
      <c r="F13" s="455"/>
      <c r="G13" s="697">
        <f>G9+G10+G11+G12</f>
        <v>19726.369999999995</v>
      </c>
      <c r="H13" s="682">
        <f>G13+'11'!H13</f>
        <v>230522.3600000001</v>
      </c>
      <c r="I13" s="698">
        <f>G7-G13</f>
        <v>739.63000000000466</v>
      </c>
      <c r="J13" s="684">
        <f>H13/DAY(B2)</f>
        <v>19210.196666666674</v>
      </c>
      <c r="K13" s="428"/>
      <c r="L13" s="377"/>
      <c r="N13" s="721"/>
      <c r="O13" s="730"/>
      <c r="P13" s="716"/>
    </row>
    <row r="14" spans="1:17">
      <c r="A14" s="1534" t="s">
        <v>139</v>
      </c>
      <c r="B14" s="1535"/>
      <c r="C14" s="1536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30"/>
      <c r="P14" s="716"/>
    </row>
    <row r="15" spans="1:17">
      <c r="A15" s="796" t="s">
        <v>140</v>
      </c>
      <c r="B15" s="797"/>
      <c r="C15" s="797"/>
      <c r="D15" s="524" t="s">
        <v>141</v>
      </c>
      <c r="E15" s="485">
        <f>'11'!F15</f>
        <v>1656830.94</v>
      </c>
      <c r="F15" s="485">
        <v>1657605</v>
      </c>
      <c r="G15" s="667">
        <f>(F15-E15)</f>
        <v>774.06000000005588</v>
      </c>
      <c r="H15" s="486">
        <f>G15+'11'!H15</f>
        <v>10916</v>
      </c>
      <c r="I15" s="474">
        <v>800</v>
      </c>
      <c r="J15" s="553">
        <f>H15/DAY(B2)</f>
        <v>909.66666666666663</v>
      </c>
      <c r="K15" s="428"/>
      <c r="L15" s="377"/>
      <c r="N15" s="721"/>
      <c r="O15" s="730"/>
      <c r="P15" s="716"/>
    </row>
    <row r="16" spans="1:17">
      <c r="A16" s="587"/>
      <c r="B16" s="588"/>
      <c r="C16" s="588"/>
      <c r="D16" s="524"/>
      <c r="E16" s="485"/>
      <c r="F16" s="485"/>
      <c r="G16" s="672"/>
      <c r="H16" s="486"/>
      <c r="I16" s="482">
        <f>I15-J15</f>
        <v>-109.66666666666663</v>
      </c>
      <c r="J16" s="553"/>
      <c r="K16" s="428"/>
      <c r="L16" s="377"/>
      <c r="N16" s="721"/>
      <c r="O16" s="730"/>
      <c r="P16" s="716"/>
    </row>
    <row r="17" spans="1:17">
      <c r="A17" s="1534" t="s">
        <v>142</v>
      </c>
      <c r="B17" s="1535"/>
      <c r="C17" s="1536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30"/>
      <c r="P17" s="716"/>
    </row>
    <row r="18" spans="1:17" ht="27.75">
      <c r="A18" s="1560" t="s">
        <v>143</v>
      </c>
      <c r="B18" s="1561"/>
      <c r="C18" s="1562"/>
      <c r="D18" s="638" t="s">
        <v>144</v>
      </c>
      <c r="E18" s="635">
        <f>'11'!F18</f>
        <v>8</v>
      </c>
      <c r="F18" s="478">
        <v>8</v>
      </c>
      <c r="G18" s="697">
        <f>F18*10</f>
        <v>80</v>
      </c>
      <c r="H18" s="682">
        <f>G18+'11'!H18</f>
        <v>1220</v>
      </c>
      <c r="I18" s="683">
        <f>'1'!I18</f>
        <v>65</v>
      </c>
      <c r="J18" s="684">
        <f>H18/DAY(B2)</f>
        <v>101.66666666666667</v>
      </c>
      <c r="K18" s="428"/>
      <c r="L18" s="377"/>
      <c r="N18" s="721"/>
      <c r="O18" s="730"/>
      <c r="P18" s="716"/>
    </row>
    <row r="19" spans="1:17" ht="27.75">
      <c r="A19" s="1560" t="s">
        <v>71</v>
      </c>
      <c r="B19" s="1561"/>
      <c r="C19" s="1562"/>
      <c r="D19" s="638" t="s">
        <v>144</v>
      </c>
      <c r="E19" s="635">
        <f>'11'!F19</f>
        <v>136713</v>
      </c>
      <c r="F19" s="478">
        <v>136774</v>
      </c>
      <c r="G19" s="692">
        <f t="shared" ref="G19" si="1">F19-E19</f>
        <v>61</v>
      </c>
      <c r="H19" s="682">
        <f>G19+'11'!H19</f>
        <v>684</v>
      </c>
      <c r="I19" s="699"/>
      <c r="J19" s="684">
        <f>H19/DAY(B2)</f>
        <v>57</v>
      </c>
      <c r="K19" s="428"/>
      <c r="L19" s="377"/>
      <c r="N19" s="721"/>
      <c r="O19" s="730"/>
      <c r="P19" s="716"/>
    </row>
    <row r="20" spans="1:17">
      <c r="A20" s="695" t="s">
        <v>145</v>
      </c>
      <c r="B20" s="696"/>
      <c r="C20" s="696"/>
      <c r="D20" s="638"/>
      <c r="E20" s="638"/>
      <c r="F20" s="712"/>
      <c r="G20" s="700">
        <f>G18+G19</f>
        <v>141</v>
      </c>
      <c r="H20" s="682">
        <f>G20+'11'!H20</f>
        <v>1904</v>
      </c>
      <c r="I20" s="701">
        <f>I18-J20</f>
        <v>-93.666666666666657</v>
      </c>
      <c r="J20" s="684">
        <f>H20/DAY(B2)</f>
        <v>158.66666666666666</v>
      </c>
      <c r="K20" s="428"/>
      <c r="L20" s="377"/>
      <c r="N20" s="721"/>
      <c r="O20" s="730"/>
      <c r="P20" s="716"/>
    </row>
    <row r="21" spans="1:17">
      <c r="A21" s="1534" t="s">
        <v>146</v>
      </c>
      <c r="B21" s="1535"/>
      <c r="C21" s="1536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30"/>
      <c r="P21" s="716"/>
    </row>
    <row r="22" spans="1:17">
      <c r="A22" s="1144" t="s">
        <v>147</v>
      </c>
      <c r="B22" s="589"/>
      <c r="C22" s="589"/>
      <c r="D22" s="523" t="s">
        <v>148</v>
      </c>
      <c r="E22" s="635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1680</v>
      </c>
      <c r="I22" s="480"/>
      <c r="J22" s="552">
        <f>H22/DAY(B2)</f>
        <v>140</v>
      </c>
      <c r="K22" s="428"/>
      <c r="L22" s="377"/>
      <c r="N22" s="721"/>
      <c r="O22" s="730"/>
      <c r="P22" s="716"/>
    </row>
    <row r="23" spans="1:17">
      <c r="A23" s="1144" t="s">
        <v>149</v>
      </c>
      <c r="B23" s="589"/>
      <c r="C23" s="589"/>
      <c r="D23" s="523" t="s">
        <v>148</v>
      </c>
      <c r="E23" s="635">
        <f>'11'!F23</f>
        <v>2900</v>
      </c>
      <c r="F23" s="478">
        <v>2900</v>
      </c>
      <c r="G23" s="481">
        <v>0</v>
      </c>
      <c r="H23" s="460">
        <f>G23+'11'!H23</f>
        <v>0</v>
      </c>
      <c r="I23" s="480"/>
      <c r="J23" s="552">
        <f>H23/DAY(B2)</f>
        <v>0</v>
      </c>
      <c r="K23" s="428"/>
      <c r="L23" s="377"/>
      <c r="N23" s="721"/>
      <c r="O23" s="730"/>
      <c r="P23" s="716"/>
    </row>
    <row r="24" spans="1:17">
      <c r="A24" s="590" t="s">
        <v>150</v>
      </c>
      <c r="B24" s="591"/>
      <c r="C24" s="591"/>
      <c r="D24" s="511" t="s">
        <v>148</v>
      </c>
      <c r="E24" s="493">
        <f>'11'!F24</f>
        <v>4250</v>
      </c>
      <c r="F24" s="485">
        <v>4250</v>
      </c>
      <c r="G24" s="481">
        <v>0</v>
      </c>
      <c r="H24" s="460">
        <f>G24+'11'!H24</f>
        <v>0</v>
      </c>
      <c r="I24" s="480"/>
      <c r="J24" s="552">
        <f>H24/DAY(B2)</f>
        <v>0</v>
      </c>
      <c r="K24" s="428"/>
      <c r="L24" s="377"/>
      <c r="N24" s="721"/>
      <c r="O24" s="730"/>
      <c r="P24" s="716"/>
    </row>
    <row r="25" spans="1:17" s="442" customFormat="1" ht="27">
      <c r="A25" s="1539" t="s">
        <v>151</v>
      </c>
      <c r="B25" s="1540"/>
      <c r="C25" s="1541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30"/>
      <c r="P25" s="716"/>
      <c r="Q25" s="445"/>
    </row>
    <row r="26" spans="1:17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30"/>
      <c r="P26" s="716"/>
      <c r="Q26" s="445"/>
    </row>
    <row r="27" spans="1:17" s="442" customFormat="1" ht="27.75">
      <c r="A27" s="592" t="s">
        <v>6</v>
      </c>
      <c r="B27" s="593"/>
      <c r="C27" s="594"/>
      <c r="D27" s="619" t="s">
        <v>25</v>
      </c>
      <c r="E27" s="702">
        <f>G8</f>
        <v>20554</v>
      </c>
      <c r="F27" s="501">
        <v>9</v>
      </c>
      <c r="G27" s="502">
        <f>E27*F27</f>
        <v>184986</v>
      </c>
      <c r="H27" s="460">
        <f>G27+'11'!H27</f>
        <v>2338605</v>
      </c>
      <c r="I27" s="503"/>
      <c r="J27" s="552">
        <f>H27/DAY(B2)</f>
        <v>194883.75</v>
      </c>
      <c r="K27" s="373"/>
      <c r="L27" s="443"/>
      <c r="N27" s="721"/>
      <c r="O27" s="730"/>
      <c r="P27" s="716"/>
      <c r="Q27" s="445"/>
    </row>
    <row r="28" spans="1:17" s="442" customFormat="1" ht="27.75">
      <c r="A28" s="592" t="s">
        <v>154</v>
      </c>
      <c r="B28" s="593"/>
      <c r="C28" s="594"/>
      <c r="D28" s="619" t="s">
        <v>155</v>
      </c>
      <c r="E28" s="702">
        <f>G15</f>
        <v>774.06000000005588</v>
      </c>
      <c r="F28" s="501">
        <v>51.45</v>
      </c>
      <c r="G28" s="502">
        <f>E28*F28</f>
        <v>39825.387000002876</v>
      </c>
      <c r="H28" s="460">
        <f>G28+'11'!H28</f>
        <v>561628.19999999995</v>
      </c>
      <c r="I28" s="505"/>
      <c r="J28" s="552">
        <f>H28/DAY(B2)</f>
        <v>46802.35</v>
      </c>
      <c r="K28" s="373"/>
      <c r="L28" s="443"/>
      <c r="N28" s="721"/>
      <c r="O28" s="730"/>
      <c r="P28" s="716"/>
      <c r="Q28" s="445"/>
    </row>
    <row r="29" spans="1:17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G29+'11'!H29</f>
        <v>0</v>
      </c>
      <c r="I29" s="505"/>
      <c r="J29" s="552">
        <f>H29/DAY(B2)</f>
        <v>0</v>
      </c>
      <c r="K29" s="373"/>
      <c r="L29" s="443"/>
      <c r="N29" s="721"/>
      <c r="O29" s="730"/>
      <c r="P29" s="716"/>
      <c r="Q29" s="445"/>
    </row>
    <row r="30" spans="1:17" s="442" customFormat="1" ht="27.75">
      <c r="A30" s="592" t="s">
        <v>158</v>
      </c>
      <c r="B30" s="593"/>
      <c r="C30" s="594"/>
      <c r="D30" s="619" t="s">
        <v>159</v>
      </c>
      <c r="E30" s="702">
        <f>G19</f>
        <v>61</v>
      </c>
      <c r="F30" s="501">
        <v>134</v>
      </c>
      <c r="G30" s="502">
        <f>E30*F30</f>
        <v>8174</v>
      </c>
      <c r="H30" s="460">
        <f>G30+'11'!H30</f>
        <v>93024</v>
      </c>
      <c r="I30" s="505"/>
      <c r="J30" s="552">
        <f>H30/DAY(B2)</f>
        <v>7752</v>
      </c>
      <c r="K30" s="373"/>
      <c r="L30" s="443"/>
      <c r="N30" s="721"/>
      <c r="O30" s="730"/>
      <c r="P30" s="716"/>
      <c r="Q30" s="445"/>
    </row>
    <row r="31" spans="1:17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G31+'11'!H31</f>
        <v>97600</v>
      </c>
      <c r="I31" s="505"/>
      <c r="J31" s="552">
        <f>H31/DAY(B2)</f>
        <v>8133.333333333333</v>
      </c>
      <c r="K31" s="373"/>
      <c r="L31" s="443"/>
      <c r="N31" s="721"/>
      <c r="O31" s="730"/>
      <c r="P31" s="716"/>
      <c r="Q31" s="445"/>
    </row>
    <row r="32" spans="1:17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239385.38700000287</v>
      </c>
      <c r="H32" s="460">
        <f>G32+'11'!H32</f>
        <v>3090857.2</v>
      </c>
      <c r="I32" s="509"/>
      <c r="J32" s="552">
        <f>H32/DAY(B2)</f>
        <v>257571.43333333335</v>
      </c>
      <c r="K32" s="373"/>
      <c r="L32" s="443"/>
      <c r="N32" s="721"/>
      <c r="O32" s="730"/>
      <c r="P32" s="716"/>
      <c r="Q32" s="445"/>
    </row>
    <row r="33" spans="1:16" ht="25.5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  <c r="N33" s="721"/>
      <c r="O33" s="730"/>
      <c r="P33" s="716"/>
    </row>
    <row r="34" spans="1:16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30"/>
      <c r="P34" s="716"/>
    </row>
    <row r="35" spans="1:16">
      <c r="A35" s="578" t="s">
        <v>164</v>
      </c>
      <c r="B35" s="579"/>
      <c r="C35" s="579"/>
      <c r="D35" s="523" t="s">
        <v>132</v>
      </c>
      <c r="E35" s="510">
        <f>'11'!F35</f>
        <v>835033.11</v>
      </c>
      <c r="F35" s="510">
        <v>838007</v>
      </c>
      <c r="G35" s="473">
        <f t="shared" ref="G35:G46" si="3">F35-E35</f>
        <v>2973.890000000014</v>
      </c>
      <c r="H35" s="460">
        <f>G35+'11'!H35</f>
        <v>39618</v>
      </c>
      <c r="I35" s="455"/>
      <c r="J35" s="552">
        <f>H35/DAY(B2)</f>
        <v>3301.5</v>
      </c>
      <c r="K35" s="428"/>
      <c r="L35" s="377"/>
      <c r="N35" s="721"/>
      <c r="O35" s="730"/>
      <c r="P35" s="716"/>
    </row>
    <row r="36" spans="1:16">
      <c r="A36" s="578" t="s">
        <v>165</v>
      </c>
      <c r="B36" s="579"/>
      <c r="C36" s="579"/>
      <c r="D36" s="523" t="s">
        <v>132</v>
      </c>
      <c r="E36" s="510">
        <f>'11'!F36</f>
        <v>327306.33</v>
      </c>
      <c r="F36" s="510">
        <v>328280</v>
      </c>
      <c r="G36" s="473">
        <f t="shared" si="3"/>
        <v>973.6699999999837</v>
      </c>
      <c r="H36" s="460">
        <f>G36+'11'!H36</f>
        <v>10844</v>
      </c>
      <c r="I36" s="455"/>
      <c r="J36" s="552">
        <f>H36/DAY(B2)</f>
        <v>903.66666666666663</v>
      </c>
      <c r="K36" s="428"/>
      <c r="L36" s="377"/>
      <c r="N36" s="722"/>
      <c r="O36" s="730"/>
      <c r="P36" s="716"/>
    </row>
    <row r="37" spans="1:16">
      <c r="A37" s="578" t="s">
        <v>166</v>
      </c>
      <c r="B37" s="579"/>
      <c r="C37" s="579"/>
      <c r="D37" s="523" t="s">
        <v>132</v>
      </c>
      <c r="E37" s="510">
        <f>'11'!F37</f>
        <v>70027.45</v>
      </c>
      <c r="F37" s="510">
        <v>71354</v>
      </c>
      <c r="G37" s="473">
        <f t="shared" si="3"/>
        <v>1326.5500000000029</v>
      </c>
      <c r="H37" s="460">
        <f>G37+'11'!H37</f>
        <v>16557</v>
      </c>
      <c r="I37" s="455"/>
      <c r="J37" s="552">
        <f>H37/DAY(B2)</f>
        <v>1379.75</v>
      </c>
      <c r="K37" s="428"/>
      <c r="L37" s="377"/>
      <c r="N37" s="722"/>
      <c r="O37" s="730"/>
      <c r="P37" s="716"/>
    </row>
    <row r="38" spans="1:16">
      <c r="A38" s="578" t="s">
        <v>167</v>
      </c>
      <c r="B38" s="579"/>
      <c r="C38" s="579"/>
      <c r="D38" s="523" t="s">
        <v>132</v>
      </c>
      <c r="E38" s="510">
        <f>'11'!F38</f>
        <v>91007.31</v>
      </c>
      <c r="F38" s="469">
        <v>92625</v>
      </c>
      <c r="G38" s="473">
        <f t="shared" si="3"/>
        <v>1617.6900000000023</v>
      </c>
      <c r="H38" s="460">
        <f>G38+'11'!H38</f>
        <v>20317</v>
      </c>
      <c r="I38" s="455"/>
      <c r="J38" s="552">
        <f>H38/DAY(B2)</f>
        <v>1693.0833333333333</v>
      </c>
      <c r="K38" s="428"/>
      <c r="L38" s="377"/>
      <c r="N38" s="721"/>
      <c r="O38" s="730"/>
      <c r="P38" s="716"/>
    </row>
    <row r="39" spans="1:16">
      <c r="A39" s="578" t="s">
        <v>168</v>
      </c>
      <c r="B39" s="579"/>
      <c r="C39" s="579"/>
      <c r="D39" s="523" t="s">
        <v>132</v>
      </c>
      <c r="E39" s="510">
        <f>'11'!F39</f>
        <v>193206.67300000001</v>
      </c>
      <c r="F39" s="510">
        <v>196380</v>
      </c>
      <c r="G39" s="473">
        <f t="shared" si="3"/>
        <v>3173.3269999999902</v>
      </c>
      <c r="H39" s="460">
        <f>G39+'11'!H39</f>
        <v>43558</v>
      </c>
      <c r="I39" s="455"/>
      <c r="J39" s="552">
        <f>H39/DAY(B2)</f>
        <v>3629.8333333333335</v>
      </c>
      <c r="K39" s="428"/>
      <c r="L39" s="377"/>
      <c r="N39" s="721"/>
      <c r="O39" s="730"/>
      <c r="P39" s="716"/>
    </row>
    <row r="40" spans="1:16">
      <c r="A40" s="599" t="s">
        <v>169</v>
      </c>
      <c r="B40" s="600"/>
      <c r="C40" s="600"/>
      <c r="D40" s="523" t="s">
        <v>132</v>
      </c>
      <c r="E40" s="510">
        <v>0</v>
      </c>
      <c r="F40" s="510">
        <v>0</v>
      </c>
      <c r="G40" s="473">
        <f t="shared" si="3"/>
        <v>0</v>
      </c>
      <c r="H40" s="460">
        <f>G40+'11'!H40</f>
        <v>0.17</v>
      </c>
      <c r="I40" s="455"/>
      <c r="J40" s="552">
        <f>H40/DAY(B2)</f>
        <v>1.4166666666666668E-2</v>
      </c>
      <c r="K40" s="429"/>
      <c r="L40" s="377"/>
      <c r="N40" s="721"/>
      <c r="O40" s="730"/>
      <c r="P40" s="716"/>
    </row>
    <row r="41" spans="1:16">
      <c r="A41" s="578" t="s">
        <v>170</v>
      </c>
      <c r="B41" s="579"/>
      <c r="C41" s="579"/>
      <c r="D41" s="523" t="s">
        <v>132</v>
      </c>
      <c r="E41" s="510">
        <f>'11'!F41</f>
        <v>161910.42000000001</v>
      </c>
      <c r="F41" s="510">
        <v>161910</v>
      </c>
      <c r="G41" s="473">
        <f>F41-E41</f>
        <v>-0.42000000001280569</v>
      </c>
      <c r="H41" s="460">
        <f>G41+'11'!H41</f>
        <v>28769</v>
      </c>
      <c r="I41" s="455"/>
      <c r="J41" s="552">
        <f>H41/DAY(B2)</f>
        <v>2397.4166666666665</v>
      </c>
      <c r="K41" s="428"/>
      <c r="L41" s="377"/>
      <c r="N41" s="721"/>
      <c r="O41" s="730"/>
      <c r="P41" s="716"/>
    </row>
    <row r="42" spans="1:16">
      <c r="A42" s="578" t="s">
        <v>171</v>
      </c>
      <c r="B42" s="579"/>
      <c r="C42" s="579"/>
      <c r="D42" s="523" t="s">
        <v>132</v>
      </c>
      <c r="E42" s="510">
        <f>'11'!F42</f>
        <v>59128</v>
      </c>
      <c r="F42" s="510">
        <v>59128</v>
      </c>
      <c r="G42" s="473">
        <f t="shared" si="3"/>
        <v>0</v>
      </c>
      <c r="H42" s="460">
        <f>G42+'11'!H42</f>
        <v>-0.16000000000349246</v>
      </c>
      <c r="I42" s="455"/>
      <c r="J42" s="552">
        <f>H42/DAY(B2)</f>
        <v>-1.3333333333624372E-2</v>
      </c>
      <c r="K42" s="428"/>
      <c r="L42" s="377"/>
      <c r="N42" s="721"/>
      <c r="O42" s="730"/>
      <c r="P42" s="716"/>
    </row>
    <row r="43" spans="1:16">
      <c r="A43" s="578" t="s">
        <v>172</v>
      </c>
      <c r="B43" s="579"/>
      <c r="C43" s="579"/>
      <c r="D43" s="523" t="s">
        <v>132</v>
      </c>
      <c r="E43" s="510">
        <f>'11'!F43</f>
        <v>929431.35</v>
      </c>
      <c r="F43" s="510">
        <v>931746</v>
      </c>
      <c r="G43" s="473">
        <f t="shared" si="3"/>
        <v>2314.6500000000233</v>
      </c>
      <c r="H43" s="460">
        <f>G43+'11'!H43</f>
        <v>29698</v>
      </c>
      <c r="I43" s="455"/>
      <c r="J43" s="552">
        <f>H43/DAY(B2)</f>
        <v>2474.8333333333335</v>
      </c>
      <c r="K43" s="428"/>
      <c r="L43" s="377"/>
      <c r="N43" s="721"/>
      <c r="O43" s="730"/>
      <c r="P43" s="716"/>
    </row>
    <row r="44" spans="1:16">
      <c r="A44" s="578" t="s">
        <v>173</v>
      </c>
      <c r="B44" s="579"/>
      <c r="C44" s="579"/>
      <c r="D44" s="523" t="s">
        <v>132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2">
        <f>H44/DAY(B2)</f>
        <v>0</v>
      </c>
      <c r="K44" s="428"/>
      <c r="L44" s="377"/>
      <c r="N44" s="721"/>
      <c r="O44" s="730"/>
      <c r="P44" s="716"/>
    </row>
    <row r="45" spans="1:16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v>0</v>
      </c>
      <c r="I45" s="455"/>
      <c r="J45" s="552">
        <f>H45/DAY(B2)</f>
        <v>0</v>
      </c>
      <c r="K45" s="428"/>
      <c r="L45" s="377"/>
      <c r="N45" s="721"/>
      <c r="O45" s="730"/>
      <c r="P45" s="716"/>
    </row>
    <row r="46" spans="1:16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v>0</v>
      </c>
      <c r="I46" s="455"/>
      <c r="J46" s="552">
        <f>H46/DAY(B2)</f>
        <v>0</v>
      </c>
      <c r="K46" s="428"/>
      <c r="L46" s="377"/>
      <c r="N46" s="721"/>
      <c r="O46" s="730"/>
      <c r="P46" s="716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12379.357000000004</v>
      </c>
      <c r="H47" s="460">
        <f>G47+'11'!H47</f>
        <v>190162.49999999994</v>
      </c>
      <c r="I47" s="455"/>
      <c r="J47" s="552">
        <f>H47/DAY(B2)</f>
        <v>15846.874999999995</v>
      </c>
      <c r="K47" s="428"/>
      <c r="L47" s="377"/>
      <c r="N47" s="721"/>
      <c r="O47" s="730"/>
      <c r="P47" s="716"/>
    </row>
    <row r="48" spans="1:16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30"/>
      <c r="P48" s="716"/>
    </row>
    <row r="49" spans="1:16">
      <c r="A49" s="578" t="s">
        <v>164</v>
      </c>
      <c r="B49" s="601"/>
      <c r="C49" s="601"/>
      <c r="D49" s="523" t="s">
        <v>132</v>
      </c>
      <c r="E49" s="510">
        <f>'11'!F49</f>
        <v>260732</v>
      </c>
      <c r="F49" s="510">
        <v>260732</v>
      </c>
      <c r="G49" s="473">
        <f t="shared" ref="G49:G58" si="4">F49-E49</f>
        <v>0</v>
      </c>
      <c r="H49" s="460">
        <f>G49+'11'!H49</f>
        <v>0</v>
      </c>
      <c r="I49" s="455"/>
      <c r="J49" s="552">
        <f>H49/DAY(B2)</f>
        <v>0</v>
      </c>
      <c r="K49" s="428"/>
      <c r="L49" s="377"/>
      <c r="N49" s="721"/>
      <c r="O49" s="730"/>
      <c r="P49" s="716"/>
    </row>
    <row r="50" spans="1:16">
      <c r="A50" s="578" t="s">
        <v>178</v>
      </c>
      <c r="B50" s="601"/>
      <c r="C50" s="601"/>
      <c r="D50" s="523" t="s">
        <v>132</v>
      </c>
      <c r="E50" s="510">
        <f>'11'!F50</f>
        <v>453536.03</v>
      </c>
      <c r="F50" s="510">
        <v>454733</v>
      </c>
      <c r="G50" s="473">
        <f t="shared" si="4"/>
        <v>1196.9699999999721</v>
      </c>
      <c r="H50" s="460">
        <f>G50+'11'!H50</f>
        <v>12458.959999999963</v>
      </c>
      <c r="I50" s="455"/>
      <c r="J50" s="552">
        <f>H50/DAY(B2)</f>
        <v>1038.2466666666635</v>
      </c>
      <c r="K50" s="428"/>
      <c r="L50" s="377"/>
      <c r="N50" s="721"/>
      <c r="O50" s="730"/>
      <c r="P50" s="716"/>
    </row>
    <row r="51" spans="1:16">
      <c r="A51" s="578" t="s">
        <v>166</v>
      </c>
      <c r="B51" s="601"/>
      <c r="C51" s="601"/>
      <c r="D51" s="523" t="s">
        <v>132</v>
      </c>
      <c r="E51" s="510">
        <f>'11'!F51</f>
        <v>144639.87</v>
      </c>
      <c r="F51" s="510">
        <v>144640</v>
      </c>
      <c r="G51" s="473">
        <f t="shared" si="4"/>
        <v>0.13000000000465661</v>
      </c>
      <c r="H51" s="460">
        <f>G51+'11'!H51</f>
        <v>0</v>
      </c>
      <c r="I51" s="455"/>
      <c r="J51" s="552">
        <f>H51/DAY(B2)</f>
        <v>0</v>
      </c>
      <c r="K51" s="428"/>
      <c r="L51" s="377"/>
      <c r="N51" s="721"/>
      <c r="O51" s="730"/>
      <c r="P51" s="716"/>
    </row>
    <row r="52" spans="1:16">
      <c r="A52" s="578" t="s">
        <v>179</v>
      </c>
      <c r="B52" s="601"/>
      <c r="C52" s="601"/>
      <c r="D52" s="523" t="s">
        <v>132</v>
      </c>
      <c r="E52" s="510">
        <f>'11'!F52</f>
        <v>539606.06999999995</v>
      </c>
      <c r="F52" s="510">
        <v>539606</v>
      </c>
      <c r="G52" s="473">
        <f t="shared" si="4"/>
        <v>-6.9999999948777258E-2</v>
      </c>
      <c r="H52" s="460">
        <v>0</v>
      </c>
      <c r="I52" s="455"/>
      <c r="J52" s="552">
        <f>H52/DAY(B2)</f>
        <v>0</v>
      </c>
      <c r="K52" s="428"/>
      <c r="L52" s="377"/>
      <c r="N52" s="721"/>
      <c r="O52" s="730"/>
      <c r="P52" s="716"/>
    </row>
    <row r="53" spans="1:16">
      <c r="A53" s="578" t="s">
        <v>168</v>
      </c>
      <c r="B53" s="601"/>
      <c r="C53" s="601"/>
      <c r="D53" s="523" t="s">
        <v>132</v>
      </c>
      <c r="E53" s="510">
        <f>'11'!F53</f>
        <v>405485.15</v>
      </c>
      <c r="F53" s="510">
        <v>406047</v>
      </c>
      <c r="G53" s="473">
        <f t="shared" si="4"/>
        <v>561.84999999997672</v>
      </c>
      <c r="H53" s="460">
        <f>G53+'11'!H53</f>
        <v>4213.2000000000116</v>
      </c>
      <c r="I53" s="455"/>
      <c r="J53" s="552">
        <f>H53/DAY(B2)</f>
        <v>351.10000000000099</v>
      </c>
      <c r="K53" s="428"/>
      <c r="L53" s="377"/>
      <c r="N53" s="721"/>
      <c r="O53" s="730"/>
      <c r="P53" s="716"/>
    </row>
    <row r="54" spans="1:16">
      <c r="A54" s="578" t="s">
        <v>180</v>
      </c>
      <c r="B54" s="601"/>
      <c r="C54" s="601"/>
      <c r="D54" s="523" t="s">
        <v>132</v>
      </c>
      <c r="E54" s="510">
        <f>'11'!F54</f>
        <v>9950.2999999999993</v>
      </c>
      <c r="F54" s="510">
        <v>10021</v>
      </c>
      <c r="G54" s="473">
        <f t="shared" si="4"/>
        <v>70.700000000000728</v>
      </c>
      <c r="H54" s="460">
        <f>G54+'11'!H54</f>
        <v>3796.0300000000007</v>
      </c>
      <c r="I54" s="455"/>
      <c r="J54" s="552">
        <f>H54/DAY(B2)</f>
        <v>316.33583333333337</v>
      </c>
      <c r="K54" s="428"/>
      <c r="L54" s="377"/>
      <c r="N54" s="721"/>
      <c r="O54" s="730"/>
      <c r="P54" s="716"/>
    </row>
    <row r="55" spans="1:16">
      <c r="A55" s="578" t="s">
        <v>181</v>
      </c>
      <c r="B55" s="601"/>
      <c r="C55" s="601"/>
      <c r="D55" s="523" t="s">
        <v>132</v>
      </c>
      <c r="E55" s="510">
        <f>'11'!F55</f>
        <v>254221.09</v>
      </c>
      <c r="F55" s="656">
        <v>259875</v>
      </c>
      <c r="G55" s="655">
        <f t="shared" si="4"/>
        <v>5653.9100000000035</v>
      </c>
      <c r="H55" s="708">
        <f>G55+'11'!H55</f>
        <v>38421.799999999988</v>
      </c>
      <c r="I55" s="709"/>
      <c r="J55" s="710">
        <f>H55/DAY(B2)</f>
        <v>3201.8166666666657</v>
      </c>
      <c r="K55" s="428"/>
      <c r="L55" s="377"/>
      <c r="N55" s="721"/>
      <c r="O55" s="730"/>
      <c r="P55" s="716"/>
    </row>
    <row r="56" spans="1:16">
      <c r="A56" s="578" t="s">
        <v>182</v>
      </c>
      <c r="B56" s="601"/>
      <c r="C56" s="601"/>
      <c r="D56" s="523" t="s">
        <v>183</v>
      </c>
      <c r="E56" s="510">
        <f>'11'!F56</f>
        <v>589076.91</v>
      </c>
      <c r="F56" s="656">
        <v>589086</v>
      </c>
      <c r="G56" s="473">
        <f t="shared" si="4"/>
        <v>9.0899999999674037</v>
      </c>
      <c r="H56" s="460">
        <f>G56+'11'!H56</f>
        <v>109.8399999999674</v>
      </c>
      <c r="I56" s="455"/>
      <c r="J56" s="552">
        <f>H56/DAY(B2)</f>
        <v>9.1533333333306164</v>
      </c>
      <c r="K56" s="427"/>
      <c r="L56" s="377"/>
      <c r="N56" s="721"/>
      <c r="O56" s="730"/>
      <c r="P56" s="716"/>
    </row>
    <row r="57" spans="1:16">
      <c r="A57" s="578" t="s">
        <v>172</v>
      </c>
      <c r="B57" s="601"/>
      <c r="C57" s="601"/>
      <c r="D57" s="523" t="s">
        <v>132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0</v>
      </c>
      <c r="I57" s="455"/>
      <c r="J57" s="552">
        <f>H57/DAY(B2)</f>
        <v>0</v>
      </c>
      <c r="K57" s="428"/>
      <c r="L57" s="377"/>
      <c r="N57" s="721"/>
      <c r="O57" s="730"/>
      <c r="P57" s="716"/>
    </row>
    <row r="58" spans="1:16">
      <c r="A58" s="578" t="s">
        <v>184</v>
      </c>
      <c r="B58" s="601"/>
      <c r="C58" s="601"/>
      <c r="D58" s="523" t="s">
        <v>132</v>
      </c>
      <c r="E58" s="510">
        <f>'11'!F58</f>
        <v>43640.07</v>
      </c>
      <c r="F58" s="656">
        <v>43814</v>
      </c>
      <c r="G58" s="473">
        <f t="shared" si="4"/>
        <v>173.93000000000029</v>
      </c>
      <c r="H58" s="460">
        <f>G58+'11'!H58</f>
        <v>2112.6599999999962</v>
      </c>
      <c r="I58" s="455"/>
      <c r="J58" s="552">
        <f>H58/DAY(B2)</f>
        <v>176.05499999999969</v>
      </c>
      <c r="K58" s="428"/>
      <c r="L58" s="377"/>
      <c r="N58" s="721"/>
      <c r="O58" s="730"/>
      <c r="P58" s="716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7666.5099999999766</v>
      </c>
      <c r="H59" s="460">
        <f>G59+'11'!H59</f>
        <v>61110.489999999932</v>
      </c>
      <c r="I59" s="455">
        <f>G7-G60</f>
        <v>420.13300000001982</v>
      </c>
      <c r="J59" s="552">
        <f>H59/DAY(B2)</f>
        <v>5092.540833333328</v>
      </c>
      <c r="K59" s="428"/>
      <c r="L59" s="377"/>
      <c r="N59" s="721"/>
      <c r="O59" s="730"/>
      <c r="P59" s="716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20045.86699999998</v>
      </c>
      <c r="H60" s="460">
        <f>G60+'11'!H60</f>
        <v>258472.53999999998</v>
      </c>
      <c r="I60" s="455">
        <f>G13-G60</f>
        <v>-319.49699999998484</v>
      </c>
      <c r="J60" s="552">
        <f>H60/DAY(B2)</f>
        <v>21539.37833333333</v>
      </c>
      <c r="K60" s="428"/>
      <c r="L60" s="377"/>
      <c r="N60" s="721"/>
      <c r="O60" s="730"/>
      <c r="P60" s="716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30"/>
      <c r="P61" s="716"/>
    </row>
    <row r="62" spans="1:16">
      <c r="A62" s="603" t="s">
        <v>98</v>
      </c>
      <c r="B62" s="604"/>
      <c r="C62" s="604"/>
      <c r="D62" s="511" t="s">
        <v>187</v>
      </c>
      <c r="E62" s="514">
        <f>'11'!F62</f>
        <v>20419</v>
      </c>
      <c r="F62" s="514">
        <v>20419</v>
      </c>
      <c r="G62" s="473">
        <f t="shared" ref="G62:G69" si="5">F62-E62</f>
        <v>0</v>
      </c>
      <c r="H62" s="460">
        <f>G62+'11'!H62</f>
        <v>1.9999999967694748E-3</v>
      </c>
      <c r="I62" s="515"/>
      <c r="J62" s="552">
        <f>H62/DAY(B2)</f>
        <v>1.6666666639745623E-4</v>
      </c>
      <c r="K62" s="428"/>
      <c r="L62" s="377"/>
      <c r="N62" s="721"/>
      <c r="O62" s="730"/>
      <c r="P62" s="716"/>
    </row>
    <row r="63" spans="1:16">
      <c r="A63" s="603" t="s">
        <v>188</v>
      </c>
      <c r="B63" s="604"/>
      <c r="C63" s="604"/>
      <c r="D63" s="511" t="s">
        <v>187</v>
      </c>
      <c r="E63" s="514">
        <f>'11'!F63</f>
        <v>2224.6999999999998</v>
      </c>
      <c r="F63" s="514">
        <v>2236</v>
      </c>
      <c r="G63" s="473">
        <f t="shared" si="5"/>
        <v>11.300000000000182</v>
      </c>
      <c r="H63" s="460">
        <f>G63+'11'!H63</f>
        <v>140</v>
      </c>
      <c r="I63" s="515"/>
      <c r="J63" s="552">
        <f>H63/DAY(B2)</f>
        <v>11.666666666666666</v>
      </c>
      <c r="K63" s="428"/>
      <c r="L63" s="377"/>
      <c r="N63" s="721"/>
      <c r="O63" s="730"/>
      <c r="P63" s="716"/>
    </row>
    <row r="64" spans="1:16" ht="27.75">
      <c r="A64" s="1499" t="s">
        <v>99</v>
      </c>
      <c r="B64" s="1500"/>
      <c r="C64" s="1501"/>
      <c r="D64" s="523" t="s">
        <v>187</v>
      </c>
      <c r="E64" s="514">
        <f>'11'!F64</f>
        <v>144343.99</v>
      </c>
      <c r="F64" s="478">
        <v>144820</v>
      </c>
      <c r="G64" s="473">
        <f t="shared" si="5"/>
        <v>476.01000000000931</v>
      </c>
      <c r="H64" s="460">
        <f>G64+'11'!H64</f>
        <v>5640</v>
      </c>
      <c r="I64" s="480"/>
      <c r="J64" s="552">
        <f>H64/DAY(B2)</f>
        <v>470</v>
      </c>
      <c r="K64" s="428"/>
      <c r="L64" s="377"/>
      <c r="N64" s="721"/>
      <c r="O64" s="730"/>
      <c r="P64" s="716"/>
    </row>
    <row r="65" spans="1:16" ht="27.75">
      <c r="A65" s="1499" t="s">
        <v>100</v>
      </c>
      <c r="B65" s="1500"/>
      <c r="C65" s="1501"/>
      <c r="D65" s="523" t="s">
        <v>187</v>
      </c>
      <c r="E65" s="514">
        <f>'11'!F65</f>
        <v>148180.85</v>
      </c>
      <c r="F65" s="654">
        <v>148542</v>
      </c>
      <c r="G65" s="473">
        <f t="shared" si="5"/>
        <v>361.14999999999418</v>
      </c>
      <c r="H65" s="460">
        <f>G65+'11'!H65</f>
        <v>4337</v>
      </c>
      <c r="I65" s="489"/>
      <c r="J65" s="552">
        <f>H65/DAY(B2)</f>
        <v>361.41666666666669</v>
      </c>
      <c r="K65" s="428"/>
      <c r="L65" s="377"/>
      <c r="N65" s="721"/>
      <c r="O65" s="730"/>
      <c r="P65" s="716"/>
    </row>
    <row r="66" spans="1:16" ht="27.75">
      <c r="A66" s="1499" t="s">
        <v>101</v>
      </c>
      <c r="B66" s="1500"/>
      <c r="C66" s="1501"/>
      <c r="D66" s="523" t="s">
        <v>187</v>
      </c>
      <c r="E66" s="514">
        <f>'11'!F66</f>
        <v>41518.35</v>
      </c>
      <c r="F66" s="478">
        <v>41896</v>
      </c>
      <c r="G66" s="473">
        <f t="shared" si="5"/>
        <v>377.65000000000146</v>
      </c>
      <c r="H66" s="460">
        <f>G66+'11'!H66</f>
        <v>4688</v>
      </c>
      <c r="I66" s="480"/>
      <c r="J66" s="552">
        <f>H66/DAY(B2)</f>
        <v>390.66666666666669</v>
      </c>
      <c r="K66" s="428"/>
      <c r="L66" s="377"/>
      <c r="N66" s="721"/>
      <c r="O66" s="730"/>
      <c r="P66" s="716"/>
    </row>
    <row r="67" spans="1:16" ht="27.75">
      <c r="A67" s="1499" t="s">
        <v>102</v>
      </c>
      <c r="B67" s="1500"/>
      <c r="C67" s="1501"/>
      <c r="D67" s="523" t="s">
        <v>187</v>
      </c>
      <c r="E67" s="514">
        <f>'11'!F67</f>
        <v>235656.03</v>
      </c>
      <c r="F67" s="478">
        <v>236109</v>
      </c>
      <c r="G67" s="473">
        <f t="shared" si="5"/>
        <v>452.97000000000116</v>
      </c>
      <c r="H67" s="460">
        <f>G67+'11'!H67</f>
        <v>7009</v>
      </c>
      <c r="I67" s="489"/>
      <c r="J67" s="552">
        <f>H67/DAY(B2)</f>
        <v>584.08333333333337</v>
      </c>
      <c r="K67" s="429"/>
      <c r="L67" s="377"/>
      <c r="N67" s="721"/>
      <c r="O67" s="730"/>
      <c r="P67" s="716"/>
    </row>
    <row r="68" spans="1:16" ht="27.75">
      <c r="A68" s="1499" t="s">
        <v>103</v>
      </c>
      <c r="B68" s="1500"/>
      <c r="C68" s="1501"/>
      <c r="D68" s="523" t="s">
        <v>187</v>
      </c>
      <c r="E68" s="514">
        <f>'11'!F68</f>
        <v>85321</v>
      </c>
      <c r="F68" s="478">
        <v>85321</v>
      </c>
      <c r="G68" s="473">
        <f t="shared" si="5"/>
        <v>0</v>
      </c>
      <c r="H68" s="460">
        <f>G68+'11'!H68</f>
        <v>2234</v>
      </c>
      <c r="I68" s="516"/>
      <c r="J68" s="552">
        <f>H68/DAY(B2)</f>
        <v>186.16666666666666</v>
      </c>
      <c r="K68" s="430"/>
      <c r="L68" s="377"/>
      <c r="N68" s="721"/>
      <c r="O68" s="730"/>
      <c r="P68" s="716"/>
    </row>
    <row r="69" spans="1:16" ht="27.75">
      <c r="A69" s="1499" t="s">
        <v>104</v>
      </c>
      <c r="B69" s="1500"/>
      <c r="C69" s="1501"/>
      <c r="D69" s="523" t="s">
        <v>187</v>
      </c>
      <c r="E69" s="514">
        <f>'11'!F69</f>
        <v>77688.86</v>
      </c>
      <c r="F69" s="478">
        <v>77955</v>
      </c>
      <c r="G69" s="473">
        <f t="shared" si="5"/>
        <v>266.13999999999942</v>
      </c>
      <c r="H69" s="460">
        <f>G69+'11'!H69</f>
        <v>3626</v>
      </c>
      <c r="I69" s="516"/>
      <c r="J69" s="552">
        <f>H69/DAY(B2)</f>
        <v>302.16666666666669</v>
      </c>
      <c r="K69" s="431"/>
      <c r="L69" s="377"/>
      <c r="N69" s="721"/>
      <c r="O69" s="730"/>
      <c r="P69" s="716"/>
    </row>
    <row r="70" spans="1:16" ht="27.75">
      <c r="A70" s="1505" t="s">
        <v>189</v>
      </c>
      <c r="B70" s="1506"/>
      <c r="C70" s="1507"/>
      <c r="D70" s="523" t="s">
        <v>187</v>
      </c>
      <c r="E70" s="518"/>
      <c r="F70" s="518"/>
      <c r="G70" s="518">
        <v>0</v>
      </c>
      <c r="H70" s="460">
        <f>G70+'11'!H70</f>
        <v>0</v>
      </c>
      <c r="I70" s="518"/>
      <c r="J70" s="556">
        <f>H70/DAY(B2)</f>
        <v>0</v>
      </c>
      <c r="K70" s="431"/>
      <c r="L70" s="377"/>
      <c r="N70" s="721"/>
      <c r="O70" s="730"/>
      <c r="P70" s="716"/>
    </row>
    <row r="71" spans="1:16" ht="31.5">
      <c r="A71" s="1502" t="s">
        <v>190</v>
      </c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  <c r="N71" s="721"/>
      <c r="O71" s="730"/>
      <c r="P71" s="716"/>
    </row>
    <row r="72" spans="1:16" ht="27.75">
      <c r="A72" s="1499" t="s">
        <v>191</v>
      </c>
      <c r="B72" s="1500"/>
      <c r="C72" s="1501"/>
      <c r="D72" s="523" t="s">
        <v>187</v>
      </c>
      <c r="E72" s="519">
        <f>'11'!F72</f>
        <v>854255</v>
      </c>
      <c r="F72" s="657">
        <v>854336</v>
      </c>
      <c r="G72" s="473">
        <f t="shared" ref="G72:G84" si="6">F72-E72</f>
        <v>81</v>
      </c>
      <c r="H72" s="460">
        <f>G72+'11'!H72</f>
        <v>1157</v>
      </c>
      <c r="I72" s="480"/>
      <c r="J72" s="552">
        <f>H72/DAY(B2)</f>
        <v>96.416666666666671</v>
      </c>
      <c r="K72" s="431"/>
      <c r="L72" s="377"/>
      <c r="N72" s="721"/>
      <c r="O72" s="730"/>
      <c r="P72" s="716"/>
    </row>
    <row r="73" spans="1:16" ht="27.75">
      <c r="A73" s="1499" t="s">
        <v>192</v>
      </c>
      <c r="B73" s="1500"/>
      <c r="C73" s="1501"/>
      <c r="D73" s="523" t="s">
        <v>187</v>
      </c>
      <c r="E73" s="519">
        <f>'11'!F73</f>
        <v>885818</v>
      </c>
      <c r="F73" s="658">
        <v>885819</v>
      </c>
      <c r="G73" s="655">
        <f t="shared" si="6"/>
        <v>1</v>
      </c>
      <c r="H73" s="460">
        <f>G73+'11'!H73</f>
        <v>19</v>
      </c>
      <c r="I73" s="480"/>
      <c r="J73" s="552">
        <f>H73/DAY(B2)</f>
        <v>1.5833333333333333</v>
      </c>
      <c r="K73" s="430"/>
      <c r="L73" s="377"/>
      <c r="N73" s="721"/>
      <c r="O73" s="730"/>
      <c r="P73" s="716"/>
    </row>
    <row r="74" spans="1:16" ht="27.75">
      <c r="A74" s="1499" t="s">
        <v>193</v>
      </c>
      <c r="B74" s="1500"/>
      <c r="C74" s="1501"/>
      <c r="D74" s="523" t="s">
        <v>187</v>
      </c>
      <c r="E74" s="519">
        <f>'11'!F74</f>
        <v>1678.63</v>
      </c>
      <c r="F74" s="658">
        <v>1710</v>
      </c>
      <c r="G74" s="473">
        <f t="shared" si="6"/>
        <v>31.369999999999891</v>
      </c>
      <c r="H74" s="460">
        <f>G74+'11'!H74</f>
        <v>340</v>
      </c>
      <c r="I74" s="480"/>
      <c r="J74" s="552">
        <f>H74/DAY(B2)</f>
        <v>28.333333333333332</v>
      </c>
      <c r="K74" s="431"/>
      <c r="L74" s="377"/>
      <c r="N74" s="721"/>
      <c r="O74" s="730"/>
      <c r="P74" s="716"/>
    </row>
    <row r="75" spans="1:16" ht="27.75">
      <c r="A75" s="1496" t="s">
        <v>194</v>
      </c>
      <c r="B75" s="1497"/>
      <c r="C75" s="1498"/>
      <c r="D75" s="523" t="s">
        <v>187</v>
      </c>
      <c r="E75" s="519">
        <f>'11'!F75</f>
        <v>9822.4</v>
      </c>
      <c r="F75" s="658">
        <v>9886</v>
      </c>
      <c r="G75" s="473">
        <f t="shared" si="6"/>
        <v>63.600000000000364</v>
      </c>
      <c r="H75" s="460">
        <f>G75+'11'!H75</f>
        <v>1206</v>
      </c>
      <c r="I75" s="480"/>
      <c r="J75" s="552">
        <f>H75/DAY(B2)</f>
        <v>100.5</v>
      </c>
      <c r="K75" s="430"/>
      <c r="L75" s="377"/>
      <c r="N75" s="721"/>
      <c r="O75" s="730"/>
      <c r="P75" s="716"/>
    </row>
    <row r="76" spans="1:16" ht="27.75">
      <c r="A76" s="1496" t="s">
        <v>195</v>
      </c>
      <c r="B76" s="1497"/>
      <c r="C76" s="1498"/>
      <c r="D76" s="523" t="s">
        <v>187</v>
      </c>
      <c r="E76" s="519">
        <f>'11'!F76</f>
        <v>4765.4799999999996</v>
      </c>
      <c r="F76" s="658">
        <v>4831</v>
      </c>
      <c r="G76" s="473">
        <f t="shared" si="6"/>
        <v>65.520000000000437</v>
      </c>
      <c r="H76" s="460">
        <f>G76+'11'!H76</f>
        <v>794</v>
      </c>
      <c r="I76" s="505"/>
      <c r="J76" s="552">
        <f>H76/DAY(B2)</f>
        <v>66.166666666666671</v>
      </c>
      <c r="K76" s="430"/>
      <c r="L76" s="377"/>
      <c r="N76" s="721"/>
      <c r="O76" s="730"/>
      <c r="P76" s="716"/>
    </row>
    <row r="77" spans="1:16" ht="27.75">
      <c r="A77" s="1499" t="s">
        <v>196</v>
      </c>
      <c r="B77" s="1500"/>
      <c r="C77" s="1501"/>
      <c r="D77" s="523" t="s">
        <v>187</v>
      </c>
      <c r="E77" s="519">
        <f>'11'!F77</f>
        <v>700718</v>
      </c>
      <c r="F77" s="658">
        <v>700761</v>
      </c>
      <c r="G77" s="655">
        <f t="shared" si="6"/>
        <v>43</v>
      </c>
      <c r="H77" s="460">
        <f>G77+'11'!H77</f>
        <v>547</v>
      </c>
      <c r="I77" s="505"/>
      <c r="J77" s="552">
        <f>H77/DAY(B2)</f>
        <v>45.583333333333336</v>
      </c>
      <c r="K77" s="430"/>
      <c r="L77" s="377"/>
      <c r="N77" s="721"/>
      <c r="O77" s="730"/>
      <c r="P77" s="716"/>
    </row>
    <row r="78" spans="1:16" ht="27.75">
      <c r="A78" s="1147" t="s">
        <v>197</v>
      </c>
      <c r="B78" s="1120"/>
      <c r="C78" s="1120"/>
      <c r="D78" s="523" t="s">
        <v>187</v>
      </c>
      <c r="E78" s="519">
        <f>'11'!F78</f>
        <v>668595</v>
      </c>
      <c r="F78" s="659">
        <v>668705</v>
      </c>
      <c r="G78" s="473">
        <f t="shared" si="6"/>
        <v>110</v>
      </c>
      <c r="H78" s="460">
        <f>G78+'11'!H78</f>
        <v>3325</v>
      </c>
      <c r="I78" s="505"/>
      <c r="J78" s="552">
        <f>H78/DAY(B2)</f>
        <v>277.08333333333331</v>
      </c>
      <c r="K78" s="430"/>
      <c r="L78" s="377"/>
      <c r="N78" s="721"/>
      <c r="O78" s="730"/>
      <c r="P78" s="716"/>
    </row>
    <row r="79" spans="1:16" ht="27.75">
      <c r="A79" s="1496" t="s">
        <v>92</v>
      </c>
      <c r="B79" s="1497"/>
      <c r="C79" s="1498"/>
      <c r="D79" s="524" t="s">
        <v>187</v>
      </c>
      <c r="E79" s="519">
        <f>'11'!F79</f>
        <v>823267</v>
      </c>
      <c r="F79" s="659">
        <v>823443</v>
      </c>
      <c r="G79" s="473">
        <f t="shared" si="6"/>
        <v>176</v>
      </c>
      <c r="H79" s="460">
        <f>G79+'11'!H79</f>
        <v>2230</v>
      </c>
      <c r="I79" s="505"/>
      <c r="J79" s="552">
        <f>H79/DAY(B2)</f>
        <v>185.83333333333334</v>
      </c>
      <c r="K79" s="430"/>
      <c r="L79" s="377"/>
      <c r="N79" s="721"/>
      <c r="O79" s="730"/>
      <c r="P79" s="716"/>
    </row>
    <row r="80" spans="1:16" ht="27.75">
      <c r="A80" s="1496" t="s">
        <v>198</v>
      </c>
      <c r="B80" s="1497"/>
      <c r="C80" s="1498"/>
      <c r="D80" s="524" t="s">
        <v>187</v>
      </c>
      <c r="E80" s="519">
        <f>'11'!F80</f>
        <v>509559.32</v>
      </c>
      <c r="F80" s="658">
        <v>509942</v>
      </c>
      <c r="G80" s="473">
        <f t="shared" si="6"/>
        <v>382.67999999999302</v>
      </c>
      <c r="H80" s="460">
        <f>G80+'11'!H80</f>
        <v>4243</v>
      </c>
      <c r="I80" s="505"/>
      <c r="J80" s="552">
        <f>H80/DAY(B2)</f>
        <v>353.58333333333331</v>
      </c>
      <c r="K80" s="430"/>
      <c r="L80" s="377"/>
      <c r="N80" s="721"/>
      <c r="O80" s="730"/>
      <c r="P80" s="716"/>
    </row>
    <row r="81" spans="1:17" ht="27.75">
      <c r="A81" s="1496" t="s">
        <v>199</v>
      </c>
      <c r="B81" s="1497"/>
      <c r="C81" s="1498"/>
      <c r="D81" s="524" t="s">
        <v>187</v>
      </c>
      <c r="E81" s="519">
        <f>'11'!F81</f>
        <v>633019.80000000005</v>
      </c>
      <c r="F81" s="658">
        <v>633251</v>
      </c>
      <c r="G81" s="473">
        <f t="shared" si="6"/>
        <v>231.19999999995343</v>
      </c>
      <c r="H81" s="460">
        <f>G81+'11'!H81</f>
        <v>3066</v>
      </c>
      <c r="I81" s="505"/>
      <c r="J81" s="552">
        <f>H81/DAY(B2)</f>
        <v>255.5</v>
      </c>
      <c r="K81" s="430"/>
      <c r="L81" s="377"/>
      <c r="N81" s="721"/>
      <c r="O81" s="730"/>
      <c r="P81" s="716"/>
    </row>
    <row r="82" spans="1:17" ht="27.75">
      <c r="A82" s="1496" t="s">
        <v>93</v>
      </c>
      <c r="B82" s="1497"/>
      <c r="C82" s="1498"/>
      <c r="D82" s="485" t="s">
        <v>132</v>
      </c>
      <c r="E82" s="519">
        <f>'11'!F82</f>
        <v>107155.73</v>
      </c>
      <c r="F82" s="654">
        <v>107180</v>
      </c>
      <c r="G82" s="473">
        <f t="shared" si="6"/>
        <v>24.270000000004075</v>
      </c>
      <c r="H82" s="460">
        <f>G82+'11'!H82</f>
        <v>285</v>
      </c>
      <c r="I82" s="486"/>
      <c r="J82" s="552">
        <f>H82/DAY(B2)</f>
        <v>23.75</v>
      </c>
      <c r="K82" s="430"/>
      <c r="L82" s="377"/>
      <c r="N82" s="721"/>
      <c r="O82" s="730"/>
      <c r="P82" s="716"/>
    </row>
    <row r="83" spans="1:17" ht="27.75">
      <c r="A83" s="1496" t="s">
        <v>200</v>
      </c>
      <c r="B83" s="1497"/>
      <c r="C83" s="1498"/>
      <c r="D83" s="620" t="s">
        <v>132</v>
      </c>
      <c r="E83" s="519">
        <f>'11'!F83</f>
        <v>9968</v>
      </c>
      <c r="F83" s="511">
        <v>10226</v>
      </c>
      <c r="G83" s="473">
        <f t="shared" si="6"/>
        <v>258</v>
      </c>
      <c r="H83" s="460">
        <f>G83+'11'!H83</f>
        <v>3169</v>
      </c>
      <c r="I83" s="481"/>
      <c r="J83" s="552">
        <f>H83/DAY(B2)</f>
        <v>264.08333333333331</v>
      </c>
      <c r="K83" s="429"/>
      <c r="L83" s="377"/>
      <c r="N83" s="721"/>
      <c r="O83" s="730"/>
      <c r="P83" s="716"/>
    </row>
    <row r="84" spans="1:17">
      <c r="A84" s="1148" t="s">
        <v>201</v>
      </c>
      <c r="B84" s="571"/>
      <c r="C84" s="571"/>
      <c r="D84" s="478" t="s">
        <v>132</v>
      </c>
      <c r="E84" s="519">
        <f>'11'!F84</f>
        <v>465216</v>
      </c>
      <c r="F84" s="627">
        <v>466198</v>
      </c>
      <c r="G84" s="473">
        <f t="shared" si="6"/>
        <v>982</v>
      </c>
      <c r="H84" s="460">
        <f>G84+'11'!H84</f>
        <v>11514</v>
      </c>
      <c r="I84" s="481"/>
      <c r="J84" s="552">
        <f>H84/DAY(B2)</f>
        <v>959.5</v>
      </c>
      <c r="K84" s="380"/>
      <c r="L84" s="377"/>
      <c r="N84" s="721"/>
      <c r="O84" s="730"/>
      <c r="P84" s="716"/>
    </row>
    <row r="85" spans="1:17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2449.6399999999512</v>
      </c>
      <c r="H85" s="460">
        <f>G85+'11'!H85</f>
        <v>31895</v>
      </c>
      <c r="I85" s="481"/>
      <c r="J85" s="552">
        <f>H85/DAY(B2)</f>
        <v>2657.9166666666665</v>
      </c>
      <c r="K85" s="380"/>
      <c r="L85" s="378"/>
      <c r="N85" s="721"/>
      <c r="O85" s="730"/>
      <c r="P85" s="716"/>
      <c r="Q85" s="738"/>
    </row>
    <row r="86" spans="1:17" s="738" customFormat="1">
      <c r="A86" s="733" t="s">
        <v>94</v>
      </c>
      <c r="B86" s="734"/>
      <c r="C86" s="734"/>
      <c r="D86" s="735" t="s">
        <v>183</v>
      </c>
      <c r="E86" s="627">
        <f>'11'!F86</f>
        <v>456565.2</v>
      </c>
      <c r="F86" s="650">
        <v>456840</v>
      </c>
      <c r="G86" s="708">
        <f t="shared" ref="G86:G90" si="7">F86-E86</f>
        <v>274.79999999998836</v>
      </c>
      <c r="H86" s="708">
        <f t="shared" ref="H86:H88" si="8">G86</f>
        <v>274.79999999998836</v>
      </c>
      <c r="I86" s="655"/>
      <c r="J86" s="710">
        <f>H86/DAY(B2)</f>
        <v>22.899999999999029</v>
      </c>
      <c r="K86" s="736"/>
      <c r="L86" s="737"/>
      <c r="O86" s="716"/>
    </row>
    <row r="87" spans="1:17" s="738" customFormat="1">
      <c r="A87" s="733" t="s">
        <v>95</v>
      </c>
      <c r="B87" s="734"/>
      <c r="C87" s="734"/>
      <c r="D87" s="735" t="s">
        <v>183</v>
      </c>
      <c r="E87" s="627">
        <f>'11'!F87</f>
        <v>80510.100000000006</v>
      </c>
      <c r="F87" s="650">
        <v>80554</v>
      </c>
      <c r="G87" s="708">
        <f t="shared" si="7"/>
        <v>43.899999999994179</v>
      </c>
      <c r="H87" s="708">
        <f t="shared" si="8"/>
        <v>43.899999999994179</v>
      </c>
      <c r="I87" s="655"/>
      <c r="J87" s="710">
        <f>H87/DAY(B2)</f>
        <v>3.6583333333328483</v>
      </c>
      <c r="K87" s="736"/>
      <c r="L87" s="737"/>
      <c r="O87" s="716"/>
    </row>
    <row r="88" spans="1:17" s="738" customFormat="1">
      <c r="A88" s="733" t="s">
        <v>96</v>
      </c>
      <c r="B88" s="734"/>
      <c r="C88" s="734"/>
      <c r="D88" s="735" t="s">
        <v>183</v>
      </c>
      <c r="E88" s="627">
        <f>'11'!F88</f>
        <v>151171.63</v>
      </c>
      <c r="F88" s="650">
        <v>151195</v>
      </c>
      <c r="G88" s="708">
        <f t="shared" si="7"/>
        <v>23.369999999995343</v>
      </c>
      <c r="H88" s="708">
        <f t="shared" si="8"/>
        <v>23.369999999995343</v>
      </c>
      <c r="I88" s="655"/>
      <c r="J88" s="710">
        <f>H88/DAY(B2)</f>
        <v>1.9474999999996119</v>
      </c>
      <c r="K88" s="736"/>
      <c r="L88" s="737"/>
      <c r="O88" s="716"/>
    </row>
    <row r="89" spans="1:17" s="738" customFormat="1">
      <c r="A89" s="733" t="s">
        <v>204</v>
      </c>
      <c r="B89" s="734"/>
      <c r="C89" s="734"/>
      <c r="D89" s="735" t="s">
        <v>183</v>
      </c>
      <c r="E89" s="627">
        <f>'11'!F89</f>
        <v>64029.3</v>
      </c>
      <c r="F89" s="650">
        <v>64072</v>
      </c>
      <c r="G89" s="708">
        <f t="shared" si="7"/>
        <v>42.69999999999709</v>
      </c>
      <c r="H89" s="708">
        <f>G89</f>
        <v>42.69999999999709</v>
      </c>
      <c r="I89" s="655"/>
      <c r="J89" s="710">
        <f>H89/DAY(B2)</f>
        <v>3.5583333333330907</v>
      </c>
      <c r="K89" s="736"/>
      <c r="L89" s="737"/>
      <c r="N89" s="781"/>
      <c r="O89" s="716"/>
    </row>
    <row r="90" spans="1:17" s="738" customFormat="1">
      <c r="A90" s="733" t="s">
        <v>204</v>
      </c>
      <c r="B90" s="734"/>
      <c r="C90" s="734"/>
      <c r="D90" s="735" t="s">
        <v>183</v>
      </c>
      <c r="E90" s="627">
        <f>'11'!F90</f>
        <v>3271.8</v>
      </c>
      <c r="F90" s="650">
        <v>3272</v>
      </c>
      <c r="G90" s="708">
        <f t="shared" si="7"/>
        <v>0.1999999999998181</v>
      </c>
      <c r="H90" s="708">
        <f>G90</f>
        <v>0.1999999999998181</v>
      </c>
      <c r="I90" s="655"/>
      <c r="J90" s="710">
        <f>H90/DAY(B2)</f>
        <v>1.6666666666651508E-2</v>
      </c>
      <c r="K90" s="736"/>
      <c r="L90" s="737"/>
      <c r="N90" s="781"/>
      <c r="O90" s="716"/>
    </row>
    <row r="91" spans="1:17" s="379" customFormat="1">
      <c r="A91" s="606" t="s">
        <v>205</v>
      </c>
      <c r="B91" s="1150"/>
      <c r="C91" s="1150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30"/>
      <c r="P91" s="716"/>
      <c r="Q91" s="738"/>
    </row>
    <row r="92" spans="1:17" ht="27.75">
      <c r="A92" s="1520" t="s">
        <v>206</v>
      </c>
      <c r="B92" s="1521"/>
      <c r="C92" s="1522"/>
      <c r="D92" s="523" t="s">
        <v>144</v>
      </c>
      <c r="E92" s="484">
        <f>'11'!F92</f>
        <v>243440</v>
      </c>
      <c r="F92" s="478">
        <v>243496</v>
      </c>
      <c r="G92" s="473">
        <f t="shared" ref="G92:G93" si="9">F92-E92</f>
        <v>56</v>
      </c>
      <c r="H92" s="460">
        <f>G92+'11'!H92</f>
        <v>850</v>
      </c>
      <c r="I92" s="480"/>
      <c r="J92" s="552">
        <f>H92/DAY(B2)</f>
        <v>70.833333333333329</v>
      </c>
      <c r="K92" s="429"/>
      <c r="L92" s="377"/>
      <c r="N92" s="721"/>
      <c r="O92" s="730"/>
      <c r="P92" s="716"/>
    </row>
    <row r="93" spans="1:17" ht="27.75">
      <c r="A93" s="1520" t="s">
        <v>207</v>
      </c>
      <c r="B93" s="1521"/>
      <c r="C93" s="1522"/>
      <c r="D93" s="523" t="s">
        <v>144</v>
      </c>
      <c r="E93" s="484">
        <f>'11'!F93</f>
        <v>181394</v>
      </c>
      <c r="F93" s="478">
        <v>181516</v>
      </c>
      <c r="G93" s="473">
        <f t="shared" si="9"/>
        <v>122</v>
      </c>
      <c r="H93" s="460">
        <f>G93+'11'!H93</f>
        <v>1837</v>
      </c>
      <c r="I93" s="480"/>
      <c r="J93" s="552">
        <f>H93/DAY(B2)</f>
        <v>153.08333333333334</v>
      </c>
      <c r="K93" s="380"/>
      <c r="L93" s="377"/>
      <c r="N93" s="721"/>
      <c r="O93" s="730"/>
      <c r="P93" s="716"/>
    </row>
    <row r="94" spans="1:17">
      <c r="A94" s="1548" t="s">
        <v>208</v>
      </c>
      <c r="B94" s="1549"/>
      <c r="C94" s="1550"/>
      <c r="D94" s="523"/>
      <c r="E94" s="484">
        <f>'11'!F94</f>
        <v>0</v>
      </c>
      <c r="F94" s="478"/>
      <c r="G94" s="473">
        <f>G92+G93</f>
        <v>178</v>
      </c>
      <c r="H94" s="460">
        <f>G94+'11'!H94</f>
        <v>2468</v>
      </c>
      <c r="I94" s="480"/>
      <c r="J94" s="552">
        <f>H94/DAY(B2)</f>
        <v>205.66666666666666</v>
      </c>
      <c r="K94" s="380"/>
      <c r="L94" s="377"/>
      <c r="N94" s="721"/>
      <c r="O94" s="730"/>
      <c r="P94" s="716"/>
    </row>
    <row r="95" spans="1:17" ht="27.75">
      <c r="A95" s="1520" t="s">
        <v>209</v>
      </c>
      <c r="B95" s="1521"/>
      <c r="C95" s="1522"/>
      <c r="D95" s="523" t="s">
        <v>144</v>
      </c>
      <c r="E95" s="484">
        <f>'11'!F95</f>
        <v>411602</v>
      </c>
      <c r="F95" s="478">
        <v>411670</v>
      </c>
      <c r="G95" s="473">
        <f t="shared" ref="G95:G100" si="10">F95-E95</f>
        <v>68</v>
      </c>
      <c r="H95" s="460">
        <f>G95+'11'!H95</f>
        <v>885</v>
      </c>
      <c r="I95" s="480"/>
      <c r="J95" s="552">
        <f>H95/DAY(B2)</f>
        <v>73.75</v>
      </c>
      <c r="K95" s="380"/>
      <c r="L95" s="377"/>
      <c r="N95" s="721"/>
      <c r="O95" s="730"/>
      <c r="P95" s="716"/>
    </row>
    <row r="96" spans="1:17" ht="27.75">
      <c r="A96" s="1144" t="s">
        <v>210</v>
      </c>
      <c r="B96" s="1145"/>
      <c r="C96" s="1145"/>
      <c r="D96" s="523" t="s">
        <v>144</v>
      </c>
      <c r="E96" s="484">
        <f>'11'!F96</f>
        <v>102018</v>
      </c>
      <c r="F96" s="478">
        <v>102037</v>
      </c>
      <c r="G96" s="473">
        <f t="shared" si="10"/>
        <v>19</v>
      </c>
      <c r="H96" s="460">
        <f>G96+'11'!H96</f>
        <v>206</v>
      </c>
      <c r="I96" s="480"/>
      <c r="J96" s="552">
        <f>H96/DAY(B2)</f>
        <v>17.166666666666668</v>
      </c>
      <c r="K96" s="427"/>
      <c r="L96" s="377"/>
      <c r="N96" s="721"/>
      <c r="O96" s="730"/>
      <c r="P96" s="716"/>
    </row>
    <row r="97" spans="1:17" ht="27.75">
      <c r="A97" s="1144" t="s">
        <v>211</v>
      </c>
      <c r="B97" s="1145"/>
      <c r="C97" s="1145"/>
      <c r="D97" s="523" t="s">
        <v>144</v>
      </c>
      <c r="E97" s="484">
        <f>'11'!F97</f>
        <v>97121</v>
      </c>
      <c r="F97" s="478">
        <v>97136</v>
      </c>
      <c r="G97" s="473">
        <f t="shared" si="10"/>
        <v>15</v>
      </c>
      <c r="H97" s="460">
        <f>G97+'11'!H97</f>
        <v>208</v>
      </c>
      <c r="I97" s="480"/>
      <c r="J97" s="552">
        <f>H97/DAY(B2)</f>
        <v>17.333333333333332</v>
      </c>
      <c r="K97" s="432"/>
      <c r="L97" s="377"/>
      <c r="N97" s="721"/>
      <c r="O97" s="730"/>
      <c r="P97" s="716"/>
    </row>
    <row r="98" spans="1:17" ht="27.75">
      <c r="A98" s="1144" t="s">
        <v>212</v>
      </c>
      <c r="B98" s="1145"/>
      <c r="C98" s="1145"/>
      <c r="D98" s="523" t="s">
        <v>144</v>
      </c>
      <c r="E98" s="484">
        <f>'11'!F98</f>
        <v>149323</v>
      </c>
      <c r="F98" s="478">
        <v>149353</v>
      </c>
      <c r="G98" s="473">
        <f t="shared" si="10"/>
        <v>30</v>
      </c>
      <c r="H98" s="460">
        <f>G98+'11'!H98</f>
        <v>444</v>
      </c>
      <c r="I98" s="480"/>
      <c r="J98" s="552">
        <f>H98/DAY(B2)</f>
        <v>37</v>
      </c>
      <c r="K98" s="380"/>
      <c r="L98" s="377"/>
      <c r="N98" s="723"/>
      <c r="O98" s="730"/>
      <c r="P98" s="716"/>
    </row>
    <row r="99" spans="1:17" ht="27.75">
      <c r="A99" s="1144" t="s">
        <v>213</v>
      </c>
      <c r="B99" s="1145"/>
      <c r="C99" s="1145"/>
      <c r="D99" s="523" t="s">
        <v>144</v>
      </c>
      <c r="E99" s="484">
        <f>'11'!F99</f>
        <v>7005</v>
      </c>
      <c r="F99" s="478">
        <v>7012</v>
      </c>
      <c r="G99" s="473">
        <f t="shared" si="10"/>
        <v>7</v>
      </c>
      <c r="H99" s="460">
        <f>G99+'11'!H99</f>
        <v>157</v>
      </c>
      <c r="I99" s="480"/>
      <c r="J99" s="552">
        <f>H99/DAY(B2)</f>
        <v>13.083333333333334</v>
      </c>
      <c r="K99" s="380"/>
      <c r="L99" s="377"/>
      <c r="N99" s="721"/>
      <c r="O99" s="730"/>
      <c r="P99" s="716"/>
    </row>
    <row r="100" spans="1:17" ht="27.75">
      <c r="A100" s="1144" t="s">
        <v>214</v>
      </c>
      <c r="B100" s="1145"/>
      <c r="C100" s="1145"/>
      <c r="D100" s="523" t="s">
        <v>144</v>
      </c>
      <c r="E100" s="484">
        <f>'11'!F100</f>
        <v>5013</v>
      </c>
      <c r="F100" s="478">
        <v>5018</v>
      </c>
      <c r="G100" s="473">
        <f t="shared" si="10"/>
        <v>5</v>
      </c>
      <c r="H100" s="460">
        <f>G100+'11'!H100</f>
        <v>75</v>
      </c>
      <c r="I100" s="480"/>
      <c r="J100" s="552">
        <f>H100/DAY(B2)</f>
        <v>6.25</v>
      </c>
      <c r="K100" s="380"/>
      <c r="L100" s="377"/>
      <c r="N100" s="721"/>
      <c r="O100" s="730"/>
      <c r="P100" s="716"/>
    </row>
    <row r="101" spans="1:17">
      <c r="A101" s="1548" t="s">
        <v>216</v>
      </c>
      <c r="B101" s="1549"/>
      <c r="C101" s="1550"/>
      <c r="D101" s="524"/>
      <c r="E101" s="484"/>
      <c r="F101" s="524"/>
      <c r="G101" s="525">
        <f>SUM(G95:G100)</f>
        <v>144</v>
      </c>
      <c r="H101" s="460">
        <f>G101+'11'!H101</f>
        <v>1975</v>
      </c>
      <c r="I101" s="526"/>
      <c r="J101" s="552">
        <f>H101/DAY(B2)</f>
        <v>164.58333333333334</v>
      </c>
      <c r="K101" s="380"/>
      <c r="L101" s="377"/>
      <c r="N101" s="721"/>
      <c r="O101" s="730"/>
      <c r="P101" s="716"/>
    </row>
    <row r="102" spans="1:17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30"/>
      <c r="P102" s="716"/>
      <c r="Q102" s="445"/>
    </row>
    <row r="103" spans="1:17" s="442" customFormat="1" ht="27.75">
      <c r="A103" s="1551" t="s">
        <v>218</v>
      </c>
      <c r="B103" s="1552"/>
      <c r="C103" s="573"/>
      <c r="D103" s="622"/>
      <c r="E103" s="484"/>
      <c r="F103" s="661"/>
      <c r="G103" s="532"/>
      <c r="H103" s="533"/>
      <c r="I103" s="532"/>
      <c r="J103" s="558"/>
      <c r="N103" s="721"/>
      <c r="O103" s="730"/>
      <c r="P103" s="716"/>
      <c r="Q103" s="445"/>
    </row>
    <row r="104" spans="1:17" s="442" customFormat="1" ht="27.75">
      <c r="A104" s="1512" t="s">
        <v>219</v>
      </c>
      <c r="B104" s="1513"/>
      <c r="C104" s="1143"/>
      <c r="D104" s="622" t="s">
        <v>144</v>
      </c>
      <c r="E104" s="484">
        <f>'11'!F104</f>
        <v>7361</v>
      </c>
      <c r="F104" s="661">
        <v>7361</v>
      </c>
      <c r="G104" s="532">
        <f>F104-E104</f>
        <v>0</v>
      </c>
      <c r="H104" s="533">
        <f>SUM(G104+'1'!G76)</f>
        <v>59</v>
      </c>
      <c r="I104" s="532"/>
      <c r="J104" s="558">
        <f>H104/DAY(B2)</f>
        <v>4.916666666666667</v>
      </c>
      <c r="N104" s="721"/>
      <c r="O104" s="730"/>
      <c r="P104" s="716"/>
      <c r="Q104" s="445"/>
    </row>
    <row r="105" spans="1:17" s="442" customFormat="1" ht="27.75">
      <c r="A105" s="1512" t="s">
        <v>77</v>
      </c>
      <c r="B105" s="1513"/>
      <c r="C105" s="1143"/>
      <c r="D105" s="622" t="s">
        <v>144</v>
      </c>
      <c r="E105" s="484">
        <f>'11'!F105</f>
        <v>35721</v>
      </c>
      <c r="F105" s="662">
        <v>35725</v>
      </c>
      <c r="G105" s="532">
        <f t="shared" ref="G105:G106" si="11">F105-E105</f>
        <v>4</v>
      </c>
      <c r="H105" s="533">
        <f>SUM(G105+'1'!G77)</f>
        <v>54</v>
      </c>
      <c r="I105" s="532"/>
      <c r="J105" s="558">
        <f>H105/DAY(B2)</f>
        <v>4.5</v>
      </c>
      <c r="N105" s="721"/>
      <c r="O105" s="730"/>
      <c r="P105" s="716"/>
      <c r="Q105" s="445"/>
    </row>
    <row r="106" spans="1:17" s="442" customFormat="1" ht="27.75">
      <c r="A106" s="1512" t="s">
        <v>78</v>
      </c>
      <c r="B106" s="1553"/>
      <c r="C106" s="1513"/>
      <c r="D106" s="622" t="s">
        <v>144</v>
      </c>
      <c r="E106" s="484">
        <f>'11'!F106</f>
        <v>19491</v>
      </c>
      <c r="F106" s="662">
        <v>19498</v>
      </c>
      <c r="G106" s="532">
        <f t="shared" si="11"/>
        <v>7</v>
      </c>
      <c r="H106" s="533">
        <f>SUM(G106+'1'!G78)</f>
        <v>402</v>
      </c>
      <c r="I106" s="532"/>
      <c r="J106" s="558">
        <f>H106/DAY(B2)</f>
        <v>33.5</v>
      </c>
      <c r="N106" s="721"/>
      <c r="O106" s="730"/>
      <c r="P106" s="716"/>
      <c r="Q106" s="445"/>
    </row>
    <row r="107" spans="1:17" s="442" customFormat="1" ht="27.75">
      <c r="A107" s="1514" t="s">
        <v>202</v>
      </c>
      <c r="B107" s="1515"/>
      <c r="C107" s="1143"/>
      <c r="D107" s="622"/>
      <c r="E107" s="484"/>
      <c r="F107" s="662"/>
      <c r="G107" s="532">
        <f>SUM(G104:G106)</f>
        <v>11</v>
      </c>
      <c r="H107" s="533">
        <f>SUM(G107+'1'!G79)</f>
        <v>205</v>
      </c>
      <c r="I107" s="532"/>
      <c r="J107" s="558">
        <f>H107/DAY(B2)</f>
        <v>17.083333333333332</v>
      </c>
      <c r="N107" s="721"/>
      <c r="O107" s="730"/>
      <c r="P107" s="716"/>
      <c r="Q107" s="445"/>
    </row>
    <row r="108" spans="1:17" s="442" customFormat="1" ht="27.75">
      <c r="A108" s="1518" t="s">
        <v>79</v>
      </c>
      <c r="B108" s="1519"/>
      <c r="C108" s="1143"/>
      <c r="D108" s="622" t="s">
        <v>144</v>
      </c>
      <c r="E108" s="484"/>
      <c r="F108" s="662"/>
      <c r="G108" s="532"/>
      <c r="H108" s="533"/>
      <c r="I108" s="532"/>
      <c r="J108" s="558"/>
      <c r="N108" s="721"/>
      <c r="O108" s="730"/>
      <c r="P108" s="716"/>
      <c r="Q108" s="445"/>
    </row>
    <row r="109" spans="1:17" s="442" customFormat="1" ht="27.75">
      <c r="A109" s="1512" t="s">
        <v>220</v>
      </c>
      <c r="B109" s="1513"/>
      <c r="C109" s="1143"/>
      <c r="D109" s="622" t="s">
        <v>144</v>
      </c>
      <c r="E109" s="484">
        <f>'11'!F109</f>
        <v>59799</v>
      </c>
      <c r="F109" s="662">
        <v>59862</v>
      </c>
      <c r="G109" s="532">
        <f>F109-E109</f>
        <v>63</v>
      </c>
      <c r="H109" s="533">
        <f>SUM(G109+'1'!G81)</f>
        <v>261</v>
      </c>
      <c r="I109" s="532"/>
      <c r="J109" s="558">
        <f>H109/DAY(B2)</f>
        <v>21.75</v>
      </c>
      <c r="N109" s="721"/>
      <c r="O109" s="730"/>
      <c r="P109" s="716"/>
      <c r="Q109" s="445"/>
    </row>
    <row r="110" spans="1:17" s="442" customFormat="1" ht="27.75">
      <c r="A110" s="1512" t="s">
        <v>221</v>
      </c>
      <c r="B110" s="1513"/>
      <c r="C110" s="1143"/>
      <c r="D110" s="622" t="s">
        <v>144</v>
      </c>
      <c r="E110" s="484">
        <f>'11'!F110</f>
        <v>32010</v>
      </c>
      <c r="F110" s="662">
        <v>32034</v>
      </c>
      <c r="G110" s="532">
        <f t="shared" ref="G110:G111" si="12">F110-E110</f>
        <v>24</v>
      </c>
      <c r="H110" s="533">
        <f>SUM(G110+'1'!G82)</f>
        <v>47</v>
      </c>
      <c r="I110" s="532"/>
      <c r="J110" s="558">
        <f>H110/DAY(B2)</f>
        <v>3.9166666666666665</v>
      </c>
      <c r="N110" s="721"/>
      <c r="O110" s="730"/>
      <c r="P110" s="716"/>
      <c r="Q110" s="445"/>
    </row>
    <row r="111" spans="1:17" s="442" customFormat="1" ht="27.75">
      <c r="A111" s="1512" t="s">
        <v>222</v>
      </c>
      <c r="B111" s="1513"/>
      <c r="C111" s="1143"/>
      <c r="D111" s="622" t="s">
        <v>144</v>
      </c>
      <c r="E111" s="484">
        <f>'11'!F111</f>
        <v>4239</v>
      </c>
      <c r="F111" s="662">
        <v>4259</v>
      </c>
      <c r="G111" s="532">
        <f t="shared" si="12"/>
        <v>20</v>
      </c>
      <c r="H111" s="533">
        <f>SUM(G111+'1'!G83)</f>
        <v>259</v>
      </c>
      <c r="I111" s="532"/>
      <c r="J111" s="558">
        <f>H111/DAY(B2)</f>
        <v>21.583333333333332</v>
      </c>
      <c r="N111" s="721"/>
      <c r="O111" s="730"/>
      <c r="P111" s="716"/>
      <c r="Q111" s="445"/>
    </row>
    <row r="112" spans="1:17" s="442" customFormat="1" ht="27.75">
      <c r="A112" s="1514" t="s">
        <v>110</v>
      </c>
      <c r="B112" s="1515"/>
      <c r="C112" s="1143"/>
      <c r="D112" s="622"/>
      <c r="E112" s="484"/>
      <c r="F112" s="662"/>
      <c r="G112" s="532">
        <f>SUM(G109:G111)</f>
        <v>107</v>
      </c>
      <c r="H112" s="533">
        <f>SUM(G112+'1'!G84)</f>
        <v>1022</v>
      </c>
      <c r="I112" s="532"/>
      <c r="J112" s="558">
        <f>H112/DAY(B2)</f>
        <v>85.166666666666671</v>
      </c>
      <c r="N112" s="721"/>
      <c r="O112" s="730"/>
      <c r="P112" s="716"/>
      <c r="Q112" s="445"/>
    </row>
    <row r="113" spans="1:17" s="442" customFormat="1" ht="27.75">
      <c r="A113" s="1518" t="s">
        <v>223</v>
      </c>
      <c r="B113" s="1519"/>
      <c r="C113" s="1143"/>
      <c r="D113" s="622"/>
      <c r="E113" s="484"/>
      <c r="F113" s="662"/>
      <c r="G113" s="532"/>
      <c r="H113" s="533"/>
      <c r="I113" s="532"/>
      <c r="J113" s="558">
        <f>H113/DAY(B2)</f>
        <v>0</v>
      </c>
      <c r="N113" s="721"/>
      <c r="O113" s="730"/>
      <c r="P113" s="716"/>
      <c r="Q113" s="445"/>
    </row>
    <row r="114" spans="1:17" s="442" customFormat="1" ht="27.75">
      <c r="A114" s="1512" t="s">
        <v>224</v>
      </c>
      <c r="B114" s="1513"/>
      <c r="C114" s="574"/>
      <c r="D114" s="622" t="s">
        <v>144</v>
      </c>
      <c r="E114" s="484">
        <f>'11'!F114</f>
        <v>11037</v>
      </c>
      <c r="F114" s="662">
        <v>11047</v>
      </c>
      <c r="G114" s="534">
        <f>F114-E114</f>
        <v>10</v>
      </c>
      <c r="H114" s="533">
        <f>SUM(G114+'1'!G91)</f>
        <v>10</v>
      </c>
      <c r="I114" s="532"/>
      <c r="J114" s="558">
        <f>H114/DAY(B2)</f>
        <v>0.83333333333333337</v>
      </c>
      <c r="N114" s="721"/>
      <c r="O114" s="730"/>
      <c r="P114" s="716"/>
      <c r="Q114" s="445"/>
    </row>
    <row r="115" spans="1:17" s="442" customFormat="1" ht="27.75">
      <c r="A115" s="1512" t="s">
        <v>225</v>
      </c>
      <c r="B115" s="1513"/>
      <c r="C115" s="574"/>
      <c r="D115" s="622" t="s">
        <v>144</v>
      </c>
      <c r="E115" s="484">
        <f>'11'!F115</f>
        <v>8029</v>
      </c>
      <c r="F115" s="662">
        <v>8033</v>
      </c>
      <c r="G115" s="534">
        <f t="shared" ref="G115:G116" si="13">F115-E115</f>
        <v>4</v>
      </c>
      <c r="H115" s="533">
        <f>SUM(G115+'1'!G92)</f>
        <v>96</v>
      </c>
      <c r="I115" s="532"/>
      <c r="J115" s="558">
        <f>H115/DAY(B2)</f>
        <v>8</v>
      </c>
      <c r="N115" s="721"/>
      <c r="O115" s="730"/>
      <c r="P115" s="716"/>
      <c r="Q115" s="445"/>
    </row>
    <row r="116" spans="1:17" s="442" customFormat="1" ht="27.75">
      <c r="A116" s="1512" t="s">
        <v>226</v>
      </c>
      <c r="B116" s="1513"/>
      <c r="C116" s="574"/>
      <c r="D116" s="622" t="s">
        <v>144</v>
      </c>
      <c r="E116" s="534"/>
      <c r="F116" s="662"/>
      <c r="G116" s="534">
        <f t="shared" si="13"/>
        <v>0</v>
      </c>
      <c r="H116" s="533">
        <f>SUM(G116+'1'!G93)</f>
        <v>127</v>
      </c>
      <c r="I116" s="532"/>
      <c r="J116" s="558">
        <f>H116/DAY(B2)</f>
        <v>10.583333333333334</v>
      </c>
      <c r="N116" s="721"/>
      <c r="O116" s="730"/>
      <c r="P116" s="716"/>
      <c r="Q116" s="445"/>
    </row>
    <row r="117" spans="1:17" s="445" customFormat="1" ht="27.75">
      <c r="A117" s="1514" t="s">
        <v>202</v>
      </c>
      <c r="B117" s="1515"/>
      <c r="C117" s="574"/>
      <c r="D117" s="623"/>
      <c r="E117" s="534"/>
      <c r="F117" s="662"/>
      <c r="G117" s="534">
        <f>SUM(G114:G116)</f>
        <v>14</v>
      </c>
      <c r="H117" s="533">
        <f>SUM(G117+'1'!G95)</f>
        <v>91</v>
      </c>
      <c r="I117" s="534"/>
      <c r="J117" s="558">
        <f>H117/DAY(B2)</f>
        <v>7.583333333333333</v>
      </c>
      <c r="N117" s="721"/>
      <c r="O117" s="730"/>
      <c r="P117" s="716"/>
    </row>
    <row r="118" spans="1:17" s="446" customFormat="1" ht="27.75">
      <c r="A118" s="1508" t="s">
        <v>227</v>
      </c>
      <c r="B118" s="1509"/>
      <c r="C118" s="1141"/>
      <c r="D118" s="624" t="s">
        <v>144</v>
      </c>
      <c r="E118" s="536"/>
      <c r="F118" s="663">
        <f>SUM(G19+G92)</f>
        <v>117</v>
      </c>
      <c r="G118" s="536">
        <f>SUM(G19+G92)</f>
        <v>117</v>
      </c>
      <c r="H118" s="533">
        <f>SUM(G118+'1'!G96)</f>
        <v>134</v>
      </c>
      <c r="I118" s="535"/>
      <c r="J118" s="559">
        <f>H118/DAY(B2)</f>
        <v>11.166666666666666</v>
      </c>
      <c r="N118" s="721"/>
      <c r="O118" s="730"/>
      <c r="P118" s="716"/>
    </row>
    <row r="119" spans="1:17" s="446" customFormat="1" ht="27.75">
      <c r="A119" s="1508" t="s">
        <v>228</v>
      </c>
      <c r="B119" s="1509"/>
      <c r="C119" s="1141"/>
      <c r="D119" s="624" t="s">
        <v>144</v>
      </c>
      <c r="E119" s="536"/>
      <c r="F119" s="663">
        <f>SUM(G95,G96,G97,G99,G100)</f>
        <v>114</v>
      </c>
      <c r="G119" s="536">
        <f>SUM(G95,G96,G97,G99,G100)</f>
        <v>114</v>
      </c>
      <c r="H119" s="533">
        <f>SUM(G119+'1'!G98)</f>
        <v>142</v>
      </c>
      <c r="I119" s="535"/>
      <c r="J119" s="559">
        <f>H119/DAY(B2)</f>
        <v>11.833333333333334</v>
      </c>
      <c r="N119" s="721"/>
      <c r="O119" s="730"/>
      <c r="P119" s="716"/>
    </row>
    <row r="120" spans="1:17" s="446" customFormat="1" ht="27.75">
      <c r="A120" s="1508" t="s">
        <v>229</v>
      </c>
      <c r="B120" s="1509"/>
      <c r="C120" s="1141"/>
      <c r="D120" s="624" t="s">
        <v>144</v>
      </c>
      <c r="E120" s="534"/>
      <c r="F120" s="662">
        <f>SUM(G112)</f>
        <v>107</v>
      </c>
      <c r="G120" s="534">
        <f>SUM(G112)</f>
        <v>107</v>
      </c>
      <c r="H120" s="533">
        <f>SUM(G120+'1'!G100)</f>
        <v>113</v>
      </c>
      <c r="I120" s="535"/>
      <c r="J120" s="559">
        <f>H120/DAY(B2)</f>
        <v>9.4166666666666661</v>
      </c>
      <c r="N120" s="721"/>
      <c r="O120" s="730"/>
      <c r="P120" s="716"/>
    </row>
    <row r="121" spans="1:17" s="442" customFormat="1" ht="27.75">
      <c r="A121" s="1510"/>
      <c r="B121" s="1511"/>
      <c r="C121" s="1142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30"/>
      <c r="P121" s="716"/>
      <c r="Q121" s="445"/>
    </row>
    <row r="122" spans="1:17">
      <c r="A122" s="1545" t="s">
        <v>230</v>
      </c>
      <c r="B122" s="1546"/>
      <c r="C122" s="1547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30"/>
      <c r="P122" s="716"/>
    </row>
    <row r="123" spans="1:17" ht="27.75">
      <c r="A123" s="1144" t="s">
        <v>231</v>
      </c>
      <c r="B123" s="1145"/>
      <c r="C123" s="1145"/>
      <c r="D123" s="523" t="s">
        <v>141</v>
      </c>
      <c r="E123" s="478">
        <f>'11'!F123</f>
        <v>821601.8</v>
      </c>
      <c r="F123" s="478">
        <v>821847</v>
      </c>
      <c r="G123" s="473">
        <f t="shared" ref="G123:G127" si="14">F123-E123</f>
        <v>245.19999999995343</v>
      </c>
      <c r="H123" s="460">
        <f>G123+'11'!H123</f>
        <v>3037</v>
      </c>
      <c r="I123" s="526"/>
      <c r="J123" s="552">
        <f>H123/DAY(B2)</f>
        <v>253.08333333333334</v>
      </c>
      <c r="K123" s="380"/>
      <c r="L123" s="377"/>
      <c r="N123" s="721"/>
      <c r="O123" s="730"/>
      <c r="P123" s="716"/>
    </row>
    <row r="124" spans="1:17" ht="27.75">
      <c r="A124" s="1144" t="s">
        <v>232</v>
      </c>
      <c r="B124" s="1145"/>
      <c r="C124" s="1145"/>
      <c r="D124" s="523" t="s">
        <v>141</v>
      </c>
      <c r="E124" s="626">
        <f>'11'!F124</f>
        <v>73583.399999999994</v>
      </c>
      <c r="F124" s="626">
        <v>73583</v>
      </c>
      <c r="G124" s="473">
        <f t="shared" si="14"/>
        <v>-0.39999999999417923</v>
      </c>
      <c r="H124" s="460">
        <f>G124+'11'!H124</f>
        <v>-0.39999999999417923</v>
      </c>
      <c r="I124" s="526"/>
      <c r="J124" s="552">
        <f>H124/DAY(B2)</f>
        <v>-3.3333333332848269E-2</v>
      </c>
      <c r="K124" s="380"/>
      <c r="L124" s="377"/>
      <c r="N124" s="721"/>
      <c r="O124" s="730"/>
      <c r="P124" s="716"/>
    </row>
    <row r="125" spans="1:17" ht="27.75">
      <c r="A125" s="1499" t="s">
        <v>233</v>
      </c>
      <c r="B125" s="1500"/>
      <c r="C125" s="1501"/>
      <c r="D125" s="523" t="s">
        <v>141</v>
      </c>
      <c r="E125" s="478">
        <f>'11'!F125</f>
        <v>143144.68</v>
      </c>
      <c r="F125" s="478">
        <v>143227</v>
      </c>
      <c r="G125" s="473">
        <f t="shared" si="14"/>
        <v>82.320000000006985</v>
      </c>
      <c r="H125" s="460">
        <f>G125+'11'!H125</f>
        <v>1091</v>
      </c>
      <c r="I125" s="526"/>
      <c r="J125" s="552">
        <f>H125/DAY(B2)</f>
        <v>90.916666666666671</v>
      </c>
      <c r="K125" s="380"/>
      <c r="L125" s="377"/>
      <c r="N125" s="721"/>
      <c r="O125" s="730"/>
      <c r="P125" s="716"/>
    </row>
    <row r="126" spans="1:17" ht="27.75">
      <c r="A126" s="609" t="s">
        <v>234</v>
      </c>
      <c r="B126" s="1145"/>
      <c r="C126" s="1145"/>
      <c r="D126" s="523" t="s">
        <v>141</v>
      </c>
      <c r="E126" s="626">
        <f>'11'!F126</f>
        <v>31404.2</v>
      </c>
      <c r="F126" s="626">
        <v>31404.2</v>
      </c>
      <c r="G126" s="473">
        <f t="shared" si="14"/>
        <v>0</v>
      </c>
      <c r="H126" s="460">
        <f>G126+'11'!H126</f>
        <v>85.5</v>
      </c>
      <c r="I126" s="526"/>
      <c r="J126" s="552">
        <f>H126/DAY(B2)</f>
        <v>7.125</v>
      </c>
      <c r="K126" s="380"/>
      <c r="L126" s="377"/>
      <c r="N126" s="721"/>
      <c r="O126" s="730"/>
      <c r="P126" s="716"/>
    </row>
    <row r="127" spans="1:17" ht="27.75">
      <c r="A127" s="609" t="s">
        <v>235</v>
      </c>
      <c r="B127" s="1145"/>
      <c r="C127" s="1145"/>
      <c r="D127" s="523" t="s">
        <v>141</v>
      </c>
      <c r="E127" s="626">
        <f>'11'!F127</f>
        <v>8966.6</v>
      </c>
      <c r="F127" s="626">
        <v>8967</v>
      </c>
      <c r="G127" s="473">
        <f t="shared" si="14"/>
        <v>0.3999999999996362</v>
      </c>
      <c r="H127" s="460">
        <f>G127+'11'!H127</f>
        <v>5</v>
      </c>
      <c r="I127" s="480"/>
      <c r="J127" s="552">
        <f>H127/DAY(B2)</f>
        <v>0.41666666666666669</v>
      </c>
      <c r="K127" s="380"/>
      <c r="L127" s="377"/>
      <c r="N127" s="721"/>
      <c r="O127" s="730"/>
      <c r="P127" s="716"/>
    </row>
    <row r="128" spans="1:17" s="281" customFormat="1" ht="27.75">
      <c r="A128" s="609" t="s">
        <v>236</v>
      </c>
      <c r="B128" s="1145"/>
      <c r="C128" s="1145"/>
      <c r="D128" s="523"/>
      <c r="E128" s="478"/>
      <c r="F128" s="478"/>
      <c r="G128" s="473">
        <f>G15-SUM(G123:G127)</f>
        <v>446.54000000009</v>
      </c>
      <c r="H128" s="460">
        <f>H15-SUM(H123:H127)</f>
        <v>6697.8999999999942</v>
      </c>
      <c r="I128" s="480"/>
      <c r="J128" s="552"/>
      <c r="K128" s="364"/>
      <c r="L128" s="292"/>
      <c r="N128" s="721"/>
      <c r="O128" s="730"/>
      <c r="P128" s="716"/>
      <c r="Q128" s="713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30"/>
      <c r="P129" s="716"/>
    </row>
    <row r="130" spans="1:16" ht="27.75">
      <c r="A130" s="1144" t="s">
        <v>238</v>
      </c>
      <c r="B130" s="1145"/>
      <c r="C130" s="1145"/>
      <c r="D130" s="523" t="s">
        <v>239</v>
      </c>
      <c r="E130" s="484">
        <f>'11'!F130</f>
        <v>0</v>
      </c>
      <c r="F130" s="478">
        <v>0</v>
      </c>
      <c r="G130" s="473">
        <f t="shared" ref="G130:G140" si="15">F130-E130</f>
        <v>0</v>
      </c>
      <c r="H130" s="460">
        <f>G130+'11'!H130</f>
        <v>0</v>
      </c>
      <c r="I130" s="480"/>
      <c r="J130" s="552">
        <f>H130/DAY(B2)</f>
        <v>0</v>
      </c>
      <c r="N130" s="721"/>
      <c r="O130" s="730"/>
      <c r="P130" s="716"/>
    </row>
    <row r="131" spans="1:16" ht="27.75">
      <c r="A131" s="1144" t="s">
        <v>240</v>
      </c>
      <c r="B131" s="1145"/>
      <c r="C131" s="1145"/>
      <c r="D131" s="523" t="s">
        <v>239</v>
      </c>
      <c r="E131" s="484">
        <f>'11'!F131</f>
        <v>0</v>
      </c>
      <c r="F131" s="478">
        <v>0</v>
      </c>
      <c r="G131" s="473">
        <f t="shared" si="15"/>
        <v>0</v>
      </c>
      <c r="H131" s="460">
        <f>G131+'11'!H131</f>
        <v>0</v>
      </c>
      <c r="I131" s="480"/>
      <c r="J131" s="552">
        <f>H131/DAY(B2)</f>
        <v>0</v>
      </c>
      <c r="N131" s="721"/>
      <c r="O131" s="730"/>
      <c r="P131" s="716"/>
    </row>
    <row r="132" spans="1:16" ht="27.75">
      <c r="A132" s="1144" t="s">
        <v>241</v>
      </c>
      <c r="B132" s="1145"/>
      <c r="C132" s="1145"/>
      <c r="D132" s="523" t="s">
        <v>239</v>
      </c>
      <c r="E132" s="541">
        <f>'11'!F132</f>
        <v>39659.230000000003</v>
      </c>
      <c r="F132" s="654">
        <v>39659.230000000003</v>
      </c>
      <c r="G132" s="473">
        <f t="shared" si="15"/>
        <v>0</v>
      </c>
      <c r="H132" s="460">
        <f>G132+'11'!H132</f>
        <v>126.2300000000032</v>
      </c>
      <c r="I132" s="480"/>
      <c r="J132" s="552">
        <f>H132/DAY(B2)</f>
        <v>10.519166666666933</v>
      </c>
      <c r="N132" s="721"/>
      <c r="O132" s="730"/>
      <c r="P132" s="716"/>
    </row>
    <row r="133" spans="1:16" ht="27.75">
      <c r="A133" s="1144" t="s">
        <v>242</v>
      </c>
      <c r="B133" s="1145"/>
      <c r="C133" s="1145"/>
      <c r="D133" s="523" t="s">
        <v>239</v>
      </c>
      <c r="E133" s="704">
        <f>'11'!F133</f>
        <v>300</v>
      </c>
      <c r="F133" s="626">
        <v>300</v>
      </c>
      <c r="G133" s="473">
        <f t="shared" si="15"/>
        <v>0</v>
      </c>
      <c r="H133" s="460">
        <f>G133+'11'!H133</f>
        <v>0</v>
      </c>
      <c r="I133" s="480">
        <f>G130+G131+G132+G133</f>
        <v>0</v>
      </c>
      <c r="J133" s="552">
        <f>H133/DAY(B2)</f>
        <v>0</v>
      </c>
      <c r="N133" s="721"/>
      <c r="O133" s="730"/>
      <c r="P133" s="716"/>
    </row>
    <row r="134" spans="1:16" ht="27.75">
      <c r="A134" s="1144" t="s">
        <v>243</v>
      </c>
      <c r="B134" s="1145"/>
      <c r="C134" s="1145"/>
      <c r="D134" s="523" t="s">
        <v>239</v>
      </c>
      <c r="E134" s="704">
        <f>'11'!F134</f>
        <v>41004.26</v>
      </c>
      <c r="F134" s="626">
        <v>41028</v>
      </c>
      <c r="G134" s="473">
        <f t="shared" si="15"/>
        <v>23.739999999997963</v>
      </c>
      <c r="H134" s="460">
        <f>G134+'11'!H134</f>
        <v>189</v>
      </c>
      <c r="I134" s="480"/>
      <c r="J134" s="552">
        <f>H134/DAY(B2)</f>
        <v>15.75</v>
      </c>
      <c r="N134" s="721"/>
      <c r="O134" s="730"/>
      <c r="P134" s="716"/>
    </row>
    <row r="135" spans="1:16" ht="27.75">
      <c r="A135" s="1144" t="s">
        <v>244</v>
      </c>
      <c r="B135" s="1145"/>
      <c r="C135" s="1145"/>
      <c r="D135" s="523" t="s">
        <v>239</v>
      </c>
      <c r="E135" s="522">
        <f>'11'!F135</f>
        <v>32582.560000000001</v>
      </c>
      <c r="F135" s="654">
        <v>32582.560000000001</v>
      </c>
      <c r="G135" s="473">
        <f t="shared" si="15"/>
        <v>0</v>
      </c>
      <c r="H135" s="460">
        <f>G135+'11'!H135</f>
        <v>-0.43999999999869033</v>
      </c>
      <c r="I135" s="480"/>
      <c r="J135" s="552">
        <f>H135/DAY(B2)</f>
        <v>-3.6666666666557525E-2</v>
      </c>
      <c r="N135" s="721"/>
      <c r="O135" s="730"/>
      <c r="P135" s="716"/>
    </row>
    <row r="136" spans="1:16" ht="27.75">
      <c r="A136" s="1144" t="s">
        <v>245</v>
      </c>
      <c r="B136" s="1145"/>
      <c r="C136" s="1145"/>
      <c r="D136" s="523" t="s">
        <v>239</v>
      </c>
      <c r="E136" s="541">
        <f>'11'!F136</f>
        <v>22599.85</v>
      </c>
      <c r="F136" s="654">
        <v>22609.16</v>
      </c>
      <c r="G136" s="473">
        <f t="shared" si="15"/>
        <v>9.3100000000013097</v>
      </c>
      <c r="H136" s="460">
        <f>G136+'11'!H136</f>
        <v>120.5099999999984</v>
      </c>
      <c r="I136" s="480">
        <f>G134+G135+G136</f>
        <v>33.049999999999272</v>
      </c>
      <c r="J136" s="552">
        <f>H136/DAY(B2)</f>
        <v>10.042499999999867</v>
      </c>
      <c r="N136" s="721"/>
      <c r="O136" s="730"/>
      <c r="P136" s="716"/>
    </row>
    <row r="137" spans="1:16" ht="27.75">
      <c r="A137" s="1144" t="s">
        <v>246</v>
      </c>
      <c r="B137" s="1145"/>
      <c r="C137" s="1145"/>
      <c r="D137" s="523" t="s">
        <v>239</v>
      </c>
      <c r="E137" s="541">
        <f>'11'!F137</f>
        <v>25049.97</v>
      </c>
      <c r="F137" s="654">
        <v>25049.97</v>
      </c>
      <c r="G137" s="473">
        <f t="shared" si="15"/>
        <v>0</v>
      </c>
      <c r="H137" s="460">
        <f>G137+'11'!H137</f>
        <v>1.180000000000291</v>
      </c>
      <c r="I137" s="480"/>
      <c r="J137" s="552">
        <f>H137/DAY(B2)</f>
        <v>9.8333333333357587E-2</v>
      </c>
      <c r="N137" s="721"/>
      <c r="O137" s="730"/>
      <c r="P137" s="716"/>
    </row>
    <row r="138" spans="1:16" ht="27.75">
      <c r="A138" s="1144" t="s">
        <v>247</v>
      </c>
      <c r="B138" s="1145"/>
      <c r="C138" s="1145"/>
      <c r="D138" s="523" t="s">
        <v>239</v>
      </c>
      <c r="E138" s="541">
        <f>'11'!F138</f>
        <v>70279.05</v>
      </c>
      <c r="F138" s="654">
        <v>70279.05</v>
      </c>
      <c r="G138" s="473">
        <f t="shared" si="15"/>
        <v>0</v>
      </c>
      <c r="H138" s="460">
        <f>G138+'11'!H138</f>
        <v>25.020000000004075</v>
      </c>
      <c r="I138" s="480">
        <f>G137+G138</f>
        <v>0</v>
      </c>
      <c r="J138" s="552">
        <f>H138/DAY(B2)</f>
        <v>2.0850000000003397</v>
      </c>
      <c r="N138" s="721"/>
      <c r="O138" s="730"/>
      <c r="P138" s="716"/>
    </row>
    <row r="139" spans="1:16" ht="27.75">
      <c r="A139" s="1144" t="s">
        <v>248</v>
      </c>
      <c r="B139" s="1145"/>
      <c r="C139" s="1145"/>
      <c r="D139" s="523" t="s">
        <v>239</v>
      </c>
      <c r="E139" s="704">
        <f>'11'!F139</f>
        <v>1536.52</v>
      </c>
      <c r="F139" s="626">
        <v>1536.62</v>
      </c>
      <c r="G139" s="473">
        <f t="shared" si="15"/>
        <v>9.9999999999909051E-2</v>
      </c>
      <c r="H139" s="460">
        <f>G139+'11'!H139</f>
        <v>9.9999999999909051E-2</v>
      </c>
      <c r="I139" s="542"/>
      <c r="J139" s="552">
        <f>H139/DAY(B2)</f>
        <v>8.3333333333257542E-3</v>
      </c>
      <c r="N139" s="721"/>
      <c r="O139" s="730"/>
      <c r="P139" s="716"/>
    </row>
    <row r="140" spans="1:16" ht="27.75">
      <c r="A140" s="1144" t="s">
        <v>249</v>
      </c>
      <c r="B140" s="1145"/>
      <c r="C140" s="1145"/>
      <c r="D140" s="523" t="s">
        <v>239</v>
      </c>
      <c r="E140" s="484">
        <f>'11'!F140</f>
        <v>4559.79</v>
      </c>
      <c r="F140" s="478">
        <v>4567.78</v>
      </c>
      <c r="G140" s="473">
        <f t="shared" si="15"/>
        <v>7.9899999999997817</v>
      </c>
      <c r="H140" s="460">
        <f>G140+'11'!H140</f>
        <v>99.239999999999782</v>
      </c>
      <c r="I140" s="542"/>
      <c r="J140" s="552">
        <f>H140/DAY(B2)</f>
        <v>8.2699999999999818</v>
      </c>
      <c r="N140" s="721"/>
      <c r="O140" s="730"/>
      <c r="P140" s="716"/>
    </row>
    <row r="141" spans="1:16">
      <c r="A141" s="1526" t="s">
        <v>250</v>
      </c>
      <c r="B141" s="1527"/>
      <c r="C141" s="1150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30"/>
      <c r="P141" s="716"/>
    </row>
    <row r="142" spans="1:16" ht="27.75">
      <c r="A142" s="1520" t="s">
        <v>251</v>
      </c>
      <c r="B142" s="1521"/>
      <c r="C142" s="1522"/>
      <c r="D142" s="523" t="s">
        <v>132</v>
      </c>
      <c r="E142" s="523"/>
      <c r="F142" s="523"/>
      <c r="G142" s="460">
        <f>G35+G43+G49+G57</f>
        <v>5288.5400000000373</v>
      </c>
      <c r="H142" s="460">
        <f>G142+'11'!H142</f>
        <v>69316</v>
      </c>
      <c r="I142" s="480"/>
      <c r="J142" s="552">
        <f>H142/DAY(B2)</f>
        <v>5776.333333333333</v>
      </c>
      <c r="K142" s="380"/>
      <c r="L142" s="377"/>
      <c r="N142" s="721"/>
      <c r="O142" s="730"/>
      <c r="P142" s="716"/>
    </row>
    <row r="143" spans="1:16" ht="27.75">
      <c r="A143" s="1520" t="s">
        <v>252</v>
      </c>
      <c r="B143" s="1521"/>
      <c r="C143" s="1522"/>
      <c r="D143" s="523" t="s">
        <v>24</v>
      </c>
      <c r="E143" s="511"/>
      <c r="F143" s="511"/>
      <c r="G143" s="543">
        <f>G142/G7</f>
        <v>0.25840613700772191</v>
      </c>
      <c r="H143" s="460">
        <f>G143+'11'!H143</f>
        <v>3.2167780145666578</v>
      </c>
      <c r="I143" s="544"/>
      <c r="J143" s="552">
        <f>H143/DAY(B2)</f>
        <v>0.26806483454722146</v>
      </c>
      <c r="K143" s="380"/>
      <c r="L143" s="377"/>
      <c r="N143" s="721"/>
      <c r="O143" s="730"/>
      <c r="P143" s="716"/>
    </row>
    <row r="144" spans="1:16" ht="27.75">
      <c r="A144" s="1520" t="s">
        <v>253</v>
      </c>
      <c r="B144" s="1521"/>
      <c r="C144" s="1522"/>
      <c r="D144" s="523" t="s">
        <v>132</v>
      </c>
      <c r="E144" s="455"/>
      <c r="F144" s="455"/>
      <c r="G144" s="460">
        <f>G41+G42+G55+G56</f>
        <v>5662.5799999999581</v>
      </c>
      <c r="H144" s="460">
        <f>G144+'11'!H144</f>
        <v>72665.84</v>
      </c>
      <c r="I144" s="480"/>
      <c r="J144" s="552">
        <f>H144/DAY(B2)</f>
        <v>6055.4866666666667</v>
      </c>
      <c r="K144" s="380"/>
      <c r="L144" s="377"/>
      <c r="N144" s="721"/>
      <c r="O144" s="730"/>
      <c r="P144" s="716"/>
    </row>
    <row r="145" spans="1:16" ht="27.75">
      <c r="A145" s="1520" t="s">
        <v>254</v>
      </c>
      <c r="B145" s="1521"/>
      <c r="C145" s="1522"/>
      <c r="D145" s="523" t="s">
        <v>24</v>
      </c>
      <c r="E145" s="455"/>
      <c r="F145" s="455"/>
      <c r="G145" s="543">
        <f>G144/G7</f>
        <v>0.27668230235512353</v>
      </c>
      <c r="H145" s="460">
        <f>G145+'11'!H145</f>
        <v>3.3686288660859534</v>
      </c>
      <c r="I145" s="544"/>
      <c r="J145" s="552">
        <f>H145/DAY(B2)</f>
        <v>0.28071907217382946</v>
      </c>
      <c r="K145" s="380"/>
      <c r="L145" s="377"/>
      <c r="N145" s="721"/>
      <c r="O145" s="730"/>
      <c r="P145" s="716"/>
    </row>
    <row r="146" spans="1:16" ht="27.75">
      <c r="A146" s="1520" t="s">
        <v>255</v>
      </c>
      <c r="B146" s="1521"/>
      <c r="C146" s="1522"/>
      <c r="D146" s="523" t="s">
        <v>132</v>
      </c>
      <c r="E146" s="455"/>
      <c r="F146" s="455"/>
      <c r="G146" s="460">
        <f>G39+G53</f>
        <v>3735.1769999999669</v>
      </c>
      <c r="H146" s="460">
        <f>G146+'11'!H146</f>
        <v>48341</v>
      </c>
      <c r="I146" s="545"/>
      <c r="J146" s="552">
        <f>H146/DAY(B2)</f>
        <v>4028.4166666666665</v>
      </c>
      <c r="K146" s="380"/>
      <c r="L146" s="377"/>
      <c r="N146" s="721"/>
      <c r="O146" s="730"/>
      <c r="P146" s="716"/>
    </row>
    <row r="147" spans="1:16" ht="27.75">
      <c r="A147" s="1520" t="s">
        <v>256</v>
      </c>
      <c r="B147" s="1521"/>
      <c r="C147" s="1522"/>
      <c r="D147" s="523" t="s">
        <v>24</v>
      </c>
      <c r="E147" s="455"/>
      <c r="F147" s="455"/>
      <c r="G147" s="543">
        <f>G146/G7</f>
        <v>0.18250644972148769</v>
      </c>
      <c r="H147" s="460">
        <f>G147+'11'!H147</f>
        <v>2.2422018649670505</v>
      </c>
      <c r="I147" s="545"/>
      <c r="J147" s="552">
        <f>H147/DAY(B2)</f>
        <v>0.18685015541392089</v>
      </c>
      <c r="N147" s="721"/>
      <c r="O147" s="730"/>
      <c r="P147" s="716"/>
    </row>
    <row r="148" spans="1:16" ht="27.75">
      <c r="A148" s="1520" t="s">
        <v>257</v>
      </c>
      <c r="B148" s="1521"/>
      <c r="C148" s="1522"/>
      <c r="D148" s="523" t="s">
        <v>183</v>
      </c>
      <c r="E148" s="455"/>
      <c r="F148" s="455"/>
      <c r="G148" s="460">
        <f>G38+G52</f>
        <v>1617.6200000000536</v>
      </c>
      <c r="H148" s="460">
        <f>G148+'11'!H148</f>
        <v>20315</v>
      </c>
      <c r="I148" s="480"/>
      <c r="J148" s="552">
        <f>H148/DAY(B2)</f>
        <v>1692.9166666666667</v>
      </c>
      <c r="K148" s="381"/>
      <c r="N148" s="721"/>
      <c r="O148" s="730"/>
      <c r="P148" s="716"/>
    </row>
    <row r="149" spans="1:16" ht="27.75">
      <c r="A149" s="1520" t="s">
        <v>258</v>
      </c>
      <c r="B149" s="1521"/>
      <c r="C149" s="1522"/>
      <c r="D149" s="523" t="s">
        <v>24</v>
      </c>
      <c r="E149" s="455"/>
      <c r="F149" s="455"/>
      <c r="G149" s="543">
        <f>G148/G7</f>
        <v>7.9039382390308485E-2</v>
      </c>
      <c r="H149" s="460">
        <f>G149+'11'!H149</f>
        <v>0.94296804675936274</v>
      </c>
      <c r="I149" s="545"/>
      <c r="J149" s="552">
        <f>H149/DAY(B2)</f>
        <v>7.8580670563280233E-2</v>
      </c>
      <c r="N149" s="721"/>
      <c r="O149" s="730"/>
      <c r="P149" s="716"/>
    </row>
    <row r="150" spans="1:16" ht="27.75">
      <c r="A150" s="1520" t="s">
        <v>259</v>
      </c>
      <c r="B150" s="1521"/>
      <c r="C150" s="1522"/>
      <c r="D150" s="523" t="s">
        <v>183</v>
      </c>
      <c r="E150" s="455"/>
      <c r="F150" s="455"/>
      <c r="G150" s="460">
        <f>G36+G50</f>
        <v>2170.6399999999558</v>
      </c>
      <c r="H150" s="460">
        <f>G150+'11'!H150</f>
        <v>24345</v>
      </c>
      <c r="I150" s="545"/>
      <c r="J150" s="552">
        <f>H150/DAY(B2)</f>
        <v>2028.75</v>
      </c>
      <c r="N150" s="721"/>
      <c r="O150" s="730"/>
      <c r="P150" s="716"/>
    </row>
    <row r="151" spans="1:16" ht="27.75">
      <c r="A151" s="1520" t="s">
        <v>260</v>
      </c>
      <c r="B151" s="1521"/>
      <c r="C151" s="1522"/>
      <c r="D151" s="523" t="s">
        <v>24</v>
      </c>
      <c r="E151" s="455"/>
      <c r="F151" s="455"/>
      <c r="G151" s="543">
        <f>G150/G7</f>
        <v>0.10606078373888184</v>
      </c>
      <c r="H151" s="460">
        <f>G151+'11'!H151</f>
        <v>1.1291825140388905</v>
      </c>
      <c r="I151" s="480"/>
      <c r="J151" s="552">
        <f>H151/DAY(B2)</f>
        <v>9.4098542836574206E-2</v>
      </c>
      <c r="N151" s="721"/>
      <c r="O151" s="730"/>
      <c r="P151" s="716"/>
    </row>
    <row r="152" spans="1:16" ht="27.75">
      <c r="A152" s="1520" t="s">
        <v>261</v>
      </c>
      <c r="B152" s="1521"/>
      <c r="C152" s="1522"/>
      <c r="D152" s="523" t="s">
        <v>183</v>
      </c>
      <c r="E152" s="455"/>
      <c r="F152" s="455"/>
      <c r="G152" s="460">
        <f>G37+G51</f>
        <v>1326.6800000000076</v>
      </c>
      <c r="H152" s="460">
        <f>G152+'11'!H152</f>
        <v>16557</v>
      </c>
      <c r="I152" s="480"/>
      <c r="J152" s="552">
        <f>H152/DAY(B2)</f>
        <v>1379.75</v>
      </c>
      <c r="N152" s="721"/>
      <c r="O152" s="730"/>
      <c r="P152" s="716"/>
    </row>
    <row r="153" spans="1:16" ht="28.5" thickBot="1">
      <c r="A153" s="1523" t="s">
        <v>262</v>
      </c>
      <c r="B153" s="1524"/>
      <c r="C153" s="1525"/>
      <c r="D153" s="625" t="s">
        <v>24</v>
      </c>
      <c r="E153" s="565"/>
      <c r="F153" s="565"/>
      <c r="G153" s="566">
        <f>G152/G7</f>
        <v>6.4823609889573322E-2</v>
      </c>
      <c r="H153" s="460">
        <f>G153+'11'!H153</f>
        <v>0.76862614519257844</v>
      </c>
      <c r="I153" s="568"/>
      <c r="J153" s="569">
        <f>H153/DAY(B2)</f>
        <v>6.4052178766048198E-2</v>
      </c>
      <c r="N153" s="721"/>
      <c r="O153" s="730"/>
      <c r="P153" s="716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88" t="s">
        <v>263</v>
      </c>
      <c r="B160" s="789"/>
      <c r="C160" s="789"/>
      <c r="D160" s="511" t="s">
        <v>187</v>
      </c>
      <c r="E160" s="541">
        <f>'11'!F160</f>
        <v>34356.43</v>
      </c>
      <c r="F160" s="661">
        <v>34440</v>
      </c>
      <c r="G160" s="473">
        <f t="shared" ref="G160:G163" si="16">F160-E160</f>
        <v>83.569999999999709</v>
      </c>
      <c r="N160" s="721"/>
    </row>
    <row r="161" spans="1:14">
      <c r="A161" s="788" t="s">
        <v>264</v>
      </c>
      <c r="B161" s="789"/>
      <c r="C161" s="789"/>
      <c r="D161" s="511" t="s">
        <v>187</v>
      </c>
      <c r="E161" s="541">
        <f>'11'!F161</f>
        <v>73644.03</v>
      </c>
      <c r="F161" s="661">
        <v>74113</v>
      </c>
      <c r="G161" s="473">
        <f t="shared" si="16"/>
        <v>468.97000000000116</v>
      </c>
      <c r="N161" s="721"/>
    </row>
    <row r="162" spans="1:14">
      <c r="A162" s="788" t="s">
        <v>265</v>
      </c>
      <c r="B162" s="789"/>
      <c r="C162" s="789"/>
      <c r="D162" s="511" t="s">
        <v>187</v>
      </c>
      <c r="E162" s="541">
        <f>'11'!F162</f>
        <v>32399.19</v>
      </c>
      <c r="F162" s="661">
        <v>32671</v>
      </c>
      <c r="G162" s="473">
        <f t="shared" si="16"/>
        <v>271.81000000000131</v>
      </c>
      <c r="N162" s="721"/>
    </row>
    <row r="163" spans="1:14">
      <c r="A163" s="788" t="s">
        <v>266</v>
      </c>
      <c r="B163" s="789"/>
      <c r="C163" s="789"/>
      <c r="D163" s="511" t="s">
        <v>187</v>
      </c>
      <c r="E163" s="541">
        <f>'11'!F163</f>
        <v>5917.6</v>
      </c>
      <c r="F163" s="661">
        <v>5925</v>
      </c>
      <c r="G163" s="473">
        <f t="shared" si="16"/>
        <v>7.3999999999996362</v>
      </c>
      <c r="N163" s="721"/>
    </row>
    <row r="164" spans="1:14">
      <c r="A164" s="790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  <c r="N164" s="721"/>
    </row>
    <row r="165" spans="1:14">
      <c r="A165" s="790" t="s">
        <v>188</v>
      </c>
      <c r="B165" s="604"/>
      <c r="C165" s="604"/>
      <c r="D165" s="511" t="s">
        <v>187</v>
      </c>
      <c r="E165" s="514">
        <f t="shared" ref="E165:E171" si="18">E63</f>
        <v>2224.6999999999998</v>
      </c>
      <c r="F165" s="514">
        <f t="shared" ref="F165:F171" si="19">F63</f>
        <v>2236</v>
      </c>
      <c r="G165" s="473">
        <f t="shared" si="17"/>
        <v>11.300000000000182</v>
      </c>
      <c r="N165" s="721"/>
    </row>
    <row r="166" spans="1:14" ht="33" customHeight="1">
      <c r="A166" s="1495" t="s">
        <v>99</v>
      </c>
      <c r="B166" s="1495"/>
      <c r="C166" s="1495"/>
      <c r="D166" s="523" t="s">
        <v>187</v>
      </c>
      <c r="E166" s="514">
        <f t="shared" si="18"/>
        <v>144343.99</v>
      </c>
      <c r="F166" s="514">
        <f t="shared" si="19"/>
        <v>144820</v>
      </c>
      <c r="G166" s="473">
        <f t="shared" si="17"/>
        <v>476.01000000000931</v>
      </c>
      <c r="N166" s="721"/>
    </row>
    <row r="167" spans="1:14" ht="33" customHeight="1">
      <c r="A167" s="1495" t="s">
        <v>100</v>
      </c>
      <c r="B167" s="1495"/>
      <c r="C167" s="1495"/>
      <c r="D167" s="523" t="s">
        <v>187</v>
      </c>
      <c r="E167" s="514">
        <f t="shared" si="18"/>
        <v>148180.85</v>
      </c>
      <c r="F167" s="514">
        <f t="shared" si="19"/>
        <v>148542</v>
      </c>
      <c r="G167" s="473">
        <f t="shared" si="17"/>
        <v>361.14999999999418</v>
      </c>
      <c r="N167" s="721"/>
    </row>
    <row r="168" spans="1:14" ht="41.25" customHeight="1">
      <c r="A168" s="1495" t="s">
        <v>101</v>
      </c>
      <c r="B168" s="1495"/>
      <c r="C168" s="1495"/>
      <c r="D168" s="523" t="s">
        <v>187</v>
      </c>
      <c r="E168" s="514">
        <f t="shared" si="18"/>
        <v>41518.35</v>
      </c>
      <c r="F168" s="514">
        <f t="shared" si="19"/>
        <v>41896</v>
      </c>
      <c r="G168" s="473">
        <f t="shared" si="17"/>
        <v>377.65000000000146</v>
      </c>
      <c r="N168" s="721"/>
    </row>
    <row r="169" spans="1:14" ht="26.25" customHeight="1">
      <c r="A169" s="1495" t="s">
        <v>102</v>
      </c>
      <c r="B169" s="1495"/>
      <c r="C169" s="1495"/>
      <c r="D169" s="523" t="s">
        <v>187</v>
      </c>
      <c r="E169" s="514">
        <f t="shared" si="18"/>
        <v>235656.03</v>
      </c>
      <c r="F169" s="514">
        <f t="shared" si="19"/>
        <v>236109</v>
      </c>
      <c r="G169" s="473">
        <f t="shared" si="17"/>
        <v>452.97000000000116</v>
      </c>
      <c r="N169" s="721"/>
    </row>
    <row r="170" spans="1:14" ht="24" customHeight="1">
      <c r="A170" s="1495" t="s">
        <v>103</v>
      </c>
      <c r="B170" s="1495"/>
      <c r="C170" s="1495"/>
      <c r="D170" s="523" t="s">
        <v>187</v>
      </c>
      <c r="E170" s="514">
        <f t="shared" si="18"/>
        <v>85321</v>
      </c>
      <c r="F170" s="514">
        <f t="shared" si="19"/>
        <v>85321</v>
      </c>
      <c r="G170" s="473">
        <f t="shared" si="17"/>
        <v>0</v>
      </c>
      <c r="N170" s="721"/>
    </row>
    <row r="171" spans="1:14" ht="27.75">
      <c r="A171" s="1495" t="s">
        <v>104</v>
      </c>
      <c r="B171" s="1495"/>
      <c r="C171" s="1495"/>
      <c r="D171" s="523" t="s">
        <v>187</v>
      </c>
      <c r="E171" s="514">
        <f t="shared" si="18"/>
        <v>77688.86</v>
      </c>
      <c r="F171" s="514">
        <f t="shared" si="19"/>
        <v>77955</v>
      </c>
      <c r="G171" s="473">
        <f t="shared" si="17"/>
        <v>266.13999999999942</v>
      </c>
      <c r="N171" s="721"/>
    </row>
    <row r="172" spans="1:14">
      <c r="G172" s="539">
        <f>SUM(G160:G171)</f>
        <v>2776.9700000000075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18.75" customHeight="1">
      <c r="N177" s="721"/>
    </row>
    <row r="178" spans="14:14" ht="18.75" customHeight="1">
      <c r="N178" s="721"/>
    </row>
    <row r="179" spans="14:14" ht="18" customHeight="1">
      <c r="N179" s="721"/>
    </row>
    <row r="180" spans="14:14" ht="18.75" customHeight="1">
      <c r="N180" s="721"/>
    </row>
    <row r="181" spans="14:14" ht="18.75" customHeight="1">
      <c r="N181" s="721"/>
    </row>
    <row r="182" spans="14:14" ht="18" customHeight="1">
      <c r="N182" s="721"/>
    </row>
    <row r="183" spans="14:14" ht="18" customHeight="1">
      <c r="N183" s="721"/>
    </row>
    <row r="184" spans="14:14" ht="18" customHeight="1">
      <c r="N184" s="721"/>
    </row>
    <row r="185" spans="14:14" ht="18" customHeight="1">
      <c r="N185" s="721"/>
    </row>
    <row r="186" spans="14:14" ht="18" customHeight="1">
      <c r="N186" s="721"/>
    </row>
    <row r="187" spans="14:14" ht="18" customHeight="1">
      <c r="N187" s="721"/>
    </row>
    <row r="188" spans="14:14" ht="18" customHeight="1">
      <c r="N188" s="721"/>
    </row>
    <row r="189" spans="14:14" ht="18.75" customHeight="1">
      <c r="N189" s="721"/>
    </row>
    <row r="190" spans="14:14" ht="18.75" customHeight="1">
      <c r="N190" s="721"/>
    </row>
    <row r="191" spans="14:14" ht="18.7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6:C146"/>
    <mergeCell ref="A142:C142"/>
    <mergeCell ref="A143:C143"/>
    <mergeCell ref="A144:C144"/>
    <mergeCell ref="A145:C145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79:C79"/>
    <mergeCell ref="A80:C80"/>
    <mergeCell ref="A81:C81"/>
    <mergeCell ref="A82:C82"/>
    <mergeCell ref="A83:C83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11" zoomScale="55" zoomScaleSheetLayoutView="55" workbookViewId="0">
      <selection activeCell="F54" sqref="F54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28" t="s">
        <v>117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6" s="281" customFormat="1" ht="27">
      <c r="A2" s="575" t="s">
        <v>355</v>
      </c>
      <c r="B2" s="1036">
        <v>44299</v>
      </c>
      <c r="C2" s="1146" t="s">
        <v>69</v>
      </c>
      <c r="D2" s="611">
        <v>0.65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146" t="s">
        <v>120</v>
      </c>
      <c r="D3" s="612">
        <v>29</v>
      </c>
      <c r="E3" s="1537" t="s">
        <v>121</v>
      </c>
      <c r="F3" s="1538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146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31" t="s">
        <v>130</v>
      </c>
      <c r="B6" s="1532"/>
      <c r="C6" s="1533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'12'!F7</f>
        <v>5372573</v>
      </c>
      <c r="F7" s="455">
        <v>5392708</v>
      </c>
      <c r="G7" s="681">
        <f>F7-E7</f>
        <v>20135</v>
      </c>
      <c r="H7" s="682">
        <f>G7+'12'!H7</f>
        <v>278785</v>
      </c>
      <c r="I7" s="683">
        <f>'1'!I7</f>
        <v>12000</v>
      </c>
      <c r="J7" s="684">
        <f>H7/DAY(B2)</f>
        <v>21445</v>
      </c>
      <c r="K7" s="549"/>
      <c r="L7" s="377"/>
      <c r="N7" s="732">
        <f>G7/G8</f>
        <v>0.99574699569754221</v>
      </c>
      <c r="O7" s="728">
        <f>F7+200</f>
        <v>5392908</v>
      </c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'12'!F8</f>
        <v>5405163</v>
      </c>
      <c r="F8" s="475">
        <v>5425384</v>
      </c>
      <c r="G8" s="692">
        <f>F8-E8</f>
        <v>20221</v>
      </c>
      <c r="H8" s="682">
        <f>G8+'12'!H8</f>
        <v>280066</v>
      </c>
      <c r="I8" s="689">
        <f>'1'!I8</f>
        <v>12000</v>
      </c>
      <c r="J8" s="684">
        <f>H8/DAY(B2)</f>
        <v>21543.538461538461</v>
      </c>
      <c r="K8" s="549"/>
      <c r="L8" s="425"/>
      <c r="M8" s="440"/>
      <c r="N8" s="721"/>
      <c r="O8" s="728">
        <f>F8+200</f>
        <v>5425584</v>
      </c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'12'!F9</f>
        <v>646782</v>
      </c>
      <c r="F9" s="478">
        <v>666400</v>
      </c>
      <c r="G9" s="705">
        <f t="shared" ref="G9:G12" si="0">F9-E9</f>
        <v>19618</v>
      </c>
      <c r="H9" s="682">
        <f>G9+'12'!H9</f>
        <v>270331</v>
      </c>
      <c r="I9" s="693">
        <f>I7-J7</f>
        <v>-9445</v>
      </c>
      <c r="J9" s="684">
        <f>H9/DAY(B2)</f>
        <v>20794.692307692309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'12'!F10</f>
        <v>2322.58</v>
      </c>
      <c r="F10" s="478">
        <v>2322.58</v>
      </c>
      <c r="G10" s="692">
        <f t="shared" si="0"/>
        <v>0</v>
      </c>
      <c r="H10" s="682">
        <f>G10+'12'!H10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G11+'12'!H11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G12+'12'!H12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19618</v>
      </c>
      <c r="H13" s="682">
        <f>G13+'12'!H13</f>
        <v>250140.3600000001</v>
      </c>
      <c r="I13" s="698">
        <f>G7-G13</f>
        <v>517</v>
      </c>
      <c r="J13" s="684">
        <f>H13/DAY(B2)</f>
        <v>19241.566153846161</v>
      </c>
      <c r="K13" s="428"/>
      <c r="L13" s="377"/>
      <c r="N13" s="721"/>
      <c r="O13" s="728"/>
      <c r="P13" s="382"/>
    </row>
    <row r="14" spans="1:16">
      <c r="A14" s="1534" t="s">
        <v>139</v>
      </c>
      <c r="B14" s="1535"/>
      <c r="C14" s="1536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'12'!F15</f>
        <v>1657605</v>
      </c>
      <c r="F15" s="485">
        <v>1658410.98</v>
      </c>
      <c r="G15" s="667">
        <f>(F15-E15)</f>
        <v>805.97999999998137</v>
      </c>
      <c r="H15" s="486">
        <f>G15+'12'!H15</f>
        <v>11721.979999999981</v>
      </c>
      <c r="I15" s="474">
        <v>800</v>
      </c>
      <c r="J15" s="553">
        <f>H15/DAY(B2)</f>
        <v>901.69076923076784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-101.69076923076784</v>
      </c>
      <c r="J16" s="553"/>
      <c r="K16" s="428"/>
      <c r="L16" s="377"/>
      <c r="N16" s="721"/>
      <c r="O16" s="728"/>
      <c r="P16" s="382"/>
    </row>
    <row r="17" spans="1:16">
      <c r="A17" s="1534" t="s">
        <v>142</v>
      </c>
      <c r="B17" s="1535"/>
      <c r="C17" s="1536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60" t="s">
        <v>143</v>
      </c>
      <c r="B18" s="1561"/>
      <c r="C18" s="1562"/>
      <c r="D18" s="638" t="s">
        <v>144</v>
      </c>
      <c r="E18" s="635">
        <f>'12'!F18</f>
        <v>8</v>
      </c>
      <c r="F18" s="478">
        <v>8</v>
      </c>
      <c r="G18" s="697">
        <f>F18*10</f>
        <v>80</v>
      </c>
      <c r="H18" s="682">
        <f>G18+'12'!H18</f>
        <v>1300</v>
      </c>
      <c r="I18" s="683">
        <f>'1'!I18</f>
        <v>65</v>
      </c>
      <c r="J18" s="684">
        <f>H18/DAY(B2)</f>
        <v>100</v>
      </c>
      <c r="K18" s="428"/>
      <c r="L18" s="377"/>
      <c r="N18" s="721"/>
      <c r="O18" s="728"/>
      <c r="P18" s="382"/>
    </row>
    <row r="19" spans="1:16" ht="27.75">
      <c r="A19" s="1560" t="s">
        <v>71</v>
      </c>
      <c r="B19" s="1561"/>
      <c r="C19" s="1562"/>
      <c r="D19" s="638" t="s">
        <v>144</v>
      </c>
      <c r="E19" s="635">
        <f>'12'!F19</f>
        <v>136774</v>
      </c>
      <c r="F19" s="478">
        <v>136836</v>
      </c>
      <c r="G19" s="692">
        <f t="shared" ref="G19" si="1">F19-E19</f>
        <v>62</v>
      </c>
      <c r="H19" s="682">
        <f>G19+'12'!H19</f>
        <v>746</v>
      </c>
      <c r="I19" s="699"/>
      <c r="J19" s="684">
        <f>H19/DAY(B2)</f>
        <v>57.384615384615387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142</v>
      </c>
      <c r="H20" s="682">
        <f>G20+'12'!H20</f>
        <v>2046</v>
      </c>
      <c r="I20" s="701">
        <f>I18-J20</f>
        <v>-92.384615384615387</v>
      </c>
      <c r="J20" s="684">
        <f>H20/DAY(B2)</f>
        <v>157.38461538461539</v>
      </c>
      <c r="K20" s="428"/>
      <c r="L20" s="377"/>
      <c r="N20" s="721"/>
      <c r="O20" s="728"/>
      <c r="P20" s="382"/>
    </row>
    <row r="21" spans="1:16">
      <c r="A21" s="1534" t="s">
        <v>146</v>
      </c>
      <c r="B21" s="1535"/>
      <c r="C21" s="1536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144" t="s">
        <v>147</v>
      </c>
      <c r="B22" s="589"/>
      <c r="C22" s="589"/>
      <c r="D22" s="523" t="s">
        <v>148</v>
      </c>
      <c r="E22" s="635"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144" t="s">
        <v>149</v>
      </c>
      <c r="B23" s="589"/>
      <c r="C23" s="589"/>
      <c r="D23" s="523" t="s">
        <v>148</v>
      </c>
      <c r="E23" s="635">
        <v>2900</v>
      </c>
      <c r="F23" s="478">
        <v>2900</v>
      </c>
      <c r="G23" s="481">
        <v>0</v>
      </c>
      <c r="H23" s="460">
        <f>G23+'12'!H23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v>4250</v>
      </c>
      <c r="F24" s="485">
        <v>4250</v>
      </c>
      <c r="G24" s="481">
        <v>0</v>
      </c>
      <c r="H24" s="460">
        <f>G24+'12'!H24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39" t="s">
        <v>151</v>
      </c>
      <c r="B25" s="1540"/>
      <c r="C25" s="1541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20221</v>
      </c>
      <c r="F27" s="501">
        <v>9</v>
      </c>
      <c r="G27" s="502">
        <f>E27*F27</f>
        <v>181989</v>
      </c>
      <c r="H27" s="460">
        <f>G27+'12'!H27</f>
        <v>2520594</v>
      </c>
      <c r="I27" s="503"/>
      <c r="J27" s="552">
        <f>H27/DAY(B2)</f>
        <v>193891.84615384616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805.97999999998137</v>
      </c>
      <c r="F28" s="501">
        <v>51.45</v>
      </c>
      <c r="G28" s="502">
        <f>E28*F28</f>
        <v>41467.670999999042</v>
      </c>
      <c r="H28" s="460">
        <f>G28+'12'!H28</f>
        <v>603095.870999999</v>
      </c>
      <c r="I28" s="505"/>
      <c r="J28" s="552">
        <f>H28/DAY(B2)</f>
        <v>46391.990076923001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G29+'12'!H29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62</v>
      </c>
      <c r="F30" s="501">
        <v>134</v>
      </c>
      <c r="G30" s="502">
        <f>E30*F30</f>
        <v>8308</v>
      </c>
      <c r="H30" s="460">
        <f>G30+'12'!H30</f>
        <v>101332</v>
      </c>
      <c r="I30" s="505"/>
      <c r="J30" s="552">
        <f>H30/DAY(B2)</f>
        <v>7794.7692307692305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G31+'12'!H31</f>
        <v>104000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238164.67099999904</v>
      </c>
      <c r="H32" s="460">
        <f>G32+'12'!H32</f>
        <v>3329021.8709999993</v>
      </c>
      <c r="I32" s="509"/>
      <c r="J32" s="552">
        <f>H32/DAY(B2)</f>
        <v>256078.60546153842</v>
      </c>
      <c r="K32" s="373"/>
      <c r="L32" s="443"/>
      <c r="N32" s="721"/>
      <c r="O32" s="728"/>
      <c r="P32" s="382"/>
    </row>
    <row r="33" spans="1:16" ht="25.5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  <c r="N33" s="721"/>
      <c r="O33" s="728"/>
      <c r="P33" s="382"/>
    </row>
    <row r="34" spans="1:16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'12'!F35</f>
        <v>838007</v>
      </c>
      <c r="F35" s="510">
        <v>840886</v>
      </c>
      <c r="G35" s="473">
        <f t="shared" ref="G35:G46" si="3">F35-E35</f>
        <v>2879</v>
      </c>
      <c r="H35" s="460">
        <f>G35+'12'!H35</f>
        <v>42497</v>
      </c>
      <c r="I35" s="455"/>
      <c r="J35" s="552">
        <f>H35/DAY(B2)</f>
        <v>3269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'12'!F36</f>
        <v>328280</v>
      </c>
      <c r="F36" s="510">
        <v>329328</v>
      </c>
      <c r="G36" s="473">
        <f t="shared" si="3"/>
        <v>1048</v>
      </c>
      <c r="H36" s="460">
        <f>G36+'12'!H36</f>
        <v>11892</v>
      </c>
      <c r="I36" s="455"/>
      <c r="J36" s="552">
        <f>H36/DAY(B2)</f>
        <v>914.76923076923072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'12'!F37</f>
        <v>71354</v>
      </c>
      <c r="F37" s="510">
        <v>72706</v>
      </c>
      <c r="G37" s="473">
        <f t="shared" si="3"/>
        <v>1352</v>
      </c>
      <c r="H37" s="460">
        <f>G37+'12'!H37</f>
        <v>17909</v>
      </c>
      <c r="I37" s="455"/>
      <c r="J37" s="552">
        <f>H37/DAY(B2)</f>
        <v>1377.6153846153845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'12'!F38</f>
        <v>92625</v>
      </c>
      <c r="F38" s="469">
        <v>94269</v>
      </c>
      <c r="G38" s="473">
        <f t="shared" si="3"/>
        <v>1644</v>
      </c>
      <c r="H38" s="460">
        <f>G38+'12'!H38</f>
        <v>21961</v>
      </c>
      <c r="I38" s="455"/>
      <c r="J38" s="552">
        <f>H38/DAY(B2)</f>
        <v>1689.3076923076924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'12'!F39</f>
        <v>196380</v>
      </c>
      <c r="F39" s="510">
        <v>199375</v>
      </c>
      <c r="G39" s="473">
        <f t="shared" si="3"/>
        <v>2995</v>
      </c>
      <c r="H39" s="460">
        <f>G39+'12'!H39</f>
        <v>46553</v>
      </c>
      <c r="I39" s="455"/>
      <c r="J39" s="552">
        <f>H39/DAY(B2)</f>
        <v>3581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v>0.23</v>
      </c>
      <c r="F40" s="510">
        <v>0.23</v>
      </c>
      <c r="G40" s="473">
        <f t="shared" si="3"/>
        <v>0</v>
      </c>
      <c r="H40" s="460">
        <f>G40+'12'!H40</f>
        <v>0.17</v>
      </c>
      <c r="I40" s="455"/>
      <c r="J40" s="552">
        <f>H40/DAY(B2)</f>
        <v>1.3076923076923078E-2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'12'!F41</f>
        <v>161910</v>
      </c>
      <c r="F41" s="510">
        <v>161910</v>
      </c>
      <c r="G41" s="473">
        <f t="shared" si="3"/>
        <v>0</v>
      </c>
      <c r="H41" s="460">
        <f>G41+'12'!H41</f>
        <v>28769</v>
      </c>
      <c r="I41" s="455"/>
      <c r="J41" s="552">
        <f>H41/DAY(B2)</f>
        <v>2213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'12'!F42</f>
        <v>59128</v>
      </c>
      <c r="F42" s="510">
        <v>59128</v>
      </c>
      <c r="G42" s="473">
        <f t="shared" si="3"/>
        <v>0</v>
      </c>
      <c r="H42" s="460">
        <f>G42+'12'!H42</f>
        <v>-0.16000000000349246</v>
      </c>
      <c r="I42" s="455"/>
      <c r="J42" s="552">
        <f>H42/DAY(B2)</f>
        <v>-1.2307692307960959E-2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'12'!F43</f>
        <v>931746</v>
      </c>
      <c r="F43" s="510">
        <v>934051</v>
      </c>
      <c r="G43" s="473">
        <f t="shared" si="3"/>
        <v>2305</v>
      </c>
      <c r="H43" s="460">
        <f>G43+'12'!H43</f>
        <v>32003</v>
      </c>
      <c r="I43" s="455"/>
      <c r="J43" s="552">
        <f>H43/DAY(B2)</f>
        <v>2461.7692307692309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187.49</v>
      </c>
      <c r="F46" s="510">
        <v>187.49</v>
      </c>
      <c r="G46" s="473">
        <f t="shared" si="3"/>
        <v>0</v>
      </c>
      <c r="H46" s="460">
        <f>G46+'12'!H46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 t="s">
        <v>268</v>
      </c>
      <c r="G47" s="481">
        <f>G35+G36+G37+G38+G39+G40+G41+G42+G43+G44+G45+G46</f>
        <v>12223</v>
      </c>
      <c r="H47" s="460">
        <f>G47+'12'!H47</f>
        <v>202385.49999999994</v>
      </c>
      <c r="I47" s="455"/>
      <c r="J47" s="552">
        <f>H47/DAY(B2)</f>
        <v>15568.115384615379</v>
      </c>
      <c r="K47" s="428"/>
      <c r="L47" s="377"/>
      <c r="N47" s="721"/>
      <c r="O47" s="728"/>
      <c r="P47" s="382"/>
    </row>
    <row r="48" spans="1:16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'12'!F49</f>
        <v>260732</v>
      </c>
      <c r="F49" s="510">
        <v>260732</v>
      </c>
      <c r="G49" s="473">
        <f t="shared" ref="G49:G58" si="4">F49-E49</f>
        <v>0</v>
      </c>
      <c r="H49" s="460">
        <f>G49+'12'!H49</f>
        <v>0</v>
      </c>
      <c r="I49" s="455"/>
      <c r="J49" s="552">
        <f>H49/DAY(B2)</f>
        <v>0</v>
      </c>
      <c r="K49" s="428"/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'12'!F50</f>
        <v>454733</v>
      </c>
      <c r="F50" s="510">
        <v>455816</v>
      </c>
      <c r="G50" s="473">
        <f t="shared" si="4"/>
        <v>1083</v>
      </c>
      <c r="H50" s="460">
        <f>G50+'12'!H50</f>
        <v>13541.959999999963</v>
      </c>
      <c r="I50" s="455"/>
      <c r="J50" s="552">
        <f>H50/DAY(B2)</f>
        <v>1041.6892307692278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'12'!F51</f>
        <v>144640</v>
      </c>
      <c r="F51" s="510">
        <v>144640</v>
      </c>
      <c r="G51" s="473">
        <f t="shared" si="4"/>
        <v>0</v>
      </c>
      <c r="H51" s="460">
        <f>G51+'12'!H51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'12'!F52</f>
        <v>539606</v>
      </c>
      <c r="F52" s="510">
        <v>539606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'12'!F53</f>
        <v>406047</v>
      </c>
      <c r="F53" s="510">
        <v>406598</v>
      </c>
      <c r="G53" s="473">
        <f t="shared" si="4"/>
        <v>551</v>
      </c>
      <c r="H53" s="460">
        <f>G53+'12'!H53</f>
        <v>4764.2000000000116</v>
      </c>
      <c r="I53" s="455"/>
      <c r="J53" s="552">
        <f>H53/DAY(B2)</f>
        <v>366.47692307692398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'12'!F54</f>
        <v>10021</v>
      </c>
      <c r="F54" s="510">
        <v>10099</v>
      </c>
      <c r="G54" s="473">
        <f t="shared" si="4"/>
        <v>78</v>
      </c>
      <c r="H54" s="460">
        <f>G54+'12'!H54</f>
        <v>3874.0300000000007</v>
      </c>
      <c r="I54" s="455"/>
      <c r="J54" s="552">
        <f>H54/DAY(B2)</f>
        <v>298.00230769230774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'12'!F55</f>
        <v>259875</v>
      </c>
      <c r="F55" s="656">
        <v>265687</v>
      </c>
      <c r="G55" s="655">
        <f t="shared" si="4"/>
        <v>5812</v>
      </c>
      <c r="H55" s="708">
        <f>G55+'12'!H55</f>
        <v>44233.799999999988</v>
      </c>
      <c r="I55" s="709"/>
      <c r="J55" s="710">
        <f>H55/DAY(B2)</f>
        <v>3402.599999999999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'12'!F56</f>
        <v>589086</v>
      </c>
      <c r="F56" s="656">
        <v>589086</v>
      </c>
      <c r="G56" s="473">
        <f t="shared" si="4"/>
        <v>0</v>
      </c>
      <c r="H56" s="460">
        <f>G56+'12'!H56</f>
        <v>109.8399999999674</v>
      </c>
      <c r="I56" s="455"/>
      <c r="J56" s="552">
        <f>H56/DAY(B2)</f>
        <v>8.4492307692282616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0.32999999999992724</v>
      </c>
      <c r="I57" s="455"/>
      <c r="J57" s="552">
        <f>H57/DAY(B2)</f>
        <v>2.5384615384609788E-2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'12'!F58</f>
        <v>43814</v>
      </c>
      <c r="F58" s="656">
        <v>44000</v>
      </c>
      <c r="G58" s="473">
        <f t="shared" si="4"/>
        <v>186</v>
      </c>
      <c r="H58" s="460">
        <f>G58+'12'!H58</f>
        <v>2298.6599999999962</v>
      </c>
      <c r="I58" s="455"/>
      <c r="J58" s="552">
        <f>H58/DAY(B2)</f>
        <v>176.81999999999971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7710.33</v>
      </c>
      <c r="H59" s="460">
        <f>G59+'12'!H59</f>
        <v>68820.819999999934</v>
      </c>
      <c r="I59" s="455">
        <f>G7-G60</f>
        <v>201.66999999999825</v>
      </c>
      <c r="J59" s="552">
        <f>H59/DAY(B2)</f>
        <v>5293.9092307692254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19933.330000000002</v>
      </c>
      <c r="H60" s="460">
        <f>G60+'12'!H60</f>
        <v>278405.87</v>
      </c>
      <c r="I60" s="455">
        <f>G13-G60</f>
        <v>-315.33000000000175</v>
      </c>
      <c r="J60" s="552">
        <f>H60/DAY(B2)</f>
        <v>21415.836153846154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'12'!F62</f>
        <v>20419</v>
      </c>
      <c r="F62" s="514">
        <v>20419.18</v>
      </c>
      <c r="G62" s="473">
        <f t="shared" ref="G62:G70" si="5">F62-E62</f>
        <v>0.18000000000029104</v>
      </c>
      <c r="H62" s="460">
        <f>G62+'12'!H62</f>
        <v>0.18199999999706051</v>
      </c>
      <c r="I62" s="515"/>
      <c r="J62" s="552">
        <f>H62/DAY(B2)</f>
        <v>1.3999999999773886E-2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'12'!F63</f>
        <v>2236</v>
      </c>
      <c r="F63" s="514">
        <v>2246</v>
      </c>
      <c r="G63" s="473">
        <f t="shared" si="5"/>
        <v>10</v>
      </c>
      <c r="H63" s="460">
        <f>G63+'12'!H63</f>
        <v>150</v>
      </c>
      <c r="I63" s="515"/>
      <c r="J63" s="552">
        <f>H63/DAY(B2)</f>
        <v>11.538461538461538</v>
      </c>
      <c r="K63" s="428"/>
      <c r="L63" s="377"/>
      <c r="N63" s="721"/>
      <c r="O63" s="728"/>
      <c r="P63" s="382"/>
    </row>
    <row r="64" spans="1:16" ht="27.75">
      <c r="A64" s="1499" t="s">
        <v>99</v>
      </c>
      <c r="B64" s="1500"/>
      <c r="C64" s="1501"/>
      <c r="D64" s="523" t="s">
        <v>187</v>
      </c>
      <c r="E64" s="514">
        <f>'12'!F64</f>
        <v>144820</v>
      </c>
      <c r="F64" s="478">
        <v>145294</v>
      </c>
      <c r="G64" s="473">
        <f t="shared" si="5"/>
        <v>474</v>
      </c>
      <c r="H64" s="460">
        <f>G64+'12'!H64</f>
        <v>6114</v>
      </c>
      <c r="I64" s="480"/>
      <c r="J64" s="552">
        <f>H64/DAY(B2)</f>
        <v>470.30769230769232</v>
      </c>
      <c r="K64" s="428"/>
      <c r="L64" s="377"/>
      <c r="N64" s="721"/>
      <c r="O64" s="728"/>
      <c r="P64" s="382"/>
    </row>
    <row r="65" spans="1:16" ht="27.75">
      <c r="A65" s="1499" t="s">
        <v>100</v>
      </c>
      <c r="B65" s="1500"/>
      <c r="C65" s="1501"/>
      <c r="D65" s="523" t="s">
        <v>187</v>
      </c>
      <c r="E65" s="514">
        <f>'12'!F65</f>
        <v>148542</v>
      </c>
      <c r="F65" s="654">
        <v>148909</v>
      </c>
      <c r="G65" s="473">
        <f t="shared" si="5"/>
        <v>367</v>
      </c>
      <c r="H65" s="460">
        <f>G65+'12'!H65</f>
        <v>4704</v>
      </c>
      <c r="I65" s="489"/>
      <c r="J65" s="552">
        <f>H65/DAY(B2)</f>
        <v>361.84615384615387</v>
      </c>
      <c r="K65" s="428"/>
      <c r="L65" s="377"/>
      <c r="N65" s="721"/>
      <c r="O65" s="729"/>
      <c r="P65" s="382"/>
    </row>
    <row r="66" spans="1:16" ht="27.75">
      <c r="A66" s="1499" t="s">
        <v>101</v>
      </c>
      <c r="B66" s="1500"/>
      <c r="C66" s="1501"/>
      <c r="D66" s="523" t="s">
        <v>187</v>
      </c>
      <c r="E66" s="514">
        <f>'12'!F66</f>
        <v>41896</v>
      </c>
      <c r="F66" s="478">
        <v>42293</v>
      </c>
      <c r="G66" s="473">
        <f t="shared" si="5"/>
        <v>397</v>
      </c>
      <c r="H66" s="460">
        <f>G66+'12'!H66</f>
        <v>5085</v>
      </c>
      <c r="I66" s="480"/>
      <c r="J66" s="552">
        <f>H66/DAY(B2)</f>
        <v>391.15384615384613</v>
      </c>
      <c r="K66" s="428"/>
      <c r="L66" s="377"/>
      <c r="N66" s="721"/>
      <c r="O66" s="728"/>
      <c r="P66" s="382"/>
    </row>
    <row r="67" spans="1:16" ht="27.75">
      <c r="A67" s="1499" t="s">
        <v>102</v>
      </c>
      <c r="B67" s="1500"/>
      <c r="C67" s="1501"/>
      <c r="D67" s="523" t="s">
        <v>187</v>
      </c>
      <c r="E67" s="514">
        <f>'12'!F67</f>
        <v>236109</v>
      </c>
      <c r="F67" s="478">
        <v>236569</v>
      </c>
      <c r="G67" s="473">
        <f t="shared" si="5"/>
        <v>460</v>
      </c>
      <c r="H67" s="460">
        <f>G67+'12'!H67</f>
        <v>7469</v>
      </c>
      <c r="I67" s="489"/>
      <c r="J67" s="552">
        <f>H67/DAY(B2)</f>
        <v>574.53846153846155</v>
      </c>
      <c r="K67" s="429"/>
      <c r="L67" s="377"/>
      <c r="N67" s="721"/>
      <c r="O67" s="728"/>
      <c r="P67" s="382"/>
    </row>
    <row r="68" spans="1:16" ht="27.75">
      <c r="A68" s="1499" t="s">
        <v>103</v>
      </c>
      <c r="B68" s="1500"/>
      <c r="C68" s="1501"/>
      <c r="D68" s="523" t="s">
        <v>187</v>
      </c>
      <c r="E68" s="514">
        <f>'12'!F68</f>
        <v>85321</v>
      </c>
      <c r="F68" s="478">
        <v>85321</v>
      </c>
      <c r="G68" s="473">
        <f t="shared" si="5"/>
        <v>0</v>
      </c>
      <c r="H68" s="460">
        <f>G68+'12'!H68</f>
        <v>2234</v>
      </c>
      <c r="I68" s="516"/>
      <c r="J68" s="552">
        <f>H68/DAY(B2)</f>
        <v>171.84615384615384</v>
      </c>
      <c r="K68" s="430"/>
      <c r="L68" s="377"/>
      <c r="N68" s="721"/>
      <c r="O68" s="728"/>
      <c r="P68" s="382"/>
    </row>
    <row r="69" spans="1:16" ht="27.75">
      <c r="A69" s="1499" t="s">
        <v>104</v>
      </c>
      <c r="B69" s="1500"/>
      <c r="C69" s="1501"/>
      <c r="D69" s="523" t="s">
        <v>187</v>
      </c>
      <c r="E69" s="514">
        <f>'12'!F69</f>
        <v>77955</v>
      </c>
      <c r="F69" s="478">
        <v>78019</v>
      </c>
      <c r="G69" s="473">
        <f t="shared" si="5"/>
        <v>64</v>
      </c>
      <c r="H69" s="460">
        <f>G69+'12'!H69</f>
        <v>3690</v>
      </c>
      <c r="I69" s="516"/>
      <c r="J69" s="552">
        <f>H69/DAY(B2)</f>
        <v>283.84615384615387</v>
      </c>
      <c r="K69" s="431"/>
      <c r="L69" s="377"/>
      <c r="N69" s="721"/>
      <c r="O69" s="728"/>
      <c r="P69" s="382"/>
    </row>
    <row r="70" spans="1:16" ht="27.75">
      <c r="A70" s="1505" t="s">
        <v>189</v>
      </c>
      <c r="B70" s="1506"/>
      <c r="C70" s="1507"/>
      <c r="D70" s="523" t="s">
        <v>187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6">
        <f>H70/DAY(B2)</f>
        <v>0</v>
      </c>
      <c r="K70" s="431"/>
      <c r="L70" s="377"/>
      <c r="N70" s="721"/>
      <c r="O70" s="728"/>
      <c r="P70" s="382"/>
    </row>
    <row r="71" spans="1:16" ht="31.5">
      <c r="A71" s="1502" t="s">
        <v>190</v>
      </c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  <c r="N71" s="721"/>
      <c r="O71" s="728"/>
      <c r="P71" s="382"/>
    </row>
    <row r="72" spans="1:16" ht="27.75">
      <c r="A72" s="1499" t="s">
        <v>191</v>
      </c>
      <c r="B72" s="1500"/>
      <c r="C72" s="1501"/>
      <c r="D72" s="523" t="s">
        <v>187</v>
      </c>
      <c r="E72" s="519">
        <f>'12'!F72</f>
        <v>854336</v>
      </c>
      <c r="F72" s="657">
        <v>854420</v>
      </c>
      <c r="G72" s="473">
        <f t="shared" ref="G72:G84" si="6">F72-E72</f>
        <v>84</v>
      </c>
      <c r="H72" s="460">
        <f>G72+'12'!H72</f>
        <v>1241</v>
      </c>
      <c r="I72" s="480"/>
      <c r="J72" s="552">
        <f>H72/DAY(B2)</f>
        <v>95.461538461538467</v>
      </c>
      <c r="K72" s="431"/>
      <c r="L72" s="377"/>
      <c r="N72" s="721"/>
      <c r="O72" s="728"/>
      <c r="P72" s="382"/>
    </row>
    <row r="73" spans="1:16" ht="27.75">
      <c r="A73" s="1499" t="s">
        <v>192</v>
      </c>
      <c r="B73" s="1500"/>
      <c r="C73" s="1501"/>
      <c r="D73" s="523" t="s">
        <v>187</v>
      </c>
      <c r="E73" s="519">
        <f>'12'!F73</f>
        <v>885819</v>
      </c>
      <c r="F73" s="658">
        <v>885820</v>
      </c>
      <c r="G73" s="655">
        <f t="shared" si="6"/>
        <v>1</v>
      </c>
      <c r="H73" s="460">
        <f>G73+'12'!H73</f>
        <v>20</v>
      </c>
      <c r="I73" s="480"/>
      <c r="J73" s="552">
        <f>H73/DAY(B2)</f>
        <v>1.5384615384615385</v>
      </c>
      <c r="K73" s="430"/>
      <c r="L73" s="377"/>
      <c r="N73" s="721"/>
      <c r="O73" s="728"/>
      <c r="P73" s="382"/>
    </row>
    <row r="74" spans="1:16" ht="27.75">
      <c r="A74" s="1499" t="s">
        <v>193</v>
      </c>
      <c r="B74" s="1500"/>
      <c r="C74" s="1501"/>
      <c r="D74" s="523" t="s">
        <v>187</v>
      </c>
      <c r="E74" s="519">
        <f>'12'!F74</f>
        <v>1710</v>
      </c>
      <c r="F74" s="658">
        <v>1742</v>
      </c>
      <c r="G74" s="473">
        <f t="shared" si="6"/>
        <v>32</v>
      </c>
      <c r="H74" s="460">
        <f>G74+'12'!H74</f>
        <v>372</v>
      </c>
      <c r="I74" s="480"/>
      <c r="J74" s="552">
        <f>H74/DAY(B2)</f>
        <v>28.615384615384617</v>
      </c>
      <c r="K74" s="431"/>
      <c r="L74" s="377"/>
      <c r="N74" s="721"/>
      <c r="O74" s="728"/>
      <c r="P74" s="382"/>
    </row>
    <row r="75" spans="1:16" ht="27.75">
      <c r="A75" s="1496" t="s">
        <v>194</v>
      </c>
      <c r="B75" s="1497"/>
      <c r="C75" s="1498"/>
      <c r="D75" s="523" t="s">
        <v>187</v>
      </c>
      <c r="E75" s="519">
        <f>'12'!F75</f>
        <v>9886</v>
      </c>
      <c r="F75" s="658">
        <v>9945</v>
      </c>
      <c r="G75" s="473">
        <f t="shared" si="6"/>
        <v>59</v>
      </c>
      <c r="H75" s="460">
        <f>G75+'12'!H75</f>
        <v>1265</v>
      </c>
      <c r="I75" s="480"/>
      <c r="J75" s="552">
        <f>H75/DAY(B2)</f>
        <v>97.307692307692307</v>
      </c>
      <c r="K75" s="430"/>
      <c r="L75" s="377"/>
      <c r="N75" s="721"/>
      <c r="O75" s="728"/>
      <c r="P75" s="382"/>
    </row>
    <row r="76" spans="1:16" ht="27.75">
      <c r="A76" s="1496" t="s">
        <v>195</v>
      </c>
      <c r="B76" s="1497"/>
      <c r="C76" s="1498"/>
      <c r="D76" s="523" t="s">
        <v>187</v>
      </c>
      <c r="E76" s="519">
        <f>'12'!F76</f>
        <v>4831</v>
      </c>
      <c r="F76" s="658">
        <v>4891</v>
      </c>
      <c r="G76" s="473">
        <f t="shared" si="6"/>
        <v>60</v>
      </c>
      <c r="H76" s="460">
        <f>G76+'12'!H76</f>
        <v>854</v>
      </c>
      <c r="I76" s="505"/>
      <c r="J76" s="552">
        <f>H76/DAY(B2)</f>
        <v>65.692307692307693</v>
      </c>
      <c r="K76" s="430"/>
      <c r="L76" s="377"/>
      <c r="N76" s="721"/>
      <c r="O76" s="728"/>
      <c r="P76" s="382"/>
    </row>
    <row r="77" spans="1:16" ht="27.75">
      <c r="A77" s="1499" t="s">
        <v>196</v>
      </c>
      <c r="B77" s="1500"/>
      <c r="C77" s="1501"/>
      <c r="D77" s="523" t="s">
        <v>187</v>
      </c>
      <c r="E77" s="519">
        <f>'12'!F77</f>
        <v>700761</v>
      </c>
      <c r="F77" s="658">
        <v>700802</v>
      </c>
      <c r="G77" s="655">
        <f t="shared" si="6"/>
        <v>41</v>
      </c>
      <c r="H77" s="460">
        <f>G77+'12'!H77</f>
        <v>588</v>
      </c>
      <c r="I77" s="505"/>
      <c r="J77" s="552">
        <f>H77/DAY(B2)</f>
        <v>45.230769230769234</v>
      </c>
      <c r="K77" s="430"/>
      <c r="L77" s="377"/>
      <c r="N77" s="721"/>
      <c r="O77" s="728"/>
      <c r="P77" s="382"/>
    </row>
    <row r="78" spans="1:16" ht="27.75">
      <c r="A78" s="1147" t="s">
        <v>197</v>
      </c>
      <c r="B78" s="1120"/>
      <c r="C78" s="1120"/>
      <c r="D78" s="523" t="s">
        <v>187</v>
      </c>
      <c r="E78" s="519">
        <f>'12'!F78</f>
        <v>668705</v>
      </c>
      <c r="F78" s="659">
        <v>668801</v>
      </c>
      <c r="G78" s="473">
        <f t="shared" si="6"/>
        <v>96</v>
      </c>
      <c r="H78" s="460">
        <f>G78+'12'!H78</f>
        <v>3421</v>
      </c>
      <c r="I78" s="505"/>
      <c r="J78" s="552">
        <f>H78/DAY(B2)</f>
        <v>263.15384615384613</v>
      </c>
      <c r="K78" s="430"/>
      <c r="L78" s="377"/>
      <c r="N78" s="721"/>
      <c r="O78" s="728"/>
      <c r="P78" s="382"/>
    </row>
    <row r="79" spans="1:16" ht="27.75">
      <c r="A79" s="1496" t="s">
        <v>92</v>
      </c>
      <c r="B79" s="1497"/>
      <c r="C79" s="1498"/>
      <c r="D79" s="524" t="s">
        <v>187</v>
      </c>
      <c r="E79" s="519">
        <f>'12'!F79</f>
        <v>823443</v>
      </c>
      <c r="F79" s="659">
        <v>823612</v>
      </c>
      <c r="G79" s="473">
        <f t="shared" si="6"/>
        <v>169</v>
      </c>
      <c r="H79" s="460">
        <f>G79+'12'!H79</f>
        <v>2399</v>
      </c>
      <c r="I79" s="505"/>
      <c r="J79" s="552">
        <f>H79/DAY(B2)</f>
        <v>184.53846153846155</v>
      </c>
      <c r="K79" s="430"/>
      <c r="L79" s="377"/>
      <c r="N79" s="721"/>
      <c r="O79" s="728"/>
      <c r="P79" s="382"/>
    </row>
    <row r="80" spans="1:16" ht="27.75">
      <c r="A80" s="1496" t="s">
        <v>198</v>
      </c>
      <c r="B80" s="1497"/>
      <c r="C80" s="1498"/>
      <c r="D80" s="524" t="s">
        <v>187</v>
      </c>
      <c r="E80" s="519">
        <f>'12'!F80</f>
        <v>509942</v>
      </c>
      <c r="F80" s="658">
        <v>510327</v>
      </c>
      <c r="G80" s="473">
        <f t="shared" si="6"/>
        <v>385</v>
      </c>
      <c r="H80" s="460">
        <f>G80+'12'!H80</f>
        <v>4628</v>
      </c>
      <c r="I80" s="505"/>
      <c r="J80" s="552">
        <f>H80/DAY(B2)</f>
        <v>356</v>
      </c>
      <c r="K80" s="430"/>
      <c r="L80" s="377"/>
      <c r="N80" s="721"/>
      <c r="O80" s="728"/>
      <c r="P80" s="382"/>
    </row>
    <row r="81" spans="1:16" ht="27.75">
      <c r="A81" s="1496" t="s">
        <v>199</v>
      </c>
      <c r="B81" s="1497"/>
      <c r="C81" s="1498"/>
      <c r="D81" s="524" t="s">
        <v>187</v>
      </c>
      <c r="E81" s="519">
        <f>'12'!F81</f>
        <v>633251</v>
      </c>
      <c r="F81" s="658">
        <v>633493</v>
      </c>
      <c r="G81" s="473">
        <f t="shared" si="6"/>
        <v>242</v>
      </c>
      <c r="H81" s="460">
        <f>G81+'12'!H81</f>
        <v>3308</v>
      </c>
      <c r="I81" s="505"/>
      <c r="J81" s="552">
        <f>H81/DAY(B2)</f>
        <v>254.46153846153845</v>
      </c>
      <c r="K81" s="430"/>
      <c r="L81" s="377"/>
      <c r="N81" s="721"/>
      <c r="O81" s="728"/>
      <c r="P81" s="382"/>
    </row>
    <row r="82" spans="1:16" ht="27.75">
      <c r="A82" s="1496" t="s">
        <v>93</v>
      </c>
      <c r="B82" s="1497"/>
      <c r="C82" s="1498"/>
      <c r="D82" s="485" t="s">
        <v>132</v>
      </c>
      <c r="E82" s="519">
        <f>'12'!F82</f>
        <v>107180</v>
      </c>
      <c r="F82" s="654">
        <v>107204</v>
      </c>
      <c r="G82" s="473">
        <f t="shared" si="6"/>
        <v>24</v>
      </c>
      <c r="H82" s="460">
        <f>G82+'12'!H82</f>
        <v>309</v>
      </c>
      <c r="I82" s="486"/>
      <c r="J82" s="552">
        <f>H82/DAY(B2)</f>
        <v>23.76923076923077</v>
      </c>
      <c r="K82" s="430"/>
      <c r="L82" s="377"/>
      <c r="N82" s="721"/>
      <c r="O82" s="728"/>
      <c r="P82" s="382"/>
    </row>
    <row r="83" spans="1:16" ht="27.75">
      <c r="A83" s="1496" t="s">
        <v>200</v>
      </c>
      <c r="B83" s="1497"/>
      <c r="C83" s="1498"/>
      <c r="D83" s="620" t="s">
        <v>132</v>
      </c>
      <c r="E83" s="519">
        <f>'12'!F83</f>
        <v>10226</v>
      </c>
      <c r="F83" s="511">
        <v>10476</v>
      </c>
      <c r="G83" s="473">
        <f t="shared" si="6"/>
        <v>250</v>
      </c>
      <c r="H83" s="460">
        <f>G83+'12'!H83</f>
        <v>3419</v>
      </c>
      <c r="I83" s="481"/>
      <c r="J83" s="552">
        <f>H83/DAY(B2)</f>
        <v>263</v>
      </c>
      <c r="K83" s="429"/>
      <c r="L83" s="377"/>
      <c r="N83" s="721"/>
      <c r="O83" s="728"/>
      <c r="P83" s="382"/>
    </row>
    <row r="84" spans="1:16">
      <c r="A84" s="1148" t="s">
        <v>201</v>
      </c>
      <c r="B84" s="571"/>
      <c r="C84" s="571"/>
      <c r="D84" s="478" t="s">
        <v>132</v>
      </c>
      <c r="E84" s="519">
        <f>'12'!F84</f>
        <v>466198</v>
      </c>
      <c r="F84" s="627">
        <v>467106</v>
      </c>
      <c r="G84" s="473">
        <f t="shared" si="6"/>
        <v>908</v>
      </c>
      <c r="H84" s="460">
        <f>G84+'12'!H84</f>
        <v>12422</v>
      </c>
      <c r="I84" s="481"/>
      <c r="J84" s="552">
        <f>H84/DAY(B2)</f>
        <v>955.53846153846155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2351</v>
      </c>
      <c r="H85" s="460">
        <f>G85+'12'!H85</f>
        <v>34246</v>
      </c>
      <c r="I85" s="481"/>
      <c r="J85" s="552">
        <f>H85/DAY(B2)</f>
        <v>2634.3076923076924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'12'!F86</f>
        <v>456840</v>
      </c>
      <c r="F86" s="650">
        <v>457054</v>
      </c>
      <c r="G86" s="708">
        <f t="shared" ref="G86:G90" si="7">F86-E86</f>
        <v>214</v>
      </c>
      <c r="H86" s="708">
        <f t="shared" ref="H86:H88" si="8">G86</f>
        <v>214</v>
      </c>
      <c r="I86" s="655"/>
      <c r="J86" s="710">
        <f>H86/DAY(B2)</f>
        <v>16.46153846153846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'12'!F87</f>
        <v>80554</v>
      </c>
      <c r="F87" s="650">
        <v>80591</v>
      </c>
      <c r="G87" s="708">
        <f t="shared" si="7"/>
        <v>37</v>
      </c>
      <c r="H87" s="708">
        <f t="shared" si="8"/>
        <v>37</v>
      </c>
      <c r="I87" s="655"/>
      <c r="J87" s="710">
        <f>H87/DAY(B2)</f>
        <v>2.8461538461538463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'12'!F88</f>
        <v>151195</v>
      </c>
      <c r="F88" s="650">
        <v>151218</v>
      </c>
      <c r="G88" s="708">
        <f t="shared" si="7"/>
        <v>23</v>
      </c>
      <c r="H88" s="708">
        <f t="shared" si="8"/>
        <v>23</v>
      </c>
      <c r="I88" s="655"/>
      <c r="J88" s="710">
        <f>H88/DAY(B2)</f>
        <v>1.7692307692307692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'12'!F89</f>
        <v>64072</v>
      </c>
      <c r="F89" s="650">
        <v>64115</v>
      </c>
      <c r="G89" s="708">
        <f t="shared" si="7"/>
        <v>43</v>
      </c>
      <c r="H89" s="708">
        <f>G89</f>
        <v>43</v>
      </c>
      <c r="I89" s="655"/>
      <c r="J89" s="710">
        <f>H89/DAY(B2)</f>
        <v>3.3076923076923075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'12'!F90</f>
        <v>3272</v>
      </c>
      <c r="F90" s="650">
        <v>3272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379" customFormat="1">
      <c r="A91" s="606" t="s">
        <v>205</v>
      </c>
      <c r="B91" s="1150"/>
      <c r="C91" s="1150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520" t="s">
        <v>206</v>
      </c>
      <c r="B92" s="1521"/>
      <c r="C92" s="1522"/>
      <c r="D92" s="523" t="s">
        <v>144</v>
      </c>
      <c r="E92" s="484">
        <f>'12'!F92</f>
        <v>243496</v>
      </c>
      <c r="F92" s="478">
        <v>243546</v>
      </c>
      <c r="G92" s="473">
        <f t="shared" ref="G92:G93" si="9">F92-E92</f>
        <v>50</v>
      </c>
      <c r="H92" s="460">
        <f>G92+'12'!H92</f>
        <v>900</v>
      </c>
      <c r="I92" s="480"/>
      <c r="J92" s="552">
        <f>H92/DAY(B2)</f>
        <v>69.230769230769226</v>
      </c>
      <c r="K92" s="429"/>
      <c r="L92" s="377"/>
      <c r="N92" s="721"/>
      <c r="O92" s="728"/>
      <c r="P92" s="382"/>
    </row>
    <row r="93" spans="1:16" ht="27.75">
      <c r="A93" s="1520" t="s">
        <v>207</v>
      </c>
      <c r="B93" s="1521"/>
      <c r="C93" s="1522"/>
      <c r="D93" s="523" t="s">
        <v>144</v>
      </c>
      <c r="E93" s="484">
        <f>'12'!F93</f>
        <v>181516</v>
      </c>
      <c r="F93" s="478">
        <v>181639</v>
      </c>
      <c r="G93" s="473">
        <f t="shared" si="9"/>
        <v>123</v>
      </c>
      <c r="H93" s="460">
        <f>G93+'12'!H93</f>
        <v>1960</v>
      </c>
      <c r="I93" s="480"/>
      <c r="J93" s="552">
        <f>H93/DAY(B2)</f>
        <v>150.76923076923077</v>
      </c>
      <c r="K93" s="380"/>
      <c r="L93" s="377"/>
      <c r="N93" s="721"/>
      <c r="O93" s="728"/>
      <c r="P93" s="382"/>
    </row>
    <row r="94" spans="1:16">
      <c r="A94" s="1548" t="s">
        <v>208</v>
      </c>
      <c r="B94" s="1549"/>
      <c r="C94" s="1550"/>
      <c r="D94" s="523"/>
      <c r="E94" s="484">
        <f>'12'!F94</f>
        <v>0</v>
      </c>
      <c r="F94" s="478"/>
      <c r="G94" s="473">
        <f>G92+G93</f>
        <v>173</v>
      </c>
      <c r="H94" s="460">
        <f>G94+'12'!H94</f>
        <v>2641</v>
      </c>
      <c r="I94" s="480"/>
      <c r="J94" s="552">
        <f>H94/DAY(B2)</f>
        <v>203.15384615384616</v>
      </c>
      <c r="K94" s="380"/>
      <c r="L94" s="377"/>
      <c r="N94" s="721"/>
      <c r="O94" s="728"/>
      <c r="P94" s="382"/>
    </row>
    <row r="95" spans="1:16" ht="27.75">
      <c r="A95" s="1520" t="s">
        <v>209</v>
      </c>
      <c r="B95" s="1521"/>
      <c r="C95" s="1522"/>
      <c r="D95" s="523" t="s">
        <v>144</v>
      </c>
      <c r="E95" s="484">
        <f>'12'!F95</f>
        <v>411670</v>
      </c>
      <c r="F95" s="478">
        <v>411736</v>
      </c>
      <c r="G95" s="473">
        <f t="shared" ref="G95:G100" si="10">F95-E95</f>
        <v>66</v>
      </c>
      <c r="H95" s="460">
        <f>G95+'12'!H95</f>
        <v>951</v>
      </c>
      <c r="I95" s="480"/>
      <c r="J95" s="552">
        <f>H95/DAY(B2)</f>
        <v>73.15384615384616</v>
      </c>
      <c r="K95" s="380"/>
      <c r="L95" s="377"/>
      <c r="N95" s="721"/>
      <c r="O95" s="728"/>
      <c r="P95" s="382"/>
    </row>
    <row r="96" spans="1:16" ht="27.75">
      <c r="A96" s="1144" t="s">
        <v>210</v>
      </c>
      <c r="B96" s="1145"/>
      <c r="C96" s="1145"/>
      <c r="D96" s="523" t="s">
        <v>144</v>
      </c>
      <c r="E96" s="484">
        <f>'12'!F96</f>
        <v>102037</v>
      </c>
      <c r="F96" s="478">
        <v>102053</v>
      </c>
      <c r="G96" s="473">
        <f t="shared" si="10"/>
        <v>16</v>
      </c>
      <c r="H96" s="460">
        <f>G96+'12'!H96</f>
        <v>222</v>
      </c>
      <c r="I96" s="480"/>
      <c r="J96" s="552">
        <f>H96/DAY(B2)</f>
        <v>17.076923076923077</v>
      </c>
      <c r="K96" s="427"/>
      <c r="L96" s="377"/>
      <c r="N96" s="721"/>
      <c r="O96" s="728"/>
      <c r="P96" s="382"/>
    </row>
    <row r="97" spans="1:16" ht="27.75">
      <c r="A97" s="1144" t="s">
        <v>211</v>
      </c>
      <c r="B97" s="1145"/>
      <c r="C97" s="1145"/>
      <c r="D97" s="523" t="s">
        <v>144</v>
      </c>
      <c r="E97" s="484">
        <f>'12'!F97</f>
        <v>97136</v>
      </c>
      <c r="F97" s="478">
        <v>97154</v>
      </c>
      <c r="G97" s="473">
        <f t="shared" si="10"/>
        <v>18</v>
      </c>
      <c r="H97" s="460">
        <f>G97+'12'!H97</f>
        <v>226</v>
      </c>
      <c r="I97" s="480"/>
      <c r="J97" s="552">
        <f>H97/DAY(B2)</f>
        <v>17.384615384615383</v>
      </c>
      <c r="K97" s="432"/>
      <c r="L97" s="377"/>
      <c r="N97" s="721"/>
      <c r="O97" s="728"/>
      <c r="P97" s="382"/>
    </row>
    <row r="98" spans="1:16" ht="27.75">
      <c r="A98" s="1144" t="s">
        <v>212</v>
      </c>
      <c r="B98" s="1145"/>
      <c r="C98" s="1145"/>
      <c r="D98" s="523" t="s">
        <v>144</v>
      </c>
      <c r="E98" s="484">
        <f>'12'!F98</f>
        <v>149353</v>
      </c>
      <c r="F98" s="478">
        <v>149378</v>
      </c>
      <c r="G98" s="473">
        <f t="shared" si="10"/>
        <v>25</v>
      </c>
      <c r="H98" s="460">
        <f>G98+'12'!H98</f>
        <v>469</v>
      </c>
      <c r="I98" s="480"/>
      <c r="J98" s="552">
        <f>H98/DAY(B2)</f>
        <v>36.07692307692308</v>
      </c>
      <c r="K98" s="380"/>
      <c r="L98" s="377"/>
      <c r="N98" s="723"/>
      <c r="O98" s="728"/>
      <c r="P98" s="382"/>
    </row>
    <row r="99" spans="1:16" ht="27.75">
      <c r="A99" s="1144" t="s">
        <v>213</v>
      </c>
      <c r="B99" s="1145"/>
      <c r="C99" s="1145"/>
      <c r="D99" s="523" t="s">
        <v>144</v>
      </c>
      <c r="E99" s="484">
        <f>'12'!F99</f>
        <v>7012</v>
      </c>
      <c r="F99" s="478">
        <v>7026</v>
      </c>
      <c r="G99" s="473">
        <f t="shared" si="10"/>
        <v>14</v>
      </c>
      <c r="H99" s="460">
        <f>G99+'12'!H99</f>
        <v>171</v>
      </c>
      <c r="I99" s="480"/>
      <c r="J99" s="552">
        <f>H99/DAY(B2)</f>
        <v>13.153846153846153</v>
      </c>
      <c r="K99" s="380"/>
      <c r="L99" s="377"/>
      <c r="N99" s="721"/>
      <c r="O99" s="728"/>
      <c r="P99" s="382"/>
    </row>
    <row r="100" spans="1:16" ht="27.75">
      <c r="A100" s="1144" t="s">
        <v>214</v>
      </c>
      <c r="B100" s="1145"/>
      <c r="C100" s="1145"/>
      <c r="D100" s="523" t="s">
        <v>144</v>
      </c>
      <c r="E100" s="484">
        <f>'12'!F100</f>
        <v>5018</v>
      </c>
      <c r="F100" s="626">
        <v>5023</v>
      </c>
      <c r="G100" s="473">
        <f t="shared" si="10"/>
        <v>5</v>
      </c>
      <c r="H100" s="460">
        <f>G100+'12'!H100</f>
        <v>80</v>
      </c>
      <c r="I100" s="480"/>
      <c r="J100" s="552">
        <f>H100/DAY(B2)</f>
        <v>6.1538461538461542</v>
      </c>
      <c r="K100" s="380"/>
      <c r="L100" s="377"/>
      <c r="N100" s="721"/>
      <c r="O100" s="728"/>
      <c r="P100" s="382"/>
    </row>
    <row r="101" spans="1:16">
      <c r="A101" s="1548" t="s">
        <v>216</v>
      </c>
      <c r="B101" s="1549"/>
      <c r="C101" s="1550"/>
      <c r="D101" s="524"/>
      <c r="E101" s="484"/>
      <c r="F101" s="524"/>
      <c r="G101" s="525">
        <f>SUM(G95:G100)</f>
        <v>144</v>
      </c>
      <c r="H101" s="460">
        <f>G101+'12'!H101</f>
        <v>2119</v>
      </c>
      <c r="I101" s="526"/>
      <c r="J101" s="552">
        <f>H101/DAY(B2)</f>
        <v>163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551" t="s">
        <v>218</v>
      </c>
      <c r="B103" s="1552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512" t="s">
        <v>219</v>
      </c>
      <c r="B104" s="1513"/>
      <c r="C104" s="1143"/>
      <c r="D104" s="622" t="s">
        <v>144</v>
      </c>
      <c r="E104" s="484">
        <f>'12'!F104</f>
        <v>7361</v>
      </c>
      <c r="F104" s="662">
        <v>7361</v>
      </c>
      <c r="G104" s="532">
        <f>F104-E104</f>
        <v>0</v>
      </c>
      <c r="H104" s="533">
        <f>SUM(G104+'1'!G76)</f>
        <v>59</v>
      </c>
      <c r="I104" s="532"/>
      <c r="J104" s="558">
        <f>H104/DAY(B2)</f>
        <v>4.5384615384615383</v>
      </c>
      <c r="N104" s="721"/>
      <c r="O104" s="728"/>
      <c r="P104" s="382"/>
    </row>
    <row r="105" spans="1:16" s="442" customFormat="1" ht="27.75">
      <c r="A105" s="1512" t="s">
        <v>77</v>
      </c>
      <c r="B105" s="1513"/>
      <c r="C105" s="1143"/>
      <c r="D105" s="622" t="s">
        <v>144</v>
      </c>
      <c r="E105" s="484">
        <f>'12'!F105</f>
        <v>35725</v>
      </c>
      <c r="F105" s="662">
        <v>35730</v>
      </c>
      <c r="G105" s="532">
        <f t="shared" ref="G105:G106" si="11">F105-E105</f>
        <v>5</v>
      </c>
      <c r="H105" s="533">
        <f>SUM(G105+'1'!G77)</f>
        <v>55</v>
      </c>
      <c r="I105" s="532"/>
      <c r="J105" s="558">
        <f>H105/DAY(B2)</f>
        <v>4.2307692307692308</v>
      </c>
      <c r="N105" s="721"/>
      <c r="O105" s="728"/>
      <c r="P105" s="382"/>
    </row>
    <row r="106" spans="1:16" s="442" customFormat="1" ht="27.75">
      <c r="A106" s="1512" t="s">
        <v>78</v>
      </c>
      <c r="B106" s="1553"/>
      <c r="C106" s="1513"/>
      <c r="D106" s="622" t="s">
        <v>144</v>
      </c>
      <c r="E106" s="484">
        <f>'12'!F106</f>
        <v>19498</v>
      </c>
      <c r="F106" s="662">
        <v>19505</v>
      </c>
      <c r="G106" s="532">
        <f t="shared" si="11"/>
        <v>7</v>
      </c>
      <c r="H106" s="533">
        <f>SUM(G106+'1'!G78)</f>
        <v>402</v>
      </c>
      <c r="I106" s="532"/>
      <c r="J106" s="558">
        <f>H106/DAY(B2)</f>
        <v>30.923076923076923</v>
      </c>
      <c r="N106" s="721"/>
      <c r="O106" s="728"/>
      <c r="P106" s="382"/>
    </row>
    <row r="107" spans="1:16" s="442" customFormat="1" ht="27.75">
      <c r="A107" s="1514" t="s">
        <v>202</v>
      </c>
      <c r="B107" s="1515"/>
      <c r="C107" s="1143"/>
      <c r="D107" s="622"/>
      <c r="E107" s="484"/>
      <c r="F107" s="662"/>
      <c r="G107" s="532">
        <f>SUM(G104:G106)</f>
        <v>12</v>
      </c>
      <c r="H107" s="533">
        <f>SUM(G107+'1'!G79)</f>
        <v>206</v>
      </c>
      <c r="I107" s="532"/>
      <c r="J107" s="558">
        <f>H107/DAY(B2)</f>
        <v>15.846153846153847</v>
      </c>
      <c r="N107" s="721"/>
      <c r="O107" s="728"/>
      <c r="P107" s="382"/>
    </row>
    <row r="108" spans="1:16" s="442" customFormat="1" ht="27.75">
      <c r="A108" s="1518" t="s">
        <v>79</v>
      </c>
      <c r="B108" s="1519"/>
      <c r="C108" s="1143"/>
      <c r="D108" s="622" t="s">
        <v>144</v>
      </c>
      <c r="E108" s="484"/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512" t="s">
        <v>220</v>
      </c>
      <c r="B109" s="1513"/>
      <c r="C109" s="1143"/>
      <c r="D109" s="622" t="s">
        <v>144</v>
      </c>
      <c r="E109" s="484">
        <f>'12'!F109</f>
        <v>59862</v>
      </c>
      <c r="F109" s="662">
        <v>59925</v>
      </c>
      <c r="G109" s="532">
        <f>F109-E109</f>
        <v>63</v>
      </c>
      <c r="H109" s="533">
        <f>SUM(G109+'1'!G81)</f>
        <v>261</v>
      </c>
      <c r="I109" s="532"/>
      <c r="J109" s="558">
        <f>H109/DAY(B2)</f>
        <v>20.076923076923077</v>
      </c>
      <c r="N109" s="721"/>
      <c r="O109" s="728"/>
      <c r="P109" s="382"/>
    </row>
    <row r="110" spans="1:16" s="442" customFormat="1" ht="27.75">
      <c r="A110" s="1512" t="s">
        <v>221</v>
      </c>
      <c r="B110" s="1513"/>
      <c r="C110" s="1143"/>
      <c r="D110" s="622" t="s">
        <v>144</v>
      </c>
      <c r="E110" s="484">
        <f>'12'!F110</f>
        <v>32034</v>
      </c>
      <c r="F110" s="662">
        <v>32057</v>
      </c>
      <c r="G110" s="532">
        <f t="shared" ref="G110:G111" si="12">F110-E110</f>
        <v>23</v>
      </c>
      <c r="H110" s="533">
        <f>SUM(G110+'1'!G82)</f>
        <v>46</v>
      </c>
      <c r="I110" s="532"/>
      <c r="J110" s="558">
        <f>H110/DAY(B2)</f>
        <v>3.5384615384615383</v>
      </c>
      <c r="N110" s="721"/>
      <c r="O110" s="728"/>
      <c r="P110" s="382"/>
    </row>
    <row r="111" spans="1:16" s="442" customFormat="1" ht="27.75">
      <c r="A111" s="1512" t="s">
        <v>222</v>
      </c>
      <c r="B111" s="1513"/>
      <c r="C111" s="1143"/>
      <c r="D111" s="622" t="s">
        <v>144</v>
      </c>
      <c r="E111" s="484">
        <f>'12'!F111</f>
        <v>4259</v>
      </c>
      <c r="F111" s="662">
        <v>4259</v>
      </c>
      <c r="G111" s="532">
        <f t="shared" si="12"/>
        <v>0</v>
      </c>
      <c r="H111" s="533">
        <f>SUM(G111+'1'!G83)</f>
        <v>239</v>
      </c>
      <c r="I111" s="532"/>
      <c r="J111" s="558">
        <f>H111/DAY(B2)</f>
        <v>18.384615384615383</v>
      </c>
      <c r="N111" s="721"/>
      <c r="O111" s="728"/>
      <c r="P111" s="382"/>
    </row>
    <row r="112" spans="1:16" s="442" customFormat="1" ht="27.75">
      <c r="A112" s="1514" t="s">
        <v>110</v>
      </c>
      <c r="B112" s="1515"/>
      <c r="C112" s="1143"/>
      <c r="D112" s="622"/>
      <c r="E112" s="484"/>
      <c r="F112" s="662"/>
      <c r="G112" s="532">
        <f>SUM(G109:G111)</f>
        <v>86</v>
      </c>
      <c r="H112" s="533">
        <f>SUM(G112+'1'!G84)</f>
        <v>1001</v>
      </c>
      <c r="I112" s="532"/>
      <c r="J112" s="558">
        <f>H112/DAY(B2)</f>
        <v>77</v>
      </c>
      <c r="N112" s="721"/>
      <c r="O112" s="728"/>
      <c r="P112" s="382"/>
    </row>
    <row r="113" spans="1:16" s="442" customFormat="1" ht="27.75">
      <c r="A113" s="1518" t="s">
        <v>223</v>
      </c>
      <c r="B113" s="1519"/>
      <c r="C113" s="1143"/>
      <c r="D113" s="622"/>
      <c r="E113" s="484"/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512" t="s">
        <v>224</v>
      </c>
      <c r="B114" s="1513"/>
      <c r="C114" s="574"/>
      <c r="D114" s="622" t="s">
        <v>144</v>
      </c>
      <c r="E114" s="484">
        <f>'12'!F114</f>
        <v>11047</v>
      </c>
      <c r="F114" s="662">
        <v>11053</v>
      </c>
      <c r="G114" s="534">
        <f>F114-E114</f>
        <v>6</v>
      </c>
      <c r="H114" s="533">
        <f>SUM(G114+'1'!G91)</f>
        <v>6</v>
      </c>
      <c r="I114" s="532"/>
      <c r="J114" s="558">
        <f>H114/DAY(B2)</f>
        <v>0.46153846153846156</v>
      </c>
      <c r="N114" s="721"/>
      <c r="O114" s="728"/>
      <c r="P114" s="382"/>
    </row>
    <row r="115" spans="1:16" s="442" customFormat="1" ht="27.75">
      <c r="A115" s="1512" t="s">
        <v>225</v>
      </c>
      <c r="B115" s="1513"/>
      <c r="C115" s="574"/>
      <c r="D115" s="622" t="s">
        <v>144</v>
      </c>
      <c r="E115" s="484">
        <f>'12'!F115</f>
        <v>8033</v>
      </c>
      <c r="F115" s="662">
        <v>8037</v>
      </c>
      <c r="G115" s="534">
        <f t="shared" ref="G115:G116" si="13">F115-E115</f>
        <v>4</v>
      </c>
      <c r="H115" s="533">
        <f>SUM(G115+'1'!G92)</f>
        <v>96</v>
      </c>
      <c r="I115" s="532"/>
      <c r="J115" s="558">
        <f>H115/DAY(B2)</f>
        <v>7.384615384615385</v>
      </c>
      <c r="N115" s="721"/>
      <c r="O115" s="728"/>
      <c r="P115" s="382"/>
    </row>
    <row r="116" spans="1:16" s="442" customFormat="1" ht="27.75">
      <c r="A116" s="1512" t="s">
        <v>226</v>
      </c>
      <c r="B116" s="1513"/>
      <c r="C116" s="574"/>
      <c r="D116" s="622" t="s">
        <v>144</v>
      </c>
      <c r="E116" s="534"/>
      <c r="F116" s="662"/>
      <c r="G116" s="534">
        <f t="shared" si="13"/>
        <v>0</v>
      </c>
      <c r="H116" s="533">
        <f>SUM(G116+'1'!G93)</f>
        <v>127</v>
      </c>
      <c r="I116" s="532"/>
      <c r="J116" s="558">
        <f>H116/DAY(B2)</f>
        <v>9.7692307692307701</v>
      </c>
      <c r="N116" s="721"/>
      <c r="O116" s="728"/>
      <c r="P116" s="382"/>
    </row>
    <row r="117" spans="1:16" s="445" customFormat="1" ht="27.75">
      <c r="A117" s="1514" t="s">
        <v>202</v>
      </c>
      <c r="B117" s="1515"/>
      <c r="C117" s="574"/>
      <c r="D117" s="623"/>
      <c r="E117" s="534"/>
      <c r="F117" s="662"/>
      <c r="G117" s="534">
        <f>SUM(G114:G116)</f>
        <v>10</v>
      </c>
      <c r="H117" s="533">
        <f>SUM(G117+'1'!G95)</f>
        <v>87</v>
      </c>
      <c r="I117" s="534"/>
      <c r="J117" s="558">
        <f>H117/DAY(B2)</f>
        <v>6.6923076923076925</v>
      </c>
      <c r="N117" s="721"/>
      <c r="O117" s="728"/>
      <c r="P117" s="382"/>
    </row>
    <row r="118" spans="1:16" s="446" customFormat="1" ht="27.75">
      <c r="A118" s="1508" t="s">
        <v>227</v>
      </c>
      <c r="B118" s="1509"/>
      <c r="C118" s="1141"/>
      <c r="D118" s="624" t="s">
        <v>144</v>
      </c>
      <c r="E118" s="536"/>
      <c r="F118" s="663">
        <f>SUM(G19+G92)</f>
        <v>112</v>
      </c>
      <c r="G118" s="536">
        <f>SUM(G19+G92)</f>
        <v>112</v>
      </c>
      <c r="H118" s="533">
        <f>SUM(G118+'1'!G96)</f>
        <v>129</v>
      </c>
      <c r="I118" s="535"/>
      <c r="J118" s="559">
        <f>H118/DAY(B2)</f>
        <v>9.9230769230769234</v>
      </c>
      <c r="N118" s="721"/>
      <c r="O118" s="728"/>
      <c r="P118" s="382"/>
    </row>
    <row r="119" spans="1:16" s="446" customFormat="1" ht="27.75">
      <c r="A119" s="1508" t="s">
        <v>228</v>
      </c>
      <c r="B119" s="1509"/>
      <c r="C119" s="1141"/>
      <c r="D119" s="624" t="s">
        <v>144</v>
      </c>
      <c r="E119" s="536"/>
      <c r="F119" s="663">
        <f>SUM(G95,G96,G97,G99,G100)</f>
        <v>119</v>
      </c>
      <c r="G119" s="536">
        <f>SUM(G95,G96,G97,G99,G100)</f>
        <v>119</v>
      </c>
      <c r="H119" s="533">
        <f>SUM(G119+'1'!G98)</f>
        <v>147</v>
      </c>
      <c r="I119" s="535"/>
      <c r="J119" s="559">
        <f>H119/DAY(B2)</f>
        <v>11.307692307692308</v>
      </c>
      <c r="N119" s="721"/>
      <c r="O119" s="728"/>
      <c r="P119" s="382"/>
    </row>
    <row r="120" spans="1:16" s="446" customFormat="1" ht="27.75">
      <c r="A120" s="1508" t="s">
        <v>229</v>
      </c>
      <c r="B120" s="1509"/>
      <c r="C120" s="1141"/>
      <c r="D120" s="624" t="s">
        <v>144</v>
      </c>
      <c r="E120" s="534"/>
      <c r="F120" s="662">
        <f>SUM(G112)</f>
        <v>86</v>
      </c>
      <c r="G120" s="534">
        <f>SUM(G112)</f>
        <v>86</v>
      </c>
      <c r="H120" s="533">
        <f>SUM(G120+'1'!G100)</f>
        <v>92</v>
      </c>
      <c r="I120" s="535"/>
      <c r="J120" s="559">
        <f>H120/DAY(B2)</f>
        <v>7.0769230769230766</v>
      </c>
      <c r="N120" s="721"/>
      <c r="O120" s="728"/>
      <c r="P120" s="382"/>
    </row>
    <row r="121" spans="1:16" s="442" customFormat="1" ht="27.75">
      <c r="A121" s="1510"/>
      <c r="B121" s="1511"/>
      <c r="C121" s="1142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545" t="s">
        <v>230</v>
      </c>
      <c r="B122" s="1546"/>
      <c r="C122" s="1547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144" t="s">
        <v>231</v>
      </c>
      <c r="B123" s="1145"/>
      <c r="C123" s="1145"/>
      <c r="D123" s="523" t="s">
        <v>141</v>
      </c>
      <c r="E123" s="478">
        <f>'12'!F123</f>
        <v>821847</v>
      </c>
      <c r="F123" s="478">
        <v>822088</v>
      </c>
      <c r="G123" s="473">
        <f t="shared" ref="G123:G127" si="14">F123-E123</f>
        <v>241</v>
      </c>
      <c r="H123" s="460">
        <f>G123+'12'!H123</f>
        <v>3278</v>
      </c>
      <c r="I123" s="526"/>
      <c r="J123" s="552">
        <f>H123/DAY(B2)</f>
        <v>252.15384615384616</v>
      </c>
      <c r="K123" s="380"/>
      <c r="L123" s="377"/>
      <c r="N123" s="721"/>
      <c r="O123" s="728"/>
      <c r="P123" s="382"/>
    </row>
    <row r="124" spans="1:16" ht="27.75">
      <c r="A124" s="1144" t="s">
        <v>232</v>
      </c>
      <c r="B124" s="1145"/>
      <c r="C124" s="1145"/>
      <c r="D124" s="523" t="s">
        <v>141</v>
      </c>
      <c r="E124" s="626">
        <f>'12'!F124</f>
        <v>73583</v>
      </c>
      <c r="F124" s="626">
        <v>73583</v>
      </c>
      <c r="G124" s="473">
        <f t="shared" si="14"/>
        <v>0</v>
      </c>
      <c r="H124" s="460">
        <f>G124+'12'!H124</f>
        <v>-0.39999999999417923</v>
      </c>
      <c r="I124" s="526"/>
      <c r="J124" s="552">
        <f>H124/DAY(B2)</f>
        <v>-3.0769230768783018E-2</v>
      </c>
      <c r="K124" s="380"/>
      <c r="L124" s="377"/>
      <c r="N124" s="721"/>
      <c r="O124" s="728"/>
      <c r="P124" s="382"/>
    </row>
    <row r="125" spans="1:16" ht="27.75">
      <c r="A125" s="1499" t="s">
        <v>233</v>
      </c>
      <c r="B125" s="1500"/>
      <c r="C125" s="1501"/>
      <c r="D125" s="523" t="s">
        <v>141</v>
      </c>
      <c r="E125" s="478">
        <f>'12'!F125</f>
        <v>143227</v>
      </c>
      <c r="F125" s="478">
        <v>143310</v>
      </c>
      <c r="G125" s="473">
        <f t="shared" si="14"/>
        <v>83</v>
      </c>
      <c r="H125" s="460">
        <f>G125+'12'!H125</f>
        <v>1174</v>
      </c>
      <c r="I125" s="526"/>
      <c r="J125" s="552">
        <f>H125/DAY(B2)</f>
        <v>90.307692307692307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145"/>
      <c r="C126" s="1145"/>
      <c r="D126" s="523" t="s">
        <v>141</v>
      </c>
      <c r="E126" s="626">
        <f>'12'!F126</f>
        <v>31404.2</v>
      </c>
      <c r="F126" s="626">
        <v>31404</v>
      </c>
      <c r="G126" s="473">
        <f t="shared" si="14"/>
        <v>-0.2000000000007276</v>
      </c>
      <c r="H126" s="460">
        <f>G126+'12'!H126</f>
        <v>85.299999999999272</v>
      </c>
      <c r="I126" s="526"/>
      <c r="J126" s="552">
        <f>H126/DAY(B2)</f>
        <v>6.5615384615384054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145"/>
      <c r="C127" s="1145"/>
      <c r="D127" s="523" t="s">
        <v>141</v>
      </c>
      <c r="E127" s="626">
        <f>'12'!F127</f>
        <v>8967</v>
      </c>
      <c r="F127" s="626">
        <v>8967</v>
      </c>
      <c r="G127" s="473">
        <f t="shared" si="14"/>
        <v>0</v>
      </c>
      <c r="H127" s="460">
        <f>G127+'12'!H127</f>
        <v>5</v>
      </c>
      <c r="I127" s="480"/>
      <c r="J127" s="552">
        <f>H127/DAY(B2)</f>
        <v>0.38461538461538464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145"/>
      <c r="C128" s="1145"/>
      <c r="D128" s="523"/>
      <c r="E128" s="478"/>
      <c r="F128" s="478"/>
      <c r="G128" s="473">
        <f>G15-SUM(G123:G127)</f>
        <v>482.1799999999821</v>
      </c>
      <c r="H128" s="460"/>
      <c r="I128" s="480"/>
      <c r="J128" s="552"/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144" t="s">
        <v>238</v>
      </c>
      <c r="B130" s="1145"/>
      <c r="C130" s="1145"/>
      <c r="D130" s="523" t="s">
        <v>239</v>
      </c>
      <c r="E130" s="484">
        <f>'12'!F130</f>
        <v>0</v>
      </c>
      <c r="F130" s="478">
        <v>0</v>
      </c>
      <c r="G130" s="473">
        <f t="shared" ref="G130:G140" si="15">F130-E130</f>
        <v>0</v>
      </c>
      <c r="H130" s="460">
        <f>G130+'12'!H130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144" t="s">
        <v>240</v>
      </c>
      <c r="B131" s="1145"/>
      <c r="C131" s="1145"/>
      <c r="D131" s="523" t="s">
        <v>239</v>
      </c>
      <c r="E131" s="484">
        <f>'12'!F131</f>
        <v>0</v>
      </c>
      <c r="F131" s="478">
        <v>0</v>
      </c>
      <c r="G131" s="473">
        <f t="shared" si="15"/>
        <v>0</v>
      </c>
      <c r="H131" s="460">
        <f>G131+'12'!H131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144" t="s">
        <v>241</v>
      </c>
      <c r="B132" s="1145"/>
      <c r="C132" s="1145"/>
      <c r="D132" s="523" t="s">
        <v>239</v>
      </c>
      <c r="E132" s="541">
        <f>'12'!F132</f>
        <v>39659.230000000003</v>
      </c>
      <c r="F132" s="654">
        <v>39659.230000000003</v>
      </c>
      <c r="G132" s="473">
        <f t="shared" si="15"/>
        <v>0</v>
      </c>
      <c r="H132" s="460">
        <f>G132+'12'!H132</f>
        <v>126.2300000000032</v>
      </c>
      <c r="I132" s="480"/>
      <c r="J132" s="552">
        <f>H132/DAY(B2)</f>
        <v>9.710000000000246</v>
      </c>
      <c r="N132" s="721"/>
      <c r="O132" s="728"/>
      <c r="P132" s="382"/>
    </row>
    <row r="133" spans="1:16" ht="27.75">
      <c r="A133" s="1144" t="s">
        <v>242</v>
      </c>
      <c r="B133" s="1145"/>
      <c r="C133" s="1145"/>
      <c r="D133" s="523" t="s">
        <v>239</v>
      </c>
      <c r="E133" s="704">
        <f>'12'!F133</f>
        <v>300</v>
      </c>
      <c r="F133" s="626">
        <v>300</v>
      </c>
      <c r="G133" s="473">
        <f t="shared" si="15"/>
        <v>0</v>
      </c>
      <c r="H133" s="460">
        <f>G133+'12'!H133</f>
        <v>0</v>
      </c>
      <c r="I133" s="480">
        <f>G130+G131+G132+G133</f>
        <v>0</v>
      </c>
      <c r="J133" s="552">
        <f>H133/DAY(B2)</f>
        <v>0</v>
      </c>
      <c r="N133" s="721"/>
      <c r="O133" s="728"/>
      <c r="P133" s="382"/>
    </row>
    <row r="134" spans="1:16" ht="27.75">
      <c r="A134" s="1144" t="s">
        <v>243</v>
      </c>
      <c r="B134" s="1145"/>
      <c r="C134" s="1145"/>
      <c r="D134" s="523" t="s">
        <v>239</v>
      </c>
      <c r="E134" s="704">
        <f>'12'!F134</f>
        <v>41028</v>
      </c>
      <c r="F134" s="626">
        <v>41052.31</v>
      </c>
      <c r="G134" s="473">
        <f t="shared" si="15"/>
        <v>24.309999999997672</v>
      </c>
      <c r="H134" s="460">
        <f>G134+'12'!H134</f>
        <v>213.30999999999767</v>
      </c>
      <c r="I134" s="480"/>
      <c r="J134" s="552">
        <f>H134/DAY(B2)</f>
        <v>16.40846153846136</v>
      </c>
      <c r="N134" s="721"/>
      <c r="O134" s="728"/>
      <c r="P134" s="382"/>
    </row>
    <row r="135" spans="1:16" ht="27.75">
      <c r="A135" s="1144" t="s">
        <v>244</v>
      </c>
      <c r="B135" s="1145"/>
      <c r="C135" s="1145"/>
      <c r="D135" s="523" t="s">
        <v>239</v>
      </c>
      <c r="E135" s="541">
        <f>'12'!F135</f>
        <v>32582.560000000001</v>
      </c>
      <c r="F135" s="654">
        <v>32582.560000000001</v>
      </c>
      <c r="G135" s="473">
        <f t="shared" si="15"/>
        <v>0</v>
      </c>
      <c r="H135" s="460">
        <f>G135+'12'!H135</f>
        <v>-0.43999999999869033</v>
      </c>
      <c r="I135" s="480"/>
      <c r="J135" s="552">
        <f>H135/DAY(B2)</f>
        <v>-3.3846153846053099E-2</v>
      </c>
      <c r="N135" s="721"/>
      <c r="O135" s="728"/>
      <c r="P135" s="382"/>
    </row>
    <row r="136" spans="1:16" ht="27.75">
      <c r="A136" s="1144" t="s">
        <v>245</v>
      </c>
      <c r="B136" s="1145"/>
      <c r="C136" s="1145"/>
      <c r="D136" s="523" t="s">
        <v>239</v>
      </c>
      <c r="E136" s="541">
        <f>'12'!F136</f>
        <v>22609.16</v>
      </c>
      <c r="F136" s="654">
        <v>22618.58</v>
      </c>
      <c r="G136" s="473">
        <f t="shared" si="15"/>
        <v>9.4200000000018917</v>
      </c>
      <c r="H136" s="460">
        <f>G136+'12'!H136</f>
        <v>129.93000000000029</v>
      </c>
      <c r="I136" s="480">
        <f>G134+G135+G136</f>
        <v>33.729999999999563</v>
      </c>
      <c r="J136" s="552">
        <f>H136/DAY(B2)</f>
        <v>9.9946153846154075</v>
      </c>
      <c r="N136" s="721"/>
      <c r="O136" s="728"/>
      <c r="P136" s="382"/>
    </row>
    <row r="137" spans="1:16" ht="27.75">
      <c r="A137" s="1144" t="s">
        <v>246</v>
      </c>
      <c r="B137" s="1145"/>
      <c r="C137" s="1145"/>
      <c r="D137" s="523" t="s">
        <v>239</v>
      </c>
      <c r="E137" s="541">
        <f>'12'!F137</f>
        <v>25049.97</v>
      </c>
      <c r="F137" s="654">
        <v>25049.97</v>
      </c>
      <c r="G137" s="473">
        <f t="shared" si="15"/>
        <v>0</v>
      </c>
      <c r="H137" s="460">
        <f>G137+'12'!H137</f>
        <v>1.180000000000291</v>
      </c>
      <c r="I137" s="480"/>
      <c r="J137" s="552">
        <f>H137/DAY(B2)</f>
        <v>9.0769230769253154E-2</v>
      </c>
      <c r="N137" s="721"/>
      <c r="O137" s="728"/>
      <c r="P137" s="382"/>
    </row>
    <row r="138" spans="1:16" ht="27.75">
      <c r="A138" s="1144" t="s">
        <v>247</v>
      </c>
      <c r="B138" s="1145"/>
      <c r="C138" s="1145"/>
      <c r="D138" s="523" t="s">
        <v>239</v>
      </c>
      <c r="E138" s="541">
        <f>'12'!F138</f>
        <v>70279.05</v>
      </c>
      <c r="F138" s="654">
        <v>70281.48</v>
      </c>
      <c r="G138" s="473">
        <f t="shared" si="15"/>
        <v>2.4299999999930151</v>
      </c>
      <c r="H138" s="460">
        <f>G138+'12'!H138</f>
        <v>27.44999999999709</v>
      </c>
      <c r="I138" s="480">
        <f>G137+G138</f>
        <v>2.4299999999930151</v>
      </c>
      <c r="J138" s="552">
        <f>H138/DAY(B2)</f>
        <v>2.1115384615382378</v>
      </c>
      <c r="N138" s="721"/>
      <c r="O138" s="728"/>
      <c r="P138" s="382"/>
    </row>
    <row r="139" spans="1:16" ht="27.75">
      <c r="A139" s="1144" t="s">
        <v>248</v>
      </c>
      <c r="B139" s="1145"/>
      <c r="C139" s="1145"/>
      <c r="D139" s="523" t="s">
        <v>239</v>
      </c>
      <c r="E139" s="704">
        <f>'12'!F139</f>
        <v>1536.62</v>
      </c>
      <c r="F139" s="626">
        <v>1536.62</v>
      </c>
      <c r="G139" s="473">
        <f t="shared" si="15"/>
        <v>0</v>
      </c>
      <c r="H139" s="460">
        <f>G139+'12'!H139</f>
        <v>9.9999999999909051E-2</v>
      </c>
      <c r="I139" s="542"/>
      <c r="J139" s="552">
        <f>H139/DAY(B2)</f>
        <v>7.6923076923006966E-3</v>
      </c>
      <c r="N139" s="721"/>
      <c r="O139" s="728"/>
      <c r="P139" s="382"/>
    </row>
    <row r="140" spans="1:16" ht="27.75">
      <c r="A140" s="1144" t="s">
        <v>249</v>
      </c>
      <c r="B140" s="1145"/>
      <c r="C140" s="1145"/>
      <c r="D140" s="523" t="s">
        <v>239</v>
      </c>
      <c r="E140" s="484">
        <f>'12'!F140</f>
        <v>4567.78</v>
      </c>
      <c r="F140" s="478">
        <v>4575.76</v>
      </c>
      <c r="G140" s="473">
        <f t="shared" si="15"/>
        <v>7.9800000000004729</v>
      </c>
      <c r="H140" s="460">
        <f>G140+'12'!H140</f>
        <v>107.22000000000025</v>
      </c>
      <c r="I140" s="542"/>
      <c r="J140" s="552">
        <f>H140/DAY(B2)</f>
        <v>8.2476923076923274</v>
      </c>
      <c r="N140" s="721"/>
      <c r="O140" s="728"/>
      <c r="P140" s="382"/>
    </row>
    <row r="141" spans="1:16">
      <c r="A141" s="1526" t="s">
        <v>250</v>
      </c>
      <c r="B141" s="1527"/>
      <c r="C141" s="1150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520" t="s">
        <v>251</v>
      </c>
      <c r="B142" s="1521"/>
      <c r="C142" s="1522"/>
      <c r="D142" s="523" t="s">
        <v>132</v>
      </c>
      <c r="E142" s="523"/>
      <c r="F142" s="523"/>
      <c r="G142" s="460">
        <f>G35+G43+G49+G57</f>
        <v>5184.33</v>
      </c>
      <c r="H142" s="460">
        <f>G142+'12'!H142</f>
        <v>74500.33</v>
      </c>
      <c r="I142" s="480"/>
      <c r="J142" s="552">
        <f>H142/DAY(B2)</f>
        <v>5730.7946153846151</v>
      </c>
      <c r="K142" s="380"/>
      <c r="L142" s="377"/>
      <c r="N142" s="721"/>
      <c r="O142" s="728"/>
      <c r="P142" s="382"/>
    </row>
    <row r="143" spans="1:16" ht="27.75">
      <c r="A143" s="1520" t="s">
        <v>252</v>
      </c>
      <c r="B143" s="1521"/>
      <c r="C143" s="1522"/>
      <c r="D143" s="523" t="s">
        <v>24</v>
      </c>
      <c r="E143" s="511"/>
      <c r="F143" s="511"/>
      <c r="G143" s="543">
        <f>G142/G7</f>
        <v>0.25747851999006705</v>
      </c>
      <c r="H143" s="460">
        <f>G143+'12'!H143</f>
        <v>3.4742565345567247</v>
      </c>
      <c r="I143" s="544"/>
      <c r="J143" s="552">
        <f>H143/DAY(B2)</f>
        <v>0.2672505026582096</v>
      </c>
      <c r="K143" s="380"/>
      <c r="L143" s="377"/>
      <c r="N143" s="721"/>
      <c r="O143" s="728"/>
      <c r="P143" s="382"/>
    </row>
    <row r="144" spans="1:16" ht="27.75">
      <c r="A144" s="1520" t="s">
        <v>253</v>
      </c>
      <c r="B144" s="1521"/>
      <c r="C144" s="1522"/>
      <c r="D144" s="523" t="s">
        <v>132</v>
      </c>
      <c r="E144" s="455"/>
      <c r="F144" s="455"/>
      <c r="G144" s="460">
        <f>G41+G42+G55+G56</f>
        <v>5812</v>
      </c>
      <c r="H144" s="460">
        <f>G144+'12'!H144</f>
        <v>78477.84</v>
      </c>
      <c r="I144" s="480"/>
      <c r="J144" s="552">
        <f>H144/DAY(B2)</f>
        <v>6036.7569230769232</v>
      </c>
      <c r="K144" s="380"/>
      <c r="L144" s="377"/>
      <c r="N144" s="721"/>
      <c r="O144" s="728"/>
      <c r="P144" s="382"/>
    </row>
    <row r="145" spans="1:16" ht="27.75">
      <c r="A145" s="1520" t="s">
        <v>254</v>
      </c>
      <c r="B145" s="1521"/>
      <c r="C145" s="1522"/>
      <c r="D145" s="523" t="s">
        <v>24</v>
      </c>
      <c r="E145" s="455"/>
      <c r="F145" s="455"/>
      <c r="G145" s="543">
        <f>G144/G7</f>
        <v>0.28865160168860193</v>
      </c>
      <c r="H145" s="460">
        <f>G145+'12'!H145</f>
        <v>3.6572804677745552</v>
      </c>
      <c r="I145" s="544"/>
      <c r="J145" s="552">
        <f>H145/DAY(B2)</f>
        <v>0.28132926675188885</v>
      </c>
      <c r="K145" s="380"/>
      <c r="L145" s="377"/>
      <c r="N145" s="721"/>
      <c r="O145" s="728"/>
      <c r="P145" s="382"/>
    </row>
    <row r="146" spans="1:16" ht="27.75">
      <c r="A146" s="1520" t="s">
        <v>255</v>
      </c>
      <c r="B146" s="1521"/>
      <c r="C146" s="1522"/>
      <c r="D146" s="523" t="s">
        <v>132</v>
      </c>
      <c r="E146" s="455"/>
      <c r="F146" s="455"/>
      <c r="G146" s="460">
        <f>G39+G53</f>
        <v>3546</v>
      </c>
      <c r="H146" s="460">
        <f>G146+'12'!H146</f>
        <v>51887</v>
      </c>
      <c r="I146" s="545"/>
      <c r="J146" s="552">
        <f>H146/DAY(B2)</f>
        <v>3991.3076923076924</v>
      </c>
      <c r="K146" s="380"/>
      <c r="L146" s="377"/>
      <c r="N146" s="721"/>
      <c r="O146" s="728"/>
      <c r="P146" s="382"/>
    </row>
    <row r="147" spans="1:16" ht="27.75">
      <c r="A147" s="1520" t="s">
        <v>256</v>
      </c>
      <c r="B147" s="1521"/>
      <c r="C147" s="1522"/>
      <c r="D147" s="523" t="s">
        <v>24</v>
      </c>
      <c r="E147" s="455"/>
      <c r="F147" s="455"/>
      <c r="G147" s="543">
        <f>G146/G7</f>
        <v>0.1761112490687857</v>
      </c>
      <c r="H147" s="460">
        <f>G147+'12'!H147</f>
        <v>2.4183131140358363</v>
      </c>
      <c r="I147" s="545"/>
      <c r="J147" s="552">
        <f>H147/DAY(B2)</f>
        <v>0.18602408569506432</v>
      </c>
      <c r="N147" s="721"/>
      <c r="O147" s="728"/>
      <c r="P147" s="382"/>
    </row>
    <row r="148" spans="1:16" ht="27.75">
      <c r="A148" s="1520" t="s">
        <v>257</v>
      </c>
      <c r="B148" s="1521"/>
      <c r="C148" s="1522"/>
      <c r="D148" s="523" t="s">
        <v>183</v>
      </c>
      <c r="E148" s="455"/>
      <c r="F148" s="455"/>
      <c r="G148" s="460">
        <f>G38+G52</f>
        <v>1644</v>
      </c>
      <c r="H148" s="460">
        <f>G148+'12'!H148</f>
        <v>21959</v>
      </c>
      <c r="I148" s="480"/>
      <c r="J148" s="552">
        <f>H148/DAY(B2)</f>
        <v>1689.1538461538462</v>
      </c>
      <c r="K148" s="381"/>
      <c r="N148" s="721"/>
      <c r="O148" s="728"/>
      <c r="P148" s="382"/>
    </row>
    <row r="149" spans="1:16" ht="27.75">
      <c r="A149" s="1520" t="s">
        <v>258</v>
      </c>
      <c r="B149" s="1521"/>
      <c r="C149" s="1522"/>
      <c r="D149" s="523" t="s">
        <v>24</v>
      </c>
      <c r="E149" s="455"/>
      <c r="F149" s="455"/>
      <c r="G149" s="543">
        <f>G148/G7</f>
        <v>8.1648870126645151E-2</v>
      </c>
      <c r="H149" s="460">
        <f>G149+'12'!H149</f>
        <v>1.024616916886008</v>
      </c>
      <c r="I149" s="545"/>
      <c r="J149" s="552">
        <f>H149/DAY(B2)</f>
        <v>7.8816685914308307E-2</v>
      </c>
      <c r="N149" s="721"/>
      <c r="O149" s="728"/>
      <c r="P149" s="382"/>
    </row>
    <row r="150" spans="1:16" ht="27.75">
      <c r="A150" s="1520" t="s">
        <v>259</v>
      </c>
      <c r="B150" s="1521"/>
      <c r="C150" s="1522"/>
      <c r="D150" s="523" t="s">
        <v>183</v>
      </c>
      <c r="E150" s="455"/>
      <c r="F150" s="455"/>
      <c r="G150" s="460">
        <f>G36+G50</f>
        <v>2131</v>
      </c>
      <c r="H150" s="460">
        <f>G150+'12'!H150</f>
        <v>26476</v>
      </c>
      <c r="I150" s="545"/>
      <c r="J150" s="552">
        <f>H150/DAY(B2)</f>
        <v>2036.6153846153845</v>
      </c>
      <c r="N150" s="721"/>
      <c r="O150" s="728"/>
      <c r="P150" s="382"/>
    </row>
    <row r="151" spans="1:16" ht="27.75">
      <c r="A151" s="1520" t="s">
        <v>260</v>
      </c>
      <c r="B151" s="1521"/>
      <c r="C151" s="1522"/>
      <c r="D151" s="523" t="s">
        <v>24</v>
      </c>
      <c r="E151" s="455"/>
      <c r="F151" s="455"/>
      <c r="G151" s="543">
        <f>G150/G7</f>
        <v>0.105835609634964</v>
      </c>
      <c r="H151" s="460">
        <f>G151+'12'!H151</f>
        <v>1.2350181236738544</v>
      </c>
      <c r="I151" s="480"/>
      <c r="J151" s="552">
        <f>H151/DAY(B2)</f>
        <v>9.5001394128758035E-2</v>
      </c>
      <c r="N151" s="721"/>
      <c r="O151" s="728"/>
      <c r="P151" s="382"/>
    </row>
    <row r="152" spans="1:16" ht="27.75">
      <c r="A152" s="1520" t="s">
        <v>261</v>
      </c>
      <c r="B152" s="1521"/>
      <c r="C152" s="1522"/>
      <c r="D152" s="523" t="s">
        <v>183</v>
      </c>
      <c r="E152" s="455"/>
      <c r="F152" s="455"/>
      <c r="G152" s="460">
        <f>G37+G51</f>
        <v>1352</v>
      </c>
      <c r="H152" s="460">
        <f>G152+'12'!H152</f>
        <v>17909</v>
      </c>
      <c r="I152" s="480"/>
      <c r="J152" s="552">
        <f>H152/DAY(B2)</f>
        <v>1377.6153846153845</v>
      </c>
      <c r="N152" s="721"/>
      <c r="O152" s="728"/>
      <c r="P152" s="382"/>
    </row>
    <row r="153" spans="1:16" ht="28.5" thickBot="1">
      <c r="A153" s="1523" t="s">
        <v>262</v>
      </c>
      <c r="B153" s="1524"/>
      <c r="C153" s="1525"/>
      <c r="D153" s="625" t="s">
        <v>24</v>
      </c>
      <c r="E153" s="565"/>
      <c r="F153" s="565"/>
      <c r="G153" s="566">
        <f>G152/G7</f>
        <v>6.7146759374223985E-2</v>
      </c>
      <c r="H153" s="460">
        <f>G153+'12'!H153</f>
        <v>0.83577290456680242</v>
      </c>
      <c r="I153" s="568"/>
      <c r="J153" s="569">
        <f>H153/DAY(B2)</f>
        <v>6.4290223428215568E-2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'12'!F160</f>
        <v>34440</v>
      </c>
      <c r="F160" s="807">
        <v>34521</v>
      </c>
      <c r="G160" s="473">
        <f t="shared" ref="G160:G163" si="16">F160-E160</f>
        <v>81</v>
      </c>
      <c r="N160" s="721"/>
    </row>
    <row r="161" spans="1:14">
      <c r="A161" s="798" t="s">
        <v>264</v>
      </c>
      <c r="B161" s="799"/>
      <c r="C161" s="799"/>
      <c r="D161" s="620" t="s">
        <v>187</v>
      </c>
      <c r="E161" s="522">
        <f>'12'!F161</f>
        <v>74113</v>
      </c>
      <c r="F161" s="807">
        <v>74565</v>
      </c>
      <c r="G161" s="473">
        <f t="shared" si="16"/>
        <v>452</v>
      </c>
      <c r="N161" s="721"/>
    </row>
    <row r="162" spans="1:14">
      <c r="A162" s="798" t="s">
        <v>265</v>
      </c>
      <c r="B162" s="799"/>
      <c r="C162" s="799"/>
      <c r="D162" s="620" t="s">
        <v>187</v>
      </c>
      <c r="E162" s="522">
        <f>'12'!F162</f>
        <v>32671</v>
      </c>
      <c r="F162" s="807">
        <v>32945</v>
      </c>
      <c r="G162" s="473">
        <f t="shared" si="16"/>
        <v>274</v>
      </c>
      <c r="N162" s="721"/>
    </row>
    <row r="163" spans="1:14">
      <c r="A163" s="798" t="s">
        <v>266</v>
      </c>
      <c r="B163" s="799"/>
      <c r="C163" s="799"/>
      <c r="D163" s="620" t="s">
        <v>187</v>
      </c>
      <c r="E163" s="522">
        <f>'12'!F163</f>
        <v>5925</v>
      </c>
      <c r="F163" s="807">
        <v>5932</v>
      </c>
      <c r="G163" s="473">
        <f t="shared" si="16"/>
        <v>7</v>
      </c>
      <c r="N163" s="721"/>
    </row>
    <row r="164" spans="1:14">
      <c r="A164" s="800" t="s">
        <v>98</v>
      </c>
      <c r="B164" s="801"/>
      <c r="C164" s="801"/>
      <c r="D164" s="620" t="s">
        <v>187</v>
      </c>
      <c r="E164" s="514">
        <f>E62</f>
        <v>20419</v>
      </c>
      <c r="F164" s="514">
        <f>F62</f>
        <v>20419.18</v>
      </c>
      <c r="G164" s="473">
        <f t="shared" ref="G164:G171" si="17">F164-E164</f>
        <v>0.18000000000029104</v>
      </c>
      <c r="N164" s="721"/>
    </row>
    <row r="165" spans="1:14">
      <c r="A165" s="800" t="s">
        <v>188</v>
      </c>
      <c r="B165" s="801"/>
      <c r="C165" s="801"/>
      <c r="D165" s="620" t="s">
        <v>187</v>
      </c>
      <c r="E165" s="514">
        <f t="shared" ref="E165:E171" si="18">E63</f>
        <v>2236</v>
      </c>
      <c r="F165" s="514">
        <f t="shared" ref="F165:F171" si="19">F63</f>
        <v>2246</v>
      </c>
      <c r="G165" s="473">
        <f t="shared" si="17"/>
        <v>10</v>
      </c>
      <c r="N165" s="721"/>
    </row>
    <row r="166" spans="1:14" ht="21.75" customHeight="1">
      <c r="A166" s="1565" t="s">
        <v>99</v>
      </c>
      <c r="B166" s="1565"/>
      <c r="C166" s="1565"/>
      <c r="D166" s="524" t="s">
        <v>187</v>
      </c>
      <c r="E166" s="514">
        <f t="shared" si="18"/>
        <v>144820</v>
      </c>
      <c r="F166" s="514">
        <f t="shared" si="19"/>
        <v>145294</v>
      </c>
      <c r="G166" s="473">
        <f t="shared" si="17"/>
        <v>474</v>
      </c>
      <c r="N166" s="721"/>
    </row>
    <row r="167" spans="1:14" ht="21.75" customHeight="1">
      <c r="A167" s="1565" t="s">
        <v>100</v>
      </c>
      <c r="B167" s="1565"/>
      <c r="C167" s="1565"/>
      <c r="D167" s="524" t="s">
        <v>187</v>
      </c>
      <c r="E167" s="514">
        <f t="shared" si="18"/>
        <v>148542</v>
      </c>
      <c r="F167" s="514">
        <f t="shared" si="19"/>
        <v>148909</v>
      </c>
      <c r="G167" s="473">
        <f t="shared" si="17"/>
        <v>367</v>
      </c>
      <c r="N167" s="721"/>
    </row>
    <row r="168" spans="1:14" ht="21.75" customHeight="1">
      <c r="A168" s="1565" t="s">
        <v>101</v>
      </c>
      <c r="B168" s="1565"/>
      <c r="C168" s="1565"/>
      <c r="D168" s="524" t="s">
        <v>187</v>
      </c>
      <c r="E168" s="514">
        <f t="shared" si="18"/>
        <v>41896</v>
      </c>
      <c r="F168" s="514">
        <f t="shared" si="19"/>
        <v>42293</v>
      </c>
      <c r="G168" s="473">
        <f t="shared" si="17"/>
        <v>397</v>
      </c>
      <c r="N168" s="721"/>
    </row>
    <row r="169" spans="1:14" ht="26.25" customHeight="1">
      <c r="A169" s="1565" t="s">
        <v>102</v>
      </c>
      <c r="B169" s="1565"/>
      <c r="C169" s="1565"/>
      <c r="D169" s="524" t="s">
        <v>187</v>
      </c>
      <c r="E169" s="514">
        <f t="shared" si="18"/>
        <v>236109</v>
      </c>
      <c r="F169" s="514">
        <f t="shared" si="19"/>
        <v>236569</v>
      </c>
      <c r="G169" s="473">
        <f t="shared" si="17"/>
        <v>460</v>
      </c>
      <c r="N169" s="721"/>
    </row>
    <row r="170" spans="1:14" ht="24" customHeight="1">
      <c r="A170" s="1565" t="s">
        <v>103</v>
      </c>
      <c r="B170" s="1565"/>
      <c r="C170" s="1565"/>
      <c r="D170" s="524" t="s">
        <v>187</v>
      </c>
      <c r="E170" s="514">
        <f t="shared" si="18"/>
        <v>85321</v>
      </c>
      <c r="F170" s="514">
        <f t="shared" si="19"/>
        <v>85321</v>
      </c>
      <c r="G170" s="473">
        <f t="shared" si="17"/>
        <v>0</v>
      </c>
      <c r="N170" s="721"/>
    </row>
    <row r="171" spans="1:14" ht="27.75">
      <c r="A171" s="1565" t="s">
        <v>104</v>
      </c>
      <c r="B171" s="1565"/>
      <c r="C171" s="1565"/>
      <c r="D171" s="524" t="s">
        <v>187</v>
      </c>
      <c r="E171" s="514">
        <f t="shared" si="18"/>
        <v>77955</v>
      </c>
      <c r="F171" s="514">
        <f t="shared" si="19"/>
        <v>78019</v>
      </c>
      <c r="G171" s="473">
        <f t="shared" si="17"/>
        <v>64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2586.1800000000003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18.75" customHeight="1">
      <c r="N177" s="721"/>
    </row>
    <row r="178" spans="14:14" ht="18.75" customHeight="1">
      <c r="N178" s="721"/>
    </row>
    <row r="179" spans="14:14" ht="18" customHeight="1">
      <c r="N179" s="721"/>
    </row>
    <row r="180" spans="14:14" ht="18.75" customHeight="1">
      <c r="N180" s="721"/>
    </row>
    <row r="181" spans="14:14" ht="18.75" customHeight="1">
      <c r="N181" s="721"/>
    </row>
    <row r="182" spans="14:14" ht="18" customHeight="1">
      <c r="N182" s="721"/>
    </row>
    <row r="183" spans="14:14" ht="18" customHeight="1">
      <c r="N183" s="721"/>
    </row>
    <row r="184" spans="14:14" ht="18" customHeight="1">
      <c r="N184" s="721"/>
    </row>
    <row r="185" spans="14:14" ht="18" customHeight="1">
      <c r="N185" s="721"/>
    </row>
    <row r="186" spans="14:14" ht="18" customHeight="1">
      <c r="N186" s="721"/>
    </row>
    <row r="187" spans="14:14" ht="18" customHeight="1">
      <c r="N187" s="721"/>
    </row>
    <row r="188" spans="14:14" ht="18" customHeight="1">
      <c r="N188" s="721"/>
    </row>
    <row r="189" spans="14:14" ht="18.75" customHeight="1">
      <c r="N189" s="721"/>
    </row>
    <row r="190" spans="14:14" ht="18.75" customHeight="1">
      <c r="N190" s="721"/>
    </row>
    <row r="191" spans="14:14" ht="18.7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27" zoomScale="55" zoomScaleSheetLayoutView="55" workbookViewId="0">
      <selection activeCell="G89" sqref="G89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28" t="s">
        <v>270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6" s="281" customFormat="1" ht="27">
      <c r="A2" s="575" t="s">
        <v>288</v>
      </c>
      <c r="B2" s="1036">
        <v>44300</v>
      </c>
      <c r="C2" s="1195" t="s">
        <v>69</v>
      </c>
      <c r="D2" s="611">
        <v>0.63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195" t="s">
        <v>120</v>
      </c>
      <c r="D3" s="612">
        <v>32</v>
      </c>
      <c r="E3" s="1537" t="s">
        <v>121</v>
      </c>
      <c r="F3" s="1538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195" t="s">
        <v>122</v>
      </c>
      <c r="D4" s="611">
        <v>0.79</v>
      </c>
      <c r="E4" s="464"/>
      <c r="F4" s="464"/>
      <c r="G4" s="464"/>
      <c r="H4" s="464"/>
      <c r="I4" s="465"/>
      <c r="J4" s="615" t="s">
        <v>215</v>
      </c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31" t="s">
        <v>130</v>
      </c>
      <c r="B6" s="1532"/>
      <c r="C6" s="1533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'13'!F7</f>
        <v>5392708</v>
      </c>
      <c r="F7" s="455">
        <v>5413597</v>
      </c>
      <c r="G7" s="681">
        <f>F7-E7</f>
        <v>20889</v>
      </c>
      <c r="H7" s="682">
        <f>G7+'13'!H7</f>
        <v>299674</v>
      </c>
      <c r="I7" s="683">
        <f>'1'!I7</f>
        <v>12000</v>
      </c>
      <c r="J7" s="684">
        <f>H7/DAY(B2)</f>
        <v>21405.285714285714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'13'!F8</f>
        <v>5425384</v>
      </c>
      <c r="F8" s="475">
        <v>5446358</v>
      </c>
      <c r="G8" s="692">
        <f>F8-E8</f>
        <v>20974</v>
      </c>
      <c r="H8" s="682">
        <f>G8+'13'!H8</f>
        <v>301040</v>
      </c>
      <c r="I8" s="689">
        <f>'1'!I8</f>
        <v>12000</v>
      </c>
      <c r="J8" s="684">
        <f>H8/DAY(B2)</f>
        <v>21502.857142857141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'13'!F9</f>
        <v>666400</v>
      </c>
      <c r="F9" s="478">
        <v>686523</v>
      </c>
      <c r="G9" s="705">
        <f t="shared" ref="G9:G12" si="0">F9-E9</f>
        <v>20123</v>
      </c>
      <c r="H9" s="682">
        <f>G9+'13'!H9</f>
        <v>290454</v>
      </c>
      <c r="I9" s="693">
        <f>I7-J7</f>
        <v>-9405.2857142857138</v>
      </c>
      <c r="J9" s="684">
        <f>H9/DAY(B2)</f>
        <v>20746.714285714286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'13'!F10</f>
        <v>2322.58</v>
      </c>
      <c r="F10" s="478">
        <v>2322.58</v>
      </c>
      <c r="G10" s="692">
        <f t="shared" si="0"/>
        <v>0</v>
      </c>
      <c r="H10" s="682">
        <f>G10+'13'!H10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G11+'13'!H11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G12+'13'!H12</f>
        <v>0</v>
      </c>
      <c r="I12" s="694"/>
      <c r="J12" s="684">
        <f>H12/DAY(B2)</f>
        <v>0</v>
      </c>
      <c r="K12" s="428"/>
      <c r="L12" s="377" t="s">
        <v>268</v>
      </c>
      <c r="N12" s="721"/>
      <c r="O12" s="728">
        <v>0</v>
      </c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20123</v>
      </c>
      <c r="H13" s="682">
        <f>G13+'13'!H13</f>
        <v>270263.3600000001</v>
      </c>
      <c r="I13" s="698">
        <f>G7-G13</f>
        <v>766</v>
      </c>
      <c r="J13" s="684">
        <f>H13/DAY(B2)</f>
        <v>19304.525714285723</v>
      </c>
      <c r="K13" s="428"/>
      <c r="L13" s="377"/>
      <c r="N13" s="721"/>
      <c r="O13" s="728"/>
      <c r="P13" s="382"/>
    </row>
    <row r="14" spans="1:16">
      <c r="A14" s="1534" t="s">
        <v>139</v>
      </c>
      <c r="B14" s="1535"/>
      <c r="C14" s="1536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'13'!F15</f>
        <v>1658410.98</v>
      </c>
      <c r="F15" s="485">
        <v>1659232</v>
      </c>
      <c r="G15" s="667">
        <f>(F15-E15)</f>
        <v>821.02000000001863</v>
      </c>
      <c r="H15" s="486">
        <f>G15+'13'!H15</f>
        <v>12543</v>
      </c>
      <c r="I15" s="474">
        <v>800</v>
      </c>
      <c r="J15" s="553">
        <f>H15/DAY(B2)</f>
        <v>895.92857142857144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-95.928571428571445</v>
      </c>
      <c r="J16" s="553"/>
      <c r="K16" s="428"/>
      <c r="L16" s="377"/>
      <c r="N16" s="721"/>
      <c r="O16" s="728"/>
      <c r="P16" s="382"/>
    </row>
    <row r="17" spans="1:16">
      <c r="A17" s="1534" t="s">
        <v>142</v>
      </c>
      <c r="B17" s="1535"/>
      <c r="C17" s="1536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60" t="s">
        <v>143</v>
      </c>
      <c r="B18" s="1561"/>
      <c r="C18" s="1562"/>
      <c r="D18" s="638" t="s">
        <v>144</v>
      </c>
      <c r="E18" s="635">
        <f>'13'!F18</f>
        <v>8</v>
      </c>
      <c r="F18" s="478">
        <v>8</v>
      </c>
      <c r="G18" s="697">
        <f>F18*10</f>
        <v>80</v>
      </c>
      <c r="H18" s="682">
        <f>G18+'13'!H18</f>
        <v>1380</v>
      </c>
      <c r="I18" s="683">
        <f>'1'!I18</f>
        <v>65</v>
      </c>
      <c r="J18" s="684">
        <f>H18/DAY(B2)</f>
        <v>98.571428571428569</v>
      </c>
      <c r="K18" s="428"/>
      <c r="L18" s="377"/>
      <c r="N18" s="721"/>
      <c r="O18" s="728"/>
      <c r="P18" s="382"/>
    </row>
    <row r="19" spans="1:16" ht="27.75">
      <c r="A19" s="1560" t="s">
        <v>71</v>
      </c>
      <c r="B19" s="1561"/>
      <c r="C19" s="1562"/>
      <c r="D19" s="638" t="s">
        <v>144</v>
      </c>
      <c r="E19" s="635">
        <f>'13'!F19</f>
        <v>136836</v>
      </c>
      <c r="F19" s="478">
        <v>136889</v>
      </c>
      <c r="G19" s="692">
        <f t="shared" ref="G19" si="1">F19-E19</f>
        <v>53</v>
      </c>
      <c r="H19" s="682">
        <f>G19+'13'!H19</f>
        <v>799</v>
      </c>
      <c r="I19" s="699"/>
      <c r="J19" s="684">
        <f>H19/DAY(B2)</f>
        <v>57.071428571428569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133</v>
      </c>
      <c r="H20" s="682">
        <f>G20+'13'!H20</f>
        <v>2179</v>
      </c>
      <c r="I20" s="701">
        <f>I18-J20</f>
        <v>-90.642857142857139</v>
      </c>
      <c r="J20" s="684">
        <f>H20/DAY(B2)</f>
        <v>155.64285714285714</v>
      </c>
      <c r="K20" s="428"/>
      <c r="L20" s="377"/>
      <c r="N20" s="721"/>
      <c r="O20" s="728"/>
      <c r="P20" s="382"/>
    </row>
    <row r="21" spans="1:16">
      <c r="A21" s="1534" t="s">
        <v>146</v>
      </c>
      <c r="B21" s="1535"/>
      <c r="C21" s="1536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188" t="s">
        <v>147</v>
      </c>
      <c r="B22" s="589"/>
      <c r="C22" s="589"/>
      <c r="D22" s="523" t="s">
        <v>148</v>
      </c>
      <c r="E22" s="635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188" t="s">
        <v>149</v>
      </c>
      <c r="B23" s="589"/>
      <c r="C23" s="589"/>
      <c r="D23" s="523" t="s">
        <v>148</v>
      </c>
      <c r="E23" s="635">
        <f>'13'!F23</f>
        <v>2900</v>
      </c>
      <c r="F23" s="478">
        <v>2900</v>
      </c>
      <c r="G23" s="481">
        <v>0</v>
      </c>
      <c r="H23" s="460">
        <f>G23+'13'!H23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'13'!F24</f>
        <v>4250</v>
      </c>
      <c r="F24" s="485">
        <v>4250</v>
      </c>
      <c r="G24" s="481">
        <v>0</v>
      </c>
      <c r="H24" s="460">
        <f>G24+'13'!H24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39" t="s">
        <v>151</v>
      </c>
      <c r="B25" s="1540"/>
      <c r="C25" s="1541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20974</v>
      </c>
      <c r="F27" s="501">
        <v>9</v>
      </c>
      <c r="G27" s="502">
        <f>E27*F27</f>
        <v>188766</v>
      </c>
      <c r="H27" s="460">
        <f>G27+'13'!H27</f>
        <v>2709360</v>
      </c>
      <c r="I27" s="503"/>
      <c r="J27" s="552">
        <f>H27/DAY(B2)</f>
        <v>193525.71428571429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821.02000000001863</v>
      </c>
      <c r="F28" s="501">
        <v>51.45</v>
      </c>
      <c r="G28" s="502">
        <f>E28*F28</f>
        <v>42241.47900000096</v>
      </c>
      <c r="H28" s="460">
        <f>G28+'13'!H28</f>
        <v>645337.35</v>
      </c>
      <c r="I28" s="505"/>
      <c r="J28" s="552">
        <f>H28/DAY(B2)</f>
        <v>46095.525000000001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G29+'13'!H29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53</v>
      </c>
      <c r="F30" s="501">
        <v>134</v>
      </c>
      <c r="G30" s="502">
        <f>E30*F30</f>
        <v>7102</v>
      </c>
      <c r="H30" s="460">
        <f>G30+'13'!H30</f>
        <v>108434</v>
      </c>
      <c r="I30" s="505"/>
      <c r="J30" s="552">
        <f>H30/DAY(B2)</f>
        <v>7745.2857142857147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G31+'13'!H31</f>
        <v>110400</v>
      </c>
      <c r="I31" s="505"/>
      <c r="J31" s="552">
        <f>H31/DAY(B2)</f>
        <v>7885.7142857142853</v>
      </c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244509.47900000095</v>
      </c>
      <c r="H32" s="460">
        <f>G32+'13'!H32</f>
        <v>3573531.35</v>
      </c>
      <c r="I32" s="509"/>
      <c r="J32" s="552">
        <f>H32/DAY(B2)</f>
        <v>255252.23928571428</v>
      </c>
      <c r="K32" s="373"/>
      <c r="L32" s="443"/>
      <c r="N32" s="721"/>
      <c r="O32" s="728"/>
      <c r="P32" s="382"/>
    </row>
    <row r="33" spans="1:16" ht="25.5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  <c r="N33" s="721"/>
      <c r="O33" s="728"/>
      <c r="P33" s="382"/>
    </row>
    <row r="34" spans="1:16">
      <c r="A34" s="598" t="s">
        <v>163</v>
      </c>
      <c r="B34" s="1190"/>
      <c r="C34" s="1190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'13'!F35</f>
        <v>840886</v>
      </c>
      <c r="F35" s="510">
        <v>843692</v>
      </c>
      <c r="G35" s="473">
        <f t="shared" ref="G35:G46" si="3">F35-E35</f>
        <v>2806</v>
      </c>
      <c r="H35" s="460">
        <f>G35+'13'!H35</f>
        <v>45303</v>
      </c>
      <c r="I35" s="455"/>
      <c r="J35" s="552">
        <f>H35/DAY(B2)</f>
        <v>3235.9285714285716</v>
      </c>
      <c r="K35" s="428"/>
      <c r="L35" s="377"/>
      <c r="N35" s="721"/>
      <c r="O35" s="729" t="s">
        <v>268</v>
      </c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'13'!F36</f>
        <v>329328</v>
      </c>
      <c r="F36" s="510">
        <v>330434</v>
      </c>
      <c r="G36" s="473">
        <f t="shared" si="3"/>
        <v>1106</v>
      </c>
      <c r="H36" s="460">
        <f>G36+'13'!H36</f>
        <v>12998</v>
      </c>
      <c r="I36" s="455"/>
      <c r="J36" s="552">
        <f>H36/DAY(B2)</f>
        <v>928.42857142857144</v>
      </c>
      <c r="K36" s="428"/>
      <c r="L36" s="377"/>
      <c r="N36" s="722"/>
      <c r="O36" s="729" t="s">
        <v>271</v>
      </c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'13'!F37</f>
        <v>72706</v>
      </c>
      <c r="F37" s="510">
        <v>74090</v>
      </c>
      <c r="G37" s="473">
        <f t="shared" si="3"/>
        <v>1384</v>
      </c>
      <c r="H37" s="460">
        <f>G37+'13'!H37</f>
        <v>19293</v>
      </c>
      <c r="I37" s="455"/>
      <c r="J37" s="552">
        <f>H37/DAY(B2)</f>
        <v>1378.0714285714287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'13'!F38</f>
        <v>94269</v>
      </c>
      <c r="F38" s="469">
        <v>95950</v>
      </c>
      <c r="G38" s="473">
        <f t="shared" si="3"/>
        <v>1681</v>
      </c>
      <c r="H38" s="460">
        <f>G38+'13'!H38</f>
        <v>23642</v>
      </c>
      <c r="I38" s="455"/>
      <c r="J38" s="552">
        <f>H38/DAY(B2)</f>
        <v>1688.7142857142858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'13'!F39</f>
        <v>199375</v>
      </c>
      <c r="F39" s="510">
        <v>202335</v>
      </c>
      <c r="G39" s="473">
        <f t="shared" si="3"/>
        <v>2960</v>
      </c>
      <c r="H39" s="460">
        <f>G39+'13'!H39</f>
        <v>49513</v>
      </c>
      <c r="I39" s="455"/>
      <c r="J39" s="552">
        <f>H39/DAY(B2)</f>
        <v>3536.6428571428573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v>0</v>
      </c>
      <c r="F40" s="510">
        <v>0</v>
      </c>
      <c r="G40" s="473">
        <f t="shared" si="3"/>
        <v>0</v>
      </c>
      <c r="H40" s="460">
        <f>G40+'13'!H40</f>
        <v>0.17</v>
      </c>
      <c r="I40" s="455"/>
      <c r="J40" s="552">
        <f>H40/DAY(B2)</f>
        <v>1.2142857142857144E-2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 t="s">
        <v>215</v>
      </c>
      <c r="D41" s="523" t="s">
        <v>132</v>
      </c>
      <c r="E41" s="510">
        <f>'13'!F41</f>
        <v>161910</v>
      </c>
      <c r="F41" s="510">
        <v>161910</v>
      </c>
      <c r="G41" s="473">
        <f t="shared" si="3"/>
        <v>0</v>
      </c>
      <c r="H41" s="460">
        <f>G41+'13'!H41</f>
        <v>28769</v>
      </c>
      <c r="I41" s="455"/>
      <c r="J41" s="552">
        <f>H41/DAY(B2)</f>
        <v>2054.9285714285716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'13'!F42</f>
        <v>59128</v>
      </c>
      <c r="F42" s="510">
        <v>59128</v>
      </c>
      <c r="G42" s="473">
        <f t="shared" si="3"/>
        <v>0</v>
      </c>
      <c r="H42" s="460">
        <f>G42+'13'!H42</f>
        <v>-0.16000000000349246</v>
      </c>
      <c r="I42" s="455"/>
      <c r="J42" s="552">
        <f>H42/DAY(B2)</f>
        <v>-1.142857142882089E-2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'13'!F43</f>
        <v>934051</v>
      </c>
      <c r="F43" s="510">
        <v>936351</v>
      </c>
      <c r="G43" s="473">
        <f t="shared" si="3"/>
        <v>2300</v>
      </c>
      <c r="H43" s="460">
        <f>G43+'13'!H43</f>
        <v>34303</v>
      </c>
      <c r="I43" s="455"/>
      <c r="J43" s="552">
        <f>H43/DAY(B2)</f>
        <v>2450.2142857142858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f>G45+'13'!H45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f>G46+'13'!H46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12237</v>
      </c>
      <c r="H47" s="460">
        <f>G47+'13'!H47</f>
        <v>214622.49999999994</v>
      </c>
      <c r="I47" s="455"/>
      <c r="J47" s="552">
        <f>H47/DAY(B2)</f>
        <v>15330.178571428567</v>
      </c>
      <c r="K47" s="428"/>
      <c r="L47" s="377"/>
      <c r="N47" s="721"/>
      <c r="O47" s="728"/>
      <c r="P47" s="382"/>
    </row>
    <row r="48" spans="1:16">
      <c r="A48" s="598" t="s">
        <v>177</v>
      </c>
      <c r="B48" s="1190"/>
      <c r="C48" s="1190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'13'!F49</f>
        <v>260732</v>
      </c>
      <c r="F49" s="510">
        <v>260732</v>
      </c>
      <c r="G49" s="473">
        <f t="shared" ref="G49:G58" si="4">F49-E49</f>
        <v>0</v>
      </c>
      <c r="H49" s="460">
        <f>G49+'13'!H49</f>
        <v>0</v>
      </c>
      <c r="I49" s="455"/>
      <c r="J49" s="552">
        <f>H49/DAY(B2)</f>
        <v>0</v>
      </c>
      <c r="K49" s="428"/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'13'!F50</f>
        <v>455816</v>
      </c>
      <c r="F50" s="510">
        <v>456998</v>
      </c>
      <c r="G50" s="473">
        <f t="shared" si="4"/>
        <v>1182</v>
      </c>
      <c r="H50" s="460">
        <f>G50+'13'!H50</f>
        <v>14723.959999999963</v>
      </c>
      <c r="I50" s="455"/>
      <c r="J50" s="552">
        <f>H50/DAY(B2)</f>
        <v>1051.7114285714258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'13'!F51</f>
        <v>144640</v>
      </c>
      <c r="F51" s="510">
        <v>144640</v>
      </c>
      <c r="G51" s="473">
        <f t="shared" si="4"/>
        <v>0</v>
      </c>
      <c r="H51" s="460">
        <f>G51+'13'!H51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'13'!F52</f>
        <v>539606</v>
      </c>
      <c r="F52" s="510">
        <v>539606</v>
      </c>
      <c r="G52" s="473">
        <f t="shared" si="4"/>
        <v>0</v>
      </c>
      <c r="H52" s="460">
        <f>G52+'13'!H52</f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'13'!F53</f>
        <v>406598</v>
      </c>
      <c r="F53" s="510">
        <v>407177</v>
      </c>
      <c r="G53" s="473">
        <f t="shared" si="4"/>
        <v>579</v>
      </c>
      <c r="H53" s="460">
        <f>G53+'13'!H53</f>
        <v>5343.2000000000116</v>
      </c>
      <c r="I53" s="455"/>
      <c r="J53" s="552">
        <f>H53/DAY(B2)</f>
        <v>381.6571428571437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'13'!F54</f>
        <v>10099</v>
      </c>
      <c r="F54" s="510">
        <v>10177</v>
      </c>
      <c r="G54" s="473">
        <f t="shared" si="4"/>
        <v>78</v>
      </c>
      <c r="H54" s="460">
        <f>G54+'13'!H54</f>
        <v>3952.0300000000007</v>
      </c>
      <c r="I54" s="455"/>
      <c r="J54" s="552">
        <f>H54/DAY(B2)</f>
        <v>282.28785714285721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'13'!F55</f>
        <v>265687</v>
      </c>
      <c r="F55" s="656">
        <v>271902</v>
      </c>
      <c r="G55" s="655">
        <f t="shared" si="4"/>
        <v>6215</v>
      </c>
      <c r="H55" s="708">
        <f>G55+'13'!H55</f>
        <v>50448.799999999988</v>
      </c>
      <c r="I55" s="709"/>
      <c r="J55" s="710">
        <f>H55/DAY(B2)</f>
        <v>3603.4857142857136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'13'!F56</f>
        <v>589086</v>
      </c>
      <c r="F56" s="656">
        <v>589086</v>
      </c>
      <c r="G56" s="473">
        <f t="shared" si="4"/>
        <v>0</v>
      </c>
      <c r="H56" s="460">
        <f>G56+'13'!H56</f>
        <v>109.8399999999674</v>
      </c>
      <c r="I56" s="455"/>
      <c r="J56" s="552">
        <f>H56/DAY(B2)</f>
        <v>7.8457142857119573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0.32999999999992724</v>
      </c>
      <c r="I57" s="455"/>
      <c r="J57" s="552">
        <f>H57/DAY(B2)</f>
        <v>2.3571428571423376E-2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'13'!F58</f>
        <v>44000</v>
      </c>
      <c r="F58" s="656">
        <v>44181</v>
      </c>
      <c r="G58" s="473">
        <f t="shared" si="4"/>
        <v>181</v>
      </c>
      <c r="H58" s="460">
        <f>G58+'13'!H58</f>
        <v>2479.6599999999962</v>
      </c>
      <c r="I58" s="455"/>
      <c r="J58" s="552">
        <f>H58/DAY(B2)</f>
        <v>177.11857142857116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8235</v>
      </c>
      <c r="H59" s="460">
        <f>G59+'13'!H59</f>
        <v>77055.819999999934</v>
      </c>
      <c r="I59" s="455">
        <f>G7-G60</f>
        <v>417</v>
      </c>
      <c r="J59" s="552">
        <f>H59/DAY(B2)</f>
        <v>5503.9871428571378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20472</v>
      </c>
      <c r="H60" s="460">
        <f>G60+'13'!H60</f>
        <v>298877.87</v>
      </c>
      <c r="I60" s="455">
        <f>G13-G60</f>
        <v>-349</v>
      </c>
      <c r="J60" s="552">
        <f>H60/DAY(B2)</f>
        <v>21348.419285714284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v>0</v>
      </c>
      <c r="F62" s="514">
        <v>0</v>
      </c>
      <c r="G62" s="473">
        <f t="shared" ref="G62:G69" si="5">F62-E62</f>
        <v>0</v>
      </c>
      <c r="H62" s="460">
        <f>G62+'13'!H62</f>
        <v>0.18199999999706051</v>
      </c>
      <c r="I62" s="515"/>
      <c r="J62" s="552">
        <f>H62/DAY(B2)</f>
        <v>1.2999999999790037E-2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'13'!F63</f>
        <v>2246</v>
      </c>
      <c r="F63" s="514">
        <v>2258</v>
      </c>
      <c r="G63" s="473">
        <f t="shared" si="5"/>
        <v>12</v>
      </c>
      <c r="H63" s="460">
        <f>G63+'13'!H63</f>
        <v>162</v>
      </c>
      <c r="I63" s="515"/>
      <c r="J63" s="552">
        <f>H63/DAY(B2)</f>
        <v>11.571428571428571</v>
      </c>
      <c r="K63" s="428"/>
      <c r="L63" s="377"/>
      <c r="N63" s="721"/>
      <c r="O63" s="728"/>
      <c r="P63" s="382"/>
    </row>
    <row r="64" spans="1:16" ht="27.75">
      <c r="A64" s="1499" t="s">
        <v>99</v>
      </c>
      <c r="B64" s="1500"/>
      <c r="C64" s="1501"/>
      <c r="D64" s="523" t="s">
        <v>187</v>
      </c>
      <c r="E64" s="514">
        <f>'13'!F64</f>
        <v>145294</v>
      </c>
      <c r="F64" s="478">
        <v>145783</v>
      </c>
      <c r="G64" s="473">
        <f t="shared" si="5"/>
        <v>489</v>
      </c>
      <c r="H64" s="460">
        <f>G64+'13'!H64</f>
        <v>6603</v>
      </c>
      <c r="I64" s="480"/>
      <c r="J64" s="552">
        <f>H64/DAY(B2)</f>
        <v>471.64285714285717</v>
      </c>
      <c r="K64" s="428"/>
      <c r="L64" s="377"/>
      <c r="N64" s="721"/>
      <c r="O64" s="728"/>
      <c r="P64" s="382"/>
    </row>
    <row r="65" spans="1:16" ht="27.75">
      <c r="A65" s="1499" t="s">
        <v>100</v>
      </c>
      <c r="B65" s="1500"/>
      <c r="C65" s="1501"/>
      <c r="D65" s="523" t="s">
        <v>187</v>
      </c>
      <c r="E65" s="514">
        <f>'13'!F65</f>
        <v>148909</v>
      </c>
      <c r="F65" s="654">
        <v>149288</v>
      </c>
      <c r="G65" s="473">
        <f t="shared" si="5"/>
        <v>379</v>
      </c>
      <c r="H65" s="460">
        <f>G65+'13'!H65</f>
        <v>5083</v>
      </c>
      <c r="I65" s="489"/>
      <c r="J65" s="552">
        <f>H65/DAY(B2)</f>
        <v>363.07142857142856</v>
      </c>
      <c r="K65" s="428"/>
      <c r="L65" s="377"/>
      <c r="N65" s="721"/>
      <c r="O65" s="729"/>
      <c r="P65" s="382"/>
    </row>
    <row r="66" spans="1:16" ht="27.75">
      <c r="A66" s="1499" t="s">
        <v>101</v>
      </c>
      <c r="B66" s="1500"/>
      <c r="C66" s="1501"/>
      <c r="D66" s="523" t="s">
        <v>187</v>
      </c>
      <c r="E66" s="514">
        <f>'13'!F66</f>
        <v>42293</v>
      </c>
      <c r="F66" s="478">
        <v>42704</v>
      </c>
      <c r="G66" s="473">
        <f t="shared" si="5"/>
        <v>411</v>
      </c>
      <c r="H66" s="460">
        <f>G66+'13'!H66</f>
        <v>5496</v>
      </c>
      <c r="I66" s="480"/>
      <c r="J66" s="552">
        <f>H66/DAY(B2)</f>
        <v>392.57142857142856</v>
      </c>
      <c r="K66" s="428"/>
      <c r="L66" s="377"/>
      <c r="N66" s="721"/>
      <c r="O66" s="728"/>
      <c r="P66" s="382"/>
    </row>
    <row r="67" spans="1:16" ht="27.75">
      <c r="A67" s="1499" t="s">
        <v>102</v>
      </c>
      <c r="B67" s="1500"/>
      <c r="C67" s="1501"/>
      <c r="D67" s="523" t="s">
        <v>187</v>
      </c>
      <c r="E67" s="514">
        <f>'13'!F67</f>
        <v>236569</v>
      </c>
      <c r="F67" s="478">
        <v>237032</v>
      </c>
      <c r="G67" s="473">
        <f t="shared" si="5"/>
        <v>463</v>
      </c>
      <c r="H67" s="460">
        <f>G67+'13'!H67</f>
        <v>7932</v>
      </c>
      <c r="I67" s="489"/>
      <c r="J67" s="552">
        <f>H67/DAY(B2)</f>
        <v>566.57142857142856</v>
      </c>
      <c r="K67" s="429"/>
      <c r="L67" s="377"/>
      <c r="N67" s="721"/>
      <c r="O67" s="728"/>
      <c r="P67" s="382"/>
    </row>
    <row r="68" spans="1:16" ht="27.75">
      <c r="A68" s="1499" t="s">
        <v>103</v>
      </c>
      <c r="B68" s="1500"/>
      <c r="C68" s="1501"/>
      <c r="D68" s="523" t="s">
        <v>187</v>
      </c>
      <c r="E68" s="514">
        <f>'13'!F68</f>
        <v>85321</v>
      </c>
      <c r="F68" s="478">
        <v>85321</v>
      </c>
      <c r="G68" s="473">
        <f t="shared" si="5"/>
        <v>0</v>
      </c>
      <c r="H68" s="460">
        <f>G68+'13'!H68</f>
        <v>2234</v>
      </c>
      <c r="I68" s="516"/>
      <c r="J68" s="552">
        <f>H68/DAY(B2)</f>
        <v>159.57142857142858</v>
      </c>
      <c r="K68" s="430"/>
      <c r="L68" s="377"/>
      <c r="N68" s="721"/>
      <c r="O68" s="728"/>
      <c r="P68" s="382"/>
    </row>
    <row r="69" spans="1:16" ht="27.75">
      <c r="A69" s="1499" t="s">
        <v>104</v>
      </c>
      <c r="B69" s="1500"/>
      <c r="C69" s="1501"/>
      <c r="D69" s="523" t="s">
        <v>187</v>
      </c>
      <c r="E69" s="514">
        <f>'13'!F69</f>
        <v>78019</v>
      </c>
      <c r="F69" s="478">
        <v>78054</v>
      </c>
      <c r="G69" s="473">
        <f t="shared" si="5"/>
        <v>35</v>
      </c>
      <c r="H69" s="460">
        <f>G69+'13'!H69</f>
        <v>3725</v>
      </c>
      <c r="I69" s="516"/>
      <c r="J69" s="552">
        <f>H69/DAY(B2)</f>
        <v>266.07142857142856</v>
      </c>
      <c r="K69" s="431"/>
      <c r="L69" s="377"/>
      <c r="N69" s="721"/>
      <c r="O69" s="728"/>
      <c r="P69" s="382"/>
    </row>
    <row r="70" spans="1:16" ht="27.75">
      <c r="A70" s="1505" t="s">
        <v>189</v>
      </c>
      <c r="B70" s="1506"/>
      <c r="C70" s="1507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502" t="s">
        <v>190</v>
      </c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  <c r="N71" s="721"/>
      <c r="O71" s="728"/>
      <c r="P71" s="382"/>
    </row>
    <row r="72" spans="1:16" ht="27.75">
      <c r="A72" s="1499" t="s">
        <v>191</v>
      </c>
      <c r="B72" s="1500"/>
      <c r="C72" s="1501"/>
      <c r="D72" s="523" t="s">
        <v>187</v>
      </c>
      <c r="E72" s="519">
        <f>'13'!F72</f>
        <v>854420</v>
      </c>
      <c r="F72" s="657">
        <v>854503</v>
      </c>
      <c r="G72" s="473">
        <f t="shared" ref="G72" si="6">F72-E72</f>
        <v>83</v>
      </c>
      <c r="H72" s="460">
        <f>G72+'12'!H72</f>
        <v>1240</v>
      </c>
      <c r="I72" s="480"/>
      <c r="J72" s="552">
        <f>H72/DAY(B2)</f>
        <v>88.571428571428569</v>
      </c>
      <c r="K72" s="431"/>
      <c r="L72" s="377"/>
      <c r="N72" s="721"/>
      <c r="O72" s="728"/>
      <c r="P72" s="382"/>
    </row>
    <row r="73" spans="1:16" ht="27.75">
      <c r="A73" s="1499" t="s">
        <v>192</v>
      </c>
      <c r="B73" s="1500"/>
      <c r="C73" s="1501"/>
      <c r="D73" s="523" t="s">
        <v>187</v>
      </c>
      <c r="E73" s="519">
        <f>'13'!F73</f>
        <v>885820</v>
      </c>
      <c r="F73" s="658">
        <v>885821</v>
      </c>
      <c r="G73" s="655">
        <f t="shared" ref="G73:G84" si="7">F73-E73</f>
        <v>1</v>
      </c>
      <c r="H73" s="460">
        <f>G73+'13'!H72</f>
        <v>1242</v>
      </c>
      <c r="I73" s="480"/>
      <c r="J73" s="552">
        <f>H73/DAY(B2)</f>
        <v>88.714285714285708</v>
      </c>
      <c r="K73" s="430"/>
      <c r="L73" s="377"/>
      <c r="N73" s="721"/>
      <c r="O73" s="728"/>
      <c r="P73" s="382"/>
    </row>
    <row r="74" spans="1:16" ht="27.75">
      <c r="A74" s="1499" t="s">
        <v>193</v>
      </c>
      <c r="B74" s="1500"/>
      <c r="C74" s="1501"/>
      <c r="D74" s="523" t="s">
        <v>187</v>
      </c>
      <c r="E74" s="519">
        <f>'13'!F74</f>
        <v>1742</v>
      </c>
      <c r="F74" s="658">
        <v>1776</v>
      </c>
      <c r="G74" s="473">
        <f t="shared" si="7"/>
        <v>34</v>
      </c>
      <c r="H74" s="460">
        <f>G74+'13'!H74</f>
        <v>406</v>
      </c>
      <c r="I74" s="480"/>
      <c r="J74" s="552">
        <f>H74/DAY(B2)</f>
        <v>29</v>
      </c>
      <c r="K74" s="431"/>
      <c r="L74" s="377"/>
      <c r="N74" s="721"/>
      <c r="O74" s="728"/>
      <c r="P74" s="382"/>
    </row>
    <row r="75" spans="1:16" ht="27.75">
      <c r="A75" s="1496" t="s">
        <v>194</v>
      </c>
      <c r="B75" s="1497"/>
      <c r="C75" s="1498"/>
      <c r="D75" s="523" t="s">
        <v>187</v>
      </c>
      <c r="E75" s="519">
        <f>'13'!F75</f>
        <v>9945</v>
      </c>
      <c r="F75" s="658">
        <v>10004</v>
      </c>
      <c r="G75" s="473">
        <f t="shared" si="7"/>
        <v>59</v>
      </c>
      <c r="H75" s="460">
        <f>G75+'13'!H75</f>
        <v>1324</v>
      </c>
      <c r="I75" s="480"/>
      <c r="J75" s="552">
        <f>H75/DAY(B2)</f>
        <v>94.571428571428569</v>
      </c>
      <c r="K75" s="430"/>
      <c r="L75" s="377"/>
      <c r="N75" s="721"/>
      <c r="O75" s="728"/>
      <c r="P75" s="382"/>
    </row>
    <row r="76" spans="1:16" ht="27.75">
      <c r="A76" s="1496" t="s">
        <v>195</v>
      </c>
      <c r="B76" s="1497"/>
      <c r="C76" s="1498"/>
      <c r="D76" s="523" t="s">
        <v>187</v>
      </c>
      <c r="E76" s="519">
        <f>'13'!F76</f>
        <v>4891</v>
      </c>
      <c r="F76" s="658">
        <v>4955</v>
      </c>
      <c r="G76" s="473">
        <f t="shared" si="7"/>
        <v>64</v>
      </c>
      <c r="H76" s="460">
        <f>G76+'13'!H75</f>
        <v>1329</v>
      </c>
      <c r="I76" s="505"/>
      <c r="J76" s="552">
        <f>H76/DAY(B2)</f>
        <v>94.928571428571431</v>
      </c>
      <c r="K76" s="430"/>
      <c r="L76" s="377"/>
      <c r="N76" s="721"/>
      <c r="O76" s="728"/>
      <c r="P76" s="382"/>
    </row>
    <row r="77" spans="1:16" ht="27.75">
      <c r="A77" s="1499" t="s">
        <v>196</v>
      </c>
      <c r="B77" s="1500"/>
      <c r="C77" s="1501"/>
      <c r="D77" s="523" t="s">
        <v>187</v>
      </c>
      <c r="E77" s="519">
        <f>'13'!F77</f>
        <v>700802</v>
      </c>
      <c r="F77" s="658">
        <v>700853</v>
      </c>
      <c r="G77" s="655">
        <f t="shared" si="7"/>
        <v>51</v>
      </c>
      <c r="H77" s="460">
        <f>G77+'13'!H77</f>
        <v>639</v>
      </c>
      <c r="I77" s="505"/>
      <c r="J77" s="552">
        <f>H77/DAY(B2)</f>
        <v>45.642857142857146</v>
      </c>
      <c r="K77" s="430"/>
      <c r="L77" s="377"/>
      <c r="N77" s="721"/>
      <c r="O77" s="728"/>
      <c r="P77" s="382"/>
    </row>
    <row r="78" spans="1:16" ht="27.75">
      <c r="A78" s="1191" t="s">
        <v>197</v>
      </c>
      <c r="B78" s="1187"/>
      <c r="C78" s="1187"/>
      <c r="D78" s="523" t="s">
        <v>187</v>
      </c>
      <c r="E78" s="519">
        <f>'13'!F78</f>
        <v>668801</v>
      </c>
      <c r="F78" s="659">
        <v>668891</v>
      </c>
      <c r="G78" s="473">
        <f t="shared" si="7"/>
        <v>90</v>
      </c>
      <c r="H78" s="460">
        <f>G78+'13'!H78</f>
        <v>3511</v>
      </c>
      <c r="I78" s="505"/>
      <c r="J78" s="552">
        <f>H78/DAY(B2)</f>
        <v>250.78571428571428</v>
      </c>
      <c r="K78" s="430"/>
      <c r="L78" s="377"/>
      <c r="N78" s="721"/>
      <c r="O78" s="728"/>
      <c r="P78" s="382"/>
    </row>
    <row r="79" spans="1:16" ht="27.75">
      <c r="A79" s="1496" t="s">
        <v>92</v>
      </c>
      <c r="B79" s="1497"/>
      <c r="C79" s="1498"/>
      <c r="D79" s="524" t="s">
        <v>187</v>
      </c>
      <c r="E79" s="519">
        <f>'13'!F79</f>
        <v>823612</v>
      </c>
      <c r="F79" s="659">
        <v>823804</v>
      </c>
      <c r="G79" s="473">
        <f t="shared" si="7"/>
        <v>192</v>
      </c>
      <c r="H79" s="460">
        <f>G79+'13'!H78</f>
        <v>3613</v>
      </c>
      <c r="I79" s="505"/>
      <c r="J79" s="552">
        <f>H79/DAY(B2)</f>
        <v>258.07142857142856</v>
      </c>
      <c r="K79" s="430"/>
      <c r="L79" s="377"/>
      <c r="N79" s="721"/>
      <c r="O79" s="728"/>
      <c r="P79" s="382"/>
    </row>
    <row r="80" spans="1:16" ht="27.75">
      <c r="A80" s="1496" t="s">
        <v>198</v>
      </c>
      <c r="B80" s="1497"/>
      <c r="C80" s="1498"/>
      <c r="D80" s="524" t="s">
        <v>187</v>
      </c>
      <c r="E80" s="519">
        <f>'13'!F80</f>
        <v>510327</v>
      </c>
      <c r="F80" s="658">
        <v>510729</v>
      </c>
      <c r="G80" s="473">
        <f t="shared" si="7"/>
        <v>402</v>
      </c>
      <c r="H80" s="460">
        <f>G80+'13'!H79</f>
        <v>2801</v>
      </c>
      <c r="I80" s="505"/>
      <c r="J80" s="552">
        <f>H80/DAY(B2)</f>
        <v>200.07142857142858</v>
      </c>
      <c r="K80" s="430"/>
      <c r="L80" s="377"/>
      <c r="N80" s="721"/>
      <c r="O80" s="728"/>
      <c r="P80" s="382"/>
    </row>
    <row r="81" spans="1:16" ht="27.75">
      <c r="A81" s="1496" t="s">
        <v>199</v>
      </c>
      <c r="B81" s="1497"/>
      <c r="C81" s="1498"/>
      <c r="D81" s="524" t="s">
        <v>187</v>
      </c>
      <c r="E81" s="519">
        <f>'13'!F81</f>
        <v>633493</v>
      </c>
      <c r="F81" s="658">
        <v>633807</v>
      </c>
      <c r="G81" s="473">
        <f t="shared" si="7"/>
        <v>314</v>
      </c>
      <c r="H81" s="460">
        <f>G81+'13'!H81</f>
        <v>3622</v>
      </c>
      <c r="I81" s="505"/>
      <c r="J81" s="552">
        <f>H81/DAY(B2)</f>
        <v>258.71428571428572</v>
      </c>
      <c r="K81" s="430"/>
      <c r="L81" s="377"/>
      <c r="N81" s="721"/>
      <c r="O81" s="728"/>
      <c r="P81" s="382"/>
    </row>
    <row r="82" spans="1:16" ht="27.75">
      <c r="A82" s="1496" t="s">
        <v>93</v>
      </c>
      <c r="B82" s="1497"/>
      <c r="C82" s="1498"/>
      <c r="D82" s="485" t="s">
        <v>132</v>
      </c>
      <c r="E82" s="519">
        <f>'13'!F82</f>
        <v>107204</v>
      </c>
      <c r="F82" s="654">
        <v>107222</v>
      </c>
      <c r="G82" s="473">
        <f t="shared" si="7"/>
        <v>18</v>
      </c>
      <c r="H82" s="460">
        <f>G82+'13'!H82</f>
        <v>327</v>
      </c>
      <c r="I82" s="486"/>
      <c r="J82" s="552">
        <f>H82/DAY(B2)</f>
        <v>23.357142857142858</v>
      </c>
      <c r="K82" s="430"/>
      <c r="L82" s="377"/>
      <c r="N82" s="721"/>
      <c r="O82" s="728"/>
      <c r="P82" s="382"/>
    </row>
    <row r="83" spans="1:16" ht="27.75">
      <c r="A83" s="1496" t="s">
        <v>200</v>
      </c>
      <c r="B83" s="1497"/>
      <c r="C83" s="1498"/>
      <c r="D83" s="620" t="s">
        <v>132</v>
      </c>
      <c r="E83" s="519">
        <f>'13'!F83</f>
        <v>10476</v>
      </c>
      <c r="F83" s="511">
        <v>10761</v>
      </c>
      <c r="G83" s="473">
        <f t="shared" si="7"/>
        <v>285</v>
      </c>
      <c r="H83" s="460">
        <f>G83+'13'!H83</f>
        <v>3704</v>
      </c>
      <c r="I83" s="481"/>
      <c r="J83" s="552">
        <f>H83/DAY(B2)</f>
        <v>264.57142857142856</v>
      </c>
      <c r="K83" s="429"/>
      <c r="L83" s="377"/>
      <c r="N83" s="721"/>
      <c r="O83" s="728"/>
      <c r="P83" s="382"/>
    </row>
    <row r="84" spans="1:16">
      <c r="A84" s="1194" t="s">
        <v>201</v>
      </c>
      <c r="B84" s="571"/>
      <c r="C84" s="571"/>
      <c r="D84" s="478" t="s">
        <v>132</v>
      </c>
      <c r="E84" s="519">
        <f>'13'!F84</f>
        <v>467106</v>
      </c>
      <c r="F84" s="627">
        <v>467908</v>
      </c>
      <c r="G84" s="473">
        <f t="shared" si="7"/>
        <v>802</v>
      </c>
      <c r="H84" s="460">
        <f>G84+'13'!H84</f>
        <v>13224</v>
      </c>
      <c r="I84" s="481"/>
      <c r="J84" s="552">
        <f>H84/DAY(B2)</f>
        <v>944.57142857142856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2395</v>
      </c>
      <c r="H85" s="460">
        <f>G85+'13'!H85</f>
        <v>36641</v>
      </c>
      <c r="I85" s="481"/>
      <c r="J85" s="552">
        <f>H85/DAY(B2)</f>
        <v>2617.2142857142858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'13'!F86</f>
        <v>457054</v>
      </c>
      <c r="F86" s="650">
        <v>457276</v>
      </c>
      <c r="G86" s="708">
        <f t="shared" ref="G86:G90" si="8">F86-E86</f>
        <v>222</v>
      </c>
      <c r="H86" s="708">
        <f t="shared" ref="H86:H88" si="9">G86</f>
        <v>222</v>
      </c>
      <c r="I86" s="655"/>
      <c r="J86" s="710">
        <f>H86/DAY(B2)</f>
        <v>15.857142857142858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'13'!F87</f>
        <v>80591</v>
      </c>
      <c r="F87" s="650">
        <v>80626</v>
      </c>
      <c r="G87" s="708">
        <f t="shared" si="8"/>
        <v>35</v>
      </c>
      <c r="H87" s="708">
        <f t="shared" si="9"/>
        <v>35</v>
      </c>
      <c r="I87" s="655"/>
      <c r="J87" s="710">
        <f>H87/DAY(B2)</f>
        <v>2.5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'13'!F88</f>
        <v>151218</v>
      </c>
      <c r="F88" s="650">
        <v>151242</v>
      </c>
      <c r="G88" s="708">
        <f t="shared" si="8"/>
        <v>24</v>
      </c>
      <c r="H88" s="708">
        <f t="shared" si="9"/>
        <v>24</v>
      </c>
      <c r="I88" s="655"/>
      <c r="J88" s="710">
        <f>H88/DAY(B2)</f>
        <v>1.7142857142857142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'13'!F89</f>
        <v>64115</v>
      </c>
      <c r="F89" s="650">
        <v>64159</v>
      </c>
      <c r="G89" s="708" t="s">
        <v>273</v>
      </c>
      <c r="H89" s="708" t="str">
        <f>G89</f>
        <v xml:space="preserve">  </v>
      </c>
      <c r="I89" s="655"/>
      <c r="J89" s="710" t="e">
        <f>H89/DAY(B2)</f>
        <v>#VALUE!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'13'!F90</f>
        <v>3272</v>
      </c>
      <c r="F90" s="650">
        <v>3272</v>
      </c>
      <c r="G90" s="708">
        <f t="shared" si="8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379" customFormat="1">
      <c r="A91" s="606" t="s">
        <v>205</v>
      </c>
      <c r="B91" s="1192"/>
      <c r="C91" s="1192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520" t="s">
        <v>206</v>
      </c>
      <c r="B92" s="1521"/>
      <c r="C92" s="1522"/>
      <c r="D92" s="523" t="s">
        <v>144</v>
      </c>
      <c r="E92" s="484">
        <f>'13'!F92</f>
        <v>243546</v>
      </c>
      <c r="F92" s="478">
        <v>243620</v>
      </c>
      <c r="G92" s="473">
        <f t="shared" ref="G92:G93" si="10">F92-E92</f>
        <v>74</v>
      </c>
      <c r="H92" s="460">
        <f>G92+'13'!H92</f>
        <v>974</v>
      </c>
      <c r="I92" s="480"/>
      <c r="J92" s="552">
        <f>H92/DAY(B2)</f>
        <v>69.571428571428569</v>
      </c>
      <c r="K92" s="429"/>
      <c r="L92" s="377"/>
      <c r="N92" s="721"/>
      <c r="O92" s="728"/>
      <c r="P92" s="382"/>
    </row>
    <row r="93" spans="1:16" ht="27.75">
      <c r="A93" s="1520" t="s">
        <v>207</v>
      </c>
      <c r="B93" s="1521"/>
      <c r="C93" s="1522"/>
      <c r="D93" s="523" t="s">
        <v>144</v>
      </c>
      <c r="E93" s="484">
        <f>'13'!F93</f>
        <v>181639</v>
      </c>
      <c r="F93" s="654">
        <v>181784</v>
      </c>
      <c r="G93" s="473">
        <f t="shared" si="10"/>
        <v>145</v>
      </c>
      <c r="H93" s="460">
        <f>G93+'13'!H93</f>
        <v>2105</v>
      </c>
      <c r="I93" s="480"/>
      <c r="J93" s="552">
        <f>H93/DAY(B2)</f>
        <v>150.35714285714286</v>
      </c>
      <c r="K93" s="380"/>
      <c r="L93" s="377"/>
      <c r="N93" s="721"/>
      <c r="O93" s="728"/>
      <c r="P93" s="382"/>
    </row>
    <row r="94" spans="1:16">
      <c r="A94" s="1548" t="s">
        <v>208</v>
      </c>
      <c r="B94" s="1549"/>
      <c r="C94" s="1550"/>
      <c r="D94" s="523"/>
      <c r="E94" s="484">
        <f>'13'!F94</f>
        <v>0</v>
      </c>
      <c r="F94" s="478"/>
      <c r="G94" s="473">
        <f>G92+G93</f>
        <v>219</v>
      </c>
      <c r="H94" s="460">
        <f>G94+'13'!H94</f>
        <v>2860</v>
      </c>
      <c r="I94" s="480"/>
      <c r="J94" s="552">
        <f>H94/DAY(B2)</f>
        <v>204.28571428571428</v>
      </c>
      <c r="K94" s="380"/>
      <c r="L94" s="377"/>
      <c r="N94" s="721"/>
      <c r="O94" s="728"/>
      <c r="P94" s="382"/>
    </row>
    <row r="95" spans="1:16" ht="27.75">
      <c r="A95" s="1520" t="s">
        <v>209</v>
      </c>
      <c r="B95" s="1521"/>
      <c r="C95" s="1522"/>
      <c r="D95" s="523" t="s">
        <v>144</v>
      </c>
      <c r="E95" s="484">
        <f>'13'!F95</f>
        <v>411736</v>
      </c>
      <c r="F95" s="478">
        <v>411812</v>
      </c>
      <c r="G95" s="473">
        <f t="shared" ref="G95:G100" si="11">F95-E95</f>
        <v>76</v>
      </c>
      <c r="H95" s="460">
        <f>G95+'13'!H95</f>
        <v>1027</v>
      </c>
      <c r="I95" s="480"/>
      <c r="J95" s="552">
        <f>H95/DAY(B2)</f>
        <v>73.357142857142861</v>
      </c>
      <c r="K95" s="380"/>
      <c r="L95" s="377"/>
      <c r="N95" s="721"/>
      <c r="O95" s="728"/>
      <c r="P95" s="382"/>
    </row>
    <row r="96" spans="1:16" ht="27.75">
      <c r="A96" s="1188" t="s">
        <v>210</v>
      </c>
      <c r="B96" s="1189"/>
      <c r="C96" s="1189"/>
      <c r="D96" s="523" t="s">
        <v>144</v>
      </c>
      <c r="E96" s="484">
        <f>'13'!F96</f>
        <v>102053</v>
      </c>
      <c r="F96" s="478">
        <v>102071</v>
      </c>
      <c r="G96" s="473">
        <f t="shared" si="11"/>
        <v>18</v>
      </c>
      <c r="H96" s="460">
        <f>G96+'13'!H96</f>
        <v>240</v>
      </c>
      <c r="I96" s="480"/>
      <c r="J96" s="552">
        <f>H96/DAY(B2)</f>
        <v>17.142857142857142</v>
      </c>
      <c r="K96" s="427"/>
      <c r="L96" s="377"/>
      <c r="N96" s="721"/>
      <c r="O96" s="728"/>
      <c r="P96" s="382"/>
    </row>
    <row r="97" spans="1:16" ht="27.75">
      <c r="A97" s="1188" t="s">
        <v>211</v>
      </c>
      <c r="B97" s="1189"/>
      <c r="C97" s="1189"/>
      <c r="D97" s="523" t="s">
        <v>144</v>
      </c>
      <c r="E97" s="484">
        <f>'13'!F97</f>
        <v>97154</v>
      </c>
      <c r="F97" s="478">
        <v>97169</v>
      </c>
      <c r="G97" s="473">
        <f t="shared" si="11"/>
        <v>15</v>
      </c>
      <c r="H97" s="460">
        <f>G97+'13'!H97</f>
        <v>241</v>
      </c>
      <c r="I97" s="480"/>
      <c r="J97" s="552">
        <f>H97/DAY(B2)</f>
        <v>17.214285714285715</v>
      </c>
      <c r="K97" s="432"/>
      <c r="L97" s="377"/>
      <c r="N97" s="721"/>
      <c r="O97" s="728"/>
      <c r="P97" s="382"/>
    </row>
    <row r="98" spans="1:16" ht="27.75">
      <c r="A98" s="1188" t="s">
        <v>212</v>
      </c>
      <c r="B98" s="1189"/>
      <c r="C98" s="1189"/>
      <c r="D98" s="523" t="s">
        <v>144</v>
      </c>
      <c r="E98" s="484">
        <f>'13'!F98</f>
        <v>149378</v>
      </c>
      <c r="F98" s="478">
        <v>149394</v>
      </c>
      <c r="G98" s="473">
        <f t="shared" si="11"/>
        <v>16</v>
      </c>
      <c r="H98" s="460">
        <f>G98+'13'!H98</f>
        <v>485</v>
      </c>
      <c r="I98" s="480"/>
      <c r="J98" s="552">
        <f>H98/DAY(B2)</f>
        <v>34.642857142857146</v>
      </c>
      <c r="K98" s="380"/>
      <c r="L98" s="377"/>
      <c r="N98" s="723"/>
      <c r="O98" s="728"/>
      <c r="P98" s="382"/>
    </row>
    <row r="99" spans="1:16" ht="27.75">
      <c r="A99" s="1188" t="s">
        <v>213</v>
      </c>
      <c r="B99" s="1189"/>
      <c r="C99" s="1189"/>
      <c r="D99" s="523" t="s">
        <v>144</v>
      </c>
      <c r="E99" s="484">
        <f>'13'!F99</f>
        <v>7026</v>
      </c>
      <c r="F99" s="478">
        <v>7037</v>
      </c>
      <c r="G99" s="473">
        <f t="shared" si="11"/>
        <v>11</v>
      </c>
      <c r="H99" s="460">
        <f>G99+'13'!H99</f>
        <v>182</v>
      </c>
      <c r="I99" s="480"/>
      <c r="J99" s="552">
        <f>H99/DAY(B2)</f>
        <v>13</v>
      </c>
      <c r="K99" s="380"/>
      <c r="L99" s="377"/>
      <c r="N99" s="721"/>
      <c r="O99" s="728"/>
      <c r="P99" s="382"/>
    </row>
    <row r="100" spans="1:16" ht="27.75">
      <c r="A100" s="1188" t="s">
        <v>214</v>
      </c>
      <c r="B100" s="1189"/>
      <c r="C100" s="1189"/>
      <c r="D100" s="523" t="s">
        <v>144</v>
      </c>
      <c r="E100" s="484">
        <f>'13'!F100</f>
        <v>5023</v>
      </c>
      <c r="F100" s="478">
        <v>5033</v>
      </c>
      <c r="G100" s="473">
        <f t="shared" si="11"/>
        <v>10</v>
      </c>
      <c r="H100" s="460">
        <f>G100+'13'!H100</f>
        <v>90</v>
      </c>
      <c r="I100" s="480"/>
      <c r="J100" s="552">
        <f>H100/DAY(B2)</f>
        <v>6.4285714285714288</v>
      </c>
      <c r="K100" s="380"/>
      <c r="L100" s="377"/>
      <c r="N100" s="721"/>
      <c r="O100" s="728"/>
      <c r="P100" s="382"/>
    </row>
    <row r="101" spans="1:16">
      <c r="A101" s="1548" t="s">
        <v>216</v>
      </c>
      <c r="B101" s="1549"/>
      <c r="C101" s="1550"/>
      <c r="D101" s="524"/>
      <c r="E101" s="484"/>
      <c r="F101" s="524"/>
      <c r="G101" s="525">
        <f>SUM(G95:G100)</f>
        <v>146</v>
      </c>
      <c r="H101" s="460">
        <f>G101+'13'!H101</f>
        <v>2265</v>
      </c>
      <c r="I101" s="526"/>
      <c r="J101" s="552">
        <f>H101/DAY(B2)</f>
        <v>161.78571428571428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551" t="s">
        <v>218</v>
      </c>
      <c r="B103" s="1552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512" t="s">
        <v>219</v>
      </c>
      <c r="B104" s="1513"/>
      <c r="C104" s="1193"/>
      <c r="D104" s="622" t="s">
        <v>144</v>
      </c>
      <c r="E104" s="484">
        <f>'13'!F104</f>
        <v>7361</v>
      </c>
      <c r="F104" s="661">
        <v>7370</v>
      </c>
      <c r="G104" s="532">
        <f>F104-E104</f>
        <v>9</v>
      </c>
      <c r="H104" s="533">
        <f>SUM(G104+'1'!G76)</f>
        <v>68</v>
      </c>
      <c r="I104" s="532"/>
      <c r="J104" s="558">
        <f>H104/DAY(B2)</f>
        <v>4.8571428571428568</v>
      </c>
      <c r="N104" s="721"/>
      <c r="O104" s="728"/>
      <c r="P104" s="382"/>
    </row>
    <row r="105" spans="1:16" s="442" customFormat="1" ht="27.75">
      <c r="A105" s="1512" t="s">
        <v>77</v>
      </c>
      <c r="B105" s="1513"/>
      <c r="C105" s="1193"/>
      <c r="D105" s="622" t="s">
        <v>144</v>
      </c>
      <c r="E105" s="484">
        <f>'13'!F105</f>
        <v>35730</v>
      </c>
      <c r="F105" s="662">
        <v>35735</v>
      </c>
      <c r="G105" s="532">
        <f t="shared" ref="G105:G106" si="12">F105-E105</f>
        <v>5</v>
      </c>
      <c r="H105" s="533">
        <f>SUM(G105+'1'!G77)</f>
        <v>55</v>
      </c>
      <c r="I105" s="532"/>
      <c r="J105" s="558">
        <f>H105/DAY(B2)</f>
        <v>3.9285714285714284</v>
      </c>
      <c r="N105" s="721"/>
      <c r="O105" s="728"/>
      <c r="P105" s="382"/>
    </row>
    <row r="106" spans="1:16" s="442" customFormat="1" ht="27.75">
      <c r="A106" s="1512" t="s">
        <v>78</v>
      </c>
      <c r="B106" s="1553"/>
      <c r="C106" s="1513"/>
      <c r="D106" s="622" t="s">
        <v>144</v>
      </c>
      <c r="E106" s="484">
        <f>'13'!F106</f>
        <v>19505</v>
      </c>
      <c r="F106" s="662">
        <v>19513</v>
      </c>
      <c r="G106" s="532">
        <f t="shared" si="12"/>
        <v>8</v>
      </c>
      <c r="H106" s="533">
        <f>SUM(G106+'1'!G78)</f>
        <v>403</v>
      </c>
      <c r="I106" s="532"/>
      <c r="J106" s="558">
        <f>H106/DAY(B2)</f>
        <v>28.785714285714285</v>
      </c>
      <c r="N106" s="721"/>
      <c r="O106" s="728"/>
      <c r="P106" s="382"/>
    </row>
    <row r="107" spans="1:16" s="442" customFormat="1" ht="27.75">
      <c r="A107" s="1514" t="s">
        <v>202</v>
      </c>
      <c r="B107" s="1515"/>
      <c r="C107" s="1193"/>
      <c r="D107" s="622"/>
      <c r="E107" s="484">
        <f>'13'!F107</f>
        <v>0</v>
      </c>
      <c r="F107" s="662"/>
      <c r="G107" s="532">
        <f>SUM(G104:G106)</f>
        <v>22</v>
      </c>
      <c r="H107" s="533">
        <f>SUM(G107+'1'!G79)</f>
        <v>216</v>
      </c>
      <c r="I107" s="532"/>
      <c r="J107" s="558">
        <f>H107/DAY(B2)</f>
        <v>15.428571428571429</v>
      </c>
      <c r="N107" s="721"/>
      <c r="O107" s="728"/>
      <c r="P107" s="382"/>
    </row>
    <row r="108" spans="1:16" s="442" customFormat="1" ht="27.75">
      <c r="A108" s="1518" t="s">
        <v>79</v>
      </c>
      <c r="B108" s="1519"/>
      <c r="C108" s="1193"/>
      <c r="D108" s="622" t="s">
        <v>144</v>
      </c>
      <c r="E108" s="484">
        <f>'13'!F108</f>
        <v>0</v>
      </c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512" t="s">
        <v>220</v>
      </c>
      <c r="B109" s="1513"/>
      <c r="C109" s="1193"/>
      <c r="D109" s="622" t="s">
        <v>144</v>
      </c>
      <c r="E109" s="484">
        <f>'13'!F109</f>
        <v>59925</v>
      </c>
      <c r="F109" s="662">
        <v>59985</v>
      </c>
      <c r="G109" s="532">
        <f>F109-E109</f>
        <v>60</v>
      </c>
      <c r="H109" s="533">
        <f>SUM(G109+'1'!G81)</f>
        <v>258</v>
      </c>
      <c r="I109" s="532"/>
      <c r="J109" s="558">
        <f>H109/DAY(B2)</f>
        <v>18.428571428571427</v>
      </c>
      <c r="N109" s="721"/>
      <c r="O109" s="728"/>
      <c r="P109" s="382"/>
    </row>
    <row r="110" spans="1:16" s="442" customFormat="1" ht="27.75">
      <c r="A110" s="1512" t="s">
        <v>221</v>
      </c>
      <c r="B110" s="1513"/>
      <c r="C110" s="1193"/>
      <c r="D110" s="622" t="s">
        <v>144</v>
      </c>
      <c r="E110" s="484">
        <f>'13'!F110</f>
        <v>32057</v>
      </c>
      <c r="F110" s="662">
        <v>32081</v>
      </c>
      <c r="G110" s="532">
        <f t="shared" ref="G110:G111" si="13">F110-E110</f>
        <v>24</v>
      </c>
      <c r="H110" s="533">
        <f>SUM(G110+'1'!G82)</f>
        <v>47</v>
      </c>
      <c r="I110" s="532"/>
      <c r="J110" s="558">
        <f>H110/DAY(B2)</f>
        <v>3.3571428571428572</v>
      </c>
      <c r="N110" s="721"/>
      <c r="O110" s="728"/>
      <c r="P110" s="382"/>
    </row>
    <row r="111" spans="1:16" s="442" customFormat="1" ht="27.75">
      <c r="A111" s="1512" t="s">
        <v>222</v>
      </c>
      <c r="B111" s="1513"/>
      <c r="C111" s="1193"/>
      <c r="D111" s="622" t="s">
        <v>144</v>
      </c>
      <c r="E111" s="484">
        <f>'13'!F111</f>
        <v>4259</v>
      </c>
      <c r="F111" s="662">
        <v>4275</v>
      </c>
      <c r="G111" s="532">
        <f t="shared" si="13"/>
        <v>16</v>
      </c>
      <c r="H111" s="533">
        <f>SUM(G111+'1'!G83)</f>
        <v>255</v>
      </c>
      <c r="I111" s="532"/>
      <c r="J111" s="558">
        <f>H111/DAY(B2)</f>
        <v>18.214285714285715</v>
      </c>
      <c r="N111" s="721"/>
      <c r="O111" s="728"/>
      <c r="P111" s="382"/>
    </row>
    <row r="112" spans="1:16" s="442" customFormat="1" ht="27.75">
      <c r="A112" s="1514" t="s">
        <v>110</v>
      </c>
      <c r="B112" s="1515"/>
      <c r="C112" s="1193"/>
      <c r="D112" s="622"/>
      <c r="E112" s="484">
        <f>'13'!F112</f>
        <v>0</v>
      </c>
      <c r="F112" s="662"/>
      <c r="G112" s="532">
        <f>SUM(G109:G111)</f>
        <v>100</v>
      </c>
      <c r="H112" s="533">
        <f>SUM(G112+'1'!G84)</f>
        <v>1015</v>
      </c>
      <c r="I112" s="532"/>
      <c r="J112" s="558">
        <f>H112/DAY(B2)</f>
        <v>72.5</v>
      </c>
      <c r="N112" s="721"/>
      <c r="O112" s="728"/>
      <c r="P112" s="382"/>
    </row>
    <row r="113" spans="1:16" s="442" customFormat="1" ht="27.75">
      <c r="A113" s="1518" t="s">
        <v>223</v>
      </c>
      <c r="B113" s="1519"/>
      <c r="C113" s="1193"/>
      <c r="D113" s="622"/>
      <c r="E113" s="484">
        <f>'13'!F113</f>
        <v>0</v>
      </c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512" t="s">
        <v>224</v>
      </c>
      <c r="B114" s="1513"/>
      <c r="C114" s="574"/>
      <c r="D114" s="622" t="s">
        <v>144</v>
      </c>
      <c r="E114" s="484">
        <f>'13'!F114</f>
        <v>11053</v>
      </c>
      <c r="F114" s="662">
        <v>11076</v>
      </c>
      <c r="G114" s="534">
        <f>F114-E114</f>
        <v>23</v>
      </c>
      <c r="H114" s="533">
        <f>SUM(G114+'1'!G91)</f>
        <v>23</v>
      </c>
      <c r="I114" s="532"/>
      <c r="J114" s="558">
        <f>H114/DAY(B2)</f>
        <v>1.6428571428571428</v>
      </c>
      <c r="N114" s="721"/>
      <c r="O114" s="728"/>
      <c r="P114" s="382"/>
    </row>
    <row r="115" spans="1:16" s="442" customFormat="1" ht="27.75">
      <c r="A115" s="1512" t="s">
        <v>225</v>
      </c>
      <c r="B115" s="1513"/>
      <c r="C115" s="574"/>
      <c r="D115" s="622" t="s">
        <v>144</v>
      </c>
      <c r="E115" s="484">
        <f>'13'!F115</f>
        <v>8037</v>
      </c>
      <c r="F115" s="662">
        <v>8044</v>
      </c>
      <c r="G115" s="534">
        <f t="shared" ref="G115:G116" si="14">F115-E115</f>
        <v>7</v>
      </c>
      <c r="H115" s="533">
        <f>SUM(G115+'1'!G92)</f>
        <v>99</v>
      </c>
      <c r="I115" s="532"/>
      <c r="J115" s="558">
        <f>H115/DAY(B2)</f>
        <v>7.0714285714285712</v>
      </c>
      <c r="N115" s="721"/>
      <c r="O115" s="728"/>
      <c r="P115" s="382"/>
    </row>
    <row r="116" spans="1:16" s="442" customFormat="1" ht="27.75">
      <c r="A116" s="1512" t="s">
        <v>226</v>
      </c>
      <c r="B116" s="1513"/>
      <c r="C116" s="574"/>
      <c r="D116" s="622" t="s">
        <v>144</v>
      </c>
      <c r="E116" s="534"/>
      <c r="F116" s="662"/>
      <c r="G116" s="534">
        <f t="shared" si="14"/>
        <v>0</v>
      </c>
      <c r="H116" s="533">
        <f>SUM(G116+'1'!G93)</f>
        <v>127</v>
      </c>
      <c r="I116" s="532"/>
      <c r="J116" s="558">
        <f>H116/DAY(B2)</f>
        <v>9.0714285714285712</v>
      </c>
      <c r="N116" s="721"/>
      <c r="O116" s="728"/>
      <c r="P116" s="382"/>
    </row>
    <row r="117" spans="1:16" s="445" customFormat="1" ht="27.75">
      <c r="A117" s="1514" t="s">
        <v>202</v>
      </c>
      <c r="B117" s="1515"/>
      <c r="C117" s="574"/>
      <c r="D117" s="623"/>
      <c r="E117" s="534"/>
      <c r="F117" s="662"/>
      <c r="G117" s="534">
        <f>SUM(G114:G116)</f>
        <v>30</v>
      </c>
      <c r="H117" s="533">
        <f>SUM(G117+'1'!G95)</f>
        <v>107</v>
      </c>
      <c r="I117" s="534"/>
      <c r="J117" s="558">
        <f>H117/DAY(B2)</f>
        <v>7.6428571428571432</v>
      </c>
      <c r="N117" s="721"/>
      <c r="O117" s="728"/>
      <c r="P117" s="382"/>
    </row>
    <row r="118" spans="1:16" s="446" customFormat="1" ht="27.75">
      <c r="A118" s="1508" t="s">
        <v>227</v>
      </c>
      <c r="B118" s="1509"/>
      <c r="C118" s="1196"/>
      <c r="D118" s="624" t="s">
        <v>144</v>
      </c>
      <c r="E118" s="536"/>
      <c r="F118" s="663"/>
      <c r="G118" s="536">
        <f>SUM(G19+G92)</f>
        <v>127</v>
      </c>
      <c r="H118" s="533">
        <f>SUM(G118+'1'!G96)</f>
        <v>144</v>
      </c>
      <c r="I118" s="535"/>
      <c r="J118" s="559">
        <f>H118/DAY(B2)</f>
        <v>10.285714285714286</v>
      </c>
      <c r="N118" s="721"/>
      <c r="O118" s="728"/>
      <c r="P118" s="382"/>
    </row>
    <row r="119" spans="1:16" s="446" customFormat="1" ht="27.75">
      <c r="A119" s="1508" t="s">
        <v>228</v>
      </c>
      <c r="B119" s="1509"/>
      <c r="C119" s="1196"/>
      <c r="D119" s="624" t="s">
        <v>144</v>
      </c>
      <c r="E119" s="536"/>
      <c r="F119" s="663">
        <f>SUM(G95,G96,G97,G99,G100)</f>
        <v>130</v>
      </c>
      <c r="G119" s="536">
        <f>SUM(G95,G96,G97,G99,G100)</f>
        <v>130</v>
      </c>
      <c r="H119" s="533">
        <f>SUM(G119+'1'!G98)</f>
        <v>158</v>
      </c>
      <c r="I119" s="535"/>
      <c r="J119" s="559">
        <f>H119/DAY(B2)</f>
        <v>11.285714285714286</v>
      </c>
      <c r="N119" s="721"/>
      <c r="O119" s="728"/>
      <c r="P119" s="382"/>
    </row>
    <row r="120" spans="1:16" s="446" customFormat="1" ht="27.75">
      <c r="A120" s="1508" t="s">
        <v>229</v>
      </c>
      <c r="B120" s="1509"/>
      <c r="C120" s="1196"/>
      <c r="D120" s="624" t="s">
        <v>144</v>
      </c>
      <c r="E120" s="534"/>
      <c r="F120" s="662">
        <f>SUM(G112)</f>
        <v>100</v>
      </c>
      <c r="G120" s="534">
        <f>SUM(G112)</f>
        <v>100</v>
      </c>
      <c r="H120" s="533">
        <f>SUM(G120+'1'!G100)</f>
        <v>106</v>
      </c>
      <c r="I120" s="535"/>
      <c r="J120" s="559">
        <f>H120/DAY(B2)</f>
        <v>7.5714285714285712</v>
      </c>
      <c r="N120" s="721"/>
      <c r="O120" s="728"/>
      <c r="P120" s="382"/>
    </row>
    <row r="121" spans="1:16" s="442" customFormat="1" ht="27.75">
      <c r="A121" s="1510"/>
      <c r="B121" s="1511"/>
      <c r="C121" s="1197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545" t="s">
        <v>230</v>
      </c>
      <c r="B122" s="1546"/>
      <c r="C122" s="1547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188" t="s">
        <v>231</v>
      </c>
      <c r="B123" s="1189"/>
      <c r="C123" s="1189"/>
      <c r="D123" s="523" t="s">
        <v>141</v>
      </c>
      <c r="E123" s="478">
        <f>'13'!F123</f>
        <v>822088</v>
      </c>
      <c r="F123" s="478">
        <v>822319</v>
      </c>
      <c r="G123" s="473">
        <f t="shared" ref="G123:G127" si="15">F123-E123</f>
        <v>231</v>
      </c>
      <c r="H123" s="460">
        <f>G123+'13'!H123</f>
        <v>3509</v>
      </c>
      <c r="I123" s="526"/>
      <c r="J123" s="552">
        <f>H123/DAY(B2)</f>
        <v>250.64285714285714</v>
      </c>
      <c r="K123" s="380"/>
      <c r="L123" s="377"/>
      <c r="N123" s="721"/>
      <c r="O123" s="728"/>
      <c r="P123" s="382"/>
    </row>
    <row r="124" spans="1:16" ht="27.75">
      <c r="A124" s="1188" t="s">
        <v>232</v>
      </c>
      <c r="B124" s="1189"/>
      <c r="C124" s="1189"/>
      <c r="D124" s="523" t="s">
        <v>141</v>
      </c>
      <c r="E124" s="626">
        <f>'13'!F124</f>
        <v>73583</v>
      </c>
      <c r="F124" s="626">
        <v>73583.399999999994</v>
      </c>
      <c r="G124" s="473">
        <f t="shared" si="15"/>
        <v>0.39999999999417923</v>
      </c>
      <c r="H124" s="460">
        <f>G124+'13'!H124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499" t="s">
        <v>233</v>
      </c>
      <c r="B125" s="1500"/>
      <c r="C125" s="1501"/>
      <c r="D125" s="523" t="s">
        <v>141</v>
      </c>
      <c r="E125" s="478">
        <f>'13'!F125</f>
        <v>143310</v>
      </c>
      <c r="F125" s="478">
        <v>143406</v>
      </c>
      <c r="G125" s="473">
        <f t="shared" si="15"/>
        <v>96</v>
      </c>
      <c r="H125" s="460">
        <f>G125+'13'!H125</f>
        <v>1270</v>
      </c>
      <c r="I125" s="526"/>
      <c r="J125" s="552">
        <f>H125/DAY(B2)</f>
        <v>90.714285714285708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189"/>
      <c r="C126" s="1189"/>
      <c r="D126" s="523" t="s">
        <v>141</v>
      </c>
      <c r="E126" s="626">
        <f>'13'!F126</f>
        <v>31404</v>
      </c>
      <c r="F126" s="626">
        <v>31404</v>
      </c>
      <c r="G126" s="473">
        <f t="shared" si="15"/>
        <v>0</v>
      </c>
      <c r="H126" s="460">
        <f>G126+'13'!H126</f>
        <v>85.299999999999272</v>
      </c>
      <c r="I126" s="526"/>
      <c r="J126" s="552">
        <f>H126/DAY(B2)</f>
        <v>6.092857142857091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189"/>
      <c r="C127" s="1189"/>
      <c r="D127" s="523" t="s">
        <v>141</v>
      </c>
      <c r="E127" s="626">
        <f>'13'!F127</f>
        <v>8967</v>
      </c>
      <c r="F127" s="626">
        <v>8967</v>
      </c>
      <c r="G127" s="473">
        <f t="shared" si="15"/>
        <v>0</v>
      </c>
      <c r="H127" s="460">
        <f>G127+'13'!H127</f>
        <v>5</v>
      </c>
      <c r="I127" s="480"/>
      <c r="J127" s="552">
        <f>H127/DAY(B2)</f>
        <v>0.35714285714285715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189"/>
      <c r="C128" s="1189"/>
      <c r="D128" s="523"/>
      <c r="E128" s="478"/>
      <c r="F128" s="478"/>
      <c r="G128" s="473">
        <f>G15-SUM(G123:G127)</f>
        <v>493.62000000002445</v>
      </c>
      <c r="H128" s="460"/>
      <c r="I128" s="480"/>
      <c r="J128" s="552"/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188" t="s">
        <v>238</v>
      </c>
      <c r="B130" s="1189"/>
      <c r="C130" s="1189"/>
      <c r="D130" s="523" t="s">
        <v>239</v>
      </c>
      <c r="E130" s="484">
        <f>'13'!F130</f>
        <v>0</v>
      </c>
      <c r="F130" s="478">
        <v>0</v>
      </c>
      <c r="G130" s="473">
        <f t="shared" ref="G130:G140" si="16">F130-E130</f>
        <v>0</v>
      </c>
      <c r="H130" s="460">
        <f>G130+'13'!H130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188" t="s">
        <v>240</v>
      </c>
      <c r="B131" s="1189"/>
      <c r="C131" s="1189"/>
      <c r="D131" s="523" t="s">
        <v>239</v>
      </c>
      <c r="E131" s="484">
        <f>'13'!F131</f>
        <v>0</v>
      </c>
      <c r="F131" s="478">
        <v>0</v>
      </c>
      <c r="G131" s="473">
        <f t="shared" si="16"/>
        <v>0</v>
      </c>
      <c r="H131" s="460">
        <f>G131+'13'!H131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188" t="s">
        <v>241</v>
      </c>
      <c r="B132" s="1189"/>
      <c r="C132" s="1189"/>
      <c r="D132" s="523" t="s">
        <v>239</v>
      </c>
      <c r="E132" s="541">
        <f>'13'!F132</f>
        <v>39659.230000000003</v>
      </c>
      <c r="F132" s="654">
        <v>39659.230000000003</v>
      </c>
      <c r="G132" s="473">
        <f t="shared" si="16"/>
        <v>0</v>
      </c>
      <c r="H132" s="460">
        <f>G132+'13'!H132</f>
        <v>126.2300000000032</v>
      </c>
      <c r="I132" s="480"/>
      <c r="J132" s="552">
        <f>H132/DAY(B2)</f>
        <v>9.0164285714288006</v>
      </c>
      <c r="N132" s="721"/>
      <c r="O132" s="728"/>
      <c r="P132" s="382"/>
    </row>
    <row r="133" spans="1:16" ht="27.75">
      <c r="A133" s="1188" t="s">
        <v>242</v>
      </c>
      <c r="B133" s="1189"/>
      <c r="C133" s="1189"/>
      <c r="D133" s="523" t="s">
        <v>239</v>
      </c>
      <c r="E133" s="704">
        <f>'13'!F133</f>
        <v>300</v>
      </c>
      <c r="F133" s="626">
        <v>300</v>
      </c>
      <c r="G133" s="473">
        <f t="shared" si="16"/>
        <v>0</v>
      </c>
      <c r="H133" s="460">
        <f>G133+'13'!H133</f>
        <v>0</v>
      </c>
      <c r="I133" s="480">
        <f>G130+G131+G132+G133</f>
        <v>0</v>
      </c>
      <c r="J133" s="552">
        <f>H133/DAY(B2)</f>
        <v>0</v>
      </c>
      <c r="N133" s="721"/>
      <c r="O133" s="728"/>
      <c r="P133" s="382"/>
    </row>
    <row r="134" spans="1:16" ht="27.75">
      <c r="A134" s="1188" t="s">
        <v>243</v>
      </c>
      <c r="B134" s="1189"/>
      <c r="C134" s="1189"/>
      <c r="D134" s="523" t="s">
        <v>239</v>
      </c>
      <c r="E134" s="704">
        <f>'13'!F134</f>
        <v>41052.31</v>
      </c>
      <c r="F134" s="626">
        <v>41076</v>
      </c>
      <c r="G134" s="473">
        <f t="shared" si="16"/>
        <v>23.690000000002328</v>
      </c>
      <c r="H134" s="460">
        <f>G134+'13'!H134</f>
        <v>237</v>
      </c>
      <c r="I134" s="480"/>
      <c r="J134" s="552">
        <f>H134/DAY(B2)</f>
        <v>16.928571428571427</v>
      </c>
      <c r="N134" s="721"/>
      <c r="O134" s="728"/>
      <c r="P134" s="382"/>
    </row>
    <row r="135" spans="1:16" ht="27.75">
      <c r="A135" s="1188" t="s">
        <v>244</v>
      </c>
      <c r="B135" s="1189"/>
      <c r="C135" s="1189"/>
      <c r="D135" s="523" t="s">
        <v>239</v>
      </c>
      <c r="E135" s="541">
        <f>'13'!F135</f>
        <v>32582.560000000001</v>
      </c>
      <c r="F135" s="654">
        <v>32582.98</v>
      </c>
      <c r="G135" s="473">
        <f t="shared" si="16"/>
        <v>0.41999999999825377</v>
      </c>
      <c r="H135" s="460">
        <f>G135+'13'!H135</f>
        <v>-2.0000000000436557E-2</v>
      </c>
      <c r="I135" s="480"/>
      <c r="J135" s="552">
        <f>H135/DAY(B2)</f>
        <v>-1.4285714286026113E-3</v>
      </c>
      <c r="N135" s="721"/>
      <c r="O135" s="728"/>
      <c r="P135" s="382"/>
    </row>
    <row r="136" spans="1:16" ht="27.75">
      <c r="A136" s="1188" t="s">
        <v>245</v>
      </c>
      <c r="B136" s="1189"/>
      <c r="C136" s="1189"/>
      <c r="D136" s="523" t="s">
        <v>239</v>
      </c>
      <c r="E136" s="541">
        <f>'13'!F136</f>
        <v>22618.58</v>
      </c>
      <c r="F136" s="654">
        <v>22627.94</v>
      </c>
      <c r="G136" s="473">
        <f t="shared" si="16"/>
        <v>9.3599999999969441</v>
      </c>
      <c r="H136" s="460">
        <f>G136+'13'!H136</f>
        <v>139.28999999999724</v>
      </c>
      <c r="I136" s="480">
        <f>G134+G135+G136</f>
        <v>33.469999999997526</v>
      </c>
      <c r="J136" s="552">
        <f>H136/DAY(B2)</f>
        <v>9.9492857142855176</v>
      </c>
      <c r="N136" s="721"/>
      <c r="O136" s="728"/>
      <c r="P136" s="382"/>
    </row>
    <row r="137" spans="1:16" ht="27.75">
      <c r="A137" s="1188" t="s">
        <v>246</v>
      </c>
      <c r="B137" s="1189"/>
      <c r="C137" s="1189"/>
      <c r="D137" s="523" t="s">
        <v>239</v>
      </c>
      <c r="E137" s="541">
        <f>'13'!F137</f>
        <v>25049.97</v>
      </c>
      <c r="F137" s="654">
        <v>25049.97</v>
      </c>
      <c r="G137" s="473">
        <f t="shared" si="16"/>
        <v>0</v>
      </c>
      <c r="H137" s="460">
        <f>G137+'13'!H137</f>
        <v>1.180000000000291</v>
      </c>
      <c r="I137" s="480"/>
      <c r="J137" s="552">
        <f>H137/DAY(B2)</f>
        <v>8.4285714285735072E-2</v>
      </c>
      <c r="N137" s="721"/>
      <c r="O137" s="728"/>
      <c r="P137" s="382"/>
    </row>
    <row r="138" spans="1:16" ht="27.75">
      <c r="A138" s="1188" t="s">
        <v>247</v>
      </c>
      <c r="B138" s="1189"/>
      <c r="C138" s="1189"/>
      <c r="D138" s="523" t="s">
        <v>239</v>
      </c>
      <c r="E138" s="541">
        <f>'13'!F138</f>
        <v>70281.48</v>
      </c>
      <c r="F138" s="654">
        <v>70282.320000000007</v>
      </c>
      <c r="G138" s="473">
        <f t="shared" si="16"/>
        <v>0.84000000001105946</v>
      </c>
      <c r="H138" s="460">
        <f>G138+'13'!H138</f>
        <v>28.290000000008149</v>
      </c>
      <c r="I138" s="480">
        <f>G137+G138</f>
        <v>0.84000000001105946</v>
      </c>
      <c r="J138" s="552">
        <f>H138/DAY(B2)</f>
        <v>2.0207142857148677</v>
      </c>
      <c r="N138" s="721"/>
      <c r="O138" s="728"/>
      <c r="P138" s="382"/>
    </row>
    <row r="139" spans="1:16" ht="27.75">
      <c r="A139" s="1188" t="s">
        <v>248</v>
      </c>
      <c r="B139" s="1189"/>
      <c r="C139" s="1189"/>
      <c r="D139" s="523" t="s">
        <v>239</v>
      </c>
      <c r="E139" s="704">
        <f>'13'!F139</f>
        <v>1536.62</v>
      </c>
      <c r="F139" s="626">
        <v>1536.62</v>
      </c>
      <c r="G139" s="473">
        <f t="shared" si="16"/>
        <v>0</v>
      </c>
      <c r="H139" s="460">
        <f>G139+'13'!H139</f>
        <v>9.9999999999909051E-2</v>
      </c>
      <c r="I139" s="542"/>
      <c r="J139" s="552">
        <f>H139/DAY(B2)</f>
        <v>7.1428571428506461E-3</v>
      </c>
      <c r="N139" s="721"/>
      <c r="O139" s="728"/>
      <c r="P139" s="382"/>
    </row>
    <row r="140" spans="1:16" ht="27.75">
      <c r="A140" s="1188" t="s">
        <v>249</v>
      </c>
      <c r="B140" s="1189"/>
      <c r="C140" s="1189"/>
      <c r="D140" s="523" t="s">
        <v>239</v>
      </c>
      <c r="E140" s="484">
        <f>'13'!F140</f>
        <v>4575.76</v>
      </c>
      <c r="F140" s="478">
        <v>4583.38</v>
      </c>
      <c r="G140" s="473">
        <f t="shared" si="16"/>
        <v>7.6199999999998909</v>
      </c>
      <c r="H140" s="460">
        <f>G140+'13'!H140</f>
        <v>114.84000000000015</v>
      </c>
      <c r="I140" s="542"/>
      <c r="J140" s="552">
        <f>H140/DAY(B2)</f>
        <v>8.2028571428571535</v>
      </c>
      <c r="N140" s="721"/>
      <c r="O140" s="728"/>
      <c r="P140" s="382"/>
    </row>
    <row r="141" spans="1:16">
      <c r="A141" s="1526" t="s">
        <v>250</v>
      </c>
      <c r="B141" s="1527"/>
      <c r="C141" s="1192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520" t="s">
        <v>251</v>
      </c>
      <c r="B142" s="1521"/>
      <c r="C142" s="1522"/>
      <c r="D142" s="523" t="s">
        <v>132</v>
      </c>
      <c r="E142" s="523"/>
      <c r="F142" s="523"/>
      <c r="G142" s="460">
        <f>G35+G43+G49+G57</f>
        <v>5106</v>
      </c>
      <c r="H142" s="460">
        <f>G142+'13'!H142</f>
        <v>79606.33</v>
      </c>
      <c r="I142" s="480"/>
      <c r="J142" s="552">
        <f>H142/DAY(B2)</f>
        <v>5686.1664285714287</v>
      </c>
      <c r="K142" s="380"/>
      <c r="L142" s="377"/>
      <c r="N142" s="721"/>
      <c r="O142" s="728"/>
      <c r="P142" s="382"/>
    </row>
    <row r="143" spans="1:16" ht="27.75">
      <c r="A143" s="1520" t="s">
        <v>252</v>
      </c>
      <c r="B143" s="1521"/>
      <c r="C143" s="1522"/>
      <c r="D143" s="523" t="s">
        <v>24</v>
      </c>
      <c r="E143" s="511"/>
      <c r="F143" s="511"/>
      <c r="G143" s="543">
        <f>G142/G7</f>
        <v>0.24443487002728709</v>
      </c>
      <c r="H143" s="460">
        <f>G143+'13'!H143</f>
        <v>3.7186914045840118</v>
      </c>
      <c r="I143" s="544"/>
      <c r="J143" s="552">
        <f>H143/DAY(B2)</f>
        <v>0.26562081461314369</v>
      </c>
      <c r="K143" s="380"/>
      <c r="L143" s="377"/>
      <c r="N143" s="721"/>
      <c r="O143" s="728"/>
      <c r="P143" s="382"/>
    </row>
    <row r="144" spans="1:16" ht="27.75">
      <c r="A144" s="1520" t="s">
        <v>253</v>
      </c>
      <c r="B144" s="1521"/>
      <c r="C144" s="1522"/>
      <c r="D144" s="523" t="s">
        <v>132</v>
      </c>
      <c r="E144" s="455"/>
      <c r="F144" s="455"/>
      <c r="G144" s="460">
        <f>G41+G42+G55+G56</f>
        <v>6215</v>
      </c>
      <c r="H144" s="460">
        <f>G144+'13'!H144</f>
        <v>84692.84</v>
      </c>
      <c r="I144" s="480"/>
      <c r="J144" s="552">
        <f>H144/DAY(B2)</f>
        <v>6049.488571428571</v>
      </c>
      <c r="K144" s="380"/>
      <c r="L144" s="377"/>
      <c r="N144" s="721"/>
      <c r="O144" s="728"/>
      <c r="P144" s="382"/>
    </row>
    <row r="145" spans="1:16" ht="27.75">
      <c r="A145" s="1520" t="s">
        <v>254</v>
      </c>
      <c r="B145" s="1521"/>
      <c r="C145" s="1522"/>
      <c r="D145" s="523" t="s">
        <v>24</v>
      </c>
      <c r="E145" s="455"/>
      <c r="F145" s="455"/>
      <c r="G145" s="543">
        <f>G144/G7</f>
        <v>0.2975250131648236</v>
      </c>
      <c r="H145" s="460">
        <f>G145+'13'!H145</f>
        <v>3.9548054809393789</v>
      </c>
      <c r="I145" s="544"/>
      <c r="J145" s="552">
        <f>H145/DAY(B2)</f>
        <v>0.28248610578138422</v>
      </c>
      <c r="K145" s="380"/>
      <c r="L145" s="377"/>
      <c r="N145" s="721"/>
      <c r="O145" s="728"/>
      <c r="P145" s="382"/>
    </row>
    <row r="146" spans="1:16" ht="27.75">
      <c r="A146" s="1520" t="s">
        <v>255</v>
      </c>
      <c r="B146" s="1521"/>
      <c r="C146" s="1522"/>
      <c r="D146" s="523" t="s">
        <v>132</v>
      </c>
      <c r="E146" s="455"/>
      <c r="F146" s="455"/>
      <c r="G146" s="460">
        <f>G39+G53</f>
        <v>3539</v>
      </c>
      <c r="H146" s="460">
        <f>G146+'13'!H146</f>
        <v>55426</v>
      </c>
      <c r="I146" s="545"/>
      <c r="J146" s="552">
        <f>H146/DAY(B2)</f>
        <v>3959</v>
      </c>
      <c r="K146" s="380"/>
      <c r="L146" s="377"/>
      <c r="N146" s="721"/>
      <c r="O146" s="728"/>
      <c r="P146" s="382"/>
    </row>
    <row r="147" spans="1:16" ht="27.75">
      <c r="A147" s="1520" t="s">
        <v>256</v>
      </c>
      <c r="B147" s="1521"/>
      <c r="C147" s="1522"/>
      <c r="D147" s="523" t="s">
        <v>24</v>
      </c>
      <c r="E147" s="455"/>
      <c r="F147" s="455"/>
      <c r="G147" s="543">
        <f>G146/G7</f>
        <v>0.16941931159940637</v>
      </c>
      <c r="H147" s="460">
        <f>G147+'13'!H147</f>
        <v>2.5877324256352425</v>
      </c>
      <c r="I147" s="545"/>
      <c r="J147" s="552">
        <f>H147/DAY(B2)</f>
        <v>0.18483803040251731</v>
      </c>
      <c r="N147" s="721"/>
      <c r="O147" s="728"/>
      <c r="P147" s="382"/>
    </row>
    <row r="148" spans="1:16" ht="27.75">
      <c r="A148" s="1520" t="s">
        <v>257</v>
      </c>
      <c r="B148" s="1521"/>
      <c r="C148" s="1522"/>
      <c r="D148" s="523" t="s">
        <v>183</v>
      </c>
      <c r="E148" s="455"/>
      <c r="F148" s="455"/>
      <c r="G148" s="460">
        <f>G38+G52</f>
        <v>1681</v>
      </c>
      <c r="H148" s="460">
        <f>G148+'13'!H148</f>
        <v>23640</v>
      </c>
      <c r="I148" s="480"/>
      <c r="J148" s="552">
        <f>H148/DAY(B2)</f>
        <v>1688.5714285714287</v>
      </c>
      <c r="K148" s="381"/>
      <c r="N148" s="721"/>
      <c r="O148" s="728"/>
      <c r="P148" s="382"/>
    </row>
    <row r="149" spans="1:16" ht="27.75">
      <c r="A149" s="1520" t="s">
        <v>258</v>
      </c>
      <c r="B149" s="1521"/>
      <c r="C149" s="1522"/>
      <c r="D149" s="523" t="s">
        <v>24</v>
      </c>
      <c r="E149" s="455"/>
      <c r="F149" s="455"/>
      <c r="G149" s="543">
        <f>G148/G7</f>
        <v>8.0472976207573363E-2</v>
      </c>
      <c r="H149" s="460">
        <f>G149+'13'!H149</f>
        <v>1.1050898930935813</v>
      </c>
      <c r="I149" s="545"/>
      <c r="J149" s="552">
        <f>H149/DAY(B2)</f>
        <v>7.8934992363827242E-2</v>
      </c>
      <c r="N149" s="721"/>
      <c r="O149" s="728"/>
      <c r="P149" s="382"/>
    </row>
    <row r="150" spans="1:16" ht="27.75">
      <c r="A150" s="1520" t="s">
        <v>259</v>
      </c>
      <c r="B150" s="1521"/>
      <c r="C150" s="1522"/>
      <c r="D150" s="523" t="s">
        <v>183</v>
      </c>
      <c r="E150" s="455"/>
      <c r="F150" s="455"/>
      <c r="G150" s="460">
        <f>G36+G50</f>
        <v>2288</v>
      </c>
      <c r="H150" s="460">
        <f>G150+'13'!H150</f>
        <v>28764</v>
      </c>
      <c r="I150" s="545"/>
      <c r="J150" s="552">
        <f>H150/DAY(B2)</f>
        <v>2054.5714285714284</v>
      </c>
      <c r="N150" s="721"/>
      <c r="O150" s="728"/>
      <c r="P150" s="382"/>
    </row>
    <row r="151" spans="1:16" ht="27.75">
      <c r="A151" s="1520" t="s">
        <v>260</v>
      </c>
      <c r="B151" s="1521"/>
      <c r="C151" s="1522"/>
      <c r="D151" s="523" t="s">
        <v>24</v>
      </c>
      <c r="E151" s="455"/>
      <c r="F151" s="455"/>
      <c r="G151" s="543">
        <f>G150/G7</f>
        <v>0.10953133228014744</v>
      </c>
      <c r="H151" s="460">
        <f>G151+'13'!H151</f>
        <v>1.3445494559540019</v>
      </c>
      <c r="I151" s="480"/>
      <c r="J151" s="552">
        <f>H151/DAY(B2)</f>
        <v>9.6039246853857271E-2</v>
      </c>
      <c r="N151" s="721"/>
      <c r="O151" s="728"/>
      <c r="P151" s="382"/>
    </row>
    <row r="152" spans="1:16" ht="27.75">
      <c r="A152" s="1520" t="s">
        <v>261</v>
      </c>
      <c r="B152" s="1521"/>
      <c r="C152" s="1522"/>
      <c r="D152" s="523" t="s">
        <v>183</v>
      </c>
      <c r="E152" s="455"/>
      <c r="F152" s="455"/>
      <c r="G152" s="460">
        <f>G37+G51</f>
        <v>1384</v>
      </c>
      <c r="H152" s="460">
        <f>G152+'13'!H152</f>
        <v>19293</v>
      </c>
      <c r="I152" s="480"/>
      <c r="J152" s="552">
        <f>H152/DAY(B2)</f>
        <v>1378.0714285714287</v>
      </c>
      <c r="N152" s="721"/>
      <c r="O152" s="728"/>
      <c r="P152" s="382"/>
    </row>
    <row r="153" spans="1:16" ht="28.5" thickBot="1">
      <c r="A153" s="1523" t="s">
        <v>262</v>
      </c>
      <c r="B153" s="1524"/>
      <c r="C153" s="1525"/>
      <c r="D153" s="625" t="s">
        <v>24</v>
      </c>
      <c r="E153" s="565"/>
      <c r="F153" s="565"/>
      <c r="G153" s="566">
        <f>G152/G7</f>
        <v>6.6254966728900383E-2</v>
      </c>
      <c r="H153" s="460">
        <f>G153+'13'!H153</f>
        <v>0.90202787129570283</v>
      </c>
      <c r="I153" s="568"/>
      <c r="J153" s="569">
        <f>H153/DAY(B2)</f>
        <v>6.4430562235407343E-2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'13'!F160</f>
        <v>34521</v>
      </c>
      <c r="F160" s="807">
        <v>34604</v>
      </c>
      <c r="G160" s="473">
        <f t="shared" ref="G160:G163" si="17">F160-E160</f>
        <v>83</v>
      </c>
      <c r="N160" s="721"/>
    </row>
    <row r="161" spans="1:14" ht="21.75" customHeight="1">
      <c r="A161" s="798" t="s">
        <v>264</v>
      </c>
      <c r="B161" s="799"/>
      <c r="C161" s="799"/>
      <c r="D161" s="620" t="s">
        <v>187</v>
      </c>
      <c r="E161" s="522">
        <f>'13'!F161</f>
        <v>74565</v>
      </c>
      <c r="F161" s="807">
        <v>75039</v>
      </c>
      <c r="G161" s="473">
        <f t="shared" si="17"/>
        <v>474</v>
      </c>
      <c r="N161" s="721"/>
    </row>
    <row r="162" spans="1:14" ht="21.75" customHeight="1">
      <c r="A162" s="798" t="s">
        <v>265</v>
      </c>
      <c r="B162" s="799"/>
      <c r="C162" s="799"/>
      <c r="D162" s="620" t="s">
        <v>187</v>
      </c>
      <c r="E162" s="522">
        <f>'13'!F162</f>
        <v>32945</v>
      </c>
      <c r="F162" s="807">
        <v>33227</v>
      </c>
      <c r="G162" s="473">
        <f t="shared" si="17"/>
        <v>282</v>
      </c>
      <c r="N162" s="721"/>
    </row>
    <row r="163" spans="1:14" ht="21.75" customHeight="1">
      <c r="A163" s="798" t="s">
        <v>266</v>
      </c>
      <c r="B163" s="799"/>
      <c r="C163" s="799"/>
      <c r="D163" s="620" t="s">
        <v>187</v>
      </c>
      <c r="E163" s="522">
        <f>'13'!F163</f>
        <v>5932</v>
      </c>
      <c r="F163" s="807">
        <v>5939</v>
      </c>
      <c r="G163" s="473">
        <f t="shared" si="17"/>
        <v>7</v>
      </c>
      <c r="N163" s="721"/>
    </row>
    <row r="164" spans="1:14" ht="21.75" customHeight="1">
      <c r="A164" s="800" t="s">
        <v>98</v>
      </c>
      <c r="B164" s="801"/>
      <c r="C164" s="801"/>
      <c r="D164" s="620" t="s">
        <v>187</v>
      </c>
      <c r="E164" s="514">
        <f>E62</f>
        <v>0</v>
      </c>
      <c r="F164" s="514">
        <f>F62</f>
        <v>0</v>
      </c>
      <c r="G164" s="473">
        <f t="shared" ref="G164:G171" si="18">F164-E164</f>
        <v>0</v>
      </c>
      <c r="N164" s="721"/>
    </row>
    <row r="165" spans="1:14" ht="21.75" customHeight="1">
      <c r="A165" s="800" t="s">
        <v>188</v>
      </c>
      <c r="B165" s="801"/>
      <c r="C165" s="801"/>
      <c r="D165" s="620" t="s">
        <v>187</v>
      </c>
      <c r="E165" s="514">
        <f t="shared" ref="E165:E171" si="19">E63</f>
        <v>2246</v>
      </c>
      <c r="F165" s="514">
        <f t="shared" ref="F165:F171" si="20">F63</f>
        <v>2258</v>
      </c>
      <c r="G165" s="473">
        <f t="shared" si="18"/>
        <v>12</v>
      </c>
      <c r="N165" s="721"/>
    </row>
    <row r="166" spans="1:14" ht="21.75" customHeight="1">
      <c r="A166" s="1565" t="s">
        <v>99</v>
      </c>
      <c r="B166" s="1565"/>
      <c r="C166" s="1565"/>
      <c r="D166" s="524" t="s">
        <v>187</v>
      </c>
      <c r="E166" s="514">
        <f t="shared" si="19"/>
        <v>145294</v>
      </c>
      <c r="F166" s="514">
        <f t="shared" si="20"/>
        <v>145783</v>
      </c>
      <c r="G166" s="473">
        <f t="shared" si="18"/>
        <v>489</v>
      </c>
      <c r="N166" s="721"/>
    </row>
    <row r="167" spans="1:14" ht="21.75" customHeight="1">
      <c r="A167" s="1565" t="s">
        <v>100</v>
      </c>
      <c r="B167" s="1565"/>
      <c r="C167" s="1565"/>
      <c r="D167" s="524" t="s">
        <v>187</v>
      </c>
      <c r="E167" s="514">
        <f t="shared" si="19"/>
        <v>148909</v>
      </c>
      <c r="F167" s="514">
        <f t="shared" si="20"/>
        <v>149288</v>
      </c>
      <c r="G167" s="473">
        <f t="shared" si="18"/>
        <v>379</v>
      </c>
      <c r="N167" s="721"/>
    </row>
    <row r="168" spans="1:14" ht="21.75" customHeight="1">
      <c r="A168" s="1565" t="s">
        <v>101</v>
      </c>
      <c r="B168" s="1565"/>
      <c r="C168" s="1565"/>
      <c r="D168" s="524" t="s">
        <v>187</v>
      </c>
      <c r="E168" s="514">
        <f t="shared" si="19"/>
        <v>42293</v>
      </c>
      <c r="F168" s="514">
        <f t="shared" si="20"/>
        <v>42704</v>
      </c>
      <c r="G168" s="473">
        <f t="shared" si="18"/>
        <v>411</v>
      </c>
      <c r="N168" s="721"/>
    </row>
    <row r="169" spans="1:14" ht="21.75" customHeight="1">
      <c r="A169" s="1565" t="s">
        <v>102</v>
      </c>
      <c r="B169" s="1565"/>
      <c r="C169" s="1565"/>
      <c r="D169" s="524" t="s">
        <v>187</v>
      </c>
      <c r="E169" s="514">
        <f t="shared" si="19"/>
        <v>236569</v>
      </c>
      <c r="F169" s="514">
        <f t="shared" si="20"/>
        <v>237032</v>
      </c>
      <c r="G169" s="473">
        <f t="shared" si="18"/>
        <v>463</v>
      </c>
      <c r="N169" s="721"/>
    </row>
    <row r="170" spans="1:14" ht="24" customHeight="1">
      <c r="A170" s="1565" t="s">
        <v>103</v>
      </c>
      <c r="B170" s="1565"/>
      <c r="C170" s="1565"/>
      <c r="D170" s="524" t="s">
        <v>187</v>
      </c>
      <c r="E170" s="514">
        <f t="shared" si="19"/>
        <v>85321</v>
      </c>
      <c r="F170" s="514">
        <f t="shared" si="20"/>
        <v>85321</v>
      </c>
      <c r="G170" s="473">
        <f t="shared" si="18"/>
        <v>0</v>
      </c>
      <c r="N170" s="721"/>
    </row>
    <row r="171" spans="1:14" ht="27.75">
      <c r="A171" s="1565" t="s">
        <v>104</v>
      </c>
      <c r="B171" s="1565"/>
      <c r="C171" s="1565"/>
      <c r="D171" s="524" t="s">
        <v>187</v>
      </c>
      <c r="E171" s="514">
        <f t="shared" si="19"/>
        <v>78019</v>
      </c>
      <c r="F171" s="514">
        <f t="shared" si="20"/>
        <v>78054</v>
      </c>
      <c r="G171" s="473">
        <f t="shared" si="18"/>
        <v>35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2635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22.5" customHeight="1">
      <c r="N177" s="721"/>
    </row>
    <row r="178" spans="14:14" ht="22.5" customHeight="1">
      <c r="N178" s="721"/>
    </row>
    <row r="179" spans="14:14" ht="22.5" customHeight="1">
      <c r="N179" s="721"/>
    </row>
    <row r="180" spans="14:14" ht="22.5" customHeight="1">
      <c r="N180" s="721"/>
    </row>
    <row r="181" spans="14:14" ht="22.5" customHeight="1">
      <c r="N181" s="721"/>
    </row>
    <row r="182" spans="14:14" ht="22.5" customHeight="1">
      <c r="N182" s="721"/>
    </row>
    <row r="183" spans="14:14" ht="22.5" customHeight="1">
      <c r="N183" s="721"/>
    </row>
    <row r="184" spans="14:14" ht="22.5" customHeight="1">
      <c r="N184" s="721"/>
    </row>
    <row r="185" spans="14:14" ht="22.5" customHeight="1">
      <c r="N185" s="721"/>
    </row>
    <row r="186" spans="14:14" ht="22.5" customHeight="1">
      <c r="N186" s="721"/>
    </row>
    <row r="187" spans="14:14" ht="22.5" customHeight="1">
      <c r="N187" s="721"/>
    </row>
    <row r="188" spans="14:14" ht="22.5" customHeight="1">
      <c r="N188" s="721"/>
    </row>
    <row r="189" spans="14:14" ht="22.5" customHeight="1">
      <c r="N189" s="721"/>
    </row>
    <row r="190" spans="14:14" ht="22.5" customHeight="1">
      <c r="N190" s="721"/>
    </row>
    <row r="191" spans="14:14" ht="22.5" customHeight="1">
      <c r="N191" s="721"/>
    </row>
    <row r="192" spans="14:14" ht="22.5" customHeight="1">
      <c r="N192" s="721"/>
    </row>
    <row r="193" spans="14:14" ht="22.5" customHeight="1">
      <c r="N193" s="721"/>
    </row>
    <row r="194" spans="14:14" ht="22.5" customHeight="1">
      <c r="N194" s="721"/>
    </row>
    <row r="195" spans="14:14" ht="22.5" customHeight="1">
      <c r="N195" s="721"/>
    </row>
    <row r="196" spans="14:14" ht="22.5" customHeight="1">
      <c r="N196" s="721"/>
    </row>
    <row r="197" spans="14:14" ht="22.5" customHeight="1">
      <c r="N197" s="721"/>
    </row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1:C101"/>
    <mergeCell ref="A94:C94"/>
    <mergeCell ref="A95:C95"/>
    <mergeCell ref="A82:C82"/>
    <mergeCell ref="A83:C83"/>
    <mergeCell ref="A92:C92"/>
    <mergeCell ref="A93:C93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37" zoomScale="55" zoomScaleNormal="80" zoomScaleSheetLayoutView="55" workbookViewId="0">
      <selection activeCell="B3" sqref="B3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28" t="s">
        <v>117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6" s="281" customFormat="1" ht="27">
      <c r="A2" s="575" t="s">
        <v>356</v>
      </c>
      <c r="B2" s="1036">
        <v>44301</v>
      </c>
      <c r="C2" s="1204" t="s">
        <v>69</v>
      </c>
      <c r="D2" s="611">
        <v>0.89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204" t="s">
        <v>120</v>
      </c>
      <c r="D3" s="612">
        <v>31</v>
      </c>
      <c r="E3" s="1537" t="s">
        <v>121</v>
      </c>
      <c r="F3" s="1538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04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31" t="s">
        <v>130</v>
      </c>
      <c r="B6" s="1532"/>
      <c r="C6" s="1533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'14'!F7</f>
        <v>5413597</v>
      </c>
      <c r="F7" s="455">
        <v>5433764</v>
      </c>
      <c r="G7" s="681">
        <f t="shared" ref="G7:G12" si="0">F7-E7</f>
        <v>20167</v>
      </c>
      <c r="H7" s="682">
        <f>G7+'14'!H7</f>
        <v>319841</v>
      </c>
      <c r="I7" s="683">
        <f>'1'!I7</f>
        <v>12000</v>
      </c>
      <c r="J7" s="684">
        <f>H7/DAY(B2)</f>
        <v>21322.733333333334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'14'!F8</f>
        <v>5446358</v>
      </c>
      <c r="F8" s="475">
        <v>5466584</v>
      </c>
      <c r="G8" s="692">
        <f t="shared" si="0"/>
        <v>20226</v>
      </c>
      <c r="H8" s="682">
        <f>G8+'14'!H8</f>
        <v>321266</v>
      </c>
      <c r="I8" s="689">
        <f>'1'!I8</f>
        <v>12000</v>
      </c>
      <c r="J8" s="684">
        <f>H8/DAY(B2)</f>
        <v>21417.733333333334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'14'!F9</f>
        <v>686523</v>
      </c>
      <c r="F9" s="478">
        <v>706189</v>
      </c>
      <c r="G9" s="705">
        <f t="shared" si="0"/>
        <v>19666</v>
      </c>
      <c r="H9" s="682">
        <f>G9+'14'!H9</f>
        <v>310120</v>
      </c>
      <c r="I9" s="693">
        <f>I7-J7</f>
        <v>-9322.7333333333336</v>
      </c>
      <c r="J9" s="684">
        <f>H9/DAY(B2)</f>
        <v>20674.666666666668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'14'!F10</f>
        <v>2322.58</v>
      </c>
      <c r="F10" s="478">
        <v>2322.58</v>
      </c>
      <c r="G10" s="692">
        <f t="shared" si="0"/>
        <v>0</v>
      </c>
      <c r="H10" s="682">
        <f>G10+'14'!H10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G11+'14'!H11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G12+'14'!H12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19666</v>
      </c>
      <c r="H13" s="682">
        <f>G13+'14'!H13</f>
        <v>289929.3600000001</v>
      </c>
      <c r="I13" s="698">
        <f>G7-G13</f>
        <v>501</v>
      </c>
      <c r="J13" s="684">
        <f>H13/DAY(B2)</f>
        <v>19328.624000000007</v>
      </c>
      <c r="K13" s="428"/>
      <c r="L13" s="377"/>
      <c r="N13" s="721"/>
      <c r="O13" s="728"/>
      <c r="P13" s="382"/>
    </row>
    <row r="14" spans="1:16">
      <c r="A14" s="1534" t="s">
        <v>139</v>
      </c>
      <c r="B14" s="1535"/>
      <c r="C14" s="1536"/>
      <c r="D14" s="472"/>
      <c r="E14" s="472"/>
      <c r="F14" s="472"/>
      <c r="G14" s="483"/>
      <c r="H14" s="472"/>
      <c r="I14" s="472"/>
      <c r="J14" s="1222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'14'!F15</f>
        <v>1659232</v>
      </c>
      <c r="F15" s="626">
        <v>1660039.75</v>
      </c>
      <c r="G15" s="667">
        <f>(F15-E15)</f>
        <v>807.75</v>
      </c>
      <c r="H15" s="486">
        <f>G15+'14'!H15</f>
        <v>13350.75</v>
      </c>
      <c r="I15" s="474">
        <v>800</v>
      </c>
      <c r="J15" s="553">
        <f>H15/DAY(B2)</f>
        <v>890.05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-90.049999999999955</v>
      </c>
      <c r="J16" s="553"/>
      <c r="K16" s="428"/>
      <c r="L16" s="377"/>
      <c r="N16" s="721"/>
      <c r="O16" s="728"/>
      <c r="P16" s="382"/>
    </row>
    <row r="17" spans="1:16">
      <c r="A17" s="1534" t="s">
        <v>142</v>
      </c>
      <c r="B17" s="1535"/>
      <c r="C17" s="1536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60" t="s">
        <v>143</v>
      </c>
      <c r="B18" s="1561"/>
      <c r="C18" s="1562"/>
      <c r="D18" s="638" t="s">
        <v>144</v>
      </c>
      <c r="E18" s="635">
        <f>'14'!F18</f>
        <v>8</v>
      </c>
      <c r="F18" s="478">
        <v>8</v>
      </c>
      <c r="G18" s="697">
        <f>F18*10</f>
        <v>80</v>
      </c>
      <c r="H18" s="682">
        <f>G18+'14'!H18</f>
        <v>1460</v>
      </c>
      <c r="I18" s="683">
        <f>'1'!I18</f>
        <v>65</v>
      </c>
      <c r="J18" s="684">
        <f>H18/DAY(B2)</f>
        <v>97.333333333333329</v>
      </c>
      <c r="K18" s="428"/>
      <c r="L18" s="377"/>
      <c r="N18" s="721"/>
      <c r="O18" s="728"/>
      <c r="P18" s="382"/>
    </row>
    <row r="19" spans="1:16" ht="27.75">
      <c r="A19" s="1560" t="s">
        <v>71</v>
      </c>
      <c r="B19" s="1561"/>
      <c r="C19" s="1562"/>
      <c r="D19" s="638" t="s">
        <v>144</v>
      </c>
      <c r="E19" s="635">
        <f>'14'!F19</f>
        <v>136889</v>
      </c>
      <c r="F19" s="478">
        <v>136947</v>
      </c>
      <c r="G19" s="692">
        <f t="shared" ref="G19" si="1">F19-E19</f>
        <v>58</v>
      </c>
      <c r="H19" s="682">
        <f>G19+'14'!H19</f>
        <v>857</v>
      </c>
      <c r="I19" s="699"/>
      <c r="J19" s="684">
        <f>H19/DAY(B2)</f>
        <v>57.133333333333333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138</v>
      </c>
      <c r="H20" s="682">
        <f>G20+'14'!H20</f>
        <v>2317</v>
      </c>
      <c r="I20" s="701">
        <f>I18-J20</f>
        <v>-89.466666666666669</v>
      </c>
      <c r="J20" s="684">
        <f>H20/DAY(B2)</f>
        <v>154.46666666666667</v>
      </c>
      <c r="K20" s="428"/>
      <c r="L20" s="377"/>
      <c r="N20" s="721"/>
      <c r="O20" s="728"/>
      <c r="P20" s="382"/>
    </row>
    <row r="21" spans="1:16">
      <c r="A21" s="1534" t="s">
        <v>146</v>
      </c>
      <c r="B21" s="1535"/>
      <c r="C21" s="1536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02" t="s">
        <v>147</v>
      </c>
      <c r="B22" s="589"/>
      <c r="C22" s="589"/>
      <c r="D22" s="523" t="s">
        <v>148</v>
      </c>
      <c r="E22" s="635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02" t="s">
        <v>149</v>
      </c>
      <c r="B23" s="589"/>
      <c r="C23" s="589"/>
      <c r="D23" s="523" t="s">
        <v>148</v>
      </c>
      <c r="E23" s="635">
        <f>'14'!F23</f>
        <v>2900</v>
      </c>
      <c r="F23" s="478">
        <v>2900</v>
      </c>
      <c r="G23" s="481">
        <v>0</v>
      </c>
      <c r="H23" s="460">
        <f>G23+'14'!H23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'14'!F24</f>
        <v>4250</v>
      </c>
      <c r="F24" s="485">
        <v>4250</v>
      </c>
      <c r="G24" s="481">
        <v>0</v>
      </c>
      <c r="H24" s="460">
        <f>G24+'14'!H24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39" t="s">
        <v>151</v>
      </c>
      <c r="B25" s="1540"/>
      <c r="C25" s="1541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20226</v>
      </c>
      <c r="F27" s="501">
        <v>9</v>
      </c>
      <c r="G27" s="502">
        <f>E27*F27</f>
        <v>182034</v>
      </c>
      <c r="H27" s="460">
        <f>G27+'14'!H27</f>
        <v>2891394</v>
      </c>
      <c r="I27" s="503"/>
      <c r="J27" s="552">
        <f>H27/DAY(B2)</f>
        <v>192759.6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807.75</v>
      </c>
      <c r="F28" s="501">
        <v>51.45</v>
      </c>
      <c r="G28" s="502">
        <f>E28*F28</f>
        <v>41558.737500000003</v>
      </c>
      <c r="H28" s="460">
        <f>G28+'14'!H28</f>
        <v>686896.08750000002</v>
      </c>
      <c r="I28" s="505"/>
      <c r="J28" s="552">
        <f>H28/DAY(B2)</f>
        <v>45793.072500000002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G29+'14'!H29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58</v>
      </c>
      <c r="F30" s="501">
        <v>134</v>
      </c>
      <c r="G30" s="502">
        <f>E30*F30</f>
        <v>7772</v>
      </c>
      <c r="H30" s="460">
        <f>G30+'14'!H30</f>
        <v>116206</v>
      </c>
      <c r="I30" s="505"/>
      <c r="J30" s="552">
        <f>H30/DAY(B2)</f>
        <v>7747.0666666666666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G31+'14'!H31</f>
        <v>116800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237764.73749999999</v>
      </c>
      <c r="H32" s="460">
        <f>G32+'14'!H32</f>
        <v>3811296.0874999999</v>
      </c>
      <c r="I32" s="509"/>
      <c r="J32" s="552">
        <f>H32/DAY(B2)</f>
        <v>254086.40583333332</v>
      </c>
      <c r="K32" s="373"/>
      <c r="L32" s="443"/>
      <c r="N32" s="721"/>
      <c r="O32" s="728"/>
      <c r="P32" s="382"/>
    </row>
    <row r="33" spans="1:16" ht="25.5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  <c r="N33" s="721"/>
      <c r="O33" s="728"/>
      <c r="P33" s="382"/>
    </row>
    <row r="34" spans="1:16">
      <c r="A34" s="598" t="s">
        <v>163</v>
      </c>
      <c r="B34" s="1207"/>
      <c r="C34" s="1207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'14'!F35</f>
        <v>843692</v>
      </c>
      <c r="F35" s="510">
        <v>846419</v>
      </c>
      <c r="G35" s="473">
        <f t="shared" ref="G35:G46" si="3">F35-E35</f>
        <v>2727</v>
      </c>
      <c r="H35" s="460">
        <f>G35+'14'!H35</f>
        <v>48030</v>
      </c>
      <c r="I35" s="455"/>
      <c r="J35" s="552">
        <f>H35/DAY(B2)</f>
        <v>3202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'14'!F36</f>
        <v>330434</v>
      </c>
      <c r="F36" s="510">
        <v>331635</v>
      </c>
      <c r="G36" s="473">
        <f t="shared" si="3"/>
        <v>1201</v>
      </c>
      <c r="H36" s="460">
        <f>G36+'14'!H36</f>
        <v>14199</v>
      </c>
      <c r="I36" s="455"/>
      <c r="J36" s="552">
        <f>H36/DAY(B2)</f>
        <v>946.6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'14'!F37</f>
        <v>74090</v>
      </c>
      <c r="F37" s="510">
        <v>75440</v>
      </c>
      <c r="G37" s="473">
        <f t="shared" si="3"/>
        <v>1350</v>
      </c>
      <c r="H37" s="460">
        <f>G37+'14'!H37</f>
        <v>20643</v>
      </c>
      <c r="I37" s="455"/>
      <c r="J37" s="552">
        <f>H37/DAY(B2)</f>
        <v>1376.2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'14'!F38</f>
        <v>95950</v>
      </c>
      <c r="F38" s="469">
        <v>97531</v>
      </c>
      <c r="G38" s="473">
        <f t="shared" si="3"/>
        <v>1581</v>
      </c>
      <c r="H38" s="460">
        <f>G38+'14'!H38</f>
        <v>25223</v>
      </c>
      <c r="I38" s="455"/>
      <c r="J38" s="552">
        <f>H38/DAY(B2)</f>
        <v>1681.5333333333333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'14'!F39</f>
        <v>202335</v>
      </c>
      <c r="F39" s="510">
        <v>205165</v>
      </c>
      <c r="G39" s="473">
        <f t="shared" si="3"/>
        <v>2830</v>
      </c>
      <c r="H39" s="460">
        <f>G39+'14'!H39</f>
        <v>52343</v>
      </c>
      <c r="I39" s="455"/>
      <c r="J39" s="552">
        <f>H39/DAY(B2)</f>
        <v>3489.5333333333333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'14'!F40</f>
        <v>0</v>
      </c>
      <c r="F40" s="510">
        <v>0</v>
      </c>
      <c r="G40" s="473">
        <f t="shared" si="3"/>
        <v>0</v>
      </c>
      <c r="H40" s="460">
        <f>G40+'14'!H40</f>
        <v>0.17</v>
      </c>
      <c r="I40" s="455"/>
      <c r="J40" s="552">
        <f>H40/DAY(B2)</f>
        <v>1.1333333333333334E-2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'14'!F41</f>
        <v>161910</v>
      </c>
      <c r="F41" s="510">
        <v>161910</v>
      </c>
      <c r="G41" s="473">
        <f t="shared" si="3"/>
        <v>0</v>
      </c>
      <c r="H41" s="460">
        <f>G41+'14'!H41</f>
        <v>28769</v>
      </c>
      <c r="I41" s="455"/>
      <c r="J41" s="552">
        <f>H41/DAY(B2)</f>
        <v>1917.9333333333334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'14'!F42</f>
        <v>59128</v>
      </c>
      <c r="F42" s="510">
        <v>59128</v>
      </c>
      <c r="G42" s="473">
        <f t="shared" si="3"/>
        <v>0</v>
      </c>
      <c r="H42" s="460">
        <f>G42+'14'!H42</f>
        <v>-0.16000000000349246</v>
      </c>
      <c r="I42" s="455"/>
      <c r="J42" s="552">
        <f>H42/DAY(B2)</f>
        <v>-1.0666666666899497E-2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'14'!F43</f>
        <v>936351</v>
      </c>
      <c r="F43" s="510">
        <v>938661</v>
      </c>
      <c r="G43" s="473">
        <f t="shared" si="3"/>
        <v>2310</v>
      </c>
      <c r="H43" s="460">
        <f>G43+'14'!H43</f>
        <v>36613</v>
      </c>
      <c r="I43" s="455"/>
      <c r="J43" s="552">
        <f>H43/DAY(B2)</f>
        <v>2440.8666666666668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187.49</v>
      </c>
      <c r="F46" s="510">
        <v>187.49</v>
      </c>
      <c r="G46" s="473">
        <f t="shared" si="3"/>
        <v>0</v>
      </c>
      <c r="H46" s="460">
        <f>G46+'14'!H46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11999</v>
      </c>
      <c r="H47" s="460">
        <f>G47+'14'!H47</f>
        <v>226621.49999999994</v>
      </c>
      <c r="I47" s="455"/>
      <c r="J47" s="552">
        <f>H47/DAY(B2)</f>
        <v>15108.099999999997</v>
      </c>
      <c r="K47" s="428"/>
      <c r="L47" s="377"/>
      <c r="N47" s="721"/>
      <c r="O47" s="728"/>
      <c r="P47" s="382"/>
    </row>
    <row r="48" spans="1:16">
      <c r="A48" s="598" t="s">
        <v>177</v>
      </c>
      <c r="B48" s="1207"/>
      <c r="C48" s="1207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'14'!F49</f>
        <v>260732</v>
      </c>
      <c r="F49" s="510">
        <v>260732</v>
      </c>
      <c r="G49" s="473">
        <f t="shared" ref="G49:G58" si="4">F49-E49</f>
        <v>0</v>
      </c>
      <c r="H49" s="460">
        <f>G49+'14'!H49</f>
        <v>0</v>
      </c>
      <c r="I49" s="455"/>
      <c r="J49" s="552">
        <f>H49/DAY(B2)</f>
        <v>0</v>
      </c>
      <c r="K49" s="428">
        <f>E49+242</f>
        <v>260974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'14'!F50</f>
        <v>456998</v>
      </c>
      <c r="F50" s="510">
        <v>458162</v>
      </c>
      <c r="G50" s="473">
        <f t="shared" si="4"/>
        <v>1164</v>
      </c>
      <c r="H50" s="460">
        <f>G50+'14'!H50</f>
        <v>15887.959999999963</v>
      </c>
      <c r="I50" s="455"/>
      <c r="J50" s="552">
        <f>H50/DAY(B2)</f>
        <v>1059.1973333333308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'14'!F51</f>
        <v>144640</v>
      </c>
      <c r="F51" s="510">
        <v>144640</v>
      </c>
      <c r="G51" s="473">
        <f t="shared" si="4"/>
        <v>0</v>
      </c>
      <c r="H51" s="460">
        <f>G51+'14'!H51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'14'!F52</f>
        <v>539606</v>
      </c>
      <c r="F52" s="510">
        <v>539606</v>
      </c>
      <c r="G52" s="473">
        <f t="shared" si="4"/>
        <v>0</v>
      </c>
      <c r="H52" s="460">
        <f>G52+'14'!H52</f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'14'!F53</f>
        <v>407177</v>
      </c>
      <c r="F53" s="510">
        <v>407177</v>
      </c>
      <c r="G53" s="473">
        <f t="shared" si="4"/>
        <v>0</v>
      </c>
      <c r="H53" s="460">
        <f>G53+'14'!H53</f>
        <v>5343.2000000000116</v>
      </c>
      <c r="I53" s="455"/>
      <c r="J53" s="552">
        <f>H53/DAY(B2)</f>
        <v>356.21333333333411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'14'!F54</f>
        <v>10177</v>
      </c>
      <c r="F54" s="510">
        <v>10255</v>
      </c>
      <c r="G54" s="473">
        <f t="shared" si="4"/>
        <v>78</v>
      </c>
      <c r="H54" s="460">
        <f>G54+'14'!H54</f>
        <v>4030.0300000000007</v>
      </c>
      <c r="I54" s="455"/>
      <c r="J54" s="552">
        <f>H54/DAY(B2)</f>
        <v>268.6686666666667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'14'!F55</f>
        <v>271902</v>
      </c>
      <c r="F55" s="656">
        <v>277952</v>
      </c>
      <c r="G55" s="655">
        <f t="shared" si="4"/>
        <v>6050</v>
      </c>
      <c r="H55" s="708">
        <f>G55+'14'!H55</f>
        <v>56498.799999999988</v>
      </c>
      <c r="I55" s="709"/>
      <c r="J55" s="710">
        <f>H55/DAY(B2)</f>
        <v>3766.5866666666657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'14'!F56</f>
        <v>589086</v>
      </c>
      <c r="F56" s="656">
        <v>589086</v>
      </c>
      <c r="G56" s="473">
        <f t="shared" si="4"/>
        <v>0</v>
      </c>
      <c r="H56" s="460">
        <f>G56+'14'!H56</f>
        <v>109.8399999999674</v>
      </c>
      <c r="I56" s="455"/>
      <c r="J56" s="552">
        <f>H56/DAY(B2)</f>
        <v>7.3226666666644933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0.32999999999992724</v>
      </c>
      <c r="I57" s="455"/>
      <c r="J57" s="552">
        <f>H57/DAY(B2)</f>
        <v>2.1999999999995148E-2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'14'!F58</f>
        <v>44181</v>
      </c>
      <c r="F58" s="656">
        <v>44343</v>
      </c>
      <c r="G58" s="473">
        <f t="shared" si="4"/>
        <v>162</v>
      </c>
      <c r="H58" s="460">
        <f>G58+'14'!H58</f>
        <v>2641.6599999999962</v>
      </c>
      <c r="I58" s="455"/>
      <c r="J58" s="552">
        <f>H58/DAY(B2)</f>
        <v>176.11066666666642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7454</v>
      </c>
      <c r="H59" s="460">
        <f>G59+'14'!H59</f>
        <v>84509.819999999934</v>
      </c>
      <c r="I59" s="455">
        <f>G7-G60</f>
        <v>714</v>
      </c>
      <c r="J59" s="552">
        <f>H59/DAY(B2)</f>
        <v>5633.9879999999957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19453</v>
      </c>
      <c r="H60" s="460">
        <f>G60+'14'!H60</f>
        <v>318330.87</v>
      </c>
      <c r="I60" s="455">
        <f>G13-G60</f>
        <v>213</v>
      </c>
      <c r="J60" s="552">
        <f>H60/DAY(B2)</f>
        <v>21222.058000000001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20419.18</v>
      </c>
      <c r="G62" s="473">
        <f t="shared" ref="G62:G69" si="5">F62-E62</f>
        <v>0.18000000000029104</v>
      </c>
      <c r="H62" s="460">
        <f>G62+'14'!H62</f>
        <v>0.36199999999735155</v>
      </c>
      <c r="I62" s="515"/>
      <c r="J62" s="552">
        <f>H62/DAY(B2)</f>
        <v>2.4133333333156769E-2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'14'!F63</f>
        <v>2258</v>
      </c>
      <c r="F63" s="514">
        <v>2268</v>
      </c>
      <c r="G63" s="473">
        <f t="shared" si="5"/>
        <v>10</v>
      </c>
      <c r="H63" s="460">
        <f>G63+'14'!H63</f>
        <v>172</v>
      </c>
      <c r="I63" s="515"/>
      <c r="J63" s="552">
        <f>H63/DAY(B2)</f>
        <v>11.466666666666667</v>
      </c>
      <c r="K63" s="428"/>
      <c r="L63" s="377"/>
      <c r="N63" s="721"/>
      <c r="O63" s="728"/>
      <c r="P63" s="382"/>
    </row>
    <row r="64" spans="1:16" ht="27.75">
      <c r="A64" s="1499" t="s">
        <v>99</v>
      </c>
      <c r="B64" s="1500"/>
      <c r="C64" s="1501"/>
      <c r="D64" s="523" t="s">
        <v>187</v>
      </c>
      <c r="E64" s="514">
        <f>'14'!F64</f>
        <v>145783</v>
      </c>
      <c r="F64" s="478">
        <v>146266</v>
      </c>
      <c r="G64" s="473">
        <f t="shared" si="5"/>
        <v>483</v>
      </c>
      <c r="H64" s="460">
        <f>G64+'14'!H64</f>
        <v>7086</v>
      </c>
      <c r="I64" s="480"/>
      <c r="J64" s="552">
        <f>H64/DAY(B2)</f>
        <v>472.4</v>
      </c>
      <c r="K64" s="428"/>
      <c r="L64" s="377"/>
      <c r="N64" s="721"/>
      <c r="O64" s="728"/>
      <c r="P64" s="382"/>
    </row>
    <row r="65" spans="1:16" ht="27.75">
      <c r="A65" s="1499" t="s">
        <v>100</v>
      </c>
      <c r="B65" s="1500"/>
      <c r="C65" s="1501"/>
      <c r="D65" s="523" t="s">
        <v>187</v>
      </c>
      <c r="E65" s="514">
        <f>'14'!F65</f>
        <v>149288</v>
      </c>
      <c r="F65" s="654">
        <v>149636</v>
      </c>
      <c r="G65" s="473">
        <f t="shared" si="5"/>
        <v>348</v>
      </c>
      <c r="H65" s="460">
        <f>G65+'14'!H65</f>
        <v>5431</v>
      </c>
      <c r="I65" s="489"/>
      <c r="J65" s="552">
        <f>H65/DAY(B2)</f>
        <v>362.06666666666666</v>
      </c>
      <c r="K65" s="428"/>
      <c r="L65" s="377"/>
      <c r="N65" s="721"/>
      <c r="O65" s="729"/>
      <c r="P65" s="382"/>
    </row>
    <row r="66" spans="1:16" ht="27.75">
      <c r="A66" s="1499" t="s">
        <v>101</v>
      </c>
      <c r="B66" s="1500"/>
      <c r="C66" s="1501"/>
      <c r="D66" s="523" t="s">
        <v>187</v>
      </c>
      <c r="E66" s="514">
        <f>'14'!F66</f>
        <v>42704</v>
      </c>
      <c r="F66" s="478">
        <v>43078</v>
      </c>
      <c r="G66" s="473">
        <f t="shared" si="5"/>
        <v>374</v>
      </c>
      <c r="H66" s="460">
        <f>G66+'14'!H66</f>
        <v>5870</v>
      </c>
      <c r="I66" s="480"/>
      <c r="J66" s="552">
        <f>H66/DAY(B2)</f>
        <v>391.33333333333331</v>
      </c>
      <c r="K66" s="428"/>
      <c r="L66" s="377"/>
      <c r="N66" s="721"/>
      <c r="O66" s="728"/>
      <c r="P66" s="382"/>
    </row>
    <row r="67" spans="1:16" ht="27.75">
      <c r="A67" s="1499" t="s">
        <v>102</v>
      </c>
      <c r="B67" s="1500"/>
      <c r="C67" s="1501"/>
      <c r="D67" s="523" t="s">
        <v>187</v>
      </c>
      <c r="E67" s="514">
        <f>'14'!F67</f>
        <v>237032</v>
      </c>
      <c r="F67" s="478">
        <v>237444</v>
      </c>
      <c r="G67" s="473">
        <f t="shared" si="5"/>
        <v>412</v>
      </c>
      <c r="H67" s="460">
        <f>G67+'14'!H67</f>
        <v>8344</v>
      </c>
      <c r="I67" s="489"/>
      <c r="J67" s="552">
        <f>H67/DAY(B2)</f>
        <v>556.26666666666665</v>
      </c>
      <c r="K67" s="429"/>
      <c r="L67" s="377"/>
      <c r="N67" s="721"/>
      <c r="O67" s="728"/>
      <c r="P67" s="382"/>
    </row>
    <row r="68" spans="1:16" ht="27.75">
      <c r="A68" s="1499" t="s">
        <v>103</v>
      </c>
      <c r="B68" s="1500"/>
      <c r="C68" s="1501"/>
      <c r="D68" s="523" t="s">
        <v>187</v>
      </c>
      <c r="E68" s="514">
        <f>'14'!F68</f>
        <v>85321</v>
      </c>
      <c r="F68" s="478">
        <v>85321</v>
      </c>
      <c r="G68" s="473">
        <f t="shared" si="5"/>
        <v>0</v>
      </c>
      <c r="H68" s="460">
        <f>G68+'14'!H68</f>
        <v>2234</v>
      </c>
      <c r="I68" s="516"/>
      <c r="J68" s="552">
        <f>H68/DAY(B2)</f>
        <v>148.93333333333334</v>
      </c>
      <c r="K68" s="430"/>
      <c r="L68" s="377"/>
      <c r="N68" s="721"/>
      <c r="O68" s="728"/>
      <c r="P68" s="382"/>
    </row>
    <row r="69" spans="1:16" ht="27.75">
      <c r="A69" s="1499" t="s">
        <v>104</v>
      </c>
      <c r="B69" s="1500"/>
      <c r="C69" s="1501"/>
      <c r="D69" s="523" t="s">
        <v>187</v>
      </c>
      <c r="E69" s="514">
        <f>'14'!F69</f>
        <v>78054</v>
      </c>
      <c r="F69" s="478">
        <v>78090</v>
      </c>
      <c r="G69" s="473">
        <f t="shared" si="5"/>
        <v>36</v>
      </c>
      <c r="H69" s="460">
        <f>G69+'14'!H69</f>
        <v>3761</v>
      </c>
      <c r="I69" s="516"/>
      <c r="J69" s="552">
        <f>H69/DAY(B2)</f>
        <v>250.73333333333332</v>
      </c>
      <c r="K69" s="431"/>
      <c r="L69" s="377"/>
      <c r="N69" s="721"/>
      <c r="O69" s="728"/>
      <c r="P69" s="382"/>
    </row>
    <row r="70" spans="1:16" ht="27.75">
      <c r="A70" s="1505" t="s">
        <v>189</v>
      </c>
      <c r="B70" s="1506"/>
      <c r="C70" s="1507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21"/>
      <c r="O70" s="728"/>
      <c r="P70" s="382"/>
    </row>
    <row r="71" spans="1:16" ht="31.5">
      <c r="A71" s="1502" t="s">
        <v>190</v>
      </c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  <c r="N71" s="721"/>
      <c r="O71" s="728"/>
      <c r="P71" s="382"/>
    </row>
    <row r="72" spans="1:16" ht="27.75">
      <c r="A72" s="1499" t="s">
        <v>191</v>
      </c>
      <c r="B72" s="1500"/>
      <c r="C72" s="1501"/>
      <c r="D72" s="523" t="s">
        <v>187</v>
      </c>
      <c r="E72" s="519">
        <f>'14'!F72</f>
        <v>854503</v>
      </c>
      <c r="F72" s="657">
        <v>854584</v>
      </c>
      <c r="G72" s="473">
        <f t="shared" ref="G72:G84" si="6">F72-E72</f>
        <v>81</v>
      </c>
      <c r="H72" s="460">
        <f>G72+'14'!H72</f>
        <v>1321</v>
      </c>
      <c r="I72" s="480"/>
      <c r="J72" s="552">
        <f>H72/DAY(B2)</f>
        <v>88.066666666666663</v>
      </c>
      <c r="K72" s="431"/>
      <c r="L72" s="377"/>
      <c r="N72" s="721"/>
      <c r="O72" s="728"/>
      <c r="P72" s="382"/>
    </row>
    <row r="73" spans="1:16" ht="27.75">
      <c r="A73" s="1499" t="s">
        <v>192</v>
      </c>
      <c r="B73" s="1500"/>
      <c r="C73" s="1501"/>
      <c r="D73" s="523" t="s">
        <v>187</v>
      </c>
      <c r="E73" s="519">
        <f>'14'!F73</f>
        <v>885821</v>
      </c>
      <c r="F73" s="658">
        <v>885823</v>
      </c>
      <c r="G73" s="655">
        <f t="shared" si="6"/>
        <v>2</v>
      </c>
      <c r="H73" s="460">
        <f>G73+'14'!H73</f>
        <v>1244</v>
      </c>
      <c r="I73" s="480"/>
      <c r="J73" s="552">
        <f>H73/DAY(B2)</f>
        <v>82.933333333333337</v>
      </c>
      <c r="K73" s="430"/>
      <c r="L73" s="377"/>
      <c r="N73" s="721"/>
      <c r="O73" s="728"/>
      <c r="P73" s="382"/>
    </row>
    <row r="74" spans="1:16" ht="27.75">
      <c r="A74" s="1499" t="s">
        <v>193</v>
      </c>
      <c r="B74" s="1500"/>
      <c r="C74" s="1501"/>
      <c r="D74" s="523" t="s">
        <v>187</v>
      </c>
      <c r="E74" s="519">
        <f>'14'!F74</f>
        <v>1776</v>
      </c>
      <c r="F74" s="658">
        <v>1807</v>
      </c>
      <c r="G74" s="473">
        <f t="shared" si="6"/>
        <v>31</v>
      </c>
      <c r="H74" s="460">
        <f>G74+'14'!H74</f>
        <v>437</v>
      </c>
      <c r="I74" s="480"/>
      <c r="J74" s="552">
        <f>H74/DAY(B2)</f>
        <v>29.133333333333333</v>
      </c>
      <c r="K74" s="431"/>
      <c r="L74" s="377"/>
      <c r="N74" s="721"/>
      <c r="O74" s="728"/>
      <c r="P74" s="382"/>
    </row>
    <row r="75" spans="1:16" ht="27.75">
      <c r="A75" s="1496" t="s">
        <v>194</v>
      </c>
      <c r="B75" s="1497"/>
      <c r="C75" s="1498"/>
      <c r="D75" s="523" t="s">
        <v>187</v>
      </c>
      <c r="E75" s="519">
        <f>'14'!F75</f>
        <v>10004</v>
      </c>
      <c r="F75" s="658">
        <v>10063</v>
      </c>
      <c r="G75" s="473">
        <f t="shared" si="6"/>
        <v>59</v>
      </c>
      <c r="H75" s="460">
        <f>G75+'14'!H75</f>
        <v>1383</v>
      </c>
      <c r="I75" s="480"/>
      <c r="J75" s="552">
        <f>H75/DAY(B2)</f>
        <v>92.2</v>
      </c>
      <c r="K75" s="430"/>
      <c r="L75" s="377"/>
      <c r="N75" s="721"/>
      <c r="O75" s="728"/>
      <c r="P75" s="382"/>
    </row>
    <row r="76" spans="1:16" ht="27.75">
      <c r="A76" s="1496" t="s">
        <v>195</v>
      </c>
      <c r="B76" s="1497"/>
      <c r="C76" s="1498"/>
      <c r="D76" s="523" t="s">
        <v>187</v>
      </c>
      <c r="E76" s="519">
        <f>'14'!F76</f>
        <v>4955</v>
      </c>
      <c r="F76" s="658">
        <v>5010</v>
      </c>
      <c r="G76" s="473">
        <f t="shared" si="6"/>
        <v>55</v>
      </c>
      <c r="H76" s="460">
        <f>G76+'14'!H76</f>
        <v>1384</v>
      </c>
      <c r="I76" s="505"/>
      <c r="J76" s="552">
        <f>H76/DAY(B2)</f>
        <v>92.266666666666666</v>
      </c>
      <c r="K76" s="430"/>
      <c r="L76" s="377"/>
      <c r="N76" s="721"/>
      <c r="O76" s="728"/>
      <c r="P76" s="382"/>
    </row>
    <row r="77" spans="1:16" ht="27.75">
      <c r="A77" s="1499" t="s">
        <v>196</v>
      </c>
      <c r="B77" s="1500"/>
      <c r="C77" s="1501"/>
      <c r="D77" s="523" t="s">
        <v>187</v>
      </c>
      <c r="E77" s="519">
        <f>'14'!F77</f>
        <v>700853</v>
      </c>
      <c r="F77" s="658">
        <v>700901</v>
      </c>
      <c r="G77" s="655">
        <f t="shared" si="6"/>
        <v>48</v>
      </c>
      <c r="H77" s="460">
        <f>G77+'14'!H77</f>
        <v>687</v>
      </c>
      <c r="I77" s="505"/>
      <c r="J77" s="552">
        <f>H77/DAY(B2)</f>
        <v>45.8</v>
      </c>
      <c r="K77" s="430"/>
      <c r="L77" s="377"/>
      <c r="N77" s="721"/>
      <c r="O77" s="728"/>
      <c r="P77" s="382"/>
    </row>
    <row r="78" spans="1:16" ht="27.75">
      <c r="A78" s="1205" t="s">
        <v>197</v>
      </c>
      <c r="B78" s="1198"/>
      <c r="C78" s="1198"/>
      <c r="D78" s="523" t="s">
        <v>187</v>
      </c>
      <c r="E78" s="519">
        <f>'14'!F78</f>
        <v>668891</v>
      </c>
      <c r="F78" s="659">
        <v>668957</v>
      </c>
      <c r="G78" s="473">
        <f t="shared" si="6"/>
        <v>66</v>
      </c>
      <c r="H78" s="460">
        <f>G78+'14'!H78</f>
        <v>3577</v>
      </c>
      <c r="I78" s="505"/>
      <c r="J78" s="552">
        <f>H78/DAY(B2)</f>
        <v>238.46666666666667</v>
      </c>
      <c r="K78" s="430"/>
      <c r="L78" s="377"/>
      <c r="N78" s="721"/>
      <c r="O78" s="728"/>
      <c r="P78" s="382"/>
    </row>
    <row r="79" spans="1:16" ht="27.75">
      <c r="A79" s="1496" t="s">
        <v>92</v>
      </c>
      <c r="B79" s="1497"/>
      <c r="C79" s="1498"/>
      <c r="D79" s="524" t="s">
        <v>187</v>
      </c>
      <c r="E79" s="519">
        <f>'14'!F79</f>
        <v>823804</v>
      </c>
      <c r="F79" s="659">
        <v>823996</v>
      </c>
      <c r="G79" s="473">
        <f t="shared" si="6"/>
        <v>192</v>
      </c>
      <c r="H79" s="460">
        <f>G79+'14'!H79</f>
        <v>3805</v>
      </c>
      <c r="I79" s="505"/>
      <c r="J79" s="552">
        <f>H79/DAY(B2)</f>
        <v>253.66666666666666</v>
      </c>
      <c r="K79" s="430"/>
      <c r="L79" s="377"/>
      <c r="N79" s="721"/>
      <c r="O79" s="728"/>
      <c r="P79" s="382"/>
    </row>
    <row r="80" spans="1:16" ht="27.75">
      <c r="A80" s="1496" t="s">
        <v>198</v>
      </c>
      <c r="B80" s="1497"/>
      <c r="C80" s="1498"/>
      <c r="D80" s="524" t="s">
        <v>187</v>
      </c>
      <c r="E80" s="519">
        <f>'14'!F80</f>
        <v>510729</v>
      </c>
      <c r="F80" s="658">
        <v>511118</v>
      </c>
      <c r="G80" s="473">
        <f t="shared" si="6"/>
        <v>389</v>
      </c>
      <c r="H80" s="460">
        <f>G80+'14'!H80</f>
        <v>3190</v>
      </c>
      <c r="I80" s="505"/>
      <c r="J80" s="552">
        <f>H80/DAY(B2)</f>
        <v>212.66666666666666</v>
      </c>
      <c r="K80" s="430"/>
      <c r="L80" s="377"/>
      <c r="N80" s="721"/>
      <c r="O80" s="728"/>
      <c r="P80" s="382"/>
    </row>
    <row r="81" spans="1:16" ht="27.75">
      <c r="A81" s="1496" t="s">
        <v>199</v>
      </c>
      <c r="B81" s="1497"/>
      <c r="C81" s="1498"/>
      <c r="D81" s="524" t="s">
        <v>187</v>
      </c>
      <c r="E81" s="519">
        <f>'14'!F81</f>
        <v>633807</v>
      </c>
      <c r="F81" s="658">
        <v>634086</v>
      </c>
      <c r="G81" s="473">
        <f t="shared" si="6"/>
        <v>279</v>
      </c>
      <c r="H81" s="460">
        <f>G81+'14'!H81</f>
        <v>3901</v>
      </c>
      <c r="I81" s="505"/>
      <c r="J81" s="552">
        <f>H81/DAY(B2)</f>
        <v>260.06666666666666</v>
      </c>
      <c r="K81" s="430"/>
      <c r="L81" s="377"/>
      <c r="N81" s="721"/>
      <c r="O81" s="728"/>
      <c r="P81" s="382"/>
    </row>
    <row r="82" spans="1:16" s="779" customFormat="1" ht="27.75">
      <c r="A82" s="1566" t="s">
        <v>93</v>
      </c>
      <c r="B82" s="1567"/>
      <c r="C82" s="1568"/>
      <c r="D82" s="485" t="s">
        <v>132</v>
      </c>
      <c r="E82" s="519">
        <f>'14'!F82</f>
        <v>107222</v>
      </c>
      <c r="F82" s="485">
        <v>107255</v>
      </c>
      <c r="G82" s="473">
        <f t="shared" si="6"/>
        <v>33</v>
      </c>
      <c r="H82" s="486">
        <f>G82+'14'!H82</f>
        <v>360</v>
      </c>
      <c r="I82" s="486"/>
      <c r="J82" s="553">
        <f>H82/DAY(B2)</f>
        <v>24</v>
      </c>
      <c r="K82" s="1220"/>
      <c r="L82" s="1221"/>
      <c r="N82" s="725"/>
      <c r="O82" s="729"/>
      <c r="P82" s="724"/>
    </row>
    <row r="83" spans="1:16" s="779" customFormat="1" ht="27.75">
      <c r="A83" s="1569" t="s">
        <v>200</v>
      </c>
      <c r="B83" s="1570"/>
      <c r="C83" s="1571"/>
      <c r="D83" s="1319" t="s">
        <v>132</v>
      </c>
      <c r="E83" s="786">
        <f>'14'!F83</f>
        <v>10761</v>
      </c>
      <c r="F83" s="1319">
        <v>11014</v>
      </c>
      <c r="G83" s="777">
        <f t="shared" si="6"/>
        <v>253</v>
      </c>
      <c r="H83" s="479">
        <f>G83+'14'!H83</f>
        <v>3957</v>
      </c>
      <c r="I83" s="777"/>
      <c r="J83" s="778">
        <f>H83/DAY(B2)</f>
        <v>263.8</v>
      </c>
      <c r="K83" s="1320"/>
      <c r="L83" s="1221"/>
      <c r="N83" s="725"/>
      <c r="O83" s="729"/>
      <c r="P83" s="724"/>
    </row>
    <row r="84" spans="1:16">
      <c r="A84" s="1206" t="s">
        <v>201</v>
      </c>
      <c r="B84" s="571"/>
      <c r="C84" s="571"/>
      <c r="D84" s="478" t="s">
        <v>132</v>
      </c>
      <c r="E84" s="519">
        <f>'14'!F84</f>
        <v>467908</v>
      </c>
      <c r="F84" s="627">
        <v>468662</v>
      </c>
      <c r="G84" s="473">
        <f t="shared" si="6"/>
        <v>754</v>
      </c>
      <c r="H84" s="460">
        <f>G84+'14'!H84</f>
        <v>13978</v>
      </c>
      <c r="I84" s="481"/>
      <c r="J84" s="552">
        <f>H84/DAY(B2)</f>
        <v>931.86666666666667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2242</v>
      </c>
      <c r="H85" s="460">
        <f>G85+'14'!H85</f>
        <v>38883</v>
      </c>
      <c r="I85" s="481"/>
      <c r="J85" s="552">
        <f>H85/DAY(B2)</f>
        <v>2592.1999999999998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'14'!F86</f>
        <v>457276</v>
      </c>
      <c r="F86" s="650">
        <v>457506</v>
      </c>
      <c r="G86" s="708">
        <f t="shared" ref="G86:G90" si="7">F86-E86</f>
        <v>230</v>
      </c>
      <c r="H86" s="708">
        <f t="shared" ref="H86:H88" si="8">G86</f>
        <v>230</v>
      </c>
      <c r="I86" s="655"/>
      <c r="J86" s="710">
        <f>H86/DAY(B2)</f>
        <v>15.333333333333334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'14'!F87</f>
        <v>80626</v>
      </c>
      <c r="F87" s="650">
        <v>80657</v>
      </c>
      <c r="G87" s="708">
        <f t="shared" si="7"/>
        <v>31</v>
      </c>
      <c r="H87" s="708">
        <f t="shared" si="8"/>
        <v>31</v>
      </c>
      <c r="I87" s="655"/>
      <c r="J87" s="710">
        <f>H87/DAY(B2)</f>
        <v>2.0666666666666669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'14'!F88</f>
        <v>151242</v>
      </c>
      <c r="F88" s="650">
        <v>151266</v>
      </c>
      <c r="G88" s="708">
        <f t="shared" si="7"/>
        <v>24</v>
      </c>
      <c r="H88" s="708">
        <f t="shared" si="8"/>
        <v>24</v>
      </c>
      <c r="I88" s="655"/>
      <c r="J88" s="710">
        <f>H88/DAY(B2)</f>
        <v>1.6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'14'!F89</f>
        <v>64159</v>
      </c>
      <c r="F89" s="650">
        <v>64202</v>
      </c>
      <c r="G89" s="708">
        <f t="shared" si="7"/>
        <v>43</v>
      </c>
      <c r="H89" s="708">
        <f>G89</f>
        <v>43</v>
      </c>
      <c r="I89" s="655"/>
      <c r="J89" s="710">
        <f>H89/DAY(B2)</f>
        <v>2.8666666666666667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'14'!F90</f>
        <v>3272</v>
      </c>
      <c r="F90" s="650">
        <v>3272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379" customFormat="1">
      <c r="A91" s="606" t="s">
        <v>205</v>
      </c>
      <c r="B91" s="1208"/>
      <c r="C91" s="1208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520" t="s">
        <v>206</v>
      </c>
      <c r="B92" s="1521"/>
      <c r="C92" s="1522"/>
      <c r="D92" s="523" t="s">
        <v>144</v>
      </c>
      <c r="E92" s="484">
        <f>'14'!F92</f>
        <v>243620</v>
      </c>
      <c r="F92" s="478">
        <v>243685</v>
      </c>
      <c r="G92" s="473">
        <f t="shared" ref="G92:G93" si="9">F92-E92</f>
        <v>65</v>
      </c>
      <c r="H92" s="460">
        <f>G92+'14'!H92</f>
        <v>1039</v>
      </c>
      <c r="I92" s="480"/>
      <c r="J92" s="552">
        <f>H92/DAY(B2)</f>
        <v>69.266666666666666</v>
      </c>
      <c r="K92" s="429"/>
      <c r="L92" s="377"/>
      <c r="N92" s="721"/>
      <c r="O92" s="728"/>
      <c r="P92" s="382"/>
    </row>
    <row r="93" spans="1:16" ht="27.75">
      <c r="A93" s="1520" t="s">
        <v>207</v>
      </c>
      <c r="B93" s="1521"/>
      <c r="C93" s="1522"/>
      <c r="D93" s="523" t="s">
        <v>144</v>
      </c>
      <c r="E93" s="484">
        <f>'14'!F93</f>
        <v>181784</v>
      </c>
      <c r="F93" s="478">
        <v>181930</v>
      </c>
      <c r="G93" s="473">
        <f t="shared" si="9"/>
        <v>146</v>
      </c>
      <c r="H93" s="460">
        <f>G93+'14'!H93</f>
        <v>2251</v>
      </c>
      <c r="I93" s="480"/>
      <c r="J93" s="552">
        <f>H93/DAY(B2)</f>
        <v>150.06666666666666</v>
      </c>
      <c r="K93" s="380"/>
      <c r="L93" s="377"/>
      <c r="N93" s="721"/>
      <c r="O93" s="728"/>
      <c r="P93" s="382"/>
    </row>
    <row r="94" spans="1:16">
      <c r="A94" s="1548" t="s">
        <v>208</v>
      </c>
      <c r="B94" s="1549"/>
      <c r="C94" s="1550"/>
      <c r="D94" s="523"/>
      <c r="E94" s="484"/>
      <c r="F94" s="478"/>
      <c r="G94" s="473">
        <f>G92+G93</f>
        <v>211</v>
      </c>
      <c r="H94" s="460">
        <f>G94+'14'!H94</f>
        <v>3071</v>
      </c>
      <c r="I94" s="480"/>
      <c r="J94" s="552">
        <f>H94/DAY(B2)</f>
        <v>204.73333333333332</v>
      </c>
      <c r="K94" s="380"/>
      <c r="L94" s="377"/>
      <c r="N94" s="721"/>
      <c r="O94" s="728"/>
      <c r="P94" s="382"/>
    </row>
    <row r="95" spans="1:16" ht="27.75">
      <c r="A95" s="1520" t="s">
        <v>209</v>
      </c>
      <c r="B95" s="1521"/>
      <c r="C95" s="1522"/>
      <c r="D95" s="523" t="s">
        <v>144</v>
      </c>
      <c r="E95" s="484">
        <f>'14'!F95</f>
        <v>411812</v>
      </c>
      <c r="F95" s="478">
        <v>411873</v>
      </c>
      <c r="G95" s="473">
        <f t="shared" ref="G95:G100" si="10">F95-E95</f>
        <v>61</v>
      </c>
      <c r="H95" s="460">
        <f>G95+'14'!H95</f>
        <v>1088</v>
      </c>
      <c r="I95" s="480"/>
      <c r="J95" s="552">
        <f>H95/DAY(B2)</f>
        <v>72.533333333333331</v>
      </c>
      <c r="K95" s="380"/>
      <c r="L95" s="377"/>
      <c r="N95" s="721"/>
      <c r="O95" s="728"/>
      <c r="P95" s="382"/>
    </row>
    <row r="96" spans="1:16" ht="27.75">
      <c r="A96" s="1202" t="s">
        <v>210</v>
      </c>
      <c r="B96" s="1203"/>
      <c r="C96" s="1203"/>
      <c r="D96" s="523" t="s">
        <v>144</v>
      </c>
      <c r="E96" s="484">
        <f>'14'!F96</f>
        <v>102071</v>
      </c>
      <c r="F96" s="478">
        <v>102085</v>
      </c>
      <c r="G96" s="473">
        <f t="shared" si="10"/>
        <v>14</v>
      </c>
      <c r="H96" s="460">
        <f>G96+'14'!H96</f>
        <v>254</v>
      </c>
      <c r="I96" s="480"/>
      <c r="J96" s="552">
        <f>H96/DAY(B2)</f>
        <v>16.933333333333334</v>
      </c>
      <c r="K96" s="427"/>
      <c r="L96" s="377"/>
      <c r="N96" s="721"/>
      <c r="O96" s="728"/>
      <c r="P96" s="382"/>
    </row>
    <row r="97" spans="1:16" ht="27.75">
      <c r="A97" s="1202" t="s">
        <v>211</v>
      </c>
      <c r="B97" s="1203"/>
      <c r="C97" s="1203"/>
      <c r="D97" s="523" t="s">
        <v>144</v>
      </c>
      <c r="E97" s="484">
        <f>'14'!F97</f>
        <v>97169</v>
      </c>
      <c r="F97" s="478">
        <v>97184</v>
      </c>
      <c r="G97" s="473">
        <f t="shared" si="10"/>
        <v>15</v>
      </c>
      <c r="H97" s="460">
        <f>G97+'14'!H97</f>
        <v>256</v>
      </c>
      <c r="I97" s="480"/>
      <c r="J97" s="552">
        <f>H97/DAY(B2)</f>
        <v>17.066666666666666</v>
      </c>
      <c r="K97" s="432"/>
      <c r="L97" s="377"/>
      <c r="N97" s="721"/>
      <c r="O97" s="728"/>
      <c r="P97" s="382"/>
    </row>
    <row r="98" spans="1:16" ht="27.75">
      <c r="A98" s="1202" t="s">
        <v>212</v>
      </c>
      <c r="B98" s="1203"/>
      <c r="C98" s="1203"/>
      <c r="D98" s="523" t="s">
        <v>144</v>
      </c>
      <c r="E98" s="484">
        <f>'14'!F98</f>
        <v>149394</v>
      </c>
      <c r="F98" s="478">
        <v>149408</v>
      </c>
      <c r="G98" s="473">
        <f t="shared" si="10"/>
        <v>14</v>
      </c>
      <c r="H98" s="460">
        <f>G98+'14'!H98</f>
        <v>499</v>
      </c>
      <c r="I98" s="480"/>
      <c r="J98" s="552">
        <f>H98/DAY(B2)</f>
        <v>33.266666666666666</v>
      </c>
      <c r="K98" s="380"/>
      <c r="L98" s="377"/>
      <c r="N98" s="723"/>
      <c r="O98" s="728"/>
      <c r="P98" s="382"/>
    </row>
    <row r="99" spans="1:16" ht="27.75">
      <c r="A99" s="1202" t="s">
        <v>213</v>
      </c>
      <c r="B99" s="1203"/>
      <c r="C99" s="1203"/>
      <c r="D99" s="523" t="s">
        <v>144</v>
      </c>
      <c r="E99" s="484">
        <f>'14'!F99</f>
        <v>7037</v>
      </c>
      <c r="F99" s="478">
        <v>7045</v>
      </c>
      <c r="G99" s="473">
        <f t="shared" si="10"/>
        <v>8</v>
      </c>
      <c r="H99" s="460">
        <f>G99+'14'!H99</f>
        <v>190</v>
      </c>
      <c r="I99" s="480"/>
      <c r="J99" s="552">
        <f>H99/DAY(B2)</f>
        <v>12.666666666666666</v>
      </c>
      <c r="K99" s="380"/>
      <c r="L99" s="377"/>
      <c r="N99" s="721"/>
      <c r="O99" s="728"/>
      <c r="P99" s="382"/>
    </row>
    <row r="100" spans="1:16" ht="27.75">
      <c r="A100" s="1202" t="s">
        <v>214</v>
      </c>
      <c r="B100" s="1203"/>
      <c r="C100" s="1203"/>
      <c r="D100" s="523" t="s">
        <v>144</v>
      </c>
      <c r="E100" s="484">
        <f>'14'!F100</f>
        <v>5033</v>
      </c>
      <c r="F100" s="478">
        <v>5040</v>
      </c>
      <c r="G100" s="473">
        <f t="shared" si="10"/>
        <v>7</v>
      </c>
      <c r="H100" s="460">
        <f>G100+'14'!H100</f>
        <v>97</v>
      </c>
      <c r="I100" s="480"/>
      <c r="J100" s="552">
        <f>H100/DAY(B2)</f>
        <v>6.4666666666666668</v>
      </c>
      <c r="K100" s="380"/>
      <c r="L100" s="377"/>
      <c r="N100" s="721"/>
      <c r="O100" s="728"/>
      <c r="P100" s="382"/>
    </row>
    <row r="101" spans="1:16">
      <c r="A101" s="1548" t="s">
        <v>216</v>
      </c>
      <c r="B101" s="1549"/>
      <c r="C101" s="1550"/>
      <c r="D101" s="524"/>
      <c r="E101" s="484"/>
      <c r="F101" s="524"/>
      <c r="G101" s="525">
        <f>SUM(G95:G100)</f>
        <v>119</v>
      </c>
      <c r="H101" s="460">
        <f>G101+'14'!H101</f>
        <v>2384</v>
      </c>
      <c r="I101" s="526"/>
      <c r="J101" s="552">
        <f>H101/DAY(B2)</f>
        <v>158.93333333333334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>
        <v>3</v>
      </c>
      <c r="N102" s="721"/>
      <c r="O102" s="728"/>
      <c r="P102" s="382"/>
    </row>
    <row r="103" spans="1:16" s="442" customFormat="1" ht="27.75">
      <c r="A103" s="1551" t="s">
        <v>218</v>
      </c>
      <c r="B103" s="1552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512" t="s">
        <v>219</v>
      </c>
      <c r="B104" s="1513"/>
      <c r="C104" s="1201"/>
      <c r="D104" s="622" t="s">
        <v>144</v>
      </c>
      <c r="E104" s="484">
        <f>'14'!F104</f>
        <v>7370</v>
      </c>
      <c r="F104" s="661">
        <v>7371</v>
      </c>
      <c r="G104" s="532">
        <f>F104-E104</f>
        <v>1</v>
      </c>
      <c r="H104" s="533">
        <f>SUM(G104+'1'!G76)</f>
        <v>60</v>
      </c>
      <c r="I104" s="532"/>
      <c r="J104" s="558">
        <f>H104/DAY(B2)</f>
        <v>4</v>
      </c>
      <c r="N104" s="721"/>
      <c r="O104" s="728"/>
      <c r="P104" s="382"/>
    </row>
    <row r="105" spans="1:16" s="442" customFormat="1" ht="27.75">
      <c r="A105" s="1512" t="s">
        <v>77</v>
      </c>
      <c r="B105" s="1513"/>
      <c r="C105" s="1201"/>
      <c r="D105" s="622" t="s">
        <v>144</v>
      </c>
      <c r="E105" s="484">
        <f>'14'!F105</f>
        <v>35735</v>
      </c>
      <c r="F105" s="662">
        <v>35740</v>
      </c>
      <c r="G105" s="532">
        <f t="shared" ref="G105:G106" si="11">F105-E105</f>
        <v>5</v>
      </c>
      <c r="H105" s="533">
        <f>SUM(G105+'1'!G77)</f>
        <v>55</v>
      </c>
      <c r="I105" s="532"/>
      <c r="J105" s="558">
        <f>H105/DAY(B2)</f>
        <v>3.6666666666666665</v>
      </c>
      <c r="N105" s="721"/>
      <c r="O105" s="728"/>
      <c r="P105" s="382"/>
    </row>
    <row r="106" spans="1:16" s="442" customFormat="1" ht="27.75">
      <c r="A106" s="1512" t="s">
        <v>78</v>
      </c>
      <c r="B106" s="1553"/>
      <c r="C106" s="1513"/>
      <c r="D106" s="622" t="s">
        <v>144</v>
      </c>
      <c r="E106" s="484">
        <f>'14'!F106</f>
        <v>19513</v>
      </c>
      <c r="F106" s="662">
        <v>19518</v>
      </c>
      <c r="G106" s="532">
        <f t="shared" si="11"/>
        <v>5</v>
      </c>
      <c r="H106" s="533">
        <f>SUM(G106+'1'!G78)</f>
        <v>400</v>
      </c>
      <c r="I106" s="532"/>
      <c r="J106" s="558">
        <f>H106/DAY(B2)</f>
        <v>26.666666666666668</v>
      </c>
      <c r="N106" s="721"/>
      <c r="O106" s="728"/>
      <c r="P106" s="382"/>
    </row>
    <row r="107" spans="1:16" s="442" customFormat="1" ht="27.75">
      <c r="A107" s="1514" t="s">
        <v>202</v>
      </c>
      <c r="B107" s="1515"/>
      <c r="C107" s="1201"/>
      <c r="D107" s="622"/>
      <c r="E107" s="484">
        <f>'14'!F107</f>
        <v>0</v>
      </c>
      <c r="F107" s="662"/>
      <c r="G107" s="532">
        <f>SUM(G104:G106)</f>
        <v>11</v>
      </c>
      <c r="H107" s="533">
        <f>SUM(G107+'1'!G79)</f>
        <v>205</v>
      </c>
      <c r="I107" s="532"/>
      <c r="J107" s="558">
        <f>H107/DAY(B2)</f>
        <v>13.666666666666666</v>
      </c>
      <c r="N107" s="721"/>
      <c r="O107" s="728"/>
      <c r="P107" s="382"/>
    </row>
    <row r="108" spans="1:16" s="442" customFormat="1" ht="27.75">
      <c r="A108" s="1518" t="s">
        <v>79</v>
      </c>
      <c r="B108" s="1519"/>
      <c r="C108" s="1201"/>
      <c r="D108" s="622" t="s">
        <v>144</v>
      </c>
      <c r="E108" s="484">
        <f>'14'!F108</f>
        <v>0</v>
      </c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512" t="s">
        <v>220</v>
      </c>
      <c r="B109" s="1513"/>
      <c r="C109" s="1201"/>
      <c r="D109" s="622" t="s">
        <v>144</v>
      </c>
      <c r="E109" s="484">
        <f>'14'!F109</f>
        <v>59985</v>
      </c>
      <c r="F109" s="662">
        <v>60046</v>
      </c>
      <c r="G109" s="532">
        <f>F109-E109</f>
        <v>61</v>
      </c>
      <c r="H109" s="533">
        <f>SUM(G109+'1'!G81)</f>
        <v>259</v>
      </c>
      <c r="I109" s="532"/>
      <c r="J109" s="558">
        <f>H109/DAY(B2)</f>
        <v>17.266666666666666</v>
      </c>
      <c r="N109" s="721"/>
      <c r="O109" s="728"/>
      <c r="P109" s="382"/>
    </row>
    <row r="110" spans="1:16" s="442" customFormat="1" ht="27.75">
      <c r="A110" s="1512" t="s">
        <v>221</v>
      </c>
      <c r="B110" s="1513"/>
      <c r="C110" s="1201"/>
      <c r="D110" s="622" t="s">
        <v>144</v>
      </c>
      <c r="E110" s="484">
        <f>'14'!F110</f>
        <v>32081</v>
      </c>
      <c r="F110" s="662">
        <v>32081</v>
      </c>
      <c r="G110" s="532">
        <f t="shared" ref="G110:G111" si="12">F110-E110</f>
        <v>0</v>
      </c>
      <c r="H110" s="533">
        <f>SUM(G110+'1'!G82)</f>
        <v>23</v>
      </c>
      <c r="I110" s="532"/>
      <c r="J110" s="558">
        <f>H110/DAY(B2)</f>
        <v>1.5333333333333334</v>
      </c>
      <c r="N110" s="721"/>
      <c r="O110" s="728"/>
      <c r="P110" s="382"/>
    </row>
    <row r="111" spans="1:16" s="442" customFormat="1" ht="27.75">
      <c r="A111" s="1512" t="s">
        <v>222</v>
      </c>
      <c r="B111" s="1513"/>
      <c r="C111" s="1201"/>
      <c r="D111" s="622" t="s">
        <v>144</v>
      </c>
      <c r="E111" s="484">
        <f>'14'!F111</f>
        <v>4275</v>
      </c>
      <c r="F111" s="662">
        <v>4275</v>
      </c>
      <c r="G111" s="532">
        <f t="shared" si="12"/>
        <v>0</v>
      </c>
      <c r="H111" s="533">
        <f>SUM(G111+'1'!G83)</f>
        <v>239</v>
      </c>
      <c r="I111" s="532"/>
      <c r="J111" s="558">
        <f>H111/DAY(B2)</f>
        <v>15.933333333333334</v>
      </c>
      <c r="N111" s="721"/>
      <c r="O111" s="728"/>
      <c r="P111" s="382"/>
    </row>
    <row r="112" spans="1:16" s="442" customFormat="1" ht="27.75">
      <c r="A112" s="1514" t="s">
        <v>110</v>
      </c>
      <c r="B112" s="1515"/>
      <c r="C112" s="1201"/>
      <c r="D112" s="622"/>
      <c r="E112" s="484">
        <f>'14'!F112</f>
        <v>0</v>
      </c>
      <c r="F112" s="662"/>
      <c r="G112" s="532">
        <f>SUM(G109:G111)</f>
        <v>61</v>
      </c>
      <c r="H112" s="533">
        <f>SUM(G112+'1'!G84)</f>
        <v>976</v>
      </c>
      <c r="I112" s="532"/>
      <c r="J112" s="558">
        <f>H112/DAY(B2)</f>
        <v>65.066666666666663</v>
      </c>
      <c r="N112" s="721"/>
      <c r="O112" s="728"/>
      <c r="P112" s="382"/>
    </row>
    <row r="113" spans="1:16" s="442" customFormat="1" ht="27.75">
      <c r="A113" s="1518" t="s">
        <v>223</v>
      </c>
      <c r="B113" s="1519"/>
      <c r="C113" s="1201"/>
      <c r="D113" s="622"/>
      <c r="E113" s="484">
        <f>'14'!F113</f>
        <v>0</v>
      </c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512" t="s">
        <v>224</v>
      </c>
      <c r="B114" s="1513"/>
      <c r="C114" s="574"/>
      <c r="D114" s="622" t="s">
        <v>144</v>
      </c>
      <c r="E114" s="484">
        <f>'14'!F114</f>
        <v>11076</v>
      </c>
      <c r="F114" s="662">
        <v>11086</v>
      </c>
      <c r="G114" s="534">
        <f>F114-E114</f>
        <v>10</v>
      </c>
      <c r="H114" s="533">
        <f>SUM(G114+'1'!G91)</f>
        <v>10</v>
      </c>
      <c r="I114" s="532"/>
      <c r="J114" s="558">
        <f>H114/DAY(B2)</f>
        <v>0.66666666666666663</v>
      </c>
      <c r="N114" s="721"/>
      <c r="O114" s="728"/>
      <c r="P114" s="382"/>
    </row>
    <row r="115" spans="1:16" s="442" customFormat="1" ht="27.75">
      <c r="A115" s="1512" t="s">
        <v>225</v>
      </c>
      <c r="B115" s="1513"/>
      <c r="C115" s="574"/>
      <c r="D115" s="622" t="s">
        <v>144</v>
      </c>
      <c r="E115" s="484">
        <f>'14'!F115</f>
        <v>8044</v>
      </c>
      <c r="F115" s="662">
        <v>8050</v>
      </c>
      <c r="G115" s="534">
        <f t="shared" ref="G115:G116" si="13">F115-E115</f>
        <v>6</v>
      </c>
      <c r="H115" s="533">
        <f>SUM(G115+'1'!G92)</f>
        <v>98</v>
      </c>
      <c r="I115" s="532"/>
      <c r="J115" s="558">
        <f>H115/DAY(B2)</f>
        <v>6.5333333333333332</v>
      </c>
      <c r="N115" s="721"/>
      <c r="O115" s="728"/>
      <c r="P115" s="382"/>
    </row>
    <row r="116" spans="1:16" s="442" customFormat="1" ht="27.75">
      <c r="A116" s="1512" t="s">
        <v>226</v>
      </c>
      <c r="B116" s="1513"/>
      <c r="C116" s="574"/>
      <c r="D116" s="622" t="s">
        <v>144</v>
      </c>
      <c r="E116" s="534">
        <f>'14'!F116</f>
        <v>0</v>
      </c>
      <c r="F116" s="662">
        <v>0</v>
      </c>
      <c r="G116" s="534">
        <f t="shared" si="13"/>
        <v>0</v>
      </c>
      <c r="H116" s="533">
        <f>SUM(G116+'1'!G93)</f>
        <v>127</v>
      </c>
      <c r="I116" s="532"/>
      <c r="J116" s="558">
        <f>H116/DAY(B2)</f>
        <v>8.4666666666666668</v>
      </c>
      <c r="N116" s="721"/>
      <c r="O116" s="728"/>
      <c r="P116" s="382"/>
    </row>
    <row r="117" spans="1:16" s="445" customFormat="1" ht="27.75">
      <c r="A117" s="1514" t="s">
        <v>202</v>
      </c>
      <c r="B117" s="1515"/>
      <c r="C117" s="574"/>
      <c r="D117" s="623"/>
      <c r="E117" s="534"/>
      <c r="F117" s="662"/>
      <c r="G117" s="534">
        <f>SUM(G114:G116)</f>
        <v>16</v>
      </c>
      <c r="H117" s="533">
        <f>SUM(G117+'1'!G95)</f>
        <v>93</v>
      </c>
      <c r="I117" s="534"/>
      <c r="J117" s="558">
        <f>H117/DAY(B2)</f>
        <v>6.2</v>
      </c>
      <c r="N117" s="721"/>
      <c r="O117" s="728"/>
      <c r="P117" s="382"/>
    </row>
    <row r="118" spans="1:16" s="446" customFormat="1" ht="27.75">
      <c r="A118" s="1508" t="s">
        <v>227</v>
      </c>
      <c r="B118" s="1509"/>
      <c r="C118" s="1199"/>
      <c r="D118" s="624" t="s">
        <v>144</v>
      </c>
      <c r="E118" s="536"/>
      <c r="F118" s="663">
        <f>SUM(G19+G92)</f>
        <v>123</v>
      </c>
      <c r="G118" s="536">
        <f>SUM(G19+G92)</f>
        <v>123</v>
      </c>
      <c r="H118" s="533">
        <f>SUM(G118+'1'!G96)</f>
        <v>140</v>
      </c>
      <c r="I118" s="535"/>
      <c r="J118" s="559">
        <f>H118/DAY(B2)</f>
        <v>9.3333333333333339</v>
      </c>
      <c r="N118" s="721"/>
      <c r="O118" s="728"/>
      <c r="P118" s="382"/>
    </row>
    <row r="119" spans="1:16" s="446" customFormat="1" ht="27.75">
      <c r="A119" s="1508" t="s">
        <v>228</v>
      </c>
      <c r="B119" s="1509"/>
      <c r="C119" s="1199"/>
      <c r="D119" s="624" t="s">
        <v>144</v>
      </c>
      <c r="E119" s="536"/>
      <c r="F119" s="663">
        <f>SUM(G95,G96,G97,G99,G100)</f>
        <v>105</v>
      </c>
      <c r="G119" s="536">
        <f>SUM(G95,G96,G97,G99,G100)</f>
        <v>105</v>
      </c>
      <c r="H119" s="533">
        <f>SUM(G119+'1'!G98)</f>
        <v>133</v>
      </c>
      <c r="I119" s="535"/>
      <c r="J119" s="559">
        <f>H119/DAY(B2)</f>
        <v>8.8666666666666671</v>
      </c>
      <c r="N119" s="721"/>
      <c r="O119" s="728"/>
      <c r="P119" s="382"/>
    </row>
    <row r="120" spans="1:16" s="446" customFormat="1" ht="27.75">
      <c r="A120" s="1508" t="s">
        <v>229</v>
      </c>
      <c r="B120" s="1509"/>
      <c r="C120" s="1199"/>
      <c r="D120" s="624" t="s">
        <v>144</v>
      </c>
      <c r="E120" s="534"/>
      <c r="F120" s="662">
        <f>SUM(G112)</f>
        <v>61</v>
      </c>
      <c r="G120" s="534">
        <f>SUM(G112)</f>
        <v>61</v>
      </c>
      <c r="H120" s="533">
        <f>SUM(G120+'1'!G100)</f>
        <v>67</v>
      </c>
      <c r="I120" s="535"/>
      <c r="J120" s="559">
        <f>H120/DAY(B2)</f>
        <v>4.4666666666666668</v>
      </c>
      <c r="N120" s="721"/>
      <c r="O120" s="728"/>
      <c r="P120" s="382"/>
    </row>
    <row r="121" spans="1:16" s="442" customFormat="1" ht="27.75">
      <c r="A121" s="1510"/>
      <c r="B121" s="1511"/>
      <c r="C121" s="1200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545" t="s">
        <v>230</v>
      </c>
      <c r="B122" s="1546"/>
      <c r="C122" s="1547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202" t="s">
        <v>231</v>
      </c>
      <c r="B123" s="1203"/>
      <c r="C123" s="1203"/>
      <c r="D123" s="523" t="s">
        <v>141</v>
      </c>
      <c r="E123" s="478">
        <f>'14'!F123</f>
        <v>822319</v>
      </c>
      <c r="F123" s="478">
        <v>822579</v>
      </c>
      <c r="G123" s="473">
        <f>F123-E123</f>
        <v>260</v>
      </c>
      <c r="H123" s="460">
        <f>G123+'14'!H123</f>
        <v>3769</v>
      </c>
      <c r="I123" s="526"/>
      <c r="J123" s="552">
        <f>H123/DAY(B2)</f>
        <v>251.26666666666668</v>
      </c>
      <c r="K123" s="380"/>
      <c r="L123" s="377"/>
      <c r="N123" s="721"/>
      <c r="O123" s="728"/>
      <c r="P123" s="382"/>
    </row>
    <row r="124" spans="1:16" ht="27.75">
      <c r="A124" s="1202" t="s">
        <v>232</v>
      </c>
      <c r="B124" s="1203"/>
      <c r="C124" s="1203"/>
      <c r="D124" s="523" t="s">
        <v>141</v>
      </c>
      <c r="E124" s="626">
        <f>'14'!F124</f>
        <v>73583.399999999994</v>
      </c>
      <c r="F124" s="626">
        <v>73583.399999999994</v>
      </c>
      <c r="G124" s="473">
        <f t="shared" ref="G124:G127" si="14">F124-E124</f>
        <v>0</v>
      </c>
      <c r="H124" s="460">
        <f>G124+'14'!H124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499" t="s">
        <v>233</v>
      </c>
      <c r="B125" s="1500"/>
      <c r="C125" s="1501"/>
      <c r="D125" s="523" t="s">
        <v>141</v>
      </c>
      <c r="E125" s="478">
        <f>'14'!F125</f>
        <v>143406</v>
      </c>
      <c r="F125" s="478">
        <v>143495</v>
      </c>
      <c r="G125" s="473">
        <f t="shared" si="14"/>
        <v>89</v>
      </c>
      <c r="H125" s="460">
        <f>G125+'14'!H125</f>
        <v>1359</v>
      </c>
      <c r="I125" s="526"/>
      <c r="J125" s="552">
        <f>H125/DAY(B2)</f>
        <v>90.6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203"/>
      <c r="C126" s="1203"/>
      <c r="D126" s="523" t="s">
        <v>141</v>
      </c>
      <c r="E126" s="626">
        <f>'14'!F126</f>
        <v>31404</v>
      </c>
      <c r="F126" s="626">
        <v>31404</v>
      </c>
      <c r="G126" s="473">
        <f t="shared" si="14"/>
        <v>0</v>
      </c>
      <c r="H126" s="460">
        <f>G126+'14'!H126</f>
        <v>85.299999999999272</v>
      </c>
      <c r="I126" s="526"/>
      <c r="J126" s="552">
        <f>H126/DAY(B2)</f>
        <v>5.6866666666666186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203"/>
      <c r="C127" s="1203"/>
      <c r="D127" s="523" t="s">
        <v>141</v>
      </c>
      <c r="E127" s="626">
        <f>'14'!F127</f>
        <v>8967</v>
      </c>
      <c r="F127" s="626">
        <v>8967</v>
      </c>
      <c r="G127" s="473">
        <f t="shared" si="14"/>
        <v>0</v>
      </c>
      <c r="H127" s="460">
        <f>G127+'14'!H127</f>
        <v>5</v>
      </c>
      <c r="I127" s="480"/>
      <c r="J127" s="552">
        <f>H127/DAY(B2)</f>
        <v>0.33333333333333331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203"/>
      <c r="C128" s="1203"/>
      <c r="D128" s="523"/>
      <c r="E128" s="478"/>
      <c r="F128" s="478"/>
      <c r="G128" s="473">
        <f>G15-SUM(G123:G127)</f>
        <v>458.75</v>
      </c>
      <c r="H128" s="460"/>
      <c r="I128" s="480"/>
      <c r="J128" s="552"/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202" t="s">
        <v>238</v>
      </c>
      <c r="B130" s="1203"/>
      <c r="C130" s="1203"/>
      <c r="D130" s="523" t="s">
        <v>239</v>
      </c>
      <c r="E130" s="484">
        <f>'14'!F130</f>
        <v>0</v>
      </c>
      <c r="F130" s="478">
        <v>0</v>
      </c>
      <c r="G130" s="473">
        <f t="shared" ref="G130:G140" si="15">F130-E130</f>
        <v>0</v>
      </c>
      <c r="H130" s="460">
        <f>G130+'14'!H130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202" t="s">
        <v>240</v>
      </c>
      <c r="B131" s="1203"/>
      <c r="C131" s="1203"/>
      <c r="D131" s="523" t="s">
        <v>239</v>
      </c>
      <c r="E131" s="484">
        <f>'14'!F131</f>
        <v>0</v>
      </c>
      <c r="F131" s="478">
        <v>0</v>
      </c>
      <c r="G131" s="473">
        <f t="shared" si="15"/>
        <v>0</v>
      </c>
      <c r="H131" s="460">
        <f>G131+'14'!H131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02" t="s">
        <v>241</v>
      </c>
      <c r="B132" s="1203"/>
      <c r="C132" s="1203"/>
      <c r="D132" s="523" t="s">
        <v>239</v>
      </c>
      <c r="E132" s="484">
        <f>'14'!F132</f>
        <v>39659.230000000003</v>
      </c>
      <c r="F132" s="654">
        <v>39659.230000000003</v>
      </c>
      <c r="G132" s="473">
        <f t="shared" si="15"/>
        <v>0</v>
      </c>
      <c r="H132" s="460">
        <f>G132+'14'!H132</f>
        <v>126.2300000000032</v>
      </c>
      <c r="I132" s="480"/>
      <c r="J132" s="552">
        <f>H132/DAY(B2)</f>
        <v>8.4153333333335461</v>
      </c>
      <c r="N132" s="721"/>
      <c r="O132" s="728"/>
      <c r="P132" s="382"/>
    </row>
    <row r="133" spans="1:16" ht="27.75">
      <c r="A133" s="1202" t="s">
        <v>242</v>
      </c>
      <c r="B133" s="1203"/>
      <c r="C133" s="1203"/>
      <c r="D133" s="523" t="s">
        <v>239</v>
      </c>
      <c r="E133" s="484">
        <f>'14'!F133</f>
        <v>300</v>
      </c>
      <c r="F133" s="626">
        <v>300</v>
      </c>
      <c r="G133" s="473">
        <f t="shared" si="15"/>
        <v>0</v>
      </c>
      <c r="H133" s="460">
        <f>G133+'14'!H133</f>
        <v>0</v>
      </c>
      <c r="I133" s="480">
        <f>G130+G131+G132+G133</f>
        <v>0</v>
      </c>
      <c r="J133" s="552">
        <f>H133/DAY(B2)</f>
        <v>0</v>
      </c>
      <c r="N133" s="721"/>
      <c r="O133" s="728"/>
      <c r="P133" s="382"/>
    </row>
    <row r="134" spans="1:16" ht="27.75">
      <c r="A134" s="1202" t="s">
        <v>243</v>
      </c>
      <c r="B134" s="1203"/>
      <c r="C134" s="1203"/>
      <c r="D134" s="523" t="s">
        <v>239</v>
      </c>
      <c r="E134" s="484">
        <v>41078.559999999998</v>
      </c>
      <c r="F134" s="626">
        <v>41102.54</v>
      </c>
      <c r="G134" s="473">
        <f t="shared" si="15"/>
        <v>23.980000000003201</v>
      </c>
      <c r="H134" s="460">
        <f>G134+'14'!H134</f>
        <v>260.9800000000032</v>
      </c>
      <c r="I134" s="480"/>
      <c r="J134" s="552">
        <f>H134/DAY(B2)</f>
        <v>17.39866666666688</v>
      </c>
      <c r="N134" s="721"/>
      <c r="O134" s="728"/>
      <c r="P134" s="382"/>
    </row>
    <row r="135" spans="1:16" ht="27.75">
      <c r="A135" s="1202" t="s">
        <v>244</v>
      </c>
      <c r="B135" s="1203"/>
      <c r="C135" s="1203"/>
      <c r="D135" s="523" t="s">
        <v>239</v>
      </c>
      <c r="E135" s="484">
        <f>'14'!F135</f>
        <v>32582.98</v>
      </c>
      <c r="F135" s="654">
        <v>32582.98</v>
      </c>
      <c r="G135" s="473">
        <f t="shared" si="15"/>
        <v>0</v>
      </c>
      <c r="H135" s="460">
        <f>G135+'14'!H135</f>
        <v>-2.0000000000436557E-2</v>
      </c>
      <c r="I135" s="480"/>
      <c r="J135" s="552">
        <f>H135/DAY(B2)</f>
        <v>-1.3333333333624372E-3</v>
      </c>
      <c r="N135" s="721"/>
      <c r="O135" s="728"/>
      <c r="P135" s="382"/>
    </row>
    <row r="136" spans="1:16" ht="27.75">
      <c r="A136" s="1202" t="s">
        <v>245</v>
      </c>
      <c r="B136" s="1203"/>
      <c r="C136" s="1203"/>
      <c r="D136" s="523" t="s">
        <v>239</v>
      </c>
      <c r="E136" s="484">
        <f>'14'!F136</f>
        <v>22627.94</v>
      </c>
      <c r="F136" s="654">
        <v>22636.82</v>
      </c>
      <c r="G136" s="473">
        <f t="shared" si="15"/>
        <v>8.8800000000010186</v>
      </c>
      <c r="H136" s="460">
        <f>G136+'14'!H136</f>
        <v>148.16999999999825</v>
      </c>
      <c r="I136" s="480">
        <f>G134+G135+G136</f>
        <v>32.86000000000422</v>
      </c>
      <c r="J136" s="552">
        <f>H136/DAY(B2)</f>
        <v>9.8779999999998829</v>
      </c>
      <c r="N136" s="721"/>
      <c r="O136" s="728"/>
      <c r="P136" s="382"/>
    </row>
    <row r="137" spans="1:16" ht="27.75">
      <c r="A137" s="1202" t="s">
        <v>246</v>
      </c>
      <c r="B137" s="1203"/>
      <c r="C137" s="1203"/>
      <c r="D137" s="523" t="s">
        <v>239</v>
      </c>
      <c r="E137" s="484">
        <f>'14'!F137</f>
        <v>25049.97</v>
      </c>
      <c r="F137" s="654">
        <v>25049.97</v>
      </c>
      <c r="G137" s="473">
        <f t="shared" si="15"/>
        <v>0</v>
      </c>
      <c r="H137" s="460">
        <f>G137+'14'!H137</f>
        <v>1.180000000000291</v>
      </c>
      <c r="I137" s="480"/>
      <c r="J137" s="552">
        <f>H137/DAY(B2)</f>
        <v>7.8666666666686064E-2</v>
      </c>
      <c r="N137" s="721"/>
      <c r="O137" s="728"/>
      <c r="P137" s="382"/>
    </row>
    <row r="138" spans="1:16" ht="27.75">
      <c r="A138" s="1202" t="s">
        <v>247</v>
      </c>
      <c r="B138" s="1203"/>
      <c r="C138" s="1203"/>
      <c r="D138" s="523" t="s">
        <v>239</v>
      </c>
      <c r="E138" s="484">
        <f>'14'!F138</f>
        <v>70282.320000000007</v>
      </c>
      <c r="F138" s="654">
        <v>70282.789999999994</v>
      </c>
      <c r="G138" s="473">
        <f t="shared" si="15"/>
        <v>0.46999999998661224</v>
      </c>
      <c r="H138" s="460">
        <f>G138+'14'!H138</f>
        <v>28.759999999994761</v>
      </c>
      <c r="I138" s="480">
        <f>G137+G138</f>
        <v>0.46999999998661224</v>
      </c>
      <c r="J138" s="552">
        <f>H138/DAY(B2)</f>
        <v>1.9173333333329841</v>
      </c>
      <c r="N138" s="721"/>
      <c r="O138" s="728"/>
      <c r="P138" s="382"/>
    </row>
    <row r="139" spans="1:16" ht="27.75">
      <c r="A139" s="1202" t="s">
        <v>248</v>
      </c>
      <c r="B139" s="1203"/>
      <c r="C139" s="1203"/>
      <c r="D139" s="523" t="s">
        <v>239</v>
      </c>
      <c r="E139" s="484">
        <f>'14'!F139</f>
        <v>1536.62</v>
      </c>
      <c r="F139" s="626">
        <v>1536.62</v>
      </c>
      <c r="G139" s="473">
        <f t="shared" si="15"/>
        <v>0</v>
      </c>
      <c r="H139" s="460">
        <f>G139+'14'!H139</f>
        <v>9.9999999999909051E-2</v>
      </c>
      <c r="I139" s="542"/>
      <c r="J139" s="552">
        <f>H139/DAY(B2)</f>
        <v>6.6666666666606034E-3</v>
      </c>
      <c r="N139" s="721"/>
      <c r="O139" s="728"/>
      <c r="P139" s="382"/>
    </row>
    <row r="140" spans="1:16" ht="27.75">
      <c r="A140" s="1202" t="s">
        <v>249</v>
      </c>
      <c r="B140" s="1203"/>
      <c r="C140" s="1203"/>
      <c r="D140" s="523" t="s">
        <v>239</v>
      </c>
      <c r="E140" s="484">
        <f>'14'!F140</f>
        <v>4583.38</v>
      </c>
      <c r="F140" s="478">
        <v>4592</v>
      </c>
      <c r="G140" s="473">
        <f t="shared" si="15"/>
        <v>8.6199999999998909</v>
      </c>
      <c r="H140" s="460">
        <f>G140+'14'!H140</f>
        <v>123.46000000000004</v>
      </c>
      <c r="I140" s="542"/>
      <c r="J140" s="552">
        <f>H140/DAY(B2)</f>
        <v>8.2306666666666697</v>
      </c>
      <c r="N140" s="721"/>
      <c r="O140" s="728"/>
      <c r="P140" s="382"/>
    </row>
    <row r="141" spans="1:16">
      <c r="A141" s="1526" t="s">
        <v>250</v>
      </c>
      <c r="B141" s="1527"/>
      <c r="C141" s="1208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520" t="s">
        <v>251</v>
      </c>
      <c r="B142" s="1521"/>
      <c r="C142" s="1522"/>
      <c r="D142" s="523" t="s">
        <v>132</v>
      </c>
      <c r="E142" s="523"/>
      <c r="F142" s="523"/>
      <c r="G142" s="460">
        <f>G35+G43+G49+G57</f>
        <v>5037</v>
      </c>
      <c r="H142" s="460">
        <f>G142+'14'!H142</f>
        <v>84643.33</v>
      </c>
      <c r="I142" s="480"/>
      <c r="J142" s="552">
        <f>H142/DAY(B2)</f>
        <v>5642.8886666666667</v>
      </c>
      <c r="K142" s="380"/>
      <c r="L142" s="377"/>
      <c r="N142" s="721"/>
      <c r="O142" s="728"/>
      <c r="P142" s="382"/>
    </row>
    <row r="143" spans="1:16" ht="27.75">
      <c r="A143" s="1520" t="s">
        <v>252</v>
      </c>
      <c r="B143" s="1521"/>
      <c r="C143" s="1522"/>
      <c r="D143" s="523" t="s">
        <v>24</v>
      </c>
      <c r="E143" s="511"/>
      <c r="F143" s="511"/>
      <c r="G143" s="543">
        <f>G142/G7</f>
        <v>0.24976446670302971</v>
      </c>
      <c r="H143" s="460">
        <f>G143+'14'!H143</f>
        <v>3.9684558712870417</v>
      </c>
      <c r="I143" s="544"/>
      <c r="J143" s="552">
        <f>H143/DAY(B2)</f>
        <v>0.26456372475246942</v>
      </c>
      <c r="K143" s="380"/>
      <c r="L143" s="377"/>
      <c r="N143" s="721"/>
      <c r="O143" s="728"/>
      <c r="P143" s="382"/>
    </row>
    <row r="144" spans="1:16" ht="27.75">
      <c r="A144" s="1520" t="s">
        <v>253</v>
      </c>
      <c r="B144" s="1521"/>
      <c r="C144" s="1522"/>
      <c r="D144" s="523" t="s">
        <v>132</v>
      </c>
      <c r="E144" s="455"/>
      <c r="F144" s="455"/>
      <c r="G144" s="460">
        <f>G41+G42+G55+G56</f>
        <v>6050</v>
      </c>
      <c r="H144" s="460">
        <f>G144+'14'!H144</f>
        <v>90742.84</v>
      </c>
      <c r="I144" s="480"/>
      <c r="J144" s="552">
        <f>H144/DAY(B2)</f>
        <v>6049.5226666666667</v>
      </c>
      <c r="K144" s="380"/>
      <c r="L144" s="377"/>
      <c r="N144" s="721"/>
      <c r="O144" s="728"/>
      <c r="P144" s="382"/>
    </row>
    <row r="145" spans="1:16" ht="27.75">
      <c r="A145" s="1520" t="s">
        <v>254</v>
      </c>
      <c r="B145" s="1521"/>
      <c r="C145" s="1522"/>
      <c r="D145" s="523" t="s">
        <v>24</v>
      </c>
      <c r="E145" s="455"/>
      <c r="F145" s="455"/>
      <c r="G145" s="543">
        <f>G144/G7</f>
        <v>0.2999950414042743</v>
      </c>
      <c r="H145" s="460">
        <f>G145+'14'!H145</f>
        <v>4.2548005223436531</v>
      </c>
      <c r="I145" s="544"/>
      <c r="J145" s="552">
        <f>H145/DAY(B2)</f>
        <v>0.28365336815624353</v>
      </c>
      <c r="K145" s="380"/>
      <c r="L145" s="377"/>
      <c r="N145" s="721"/>
      <c r="O145" s="728"/>
      <c r="P145" s="382"/>
    </row>
    <row r="146" spans="1:16" ht="27.75">
      <c r="A146" s="1520" t="s">
        <v>255</v>
      </c>
      <c r="B146" s="1521"/>
      <c r="C146" s="1522"/>
      <c r="D146" s="523" t="s">
        <v>132</v>
      </c>
      <c r="E146" s="455"/>
      <c r="F146" s="455"/>
      <c r="G146" s="460">
        <f>G39+G53</f>
        <v>2830</v>
      </c>
      <c r="H146" s="460">
        <f>G146+'14'!H146</f>
        <v>58256</v>
      </c>
      <c r="I146" s="545"/>
      <c r="J146" s="552">
        <f>H146/DAY(B2)</f>
        <v>3883.7333333333331</v>
      </c>
      <c r="K146" s="380"/>
      <c r="L146" s="377"/>
      <c r="N146" s="721"/>
      <c r="O146" s="728"/>
      <c r="P146" s="382"/>
    </row>
    <row r="147" spans="1:16" ht="27.75">
      <c r="A147" s="1520" t="s">
        <v>256</v>
      </c>
      <c r="B147" s="1521"/>
      <c r="C147" s="1522"/>
      <c r="D147" s="523" t="s">
        <v>24</v>
      </c>
      <c r="E147" s="455"/>
      <c r="F147" s="455"/>
      <c r="G147" s="543">
        <f>G146/G7</f>
        <v>0.14032825903704071</v>
      </c>
      <c r="H147" s="460">
        <f>G147+'14'!H147</f>
        <v>2.7280606846722835</v>
      </c>
      <c r="I147" s="545"/>
      <c r="J147" s="552">
        <f>H147/DAY(B2)</f>
        <v>0.18187071231148558</v>
      </c>
      <c r="N147" s="721"/>
      <c r="O147" s="728"/>
      <c r="P147" s="382"/>
    </row>
    <row r="148" spans="1:16" ht="27.75">
      <c r="A148" s="1520" t="s">
        <v>257</v>
      </c>
      <c r="B148" s="1521"/>
      <c r="C148" s="1522"/>
      <c r="D148" s="523" t="s">
        <v>183</v>
      </c>
      <c r="E148" s="455"/>
      <c r="F148" s="455"/>
      <c r="G148" s="460">
        <f>G38+G52</f>
        <v>1581</v>
      </c>
      <c r="H148" s="460">
        <f>G148+'14'!H148</f>
        <v>25221</v>
      </c>
      <c r="I148" s="480"/>
      <c r="J148" s="552">
        <f>H148/DAY(B2)</f>
        <v>1681.4</v>
      </c>
      <c r="K148" s="381"/>
      <c r="N148" s="721"/>
      <c r="O148" s="728"/>
      <c r="P148" s="382"/>
    </row>
    <row r="149" spans="1:16" ht="27.75">
      <c r="A149" s="1520" t="s">
        <v>258</v>
      </c>
      <c r="B149" s="1521"/>
      <c r="C149" s="1522"/>
      <c r="D149" s="523" t="s">
        <v>24</v>
      </c>
      <c r="E149" s="455"/>
      <c r="F149" s="455"/>
      <c r="G149" s="543">
        <f>G148/G7</f>
        <v>7.8395398423166562E-2</v>
      </c>
      <c r="H149" s="460">
        <f>G149+'14'!H149</f>
        <v>1.1834852915167478</v>
      </c>
      <c r="I149" s="545"/>
      <c r="J149" s="552">
        <f>H149/DAY(B2)</f>
        <v>7.8899019434449852E-2</v>
      </c>
      <c r="N149" s="721"/>
      <c r="O149" s="728"/>
      <c r="P149" s="382"/>
    </row>
    <row r="150" spans="1:16" ht="27.75">
      <c r="A150" s="1520" t="s">
        <v>259</v>
      </c>
      <c r="B150" s="1521"/>
      <c r="C150" s="1522"/>
      <c r="D150" s="523" t="s">
        <v>183</v>
      </c>
      <c r="E150" s="455"/>
      <c r="F150" s="455"/>
      <c r="G150" s="460">
        <f>G36+G50</f>
        <v>2365</v>
      </c>
      <c r="H150" s="460">
        <f>G150+'14'!H150</f>
        <v>31129</v>
      </c>
      <c r="I150" s="545"/>
      <c r="J150" s="552">
        <f>H150/DAY(B2)</f>
        <v>2075.2666666666669</v>
      </c>
      <c r="N150" s="721"/>
      <c r="O150" s="728"/>
      <c r="P150" s="382"/>
    </row>
    <row r="151" spans="1:16" ht="27.75">
      <c r="A151" s="1520" t="s">
        <v>260</v>
      </c>
      <c r="B151" s="1521"/>
      <c r="C151" s="1522"/>
      <c r="D151" s="523" t="s">
        <v>24</v>
      </c>
      <c r="E151" s="455"/>
      <c r="F151" s="455"/>
      <c r="G151" s="543">
        <f>G150/G7</f>
        <v>0.11727078891257996</v>
      </c>
      <c r="H151" s="460">
        <f>G151+'14'!H151</f>
        <v>1.4618202448665818</v>
      </c>
      <c r="I151" s="480"/>
      <c r="J151" s="552">
        <f>H151/DAY(B2)</f>
        <v>9.7454682991105449E-2</v>
      </c>
      <c r="N151" s="721"/>
      <c r="O151" s="728"/>
      <c r="P151" s="382"/>
    </row>
    <row r="152" spans="1:16" ht="27.75">
      <c r="A152" s="1520" t="s">
        <v>261</v>
      </c>
      <c r="B152" s="1521"/>
      <c r="C152" s="1522"/>
      <c r="D152" s="523" t="s">
        <v>183</v>
      </c>
      <c r="E152" s="455"/>
      <c r="F152" s="455"/>
      <c r="G152" s="460">
        <f>G37+G51</f>
        <v>1350</v>
      </c>
      <c r="H152" s="460">
        <f>G152+'14'!H152</f>
        <v>20643</v>
      </c>
      <c r="I152" s="480"/>
      <c r="J152" s="552">
        <f>H152/DAY(B2)</f>
        <v>1376.2</v>
      </c>
      <c r="N152" s="721"/>
      <c r="O152" s="728"/>
      <c r="P152" s="382"/>
    </row>
    <row r="153" spans="1:16" ht="28.5" thickBot="1">
      <c r="A153" s="1523" t="s">
        <v>262</v>
      </c>
      <c r="B153" s="1524"/>
      <c r="C153" s="1525"/>
      <c r="D153" s="625" t="s">
        <v>24</v>
      </c>
      <c r="E153" s="565"/>
      <c r="F153" s="565"/>
      <c r="G153" s="566">
        <f>G152/G7</f>
        <v>6.6941042296821546E-2</v>
      </c>
      <c r="H153" s="460">
        <f>G153+'14'!H153</f>
        <v>0.96896891359252435</v>
      </c>
      <c r="I153" s="568"/>
      <c r="J153" s="569">
        <f>H153/DAY(B2)</f>
        <v>6.4597927572834959E-2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'14'!F160</f>
        <v>34604</v>
      </c>
      <c r="F160" s="807">
        <v>34687</v>
      </c>
      <c r="G160" s="473">
        <f t="shared" ref="G160:G163" si="16">F160-E160</f>
        <v>83</v>
      </c>
      <c r="N160" s="721"/>
    </row>
    <row r="161" spans="1:14" ht="21.75" customHeight="1">
      <c r="A161" s="798" t="s">
        <v>264</v>
      </c>
      <c r="B161" s="799"/>
      <c r="C161" s="799"/>
      <c r="D161" s="620" t="s">
        <v>187</v>
      </c>
      <c r="E161" s="522">
        <f>'14'!F161</f>
        <v>75039</v>
      </c>
      <c r="F161" s="807">
        <v>75505.789999999994</v>
      </c>
      <c r="G161" s="473">
        <f t="shared" si="16"/>
        <v>466.7899999999936</v>
      </c>
      <c r="N161" s="721"/>
    </row>
    <row r="162" spans="1:14" ht="21.75" customHeight="1">
      <c r="A162" s="798" t="s">
        <v>265</v>
      </c>
      <c r="B162" s="799"/>
      <c r="C162" s="799"/>
      <c r="D162" s="620" t="s">
        <v>187</v>
      </c>
      <c r="E162" s="522">
        <f>'14'!F162</f>
        <v>33227</v>
      </c>
      <c r="F162" s="807">
        <v>33499</v>
      </c>
      <c r="G162" s="473">
        <f t="shared" si="16"/>
        <v>272</v>
      </c>
      <c r="N162" s="721"/>
    </row>
    <row r="163" spans="1:14" ht="21.75" customHeight="1">
      <c r="A163" s="798" t="s">
        <v>266</v>
      </c>
      <c r="B163" s="799"/>
      <c r="C163" s="799"/>
      <c r="D163" s="620" t="s">
        <v>187</v>
      </c>
      <c r="E163" s="522">
        <f>'14'!F163</f>
        <v>5939</v>
      </c>
      <c r="F163" s="807">
        <v>5950</v>
      </c>
      <c r="G163" s="473">
        <f t="shared" si="16"/>
        <v>11</v>
      </c>
      <c r="N163" s="721"/>
    </row>
    <row r="164" spans="1:14" ht="21.75" customHeight="1">
      <c r="A164" s="800" t="s">
        <v>98</v>
      </c>
      <c r="B164" s="801"/>
      <c r="C164" s="801"/>
      <c r="D164" s="620" t="s">
        <v>187</v>
      </c>
      <c r="E164" s="514">
        <f>E62</f>
        <v>20419</v>
      </c>
      <c r="F164" s="514">
        <f>F62</f>
        <v>20419.18</v>
      </c>
      <c r="G164" s="473">
        <f t="shared" ref="G164:G171" si="17">F164-E164</f>
        <v>0.18000000000029104</v>
      </c>
      <c r="N164" s="721"/>
    </row>
    <row r="165" spans="1:14" ht="21.75" customHeight="1">
      <c r="A165" s="800" t="s">
        <v>188</v>
      </c>
      <c r="B165" s="801"/>
      <c r="C165" s="801"/>
      <c r="D165" s="620" t="s">
        <v>187</v>
      </c>
      <c r="E165" s="514">
        <f t="shared" ref="E165:E171" si="18">E63</f>
        <v>2258</v>
      </c>
      <c r="F165" s="514">
        <f t="shared" ref="F165:F171" si="19">F63</f>
        <v>2268</v>
      </c>
      <c r="G165" s="473">
        <f t="shared" si="17"/>
        <v>10</v>
      </c>
      <c r="N165" s="721"/>
    </row>
    <row r="166" spans="1:14" ht="21.75" customHeight="1">
      <c r="A166" s="1565" t="s">
        <v>99</v>
      </c>
      <c r="B166" s="1565"/>
      <c r="C166" s="1565"/>
      <c r="D166" s="524" t="s">
        <v>187</v>
      </c>
      <c r="E166" s="514">
        <f t="shared" si="18"/>
        <v>145783</v>
      </c>
      <c r="F166" s="514">
        <f t="shared" si="19"/>
        <v>146266</v>
      </c>
      <c r="G166" s="473">
        <f t="shared" si="17"/>
        <v>483</v>
      </c>
      <c r="N166" s="721"/>
    </row>
    <row r="167" spans="1:14" ht="21.75" customHeight="1">
      <c r="A167" s="1565" t="s">
        <v>100</v>
      </c>
      <c r="B167" s="1565"/>
      <c r="C167" s="1565"/>
      <c r="D167" s="524" t="s">
        <v>187</v>
      </c>
      <c r="E167" s="514">
        <f t="shared" si="18"/>
        <v>149288</v>
      </c>
      <c r="F167" s="514">
        <f t="shared" si="19"/>
        <v>149636</v>
      </c>
      <c r="G167" s="473">
        <f t="shared" si="17"/>
        <v>348</v>
      </c>
      <c r="N167" s="721"/>
    </row>
    <row r="168" spans="1:14" ht="21.75" customHeight="1">
      <c r="A168" s="1565" t="s">
        <v>101</v>
      </c>
      <c r="B168" s="1565"/>
      <c r="C168" s="1565"/>
      <c r="D168" s="524" t="s">
        <v>187</v>
      </c>
      <c r="E168" s="514">
        <f t="shared" si="18"/>
        <v>42704</v>
      </c>
      <c r="F168" s="514">
        <f t="shared" si="19"/>
        <v>43078</v>
      </c>
      <c r="G168" s="473">
        <f t="shared" si="17"/>
        <v>374</v>
      </c>
      <c r="N168" s="721"/>
    </row>
    <row r="169" spans="1:14" ht="23.25" customHeight="1">
      <c r="A169" s="1565" t="s">
        <v>102</v>
      </c>
      <c r="B169" s="1565"/>
      <c r="C169" s="1565"/>
      <c r="D169" s="524" t="s">
        <v>187</v>
      </c>
      <c r="E169" s="514">
        <f t="shared" si="18"/>
        <v>237032</v>
      </c>
      <c r="F169" s="514">
        <f t="shared" si="19"/>
        <v>237444</v>
      </c>
      <c r="G169" s="473">
        <f t="shared" si="17"/>
        <v>412</v>
      </c>
      <c r="N169" s="721"/>
    </row>
    <row r="170" spans="1:14" ht="24" customHeight="1">
      <c r="A170" s="1565" t="s">
        <v>103</v>
      </c>
      <c r="B170" s="1565"/>
      <c r="C170" s="1565"/>
      <c r="D170" s="524" t="s">
        <v>187</v>
      </c>
      <c r="E170" s="514">
        <f t="shared" si="18"/>
        <v>85321</v>
      </c>
      <c r="F170" s="514">
        <f t="shared" si="19"/>
        <v>85321</v>
      </c>
      <c r="G170" s="473">
        <f t="shared" si="17"/>
        <v>0</v>
      </c>
      <c r="N170" s="721"/>
    </row>
    <row r="171" spans="1:14" ht="27.75">
      <c r="A171" s="1565" t="s">
        <v>104</v>
      </c>
      <c r="B171" s="1565"/>
      <c r="C171" s="1565"/>
      <c r="D171" s="524" t="s">
        <v>187</v>
      </c>
      <c r="E171" s="514">
        <f t="shared" si="18"/>
        <v>78054</v>
      </c>
      <c r="F171" s="514">
        <f t="shared" si="19"/>
        <v>78090</v>
      </c>
      <c r="G171" s="473">
        <f t="shared" si="17"/>
        <v>36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2495.9699999999939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27" customHeight="1">
      <c r="N177" s="721"/>
    </row>
    <row r="178" spans="14:14" ht="27" customHeight="1">
      <c r="N178" s="721"/>
    </row>
    <row r="179" spans="14:14" ht="27" customHeight="1">
      <c r="N179" s="721"/>
    </row>
    <row r="180" spans="14:14" ht="27" customHeight="1">
      <c r="N180" s="721"/>
    </row>
    <row r="181" spans="14:14" ht="27" customHeight="1">
      <c r="N181" s="721"/>
    </row>
    <row r="182" spans="14:14" ht="27" customHeight="1">
      <c r="N182" s="721"/>
    </row>
    <row r="183" spans="14:14" ht="27" customHeight="1">
      <c r="N183" s="721"/>
    </row>
    <row r="184" spans="14:14" ht="27" customHeight="1">
      <c r="N184" s="721"/>
    </row>
    <row r="185" spans="14:14" ht="27" customHeight="1">
      <c r="N185" s="721"/>
    </row>
    <row r="186" spans="14:14" ht="27" customHeight="1">
      <c r="N186" s="721"/>
    </row>
    <row r="187" spans="14:14" ht="27" customHeight="1">
      <c r="N187" s="721"/>
    </row>
    <row r="188" spans="14:14" ht="27" customHeight="1">
      <c r="N188" s="721"/>
    </row>
    <row r="189" spans="14:14" ht="27" customHeight="1">
      <c r="N189" s="721"/>
    </row>
    <row r="190" spans="14:14" ht="27" customHeight="1">
      <c r="N190" s="721"/>
    </row>
    <row r="191" spans="14:14" ht="27" customHeight="1">
      <c r="N191" s="721"/>
    </row>
    <row r="192" spans="14:14" ht="27" customHeight="1">
      <c r="N192" s="721"/>
    </row>
    <row r="193" spans="14:14" ht="27" customHeight="1">
      <c r="N193" s="721"/>
    </row>
    <row r="194" spans="14:14" ht="27" customHeight="1">
      <c r="N194" s="721"/>
    </row>
    <row r="195" spans="14:14" ht="27" customHeight="1">
      <c r="N195" s="721"/>
    </row>
    <row r="196" spans="14:14" ht="27" customHeight="1">
      <c r="N196" s="721"/>
    </row>
    <row r="197" spans="14:14" ht="27" customHeight="1">
      <c r="N197" s="721"/>
    </row>
    <row r="198" spans="14:14" ht="27" customHeight="1"/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2:C142"/>
    <mergeCell ref="A143:C143"/>
    <mergeCell ref="A144:C144"/>
    <mergeCell ref="A145:C145"/>
    <mergeCell ref="A146:C146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46" zoomScale="55" zoomScaleNormal="90" zoomScaleSheetLayoutView="55" workbookViewId="0">
      <selection activeCell="F93" sqref="F93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7" bestFit="1" customWidth="1"/>
    <col min="5" max="5" width="27.21875" style="537" customWidth="1"/>
    <col min="6" max="6" width="25.5546875" style="666" customWidth="1"/>
    <col min="7" max="7" width="27" style="537" customWidth="1"/>
    <col min="8" max="8" width="21.88671875" style="538" customWidth="1"/>
    <col min="9" max="9" width="24.77734375" style="537" customWidth="1"/>
    <col min="10" max="10" width="23.5546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28" t="s">
        <v>117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6" s="281" customFormat="1" ht="27">
      <c r="A2" s="575" t="s">
        <v>357</v>
      </c>
      <c r="B2" s="1036">
        <v>44302</v>
      </c>
      <c r="C2" s="1217" t="s">
        <v>69</v>
      </c>
      <c r="D2" s="611">
        <v>0.92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217" t="s">
        <v>120</v>
      </c>
      <c r="D3" s="612">
        <v>29</v>
      </c>
      <c r="E3" s="1537" t="s">
        <v>121</v>
      </c>
      <c r="F3" s="1538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17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31" t="s">
        <v>130</v>
      </c>
      <c r="B6" s="1532"/>
      <c r="C6" s="1533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'15'!F7</f>
        <v>5433764</v>
      </c>
      <c r="F7" s="455">
        <v>5453920</v>
      </c>
      <c r="G7" s="681">
        <f>F7-E7</f>
        <v>20156</v>
      </c>
      <c r="H7" s="682">
        <f>G7+'15'!H7</f>
        <v>339997</v>
      </c>
      <c r="I7" s="683">
        <f>'1'!I7</f>
        <v>12000</v>
      </c>
      <c r="J7" s="684">
        <f>H7/DAY(B2)</f>
        <v>21249.8125</v>
      </c>
      <c r="K7" s="549">
        <f>'1'!E7-'16'!F7</f>
        <v>-339997</v>
      </c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'15'!F8</f>
        <v>5466584</v>
      </c>
      <c r="F8" s="475">
        <v>5486798</v>
      </c>
      <c r="G8" s="692">
        <f>F8-E8</f>
        <v>20214</v>
      </c>
      <c r="H8" s="682">
        <f>G8+'15'!H8</f>
        <v>341480</v>
      </c>
      <c r="I8" s="689">
        <f>'1'!I8</f>
        <v>12000</v>
      </c>
      <c r="J8" s="684">
        <f>H8/DAY(B2)</f>
        <v>21342.5</v>
      </c>
      <c r="K8" s="549">
        <f>'1'!E8-'16'!F8</f>
        <v>-341480</v>
      </c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'15'!F9</f>
        <v>706189</v>
      </c>
      <c r="F9" s="478">
        <v>725720</v>
      </c>
      <c r="G9" s="705">
        <f t="shared" ref="G9:G12" si="0">F9-E9</f>
        <v>19531</v>
      </c>
      <c r="H9" s="682">
        <f>G9+'15'!H9</f>
        <v>329651</v>
      </c>
      <c r="I9" s="693">
        <f>I7-J7</f>
        <v>-9249.8125</v>
      </c>
      <c r="J9" s="684">
        <f>H9/DAY(B2)</f>
        <v>20603.1875</v>
      </c>
      <c r="K9" s="428">
        <f>'1'!E9-'16'!F9</f>
        <v>-329651</v>
      </c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'15'!F10</f>
        <v>2322.58</v>
      </c>
      <c r="F10" s="478">
        <v>2322.58</v>
      </c>
      <c r="G10" s="692">
        <f t="shared" si="0"/>
        <v>0</v>
      </c>
      <c r="H10" s="682">
        <f>G10+'15'!H10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G11+'15'!H11</f>
        <v>0</v>
      </c>
      <c r="I11" s="694"/>
      <c r="J11" s="684">
        <f>H11/DAY(B2)</f>
        <v>0</v>
      </c>
      <c r="K11" s="428"/>
      <c r="L11" s="377"/>
      <c r="N11" s="721">
        <f>G8-G10</f>
        <v>20214</v>
      </c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G12+'15'!H12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19531</v>
      </c>
      <c r="H13" s="682">
        <f>G13+'15'!H13</f>
        <v>309460.3600000001</v>
      </c>
      <c r="I13" s="698">
        <f>G7-G13</f>
        <v>625</v>
      </c>
      <c r="J13" s="684">
        <f>H13/DAY(B2)</f>
        <v>19341.272500000006</v>
      </c>
      <c r="K13" s="428"/>
      <c r="L13" s="377"/>
      <c r="N13" s="721"/>
      <c r="O13" s="728"/>
      <c r="P13" s="382"/>
    </row>
    <row r="14" spans="1:16">
      <c r="A14" s="1534" t="s">
        <v>139</v>
      </c>
      <c r="B14" s="1535"/>
      <c r="C14" s="1536"/>
      <c r="D14" s="472"/>
      <c r="E14" s="472"/>
      <c r="F14" s="472"/>
      <c r="G14" s="483"/>
      <c r="H14" s="472"/>
      <c r="I14" s="472"/>
      <c r="J14" s="1222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'15'!F15</f>
        <v>1660039.75</v>
      </c>
      <c r="F15" s="485">
        <v>1660872</v>
      </c>
      <c r="G15" s="667">
        <f>(F15-E15)</f>
        <v>832.25</v>
      </c>
      <c r="H15" s="486">
        <f>G15+'15'!H15</f>
        <v>14183</v>
      </c>
      <c r="I15" s="474">
        <f>'1'!I15</f>
        <v>800</v>
      </c>
      <c r="J15" s="553">
        <f>H15/DAY(B2)</f>
        <v>886.4375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 t="s">
        <v>272</v>
      </c>
      <c r="G16" s="672"/>
      <c r="H16" s="486"/>
      <c r="I16" s="482">
        <f>I15-J15</f>
        <v>-86.4375</v>
      </c>
      <c r="J16" s="553"/>
      <c r="K16" s="428"/>
      <c r="L16" s="377"/>
      <c r="N16" s="721"/>
      <c r="O16" s="728"/>
      <c r="P16" s="382"/>
    </row>
    <row r="17" spans="1:16">
      <c r="A17" s="1534" t="s">
        <v>142</v>
      </c>
      <c r="B17" s="1535"/>
      <c r="C17" s="1536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60" t="s">
        <v>143</v>
      </c>
      <c r="B18" s="1561"/>
      <c r="C18" s="1562"/>
      <c r="D18" s="638" t="s">
        <v>144</v>
      </c>
      <c r="E18" s="635">
        <f>'15'!F18</f>
        <v>8</v>
      </c>
      <c r="F18" s="478">
        <v>8</v>
      </c>
      <c r="G18" s="697">
        <f>F18*10</f>
        <v>80</v>
      </c>
      <c r="H18" s="682">
        <f>G18+'15'!H18</f>
        <v>1540</v>
      </c>
      <c r="I18" s="683">
        <f>'1'!I18</f>
        <v>65</v>
      </c>
      <c r="J18" s="684">
        <f>H18/DAY(B2)</f>
        <v>96.25</v>
      </c>
      <c r="K18" s="428"/>
      <c r="L18" s="377"/>
      <c r="N18" s="721"/>
      <c r="O18" s="728"/>
      <c r="P18" s="382"/>
    </row>
    <row r="19" spans="1:16" ht="27.75">
      <c r="A19" s="1560" t="s">
        <v>71</v>
      </c>
      <c r="B19" s="1561"/>
      <c r="C19" s="1562"/>
      <c r="D19" s="638" t="s">
        <v>144</v>
      </c>
      <c r="E19" s="635">
        <f>'15'!F19</f>
        <v>136947</v>
      </c>
      <c r="F19" s="478">
        <v>137003</v>
      </c>
      <c r="G19" s="692">
        <f t="shared" ref="G19" si="1">F19-E19</f>
        <v>56</v>
      </c>
      <c r="H19" s="682">
        <f>G19+'15'!H19</f>
        <v>913</v>
      </c>
      <c r="I19" s="699"/>
      <c r="J19" s="684">
        <f>H19/DAY(B2)</f>
        <v>57.0625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136</v>
      </c>
      <c r="H20" s="682">
        <f>G20+'15'!H20</f>
        <v>2453</v>
      </c>
      <c r="I20" s="701">
        <f>I18-J20</f>
        <v>-88.3125</v>
      </c>
      <c r="J20" s="684">
        <f>H20/DAY(B2)</f>
        <v>153.3125</v>
      </c>
      <c r="K20" s="428"/>
      <c r="L20" s="377"/>
      <c r="N20" s="721"/>
      <c r="O20" s="728"/>
      <c r="P20" s="382"/>
    </row>
    <row r="21" spans="1:16">
      <c r="A21" s="1534" t="s">
        <v>146</v>
      </c>
      <c r="B21" s="1535"/>
      <c r="C21" s="1536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10" t="s">
        <v>147</v>
      </c>
      <c r="B22" s="589"/>
      <c r="C22" s="589"/>
      <c r="D22" s="523" t="s">
        <v>148</v>
      </c>
      <c r="E22" s="635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10" t="s">
        <v>149</v>
      </c>
      <c r="B23" s="589"/>
      <c r="C23" s="589"/>
      <c r="D23" s="523" t="s">
        <v>148</v>
      </c>
      <c r="E23" s="635">
        <f>'15'!F23</f>
        <v>2900</v>
      </c>
      <c r="F23" s="478">
        <v>2900</v>
      </c>
      <c r="G23" s="481">
        <v>0</v>
      </c>
      <c r="H23" s="460">
        <f>G23+'15'!H23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'15'!F24</f>
        <v>4250</v>
      </c>
      <c r="F24" s="485">
        <v>4250</v>
      </c>
      <c r="G24" s="481">
        <v>0</v>
      </c>
      <c r="H24" s="460">
        <f>G24+'15'!H24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39" t="s">
        <v>151</v>
      </c>
      <c r="B25" s="1540"/>
      <c r="C25" s="1541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20214</v>
      </c>
      <c r="F27" s="501">
        <v>9</v>
      </c>
      <c r="G27" s="502">
        <f>E27*F27</f>
        <v>181926</v>
      </c>
      <c r="H27" s="460">
        <f>G27+'15'!H27</f>
        <v>3073320</v>
      </c>
      <c r="I27" s="503"/>
      <c r="J27" s="552">
        <f>H27/DAY(B2)</f>
        <v>192082.5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832.25</v>
      </c>
      <c r="F28" s="501">
        <v>51.45</v>
      </c>
      <c r="G28" s="502">
        <f>E28*F28</f>
        <v>42819.262500000004</v>
      </c>
      <c r="H28" s="460">
        <f>G28+'15'!H28</f>
        <v>729715.35</v>
      </c>
      <c r="I28" s="505"/>
      <c r="J28" s="552">
        <f>H28/DAY(B2)</f>
        <v>45607.209374999999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G29+'15'!H29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134</v>
      </c>
      <c r="G30" s="502">
        <f>E30*F30</f>
        <v>7504</v>
      </c>
      <c r="H30" s="460">
        <f>G30+'15'!H30</f>
        <v>123710</v>
      </c>
      <c r="I30" s="505"/>
      <c r="J30" s="552">
        <f>H30/DAY(B2)</f>
        <v>7731.875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G31+'15'!H31</f>
        <v>123200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238649.26250000001</v>
      </c>
      <c r="H32" s="460">
        <f>G32+'15'!H32</f>
        <v>4049945.35</v>
      </c>
      <c r="I32" s="509"/>
      <c r="J32" s="552">
        <f>H32/DAY(B2)</f>
        <v>253121.58437500001</v>
      </c>
      <c r="K32" s="373"/>
      <c r="L32" s="443"/>
      <c r="N32" s="721"/>
      <c r="O32" s="728"/>
      <c r="P32" s="382"/>
    </row>
    <row r="33" spans="1:16" ht="25.5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  <c r="N33" s="721"/>
      <c r="O33" s="728"/>
      <c r="P33" s="382"/>
    </row>
    <row r="34" spans="1:16">
      <c r="A34" s="598" t="s">
        <v>163</v>
      </c>
      <c r="B34" s="1212"/>
      <c r="C34" s="1212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'15'!F35</f>
        <v>846419</v>
      </c>
      <c r="F35" s="510">
        <v>849041</v>
      </c>
      <c r="G35" s="473">
        <f t="shared" ref="G35:G46" si="3">F35-E35</f>
        <v>2622</v>
      </c>
      <c r="H35" s="460">
        <f>G35+'15'!H35</f>
        <v>50652</v>
      </c>
      <c r="I35" s="455"/>
      <c r="J35" s="552">
        <f>H35/DAY(B2)</f>
        <v>3165.75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'15'!F36</f>
        <v>331635</v>
      </c>
      <c r="F36" s="510">
        <v>332653</v>
      </c>
      <c r="G36" s="473">
        <f t="shared" si="3"/>
        <v>1018</v>
      </c>
      <c r="H36" s="460">
        <f>G36+'15'!H36</f>
        <v>15217</v>
      </c>
      <c r="I36" s="455"/>
      <c r="J36" s="552">
        <f>H36/DAY(B2)</f>
        <v>951.0625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'15'!F37</f>
        <v>75440</v>
      </c>
      <c r="F37" s="510">
        <v>76814</v>
      </c>
      <c r="G37" s="473">
        <f t="shared" si="3"/>
        <v>1374</v>
      </c>
      <c r="H37" s="460">
        <f>G37+'15'!H37</f>
        <v>22017</v>
      </c>
      <c r="I37" s="455"/>
      <c r="J37" s="552">
        <f>H37/DAY(B2)</f>
        <v>1376.0625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'15'!F38</f>
        <v>97531</v>
      </c>
      <c r="F38" s="469">
        <v>99185</v>
      </c>
      <c r="G38" s="473">
        <f t="shared" si="3"/>
        <v>1654</v>
      </c>
      <c r="H38" s="460">
        <f>G38+'15'!H38</f>
        <v>26877</v>
      </c>
      <c r="I38" s="455"/>
      <c r="J38" s="552">
        <f>H38/DAY(B2)</f>
        <v>1679.8125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'15'!F39</f>
        <v>205165</v>
      </c>
      <c r="F39" s="510">
        <v>208006</v>
      </c>
      <c r="G39" s="473">
        <f t="shared" si="3"/>
        <v>2841</v>
      </c>
      <c r="H39" s="460">
        <f>G39+'15'!H39</f>
        <v>55184</v>
      </c>
      <c r="I39" s="455"/>
      <c r="J39" s="552">
        <f>H39/DAY(B2)</f>
        <v>3449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'15'!F40</f>
        <v>0</v>
      </c>
      <c r="F40" s="510">
        <v>0</v>
      </c>
      <c r="G40" s="473">
        <f t="shared" si="3"/>
        <v>0</v>
      </c>
      <c r="H40" s="460">
        <f>G40+'15'!H40</f>
        <v>0.17</v>
      </c>
      <c r="I40" s="455"/>
      <c r="J40" s="552">
        <f>H40/DAY(B2)</f>
        <v>1.0625000000000001E-2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'15'!F41</f>
        <v>161910</v>
      </c>
      <c r="F41" s="510">
        <v>161910</v>
      </c>
      <c r="G41" s="473">
        <f t="shared" si="3"/>
        <v>0</v>
      </c>
      <c r="H41" s="460">
        <f>G41+'15'!H41</f>
        <v>28769</v>
      </c>
      <c r="I41" s="455"/>
      <c r="J41" s="552">
        <f>H41/DAY(B2)</f>
        <v>1798.0625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'15'!F42</f>
        <v>59128</v>
      </c>
      <c r="F42" s="510">
        <v>59128</v>
      </c>
      <c r="G42" s="473">
        <f>F42-E42</f>
        <v>0</v>
      </c>
      <c r="H42" s="460">
        <f>G42+'15'!H42</f>
        <v>-0.16000000000349246</v>
      </c>
      <c r="I42" s="455"/>
      <c r="J42" s="552">
        <f>H42/DAY(B2)</f>
        <v>-1.0000000000218279E-2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'15'!F43</f>
        <v>938661</v>
      </c>
      <c r="F43" s="510">
        <v>940968</v>
      </c>
      <c r="G43" s="473">
        <f t="shared" si="3"/>
        <v>2307</v>
      </c>
      <c r="H43" s="460">
        <f>G43+'15'!H43</f>
        <v>38920</v>
      </c>
      <c r="I43" s="455"/>
      <c r="J43" s="552">
        <f>H43/DAY(B2)</f>
        <v>2432.5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11816</v>
      </c>
      <c r="H47" s="460">
        <f>G47+'15'!H47</f>
        <v>238437.49999999994</v>
      </c>
      <c r="I47" s="455"/>
      <c r="J47" s="552">
        <f>H47/DAY(B2)</f>
        <v>14902.343749999996</v>
      </c>
      <c r="K47" s="428"/>
      <c r="L47" s="377"/>
      <c r="N47" s="721"/>
      <c r="O47" s="728"/>
      <c r="P47" s="382"/>
    </row>
    <row r="48" spans="1:16">
      <c r="A48" s="598" t="s">
        <v>177</v>
      </c>
      <c r="B48" s="1212"/>
      <c r="C48" s="1212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'15'!F49</f>
        <v>260732</v>
      </c>
      <c r="F49" s="510">
        <v>260732.13</v>
      </c>
      <c r="G49" s="473">
        <f t="shared" ref="G49:G58" si="4">F49-E49</f>
        <v>0.13000000000465661</v>
      </c>
      <c r="H49" s="460">
        <f>G49+'15'!H49</f>
        <v>0.13000000000465661</v>
      </c>
      <c r="I49" s="455"/>
      <c r="J49" s="552">
        <f>H49/DAY(B2)</f>
        <v>8.1250000002910383E-3</v>
      </c>
      <c r="K49" s="428">
        <f>E49+244</f>
        <v>260976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'15'!F50</f>
        <v>458162</v>
      </c>
      <c r="F50" s="510">
        <v>459345</v>
      </c>
      <c r="G50" s="473">
        <f t="shared" si="4"/>
        <v>1183</v>
      </c>
      <c r="H50" s="460">
        <f>G50+'15'!H50</f>
        <v>17070.959999999963</v>
      </c>
      <c r="I50" s="455"/>
      <c r="J50" s="552">
        <f>H50/DAY(B2)</f>
        <v>1066.9349999999977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'15'!F51</f>
        <v>144640</v>
      </c>
      <c r="F51" s="510">
        <v>144640</v>
      </c>
      <c r="G51" s="473">
        <f t="shared" si="4"/>
        <v>0</v>
      </c>
      <c r="H51" s="460">
        <f>G51+'15'!H51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'15'!F52</f>
        <v>539606</v>
      </c>
      <c r="F52" s="510">
        <v>539606</v>
      </c>
      <c r="G52" s="473">
        <f t="shared" si="4"/>
        <v>0</v>
      </c>
      <c r="H52" s="460">
        <f>G52+'15'!H52</f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'15'!F53</f>
        <v>407177</v>
      </c>
      <c r="F53" s="510">
        <v>407177</v>
      </c>
      <c r="G53" s="473">
        <f t="shared" si="4"/>
        <v>0</v>
      </c>
      <c r="H53" s="460">
        <f>G53+'15'!H53</f>
        <v>5343.2000000000116</v>
      </c>
      <c r="I53" s="455"/>
      <c r="J53" s="552">
        <f>H53/DAY(B2)</f>
        <v>333.95000000000073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'15'!F54</f>
        <v>10255</v>
      </c>
      <c r="F54" s="510">
        <v>10331</v>
      </c>
      <c r="G54" s="473">
        <f t="shared" si="4"/>
        <v>76</v>
      </c>
      <c r="H54" s="460">
        <f>G54+'15'!H54</f>
        <v>4106.0300000000007</v>
      </c>
      <c r="I54" s="455"/>
      <c r="J54" s="552">
        <f>H54/DAY(B2)</f>
        <v>256.62687500000004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'15'!F55</f>
        <v>277952</v>
      </c>
      <c r="F55" s="656">
        <v>283956</v>
      </c>
      <c r="G55" s="655">
        <f t="shared" si="4"/>
        <v>6004</v>
      </c>
      <c r="H55" s="708">
        <f>G55+'15'!H55</f>
        <v>62502.799999999988</v>
      </c>
      <c r="I55" s="709"/>
      <c r="J55" s="710">
        <f>H55/DAY(B2)</f>
        <v>3906.4249999999993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'15'!F56</f>
        <v>589086</v>
      </c>
      <c r="F56" s="656">
        <v>589086</v>
      </c>
      <c r="G56" s="473">
        <f t="shared" si="4"/>
        <v>0</v>
      </c>
      <c r="H56" s="460">
        <f>G56+'15'!H56</f>
        <v>109.8399999999674</v>
      </c>
      <c r="I56" s="455"/>
      <c r="J56" s="552">
        <f>H56/DAY(B2)</f>
        <v>6.8649999999979627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0.32999999999992724</v>
      </c>
      <c r="I57" s="455"/>
      <c r="J57" s="552">
        <f>H57/DAY(B2)</f>
        <v>2.0624999999995453E-2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'15'!F58</f>
        <v>44343</v>
      </c>
      <c r="F58" s="656">
        <v>44522</v>
      </c>
      <c r="G58" s="473">
        <f t="shared" si="4"/>
        <v>179</v>
      </c>
      <c r="H58" s="460">
        <f>G58+'15'!H58</f>
        <v>2820.6599999999962</v>
      </c>
      <c r="I58" s="455"/>
      <c r="J58" s="552">
        <f>H58/DAY(B2)</f>
        <v>176.29124999999976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7442.1300000000047</v>
      </c>
      <c r="H59" s="460">
        <f>G59+'15'!H59</f>
        <v>91951.949999999939</v>
      </c>
      <c r="I59" s="455">
        <f>G7-G60</f>
        <v>897.86999999999534</v>
      </c>
      <c r="J59" s="552">
        <f>H59/DAY(B2)</f>
        <v>5746.9968749999962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19258.130000000005</v>
      </c>
      <c r="H60" s="460">
        <f>G60+'15'!H60</f>
        <v>337589</v>
      </c>
      <c r="I60" s="455">
        <f>G13-G60</f>
        <v>272.86999999999534</v>
      </c>
      <c r="J60" s="552">
        <f>H60/DAY(B2)</f>
        <v>21099.3125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0.36199999999735155</v>
      </c>
      <c r="I62" s="515"/>
      <c r="J62" s="552">
        <f>H62/DAY(B2)</f>
        <v>2.2624999999834472E-2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'15'!F63</f>
        <v>2268</v>
      </c>
      <c r="F63" s="514">
        <v>2278.41</v>
      </c>
      <c r="G63" s="473">
        <f t="shared" si="5"/>
        <v>10.409999999999854</v>
      </c>
      <c r="H63" s="460">
        <f>G63+'15'!H63</f>
        <v>182.40999999999985</v>
      </c>
      <c r="I63" s="515"/>
      <c r="J63" s="552">
        <f>H63/DAY(B2)</f>
        <v>11.400624999999991</v>
      </c>
      <c r="K63" s="428"/>
      <c r="L63" s="377"/>
      <c r="N63" s="721"/>
      <c r="O63" s="728"/>
      <c r="P63" s="382"/>
    </row>
    <row r="64" spans="1:16" ht="27.75">
      <c r="A64" s="1499" t="s">
        <v>99</v>
      </c>
      <c r="B64" s="1500"/>
      <c r="C64" s="1501"/>
      <c r="D64" s="523" t="s">
        <v>187</v>
      </c>
      <c r="E64" s="1234">
        <f>'15'!F64</f>
        <v>146266</v>
      </c>
      <c r="F64" s="626">
        <v>146746</v>
      </c>
      <c r="G64" s="777">
        <f t="shared" si="5"/>
        <v>480</v>
      </c>
      <c r="H64" s="460">
        <f>G64+'15'!H64</f>
        <v>7566</v>
      </c>
      <c r="I64" s="480"/>
      <c r="J64" s="552">
        <f>H64/DAY(B2)</f>
        <v>472.875</v>
      </c>
      <c r="K64" s="428"/>
      <c r="L64" s="377"/>
      <c r="N64" s="721"/>
      <c r="O64" s="728"/>
      <c r="P64" s="382"/>
    </row>
    <row r="65" spans="1:16" ht="27.75">
      <c r="A65" s="1499" t="s">
        <v>100</v>
      </c>
      <c r="B65" s="1500"/>
      <c r="C65" s="1501"/>
      <c r="D65" s="523" t="s">
        <v>187</v>
      </c>
      <c r="E65" s="514">
        <f>'15'!F65</f>
        <v>149636</v>
      </c>
      <c r="F65" s="654">
        <v>149978</v>
      </c>
      <c r="G65" s="473">
        <f t="shared" si="5"/>
        <v>342</v>
      </c>
      <c r="H65" s="460">
        <f>G65+'15'!H65</f>
        <v>5773</v>
      </c>
      <c r="I65" s="489"/>
      <c r="J65" s="552">
        <f>H65/DAY(B2)</f>
        <v>360.8125</v>
      </c>
      <c r="K65" s="428"/>
      <c r="L65" s="377"/>
      <c r="N65" s="721"/>
      <c r="O65" s="729"/>
      <c r="P65" s="382"/>
    </row>
    <row r="66" spans="1:16" ht="27.75">
      <c r="A66" s="1499" t="s">
        <v>101</v>
      </c>
      <c r="B66" s="1500"/>
      <c r="C66" s="1501"/>
      <c r="D66" s="523" t="s">
        <v>187</v>
      </c>
      <c r="E66" s="514">
        <f>'15'!F66</f>
        <v>43078</v>
      </c>
      <c r="F66" s="478">
        <v>43450</v>
      </c>
      <c r="G66" s="473">
        <f t="shared" si="5"/>
        <v>372</v>
      </c>
      <c r="H66" s="460">
        <f>G66+'15'!H66</f>
        <v>6242</v>
      </c>
      <c r="I66" s="480"/>
      <c r="J66" s="552">
        <f>H66/DAY(B2)</f>
        <v>390.125</v>
      </c>
      <c r="K66" s="428"/>
      <c r="L66" s="377"/>
      <c r="N66" s="721"/>
      <c r="O66" s="728"/>
      <c r="P66" s="382"/>
    </row>
    <row r="67" spans="1:16" ht="27.75">
      <c r="A67" s="1499" t="s">
        <v>102</v>
      </c>
      <c r="B67" s="1500"/>
      <c r="C67" s="1501"/>
      <c r="D67" s="523" t="s">
        <v>187</v>
      </c>
      <c r="E67" s="514">
        <f>'15'!F67</f>
        <v>237444</v>
      </c>
      <c r="F67" s="478">
        <v>237894</v>
      </c>
      <c r="G67" s="473">
        <f t="shared" si="5"/>
        <v>450</v>
      </c>
      <c r="H67" s="460">
        <f>G67+'15'!H67</f>
        <v>8794</v>
      </c>
      <c r="I67" s="489"/>
      <c r="J67" s="552">
        <f>H67/DAY(B2)</f>
        <v>549.625</v>
      </c>
      <c r="K67" s="429"/>
      <c r="L67" s="377"/>
      <c r="N67" s="721"/>
      <c r="O67" s="728"/>
      <c r="P67" s="382"/>
    </row>
    <row r="68" spans="1:16" ht="27.75">
      <c r="A68" s="1499" t="s">
        <v>103</v>
      </c>
      <c r="B68" s="1500"/>
      <c r="C68" s="1501"/>
      <c r="D68" s="523" t="s">
        <v>187</v>
      </c>
      <c r="E68" s="514">
        <f>'15'!F68</f>
        <v>85321</v>
      </c>
      <c r="F68" s="478">
        <v>85321</v>
      </c>
      <c r="G68" s="473">
        <f t="shared" si="5"/>
        <v>0</v>
      </c>
      <c r="H68" s="460">
        <f>G68+'15'!H68</f>
        <v>2234</v>
      </c>
      <c r="I68" s="516"/>
      <c r="J68" s="552">
        <f>H68/DAY(B2)</f>
        <v>139.625</v>
      </c>
      <c r="K68" s="430"/>
      <c r="L68" s="377"/>
      <c r="N68" s="721"/>
      <c r="O68" s="728"/>
      <c r="P68" s="382"/>
    </row>
    <row r="69" spans="1:16" ht="27.75">
      <c r="A69" s="1499" t="s">
        <v>104</v>
      </c>
      <c r="B69" s="1500"/>
      <c r="C69" s="1501"/>
      <c r="D69" s="523" t="s">
        <v>187</v>
      </c>
      <c r="E69" s="514">
        <f>'15'!F69</f>
        <v>78090</v>
      </c>
      <c r="F69" s="478">
        <v>78127</v>
      </c>
      <c r="G69" s="473">
        <f t="shared" si="5"/>
        <v>37</v>
      </c>
      <c r="H69" s="460">
        <f>G69+'15'!H69</f>
        <v>3798</v>
      </c>
      <c r="I69" s="516"/>
      <c r="J69" s="552">
        <f>H69/DAY(B2)</f>
        <v>237.375</v>
      </c>
      <c r="K69" s="431"/>
      <c r="L69" s="377"/>
      <c r="N69" s="721"/>
      <c r="O69" s="728"/>
      <c r="P69" s="382"/>
    </row>
    <row r="70" spans="1:16" ht="27.75">
      <c r="A70" s="1505" t="s">
        <v>189</v>
      </c>
      <c r="B70" s="1506"/>
      <c r="C70" s="1507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21"/>
      <c r="O70" s="728"/>
      <c r="P70" s="382"/>
    </row>
    <row r="71" spans="1:16" ht="31.5">
      <c r="A71" s="1502"/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  <c r="N71" s="721"/>
      <c r="O71" s="728"/>
      <c r="P71" s="382"/>
    </row>
    <row r="72" spans="1:16" ht="27.75">
      <c r="A72" s="1499" t="s">
        <v>191</v>
      </c>
      <c r="B72" s="1500"/>
      <c r="C72" s="1501"/>
      <c r="D72" s="523" t="s">
        <v>187</v>
      </c>
      <c r="E72" s="519">
        <f>'15'!F72</f>
        <v>854584</v>
      </c>
      <c r="F72" s="657">
        <v>854663</v>
      </c>
      <c r="G72" s="473">
        <f t="shared" ref="G72:G84" si="6">F72-E72</f>
        <v>79</v>
      </c>
      <c r="H72" s="460">
        <f>G72+'15'!H72</f>
        <v>1400</v>
      </c>
      <c r="I72" s="480"/>
      <c r="J72" s="552">
        <f>H72/DAY(B2)</f>
        <v>87.5</v>
      </c>
      <c r="K72" s="431"/>
      <c r="L72" s="377"/>
      <c r="N72" s="721"/>
      <c r="O72" s="728"/>
      <c r="P72" s="382"/>
    </row>
    <row r="73" spans="1:16" ht="27.75">
      <c r="A73" s="1499" t="s">
        <v>192</v>
      </c>
      <c r="B73" s="1500"/>
      <c r="C73" s="1501"/>
      <c r="D73" s="523" t="s">
        <v>187</v>
      </c>
      <c r="E73" s="519">
        <f>'15'!F73</f>
        <v>885823</v>
      </c>
      <c r="F73" s="658">
        <v>885824</v>
      </c>
      <c r="G73" s="655">
        <f t="shared" si="6"/>
        <v>1</v>
      </c>
      <c r="H73" s="460">
        <f>G73+'15'!H73</f>
        <v>1245</v>
      </c>
      <c r="I73" s="480"/>
      <c r="J73" s="552">
        <f>H73/DAY(B2)</f>
        <v>77.8125</v>
      </c>
      <c r="K73" s="430"/>
      <c r="L73" s="377"/>
      <c r="N73" s="721"/>
      <c r="O73" s="728"/>
      <c r="P73" s="382"/>
    </row>
    <row r="74" spans="1:16" ht="27.75">
      <c r="A74" s="1499" t="s">
        <v>193</v>
      </c>
      <c r="B74" s="1500"/>
      <c r="C74" s="1501"/>
      <c r="D74" s="523" t="s">
        <v>187</v>
      </c>
      <c r="E74" s="519">
        <f>'15'!F74</f>
        <v>1807</v>
      </c>
      <c r="F74" s="658">
        <v>1840</v>
      </c>
      <c r="G74" s="473">
        <f t="shared" si="6"/>
        <v>33</v>
      </c>
      <c r="H74" s="460">
        <f>G74+'15'!H74</f>
        <v>470</v>
      </c>
      <c r="I74" s="480"/>
      <c r="J74" s="552">
        <f>H74/DAY(B2)</f>
        <v>29.375</v>
      </c>
      <c r="K74" s="431"/>
      <c r="L74" s="377"/>
      <c r="N74" s="721"/>
      <c r="O74" s="728"/>
      <c r="P74" s="382"/>
    </row>
    <row r="75" spans="1:16" ht="27.75">
      <c r="A75" s="1496" t="s">
        <v>194</v>
      </c>
      <c r="B75" s="1497"/>
      <c r="C75" s="1498"/>
      <c r="D75" s="523" t="s">
        <v>187</v>
      </c>
      <c r="E75" s="519">
        <f>'15'!F75</f>
        <v>10063</v>
      </c>
      <c r="F75" s="658">
        <v>10124</v>
      </c>
      <c r="G75" s="473">
        <f t="shared" si="6"/>
        <v>61</v>
      </c>
      <c r="H75" s="460">
        <f>G75+'15'!H75</f>
        <v>1444</v>
      </c>
      <c r="I75" s="480"/>
      <c r="J75" s="552">
        <f>H75/DAY(B2)</f>
        <v>90.25</v>
      </c>
      <c r="K75" s="430"/>
      <c r="L75" s="377"/>
      <c r="N75" s="721"/>
      <c r="O75" s="728"/>
      <c r="P75" s="382"/>
    </row>
    <row r="76" spans="1:16" ht="27.75">
      <c r="A76" s="1496" t="s">
        <v>195</v>
      </c>
      <c r="B76" s="1497"/>
      <c r="C76" s="1498"/>
      <c r="D76" s="523" t="s">
        <v>187</v>
      </c>
      <c r="E76" s="519">
        <f>'15'!F76</f>
        <v>5010</v>
      </c>
      <c r="F76" s="658">
        <v>5067</v>
      </c>
      <c r="G76" s="473">
        <f t="shared" si="6"/>
        <v>57</v>
      </c>
      <c r="H76" s="460">
        <f>G76+'15'!H76</f>
        <v>1441</v>
      </c>
      <c r="I76" s="505"/>
      <c r="J76" s="552">
        <f>H76/DAY(B2)</f>
        <v>90.0625</v>
      </c>
      <c r="K76" s="430"/>
      <c r="L76" s="377"/>
      <c r="N76" s="721"/>
      <c r="O76" s="728"/>
      <c r="P76" s="382"/>
    </row>
    <row r="77" spans="1:16" ht="27.75">
      <c r="A77" s="1499" t="s">
        <v>196</v>
      </c>
      <c r="B77" s="1500"/>
      <c r="C77" s="1501"/>
      <c r="D77" s="523" t="s">
        <v>187</v>
      </c>
      <c r="E77" s="519">
        <f>'15'!F77</f>
        <v>700901</v>
      </c>
      <c r="F77" s="658">
        <v>700950</v>
      </c>
      <c r="G77" s="655">
        <f t="shared" si="6"/>
        <v>49</v>
      </c>
      <c r="H77" s="460">
        <f>G77+'15'!H77</f>
        <v>736</v>
      </c>
      <c r="I77" s="505"/>
      <c r="J77" s="552">
        <f>H77/DAY(B2)</f>
        <v>46</v>
      </c>
      <c r="K77" s="430"/>
      <c r="L77" s="377"/>
      <c r="N77" s="721"/>
      <c r="O77" s="728"/>
      <c r="P77" s="382"/>
    </row>
    <row r="78" spans="1:16" ht="27.75">
      <c r="A78" s="1213" t="s">
        <v>197</v>
      </c>
      <c r="B78" s="1209"/>
      <c r="C78" s="1209"/>
      <c r="D78" s="523" t="s">
        <v>187</v>
      </c>
      <c r="E78" s="519">
        <f>'15'!F78</f>
        <v>668957</v>
      </c>
      <c r="F78" s="659">
        <v>669076</v>
      </c>
      <c r="G78" s="473">
        <f t="shared" si="6"/>
        <v>119</v>
      </c>
      <c r="H78" s="460">
        <f>G78+'15'!H78</f>
        <v>3696</v>
      </c>
      <c r="I78" s="505"/>
      <c r="J78" s="552">
        <f>H78/DAY(B2)</f>
        <v>231</v>
      </c>
      <c r="K78" s="430"/>
      <c r="L78" s="377"/>
      <c r="N78" s="721"/>
      <c r="O78" s="728"/>
      <c r="P78" s="382"/>
    </row>
    <row r="79" spans="1:16" ht="27.75">
      <c r="A79" s="1496" t="s">
        <v>92</v>
      </c>
      <c r="B79" s="1497"/>
      <c r="C79" s="1498"/>
      <c r="D79" s="524" t="s">
        <v>187</v>
      </c>
      <c r="E79" s="519">
        <f>'15'!F79</f>
        <v>823996</v>
      </c>
      <c r="F79" s="659">
        <v>824187</v>
      </c>
      <c r="G79" s="473">
        <f t="shared" si="6"/>
        <v>191</v>
      </c>
      <c r="H79" s="460">
        <f>G79+'15'!H79</f>
        <v>3996</v>
      </c>
      <c r="I79" s="505"/>
      <c r="J79" s="552">
        <f>H79/DAY(B2)</f>
        <v>249.75</v>
      </c>
      <c r="K79" s="430"/>
      <c r="L79" s="377"/>
      <c r="N79" s="721"/>
      <c r="O79" s="728"/>
      <c r="P79" s="382"/>
    </row>
    <row r="80" spans="1:16" ht="27.75">
      <c r="A80" s="1496" t="s">
        <v>198</v>
      </c>
      <c r="B80" s="1497"/>
      <c r="C80" s="1498"/>
      <c r="D80" s="524" t="s">
        <v>187</v>
      </c>
      <c r="E80" s="519">
        <f>'15'!F80</f>
        <v>511118</v>
      </c>
      <c r="F80" s="658">
        <v>511500</v>
      </c>
      <c r="G80" s="473">
        <f t="shared" si="6"/>
        <v>382</v>
      </c>
      <c r="H80" s="460">
        <f>G80+'15'!H80</f>
        <v>3572</v>
      </c>
      <c r="I80" s="505"/>
      <c r="J80" s="552">
        <f>H80/DAY(B2)</f>
        <v>223.25</v>
      </c>
      <c r="K80" s="430"/>
      <c r="L80" s="377"/>
      <c r="N80" s="721"/>
      <c r="O80" s="728"/>
      <c r="P80" s="382"/>
    </row>
    <row r="81" spans="1:16" ht="27.75">
      <c r="A81" s="1496" t="s">
        <v>199</v>
      </c>
      <c r="B81" s="1497"/>
      <c r="C81" s="1498"/>
      <c r="D81" s="524" t="s">
        <v>187</v>
      </c>
      <c r="E81" s="519">
        <f>'15'!F81</f>
        <v>634086</v>
      </c>
      <c r="F81" s="658">
        <v>634287</v>
      </c>
      <c r="G81" s="473">
        <f t="shared" si="6"/>
        <v>201</v>
      </c>
      <c r="H81" s="460">
        <f>G81+'15'!H81</f>
        <v>4102</v>
      </c>
      <c r="I81" s="505"/>
      <c r="J81" s="552">
        <f>H81/DAY(B2)</f>
        <v>256.375</v>
      </c>
      <c r="K81" s="430"/>
      <c r="L81" s="377"/>
      <c r="N81" s="721"/>
      <c r="O81" s="728"/>
      <c r="P81" s="382"/>
    </row>
    <row r="82" spans="1:16" s="441" customFormat="1" ht="27.75">
      <c r="A82" s="1572" t="s">
        <v>93</v>
      </c>
      <c r="B82" s="1573"/>
      <c r="C82" s="1574"/>
      <c r="D82" s="654" t="s">
        <v>132</v>
      </c>
      <c r="E82" s="520">
        <f>'15'!F82</f>
        <v>107255</v>
      </c>
      <c r="F82" s="654">
        <v>107279</v>
      </c>
      <c r="G82" s="655">
        <f t="shared" si="6"/>
        <v>24</v>
      </c>
      <c r="H82" s="708">
        <f>G82+'15'!H82</f>
        <v>384</v>
      </c>
      <c r="I82" s="708"/>
      <c r="J82" s="710">
        <f>H82/DAY(B2)</f>
        <v>24</v>
      </c>
      <c r="K82" s="1322"/>
      <c r="L82" s="1110"/>
      <c r="N82" s="721"/>
      <c r="O82" s="730"/>
      <c r="P82" s="716"/>
    </row>
    <row r="83" spans="1:16" ht="27.75">
      <c r="A83" s="1496" t="s">
        <v>200</v>
      </c>
      <c r="B83" s="1497"/>
      <c r="C83" s="1498"/>
      <c r="D83" s="620" t="s">
        <v>132</v>
      </c>
      <c r="E83" s="519">
        <f>'15'!F83</f>
        <v>11014</v>
      </c>
      <c r="F83" s="511">
        <v>11295</v>
      </c>
      <c r="G83" s="473">
        <f t="shared" si="6"/>
        <v>281</v>
      </c>
      <c r="H83" s="460">
        <f>G83+'15'!H83</f>
        <v>4238</v>
      </c>
      <c r="I83" s="481"/>
      <c r="J83" s="552">
        <f>H83/DAY(B2)</f>
        <v>264.875</v>
      </c>
      <c r="K83" s="429"/>
      <c r="L83" s="377"/>
      <c r="N83" s="721"/>
      <c r="O83" s="728"/>
      <c r="P83" s="382"/>
    </row>
    <row r="84" spans="1:16">
      <c r="A84" s="1216" t="s">
        <v>201</v>
      </c>
      <c r="B84" s="571"/>
      <c r="C84" s="571"/>
      <c r="D84" s="478" t="s">
        <v>132</v>
      </c>
      <c r="E84" s="519">
        <f>'15'!F84</f>
        <v>468662</v>
      </c>
      <c r="F84" s="627">
        <v>469383</v>
      </c>
      <c r="G84" s="473">
        <f t="shared" si="6"/>
        <v>721</v>
      </c>
      <c r="H84" s="460">
        <f>G84+'15'!H84</f>
        <v>14699</v>
      </c>
      <c r="I84" s="481"/>
      <c r="J84" s="552">
        <f>H84/DAY(B2)</f>
        <v>918.6875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2199</v>
      </c>
      <c r="H85" s="460">
        <f>G85+'15'!H85</f>
        <v>41082</v>
      </c>
      <c r="I85" s="481"/>
      <c r="J85" s="552">
        <f>H85/DAY(B2)</f>
        <v>2567.625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'15'!F86</f>
        <v>457506</v>
      </c>
      <c r="F86" s="650">
        <v>457725</v>
      </c>
      <c r="G86" s="708">
        <f t="shared" ref="G86:G90" si="7">F86-E86</f>
        <v>219</v>
      </c>
      <c r="H86" s="708">
        <f t="shared" ref="H86:H88" si="8">G86</f>
        <v>219</v>
      </c>
      <c r="I86" s="655"/>
      <c r="J86" s="710">
        <f>H86/DAY(B2)</f>
        <v>13.6875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'15'!F87</f>
        <v>80657</v>
      </c>
      <c r="F87" s="650">
        <v>80682</v>
      </c>
      <c r="G87" s="708">
        <f t="shared" si="7"/>
        <v>25</v>
      </c>
      <c r="H87" s="708">
        <f t="shared" si="8"/>
        <v>25</v>
      </c>
      <c r="I87" s="655"/>
      <c r="J87" s="710">
        <f>H87/DAY(B2)</f>
        <v>1.5625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'15'!F88</f>
        <v>151266</v>
      </c>
      <c r="F88" s="650">
        <v>151289</v>
      </c>
      <c r="G88" s="708">
        <f t="shared" si="7"/>
        <v>23</v>
      </c>
      <c r="H88" s="708">
        <f t="shared" si="8"/>
        <v>23</v>
      </c>
      <c r="I88" s="655"/>
      <c r="J88" s="710">
        <f>H88/DAY(B2)</f>
        <v>1.4375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'15'!F89</f>
        <v>64202</v>
      </c>
      <c r="F89" s="650">
        <v>64244</v>
      </c>
      <c r="G89" s="708">
        <f t="shared" si="7"/>
        <v>42</v>
      </c>
      <c r="H89" s="708">
        <f>G89</f>
        <v>42</v>
      </c>
      <c r="I89" s="655"/>
      <c r="J89" s="710">
        <f>H89/DAY(B2)</f>
        <v>2.625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'15'!F90</f>
        <v>3272</v>
      </c>
      <c r="F90" s="650">
        <v>3272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379" customFormat="1">
      <c r="A91" s="606" t="s">
        <v>205</v>
      </c>
      <c r="B91" s="1214"/>
      <c r="C91" s="1214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520" t="s">
        <v>206</v>
      </c>
      <c r="B92" s="1521"/>
      <c r="C92" s="1522"/>
      <c r="D92" s="523" t="s">
        <v>144</v>
      </c>
      <c r="E92" s="484">
        <f>'15'!F92</f>
        <v>243685</v>
      </c>
      <c r="F92" s="478">
        <v>243765</v>
      </c>
      <c r="G92" s="473">
        <f t="shared" ref="G92:G93" si="9">F92-E92</f>
        <v>80</v>
      </c>
      <c r="H92" s="460">
        <f>G92+'15'!H92</f>
        <v>1119</v>
      </c>
      <c r="I92" s="480"/>
      <c r="J92" s="552">
        <f>H92/DAY(B2)</f>
        <v>69.9375</v>
      </c>
      <c r="K92" s="429"/>
      <c r="L92" s="377"/>
      <c r="N92" s="721"/>
      <c r="O92" s="728"/>
      <c r="P92" s="382"/>
    </row>
    <row r="93" spans="1:16" ht="27.75">
      <c r="A93" s="1520" t="s">
        <v>207</v>
      </c>
      <c r="B93" s="1521"/>
      <c r="C93" s="1522"/>
      <c r="D93" s="523" t="s">
        <v>144</v>
      </c>
      <c r="E93" s="484">
        <f>'15'!F93</f>
        <v>181930</v>
      </c>
      <c r="F93" s="478">
        <v>182011</v>
      </c>
      <c r="G93" s="473">
        <f t="shared" si="9"/>
        <v>81</v>
      </c>
      <c r="H93" s="460">
        <f>G93+'15'!H93</f>
        <v>2332</v>
      </c>
      <c r="I93" s="480"/>
      <c r="J93" s="552">
        <f>H93/DAY(B2)</f>
        <v>145.75</v>
      </c>
      <c r="K93" s="380"/>
      <c r="L93" s="377"/>
      <c r="N93" s="721"/>
      <c r="O93" s="728"/>
      <c r="P93" s="382"/>
    </row>
    <row r="94" spans="1:16">
      <c r="A94" s="1548" t="s">
        <v>208</v>
      </c>
      <c r="B94" s="1549"/>
      <c r="C94" s="1550"/>
      <c r="D94" s="523"/>
      <c r="E94" s="484">
        <f>'15'!F94</f>
        <v>0</v>
      </c>
      <c r="F94" s="478">
        <v>0</v>
      </c>
      <c r="G94" s="473">
        <f>G92+G93</f>
        <v>161</v>
      </c>
      <c r="H94" s="460">
        <f>G94+'15'!H94</f>
        <v>3232</v>
      </c>
      <c r="I94" s="480"/>
      <c r="J94" s="552">
        <f>H94/DAY(B2)</f>
        <v>202</v>
      </c>
      <c r="K94" s="380"/>
      <c r="L94" s="377"/>
      <c r="N94" s="721"/>
      <c r="O94" s="728"/>
      <c r="P94" s="382"/>
    </row>
    <row r="95" spans="1:16" ht="27.75">
      <c r="A95" s="1520" t="s">
        <v>209</v>
      </c>
      <c r="B95" s="1521"/>
      <c r="C95" s="1522"/>
      <c r="D95" s="523" t="s">
        <v>144</v>
      </c>
      <c r="E95" s="484">
        <f>'15'!F95</f>
        <v>411873</v>
      </c>
      <c r="F95" s="478">
        <v>411943</v>
      </c>
      <c r="G95" s="473">
        <f t="shared" ref="G95:G100" si="10">F95-E95</f>
        <v>70</v>
      </c>
      <c r="H95" s="460">
        <f>G95+'15'!H95</f>
        <v>1158</v>
      </c>
      <c r="I95" s="480"/>
      <c r="J95" s="552">
        <f>H95/DAY(B2)</f>
        <v>72.375</v>
      </c>
      <c r="K95" s="380"/>
      <c r="L95" s="377"/>
      <c r="N95" s="721"/>
      <c r="O95" s="728"/>
      <c r="P95" s="382"/>
    </row>
    <row r="96" spans="1:16" ht="27.75">
      <c r="A96" s="1210" t="s">
        <v>210</v>
      </c>
      <c r="B96" s="1211"/>
      <c r="C96" s="1211"/>
      <c r="D96" s="523" t="s">
        <v>144</v>
      </c>
      <c r="E96" s="484">
        <f>'15'!F96</f>
        <v>102085</v>
      </c>
      <c r="F96" s="478">
        <v>102104</v>
      </c>
      <c r="G96" s="473">
        <f t="shared" si="10"/>
        <v>19</v>
      </c>
      <c r="H96" s="460">
        <f>G96+'15'!H96</f>
        <v>273</v>
      </c>
      <c r="I96" s="480"/>
      <c r="J96" s="552">
        <f>H96/DAY(B2)</f>
        <v>17.0625</v>
      </c>
      <c r="K96" s="427"/>
      <c r="L96" s="377"/>
      <c r="N96" s="721"/>
      <c r="O96" s="728"/>
      <c r="P96" s="382"/>
    </row>
    <row r="97" spans="1:16" ht="27.75">
      <c r="A97" s="1210" t="s">
        <v>211</v>
      </c>
      <c r="B97" s="1211"/>
      <c r="C97" s="1211"/>
      <c r="D97" s="523" t="s">
        <v>144</v>
      </c>
      <c r="E97" s="484">
        <f>'15'!F97</f>
        <v>97184</v>
      </c>
      <c r="F97" s="478">
        <v>97202</v>
      </c>
      <c r="G97" s="473">
        <f t="shared" si="10"/>
        <v>18</v>
      </c>
      <c r="H97" s="460">
        <f>G97+'15'!H97</f>
        <v>274</v>
      </c>
      <c r="I97" s="480"/>
      <c r="J97" s="552">
        <f>H97/DAY(B2)</f>
        <v>17.125</v>
      </c>
      <c r="K97" s="432"/>
      <c r="L97" s="377"/>
      <c r="N97" s="721">
        <v>96617</v>
      </c>
      <c r="O97" s="728"/>
      <c r="P97" s="382"/>
    </row>
    <row r="98" spans="1:16" ht="27.75">
      <c r="A98" s="1210" t="s">
        <v>212</v>
      </c>
      <c r="B98" s="1211"/>
      <c r="C98" s="1211"/>
      <c r="D98" s="523" t="s">
        <v>144</v>
      </c>
      <c r="E98" s="484">
        <f>'15'!F98</f>
        <v>149408</v>
      </c>
      <c r="F98" s="478">
        <v>149422</v>
      </c>
      <c r="G98" s="473">
        <f t="shared" si="10"/>
        <v>14</v>
      </c>
      <c r="H98" s="460">
        <f>G98+'15'!H98</f>
        <v>513</v>
      </c>
      <c r="I98" s="480"/>
      <c r="J98" s="552">
        <f>H98/DAY(B2)</f>
        <v>32.0625</v>
      </c>
      <c r="K98" s="380"/>
      <c r="L98" s="377"/>
      <c r="N98" s="723"/>
      <c r="O98" s="728"/>
      <c r="P98" s="382"/>
    </row>
    <row r="99" spans="1:16" ht="27.75">
      <c r="A99" s="1210" t="s">
        <v>213</v>
      </c>
      <c r="B99" s="1211"/>
      <c r="C99" s="1211"/>
      <c r="D99" s="523" t="s">
        <v>144</v>
      </c>
      <c r="E99" s="484">
        <f>'15'!F99</f>
        <v>7045</v>
      </c>
      <c r="F99" s="478">
        <v>7067</v>
      </c>
      <c r="G99" s="473">
        <f t="shared" si="10"/>
        <v>22</v>
      </c>
      <c r="H99" s="460">
        <f>G99+'15'!H99</f>
        <v>212</v>
      </c>
      <c r="I99" s="480"/>
      <c r="J99" s="552">
        <f>H99/DAY(B2)</f>
        <v>13.25</v>
      </c>
      <c r="K99" s="380"/>
      <c r="L99" s="377"/>
      <c r="N99" s="721"/>
      <c r="O99" s="728"/>
      <c r="P99" s="382"/>
    </row>
    <row r="100" spans="1:16" ht="27.75">
      <c r="A100" s="1210" t="s">
        <v>214</v>
      </c>
      <c r="B100" s="1211"/>
      <c r="C100" s="1211"/>
      <c r="D100" s="523" t="s">
        <v>144</v>
      </c>
      <c r="E100" s="484">
        <f>'15'!F100</f>
        <v>5040</v>
      </c>
      <c r="F100" s="478">
        <v>5057</v>
      </c>
      <c r="G100" s="473">
        <f t="shared" si="10"/>
        <v>17</v>
      </c>
      <c r="H100" s="460">
        <f>G100+'15'!H100</f>
        <v>114</v>
      </c>
      <c r="I100" s="480"/>
      <c r="J100" s="552">
        <f>H100/DAY(B2)</f>
        <v>7.125</v>
      </c>
      <c r="K100" s="380"/>
      <c r="L100" s="377"/>
      <c r="N100" s="721"/>
      <c r="O100" s="728"/>
      <c r="P100" s="382"/>
    </row>
    <row r="101" spans="1:16">
      <c r="A101" s="1548" t="s">
        <v>216</v>
      </c>
      <c r="B101" s="1549"/>
      <c r="C101" s="1550"/>
      <c r="D101" s="524"/>
      <c r="E101" s="484"/>
      <c r="F101" s="524"/>
      <c r="G101" s="525">
        <f>SUM(G95:G100)</f>
        <v>160</v>
      </c>
      <c r="H101" s="460">
        <f>G101+'15'!H101</f>
        <v>2544</v>
      </c>
      <c r="I101" s="526"/>
      <c r="J101" s="552">
        <f>H101/DAY(B2)</f>
        <v>159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551" t="s">
        <v>218</v>
      </c>
      <c r="B103" s="1552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512" t="s">
        <v>219</v>
      </c>
      <c r="B104" s="1513"/>
      <c r="C104" s="1215"/>
      <c r="D104" s="622" t="s">
        <v>144</v>
      </c>
      <c r="E104" s="484">
        <f>'15'!F104</f>
        <v>7371</v>
      </c>
      <c r="F104" s="1321">
        <v>7373</v>
      </c>
      <c r="G104" s="532">
        <f>F104-E104</f>
        <v>2</v>
      </c>
      <c r="H104" s="533">
        <f>SUM(G104+'1'!G76)</f>
        <v>61</v>
      </c>
      <c r="I104" s="532"/>
      <c r="J104" s="558">
        <f>H104/DAY(B2)</f>
        <v>3.8125</v>
      </c>
      <c r="N104" s="721"/>
      <c r="O104" s="728"/>
      <c r="P104" s="382"/>
    </row>
    <row r="105" spans="1:16" s="442" customFormat="1" ht="27.75">
      <c r="A105" s="1512" t="s">
        <v>77</v>
      </c>
      <c r="B105" s="1513"/>
      <c r="C105" s="1215"/>
      <c r="D105" s="622" t="s">
        <v>144</v>
      </c>
      <c r="E105" s="484">
        <f>'15'!F105</f>
        <v>35740</v>
      </c>
      <c r="F105" s="662">
        <v>35747</v>
      </c>
      <c r="G105" s="532">
        <f t="shared" ref="G105:G106" si="11">F105-E105</f>
        <v>7</v>
      </c>
      <c r="H105" s="533">
        <f>SUM(G105+'1'!G77)</f>
        <v>57</v>
      </c>
      <c r="I105" s="532"/>
      <c r="J105" s="558">
        <f>H105/DAY(B2)</f>
        <v>3.5625</v>
      </c>
      <c r="N105" s="721"/>
      <c r="O105" s="728"/>
      <c r="P105" s="382"/>
    </row>
    <row r="106" spans="1:16" s="442" customFormat="1" ht="27.75">
      <c r="A106" s="1512" t="s">
        <v>78</v>
      </c>
      <c r="B106" s="1553"/>
      <c r="C106" s="1513"/>
      <c r="D106" s="622" t="s">
        <v>144</v>
      </c>
      <c r="E106" s="484">
        <f>'15'!F106</f>
        <v>19518</v>
      </c>
      <c r="F106" s="662">
        <v>19524</v>
      </c>
      <c r="G106" s="532">
        <f t="shared" si="11"/>
        <v>6</v>
      </c>
      <c r="H106" s="533">
        <f>SUM(G106+'1'!G78)</f>
        <v>401</v>
      </c>
      <c r="I106" s="532"/>
      <c r="J106" s="558">
        <f>H106/DAY(B2)</f>
        <v>25.0625</v>
      </c>
      <c r="N106" s="721"/>
      <c r="O106" s="728"/>
      <c r="P106" s="382"/>
    </row>
    <row r="107" spans="1:16" s="442" customFormat="1" ht="27.75">
      <c r="A107" s="1514" t="s">
        <v>202</v>
      </c>
      <c r="B107" s="1515"/>
      <c r="C107" s="1215"/>
      <c r="D107" s="622"/>
      <c r="E107" s="484">
        <f>'15'!F107</f>
        <v>0</v>
      </c>
      <c r="F107" s="662"/>
      <c r="G107" s="532">
        <f>SUM(G104:G106)</f>
        <v>15</v>
      </c>
      <c r="H107" s="533">
        <f>SUM(G107+'1'!G79)</f>
        <v>209</v>
      </c>
      <c r="I107" s="532"/>
      <c r="J107" s="558">
        <f>H107/DAY(B2)</f>
        <v>13.0625</v>
      </c>
      <c r="N107" s="721"/>
      <c r="O107" s="728"/>
      <c r="P107" s="382"/>
    </row>
    <row r="108" spans="1:16" s="442" customFormat="1" ht="27.75">
      <c r="A108" s="1518" t="s">
        <v>79</v>
      </c>
      <c r="B108" s="1519"/>
      <c r="C108" s="1215"/>
      <c r="D108" s="622" t="s">
        <v>144</v>
      </c>
      <c r="E108" s="484">
        <f>'15'!F108</f>
        <v>0</v>
      </c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512" t="s">
        <v>220</v>
      </c>
      <c r="B109" s="1513"/>
      <c r="C109" s="1215"/>
      <c r="D109" s="622" t="s">
        <v>144</v>
      </c>
      <c r="E109" s="484">
        <f>'15'!F109</f>
        <v>60046</v>
      </c>
      <c r="F109" s="662">
        <v>60108</v>
      </c>
      <c r="G109" s="532">
        <f>F109-E109</f>
        <v>62</v>
      </c>
      <c r="H109" s="533">
        <f>SUM(G109+'1'!G81)</f>
        <v>260</v>
      </c>
      <c r="I109" s="532"/>
      <c r="J109" s="558">
        <f>H109/DAY(B2)</f>
        <v>16.25</v>
      </c>
      <c r="N109" s="721"/>
      <c r="O109" s="728"/>
      <c r="P109" s="382"/>
    </row>
    <row r="110" spans="1:16" s="442" customFormat="1" ht="27.75">
      <c r="A110" s="1512" t="s">
        <v>221</v>
      </c>
      <c r="B110" s="1513"/>
      <c r="C110" s="1215"/>
      <c r="D110" s="622" t="s">
        <v>144</v>
      </c>
      <c r="E110" s="484">
        <f>'15'!F110</f>
        <v>32081</v>
      </c>
      <c r="F110" s="662">
        <v>32085</v>
      </c>
      <c r="G110" s="532">
        <f t="shared" ref="G110:G111" si="12">F110-E110</f>
        <v>4</v>
      </c>
      <c r="H110" s="533">
        <f>SUM(G110+'1'!G82)</f>
        <v>27</v>
      </c>
      <c r="I110" s="532"/>
      <c r="J110" s="558">
        <f>H110/DAY(B2)</f>
        <v>1.6875</v>
      </c>
      <c r="N110" s="721"/>
      <c r="O110" s="728"/>
      <c r="P110" s="382"/>
    </row>
    <row r="111" spans="1:16" s="442" customFormat="1" ht="27.75">
      <c r="A111" s="1512" t="s">
        <v>222</v>
      </c>
      <c r="B111" s="1513"/>
      <c r="C111" s="1215"/>
      <c r="D111" s="622" t="s">
        <v>144</v>
      </c>
      <c r="E111" s="484">
        <f>'15'!F111</f>
        <v>4275</v>
      </c>
      <c r="F111" s="662">
        <v>4292</v>
      </c>
      <c r="G111" s="532">
        <f t="shared" si="12"/>
        <v>17</v>
      </c>
      <c r="H111" s="533">
        <f>SUM(G111+'1'!G83)</f>
        <v>256</v>
      </c>
      <c r="I111" s="532"/>
      <c r="J111" s="558">
        <f>H111/DAY(B2)</f>
        <v>16</v>
      </c>
      <c r="N111" s="721"/>
      <c r="O111" s="728"/>
      <c r="P111" s="382"/>
    </row>
    <row r="112" spans="1:16" s="442" customFormat="1" ht="27.75">
      <c r="A112" s="1514" t="s">
        <v>110</v>
      </c>
      <c r="B112" s="1515"/>
      <c r="C112" s="1215"/>
      <c r="D112" s="622"/>
      <c r="E112" s="484">
        <f>'15'!F112</f>
        <v>0</v>
      </c>
      <c r="F112" s="662"/>
      <c r="G112" s="532">
        <f>SUM(G109:G111)</f>
        <v>83</v>
      </c>
      <c r="H112" s="533">
        <f>SUM(G112+'1'!G84)</f>
        <v>998</v>
      </c>
      <c r="I112" s="532"/>
      <c r="J112" s="558">
        <f>H112/DAY(B2)</f>
        <v>62.375</v>
      </c>
      <c r="N112" s="721"/>
      <c r="O112" s="728"/>
      <c r="P112" s="382"/>
    </row>
    <row r="113" spans="1:16" s="442" customFormat="1" ht="27.75">
      <c r="A113" s="1518" t="s">
        <v>223</v>
      </c>
      <c r="B113" s="1519"/>
      <c r="C113" s="1215"/>
      <c r="D113" s="622"/>
      <c r="E113" s="484">
        <f>'15'!F113</f>
        <v>0</v>
      </c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512" t="s">
        <v>224</v>
      </c>
      <c r="B114" s="1513"/>
      <c r="C114" s="574"/>
      <c r="D114" s="622" t="s">
        <v>144</v>
      </c>
      <c r="E114" s="484">
        <f>'15'!F114</f>
        <v>11086</v>
      </c>
      <c r="F114" s="662">
        <v>11112</v>
      </c>
      <c r="G114" s="534">
        <f>F114-E114</f>
        <v>26</v>
      </c>
      <c r="H114" s="533">
        <f>SUM(G114+'1'!G91)</f>
        <v>26</v>
      </c>
      <c r="I114" s="532"/>
      <c r="J114" s="558">
        <f>H114/DAY(B2)</f>
        <v>1.625</v>
      </c>
      <c r="N114" s="721"/>
      <c r="O114" s="728"/>
      <c r="P114" s="382"/>
    </row>
    <row r="115" spans="1:16" s="442" customFormat="1" ht="27.75">
      <c r="A115" s="1512" t="s">
        <v>225</v>
      </c>
      <c r="B115" s="1513"/>
      <c r="C115" s="574"/>
      <c r="D115" s="622" t="s">
        <v>144</v>
      </c>
      <c r="E115" s="484">
        <f>'15'!F115</f>
        <v>8050</v>
      </c>
      <c r="F115" s="662">
        <v>8066</v>
      </c>
      <c r="G115" s="534">
        <f t="shared" ref="G115:G116" si="13">F115-E115</f>
        <v>16</v>
      </c>
      <c r="H115" s="533">
        <f>SUM(G115+'1'!G92)</f>
        <v>108</v>
      </c>
      <c r="I115" s="532"/>
      <c r="J115" s="558">
        <f>H115/DAY(B2)</f>
        <v>6.75</v>
      </c>
      <c r="N115" s="721"/>
      <c r="O115" s="728"/>
      <c r="P115" s="382"/>
    </row>
    <row r="116" spans="1:16" s="442" customFormat="1" ht="27.75">
      <c r="A116" s="1512" t="s">
        <v>226</v>
      </c>
      <c r="B116" s="1513"/>
      <c r="C116" s="574"/>
      <c r="D116" s="622" t="s">
        <v>144</v>
      </c>
      <c r="E116" s="534"/>
      <c r="F116" s="662"/>
      <c r="G116" s="534">
        <f t="shared" si="13"/>
        <v>0</v>
      </c>
      <c r="H116" s="533">
        <f>SUM(G116+'1'!G93)</f>
        <v>127</v>
      </c>
      <c r="I116" s="532"/>
      <c r="J116" s="558">
        <f>H116/DAY(B2)</f>
        <v>7.9375</v>
      </c>
      <c r="N116" s="721"/>
      <c r="O116" s="728"/>
      <c r="P116" s="382"/>
    </row>
    <row r="117" spans="1:16" s="445" customFormat="1" ht="27.75">
      <c r="A117" s="1514" t="s">
        <v>202</v>
      </c>
      <c r="B117" s="1515"/>
      <c r="C117" s="574"/>
      <c r="D117" s="623"/>
      <c r="E117" s="534"/>
      <c r="F117" s="662"/>
      <c r="G117" s="534">
        <f>SUM(G114:G116)</f>
        <v>42</v>
      </c>
      <c r="H117" s="533">
        <f>SUM(G117+'1'!G95)</f>
        <v>119</v>
      </c>
      <c r="I117" s="534"/>
      <c r="J117" s="558">
        <f>H117/DAY(B2)</f>
        <v>7.4375</v>
      </c>
      <c r="N117" s="721"/>
      <c r="O117" s="728"/>
      <c r="P117" s="382"/>
    </row>
    <row r="118" spans="1:16" s="446" customFormat="1" ht="27.75">
      <c r="A118" s="1508" t="s">
        <v>227</v>
      </c>
      <c r="B118" s="1509"/>
      <c r="C118" s="1218"/>
      <c r="D118" s="624" t="s">
        <v>144</v>
      </c>
      <c r="E118" s="536"/>
      <c r="F118" s="663">
        <f>SUM(G19+G92)</f>
        <v>136</v>
      </c>
      <c r="G118" s="536">
        <f>SUM(G19+G92)</f>
        <v>136</v>
      </c>
      <c r="H118" s="533">
        <f>SUM(G118+'1'!G96)</f>
        <v>153</v>
      </c>
      <c r="I118" s="535"/>
      <c r="J118" s="559">
        <f>H118/DAY(B2)</f>
        <v>9.5625</v>
      </c>
      <c r="N118" s="721"/>
      <c r="O118" s="728"/>
      <c r="P118" s="382"/>
    </row>
    <row r="119" spans="1:16" s="446" customFormat="1" ht="27.75">
      <c r="A119" s="1508" t="s">
        <v>228</v>
      </c>
      <c r="B119" s="1509"/>
      <c r="C119" s="1218"/>
      <c r="D119" s="624" t="s">
        <v>144</v>
      </c>
      <c r="E119" s="536"/>
      <c r="F119" s="663">
        <f>SUM(G95,G96,G97,G99,G100)</f>
        <v>146</v>
      </c>
      <c r="G119" s="536">
        <f>SUM(G95,G96,G97,G99,G100)</f>
        <v>146</v>
      </c>
      <c r="H119" s="533">
        <f>SUM(G119+'1'!G98)</f>
        <v>174</v>
      </c>
      <c r="I119" s="535"/>
      <c r="J119" s="559">
        <f>H119/DAY(B2)</f>
        <v>10.875</v>
      </c>
      <c r="N119" s="721"/>
      <c r="O119" s="728"/>
      <c r="P119" s="382"/>
    </row>
    <row r="120" spans="1:16" s="446" customFormat="1" ht="27.75">
      <c r="A120" s="1508" t="s">
        <v>229</v>
      </c>
      <c r="B120" s="1509"/>
      <c r="C120" s="1218"/>
      <c r="D120" s="624" t="s">
        <v>144</v>
      </c>
      <c r="E120" s="534"/>
      <c r="F120" s="662">
        <f>SUM(G112)</f>
        <v>83</v>
      </c>
      <c r="G120" s="534">
        <f>SUM(G112)</f>
        <v>83</v>
      </c>
      <c r="H120" s="533">
        <f>SUM(G120+'1'!G100)</f>
        <v>89</v>
      </c>
      <c r="I120" s="535"/>
      <c r="J120" s="559">
        <f>H120/DAY(B2)</f>
        <v>5.5625</v>
      </c>
      <c r="N120" s="721"/>
      <c r="O120" s="728"/>
      <c r="P120" s="382"/>
    </row>
    <row r="121" spans="1:16" s="442" customFormat="1" ht="27.75">
      <c r="A121" s="1510"/>
      <c r="B121" s="1511"/>
      <c r="C121" s="1219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545" t="s">
        <v>230</v>
      </c>
      <c r="B122" s="1546"/>
      <c r="C122" s="1547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210" t="s">
        <v>231</v>
      </c>
      <c r="B123" s="1211"/>
      <c r="C123" s="1211"/>
      <c r="D123" s="523" t="s">
        <v>141</v>
      </c>
      <c r="E123" s="478">
        <f>'15'!F123</f>
        <v>822579</v>
      </c>
      <c r="F123" s="478">
        <v>822821</v>
      </c>
      <c r="G123" s="473">
        <f t="shared" ref="G123:G127" si="14">F123-E123</f>
        <v>242</v>
      </c>
      <c r="H123" s="460">
        <f>G123+'15'!H123</f>
        <v>4011</v>
      </c>
      <c r="I123" s="526"/>
      <c r="J123" s="552">
        <f>H123/DAY(B2)</f>
        <v>250.6875</v>
      </c>
      <c r="K123" s="380"/>
      <c r="L123" s="377"/>
      <c r="N123" s="721"/>
      <c r="O123" s="728"/>
      <c r="P123" s="382"/>
    </row>
    <row r="124" spans="1:16" ht="27.75">
      <c r="A124" s="1210" t="s">
        <v>232</v>
      </c>
      <c r="B124" s="1211"/>
      <c r="C124" s="1211"/>
      <c r="D124" s="523" t="s">
        <v>141</v>
      </c>
      <c r="E124" s="626">
        <f>'15'!F124</f>
        <v>73583.399999999994</v>
      </c>
      <c r="F124" s="626">
        <v>73583.399999999994</v>
      </c>
      <c r="G124" s="473">
        <f t="shared" si="14"/>
        <v>0</v>
      </c>
      <c r="H124" s="460">
        <f>G124+'15'!H124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499" t="s">
        <v>233</v>
      </c>
      <c r="B125" s="1500"/>
      <c r="C125" s="1501"/>
      <c r="D125" s="523" t="s">
        <v>141</v>
      </c>
      <c r="E125" s="478">
        <f>'15'!F125</f>
        <v>143495</v>
      </c>
      <c r="F125" s="478">
        <v>143577</v>
      </c>
      <c r="G125" s="473">
        <f t="shared" si="14"/>
        <v>82</v>
      </c>
      <c r="H125" s="460">
        <f>G125+'15'!H125</f>
        <v>1441</v>
      </c>
      <c r="I125" s="526"/>
      <c r="J125" s="552">
        <f>H125/DAY(B2)</f>
        <v>90.0625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211"/>
      <c r="C126" s="1211"/>
      <c r="D126" s="523" t="s">
        <v>141</v>
      </c>
      <c r="E126" s="626">
        <f>'15'!F126</f>
        <v>31404</v>
      </c>
      <c r="F126" s="626">
        <v>31404</v>
      </c>
      <c r="G126" s="473">
        <f t="shared" si="14"/>
        <v>0</v>
      </c>
      <c r="H126" s="460">
        <f>G126+'15'!H126</f>
        <v>85.299999999999272</v>
      </c>
      <c r="I126" s="526"/>
      <c r="J126" s="552">
        <f>H126/DAY(B2)</f>
        <v>5.3312499999999545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211"/>
      <c r="C127" s="1211"/>
      <c r="D127" s="523" t="s">
        <v>141</v>
      </c>
      <c r="E127" s="626">
        <f>'15'!F127</f>
        <v>8967</v>
      </c>
      <c r="F127" s="626">
        <v>8967</v>
      </c>
      <c r="G127" s="473">
        <f t="shared" si="14"/>
        <v>0</v>
      </c>
      <c r="H127" s="460">
        <f>G127+'15'!H127</f>
        <v>5</v>
      </c>
      <c r="I127" s="480"/>
      <c r="J127" s="552">
        <f>H127/DAY(B2)</f>
        <v>0.3125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211"/>
      <c r="C128" s="1211"/>
      <c r="D128" s="523"/>
      <c r="E128" s="478"/>
      <c r="F128" s="478"/>
      <c r="G128" s="473">
        <f>G15-SUM(G123:G127)</f>
        <v>508.25</v>
      </c>
      <c r="H128" s="460">
        <f>G128+'15'!H128</f>
        <v>508.25</v>
      </c>
      <c r="I128" s="480"/>
      <c r="J128" s="552">
        <f>H128/DAY(B2)</f>
        <v>31.765625</v>
      </c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210" t="s">
        <v>238</v>
      </c>
      <c r="B130" s="1211"/>
      <c r="C130" s="1211"/>
      <c r="D130" s="523" t="s">
        <v>239</v>
      </c>
      <c r="E130" s="484">
        <f>'15'!F130</f>
        <v>0</v>
      </c>
      <c r="F130" s="478">
        <v>0</v>
      </c>
      <c r="G130" s="473">
        <f t="shared" ref="G130:G140" si="15">F130-E130</f>
        <v>0</v>
      </c>
      <c r="H130" s="460">
        <f>G130+'15'!H130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210" t="s">
        <v>240</v>
      </c>
      <c r="B131" s="1211"/>
      <c r="C131" s="1211"/>
      <c r="D131" s="523" t="s">
        <v>239</v>
      </c>
      <c r="E131" s="484">
        <f>'15'!F131</f>
        <v>0</v>
      </c>
      <c r="F131" s="478">
        <v>0</v>
      </c>
      <c r="G131" s="473">
        <f t="shared" si="15"/>
        <v>0</v>
      </c>
      <c r="H131" s="460">
        <f>G131+'15'!H131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10" t="s">
        <v>241</v>
      </c>
      <c r="B132" s="1211"/>
      <c r="C132" s="1211"/>
      <c r="D132" s="523" t="s">
        <v>239</v>
      </c>
      <c r="E132" s="541">
        <f>'15'!F132</f>
        <v>39659.230000000003</v>
      </c>
      <c r="F132" s="654">
        <v>39659.230000000003</v>
      </c>
      <c r="G132" s="473">
        <f t="shared" si="15"/>
        <v>0</v>
      </c>
      <c r="H132" s="460">
        <f>G132+'15'!H132</f>
        <v>126.2300000000032</v>
      </c>
      <c r="I132" s="480"/>
      <c r="J132" s="552">
        <f>H132/DAY(B2)</f>
        <v>7.8893750000002001</v>
      </c>
      <c r="N132" s="721"/>
      <c r="O132" s="728"/>
      <c r="P132" s="382"/>
    </row>
    <row r="133" spans="1:16" ht="27.75">
      <c r="A133" s="1210" t="s">
        <v>242</v>
      </c>
      <c r="B133" s="1211"/>
      <c r="C133" s="1211"/>
      <c r="D133" s="523" t="s">
        <v>239</v>
      </c>
      <c r="E133" s="704">
        <f>'15'!F133</f>
        <v>300</v>
      </c>
      <c r="F133" s="626">
        <v>300</v>
      </c>
      <c r="G133" s="473">
        <f t="shared" si="15"/>
        <v>0</v>
      </c>
      <c r="H133" s="460">
        <f>G133+'15'!H133</f>
        <v>0</v>
      </c>
      <c r="I133" s="480">
        <f>G130+G131+G132+G133</f>
        <v>0</v>
      </c>
      <c r="J133" s="552">
        <f>H133/DAY(B2)</f>
        <v>0</v>
      </c>
      <c r="N133" s="721"/>
      <c r="O133" s="728"/>
      <c r="P133" s="382"/>
    </row>
    <row r="134" spans="1:16" ht="27.75">
      <c r="A134" s="1210" t="s">
        <v>243</v>
      </c>
      <c r="B134" s="1211"/>
      <c r="C134" s="1211"/>
      <c r="D134" s="523" t="s">
        <v>239</v>
      </c>
      <c r="E134" s="704">
        <f>'15'!F134</f>
        <v>41102.54</v>
      </c>
      <c r="F134" s="626">
        <v>41126.480000000003</v>
      </c>
      <c r="G134" s="473">
        <f t="shared" si="15"/>
        <v>23.940000000002328</v>
      </c>
      <c r="H134" s="460">
        <f>G134+'15'!H134</f>
        <v>284.92000000000553</v>
      </c>
      <c r="I134" s="480"/>
      <c r="J134" s="552">
        <f>H134/DAY(B2)</f>
        <v>17.807500000000346</v>
      </c>
      <c r="N134" s="721"/>
      <c r="O134" s="728"/>
      <c r="P134" s="382"/>
    </row>
    <row r="135" spans="1:16" ht="27.75">
      <c r="A135" s="1210" t="s">
        <v>244</v>
      </c>
      <c r="B135" s="1211"/>
      <c r="C135" s="1211"/>
      <c r="D135" s="523" t="s">
        <v>239</v>
      </c>
      <c r="E135" s="541">
        <f>'15'!F135</f>
        <v>32582.98</v>
      </c>
      <c r="F135" s="654">
        <v>32582.98</v>
      </c>
      <c r="G135" s="473">
        <f t="shared" si="15"/>
        <v>0</v>
      </c>
      <c r="H135" s="460">
        <f>G135+'15'!H135</f>
        <v>-2.0000000000436557E-2</v>
      </c>
      <c r="I135" s="480"/>
      <c r="J135" s="552">
        <f>H135/DAY(B2)</f>
        <v>-1.2500000000272848E-3</v>
      </c>
      <c r="N135" s="721"/>
      <c r="O135" s="728"/>
      <c r="P135" s="382"/>
    </row>
    <row r="136" spans="1:16" ht="27.75">
      <c r="A136" s="1210" t="s">
        <v>245</v>
      </c>
      <c r="B136" s="1211"/>
      <c r="C136" s="1211"/>
      <c r="D136" s="523" t="s">
        <v>239</v>
      </c>
      <c r="E136" s="541">
        <f>'15'!F136</f>
        <v>22636.82</v>
      </c>
      <c r="F136" s="654">
        <v>22647</v>
      </c>
      <c r="G136" s="473">
        <f t="shared" si="15"/>
        <v>10.180000000000291</v>
      </c>
      <c r="H136" s="460">
        <f>G136+'15'!H136</f>
        <v>158.34999999999854</v>
      </c>
      <c r="I136" s="480">
        <f>G134+G135+G136</f>
        <v>34.120000000002619</v>
      </c>
      <c r="J136" s="552">
        <f>H136/DAY(B2)</f>
        <v>9.8968749999999091</v>
      </c>
      <c r="N136" s="721"/>
      <c r="O136" s="728"/>
      <c r="P136" s="382"/>
    </row>
    <row r="137" spans="1:16" ht="27.75">
      <c r="A137" s="1210" t="s">
        <v>246</v>
      </c>
      <c r="B137" s="1211"/>
      <c r="C137" s="1211"/>
      <c r="D137" s="523" t="s">
        <v>239</v>
      </c>
      <c r="E137" s="541">
        <f>'15'!F137</f>
        <v>25049.97</v>
      </c>
      <c r="F137" s="654">
        <v>25049.97</v>
      </c>
      <c r="G137" s="473">
        <f t="shared" si="15"/>
        <v>0</v>
      </c>
      <c r="H137" s="460">
        <f>G137+'15'!H137</f>
        <v>1.180000000000291</v>
      </c>
      <c r="I137" s="480"/>
      <c r="J137" s="552">
        <f>H137/DAY(B2)</f>
        <v>7.375000000001819E-2</v>
      </c>
      <c r="N137" s="721"/>
      <c r="O137" s="728"/>
      <c r="P137" s="382"/>
    </row>
    <row r="138" spans="1:16" ht="27.75">
      <c r="A138" s="1210" t="s">
        <v>247</v>
      </c>
      <c r="B138" s="1211"/>
      <c r="C138" s="1211"/>
      <c r="D138" s="523" t="s">
        <v>239</v>
      </c>
      <c r="E138" s="541">
        <f>'15'!F138</f>
        <v>70282.789999999994</v>
      </c>
      <c r="F138" s="654">
        <v>70282.789999999994</v>
      </c>
      <c r="G138" s="473">
        <f t="shared" si="15"/>
        <v>0</v>
      </c>
      <c r="H138" s="460">
        <f>G138+'15'!H138</f>
        <v>28.759999999994761</v>
      </c>
      <c r="I138" s="480">
        <f>G137+G138</f>
        <v>0</v>
      </c>
      <c r="J138" s="552">
        <f>H138/DAY(B2)</f>
        <v>1.7974999999996726</v>
      </c>
      <c r="N138" s="721"/>
      <c r="O138" s="728"/>
      <c r="P138" s="382"/>
    </row>
    <row r="139" spans="1:16" ht="27.75">
      <c r="A139" s="1210" t="s">
        <v>248</v>
      </c>
      <c r="B139" s="1211"/>
      <c r="C139" s="1211"/>
      <c r="D139" s="523" t="s">
        <v>239</v>
      </c>
      <c r="E139" s="704">
        <f>'15'!F139</f>
        <v>1536.62</v>
      </c>
      <c r="F139" s="626">
        <v>1536.62</v>
      </c>
      <c r="G139" s="473">
        <f t="shared" si="15"/>
        <v>0</v>
      </c>
      <c r="H139" s="460">
        <f>G139+'15'!H139</f>
        <v>9.9999999999909051E-2</v>
      </c>
      <c r="I139" s="542"/>
      <c r="J139" s="552">
        <f>H139/DAY(B2)</f>
        <v>6.2499999999943157E-3</v>
      </c>
      <c r="N139" s="721"/>
      <c r="O139" s="728"/>
      <c r="P139" s="382"/>
    </row>
    <row r="140" spans="1:16" ht="27.75">
      <c r="A140" s="1210" t="s">
        <v>249</v>
      </c>
      <c r="B140" s="1211"/>
      <c r="C140" s="1211"/>
      <c r="D140" s="523" t="s">
        <v>239</v>
      </c>
      <c r="E140" s="484">
        <f>'15'!F140</f>
        <v>4592</v>
      </c>
      <c r="F140" s="478">
        <v>4600</v>
      </c>
      <c r="G140" s="473">
        <f t="shared" si="15"/>
        <v>8</v>
      </c>
      <c r="H140" s="460">
        <f>G140+'15'!H140</f>
        <v>131.46000000000004</v>
      </c>
      <c r="I140" s="542"/>
      <c r="J140" s="552">
        <f>H140/DAY(B2)</f>
        <v>8.2162500000000023</v>
      </c>
      <c r="N140" s="721"/>
      <c r="O140" s="728"/>
      <c r="P140" s="382"/>
    </row>
    <row r="141" spans="1:16">
      <c r="A141" s="1526" t="s">
        <v>309</v>
      </c>
      <c r="B141" s="1527"/>
      <c r="C141" s="1214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520" t="s">
        <v>251</v>
      </c>
      <c r="B142" s="1521"/>
      <c r="C142" s="1522"/>
      <c r="D142" s="523" t="s">
        <v>132</v>
      </c>
      <c r="E142" s="523"/>
      <c r="F142" s="523"/>
      <c r="G142" s="460">
        <f>G35+G43+G49+G57</f>
        <v>4929.1300000000047</v>
      </c>
      <c r="H142" s="460">
        <f>G142+'15'!H142</f>
        <v>89572.46</v>
      </c>
      <c r="I142" s="480"/>
      <c r="J142" s="552">
        <f>H142/DAY(B2)</f>
        <v>5598.2787500000004</v>
      </c>
      <c r="K142" s="380"/>
      <c r="L142" s="377"/>
      <c r="N142" s="721"/>
      <c r="O142" s="728"/>
      <c r="P142" s="382"/>
    </row>
    <row r="143" spans="1:16" ht="27.75">
      <c r="A143" s="1520" t="s">
        <v>252</v>
      </c>
      <c r="B143" s="1521"/>
      <c r="C143" s="1522"/>
      <c r="D143" s="523" t="s">
        <v>24</v>
      </c>
      <c r="E143" s="511"/>
      <c r="F143" s="511"/>
      <c r="G143" s="543">
        <f>G142/G7</f>
        <v>0.2445490176622348</v>
      </c>
      <c r="H143" s="460">
        <f>G143+'15'!H143</f>
        <v>4.2130048889492766</v>
      </c>
      <c r="I143" s="544"/>
      <c r="J143" s="552">
        <f>H143/DAY(B2)</f>
        <v>0.26331280555932979</v>
      </c>
      <c r="K143" s="380"/>
      <c r="L143" s="377"/>
      <c r="N143" s="721"/>
      <c r="O143" s="728"/>
      <c r="P143" s="382"/>
    </row>
    <row r="144" spans="1:16" ht="27.75">
      <c r="A144" s="1520" t="s">
        <v>253</v>
      </c>
      <c r="B144" s="1521"/>
      <c r="C144" s="1522"/>
      <c r="D144" s="523" t="s">
        <v>132</v>
      </c>
      <c r="E144" s="455"/>
      <c r="F144" s="455"/>
      <c r="G144" s="460">
        <f>G41+G42+G55+G56</f>
        <v>6004</v>
      </c>
      <c r="H144" s="460">
        <f>G144+'15'!H144</f>
        <v>96746.84</v>
      </c>
      <c r="I144" s="480"/>
      <c r="J144" s="552">
        <f>H144/DAY(B2)</f>
        <v>6046.6774999999998</v>
      </c>
      <c r="K144" s="380"/>
      <c r="L144" s="377"/>
      <c r="N144" s="721"/>
      <c r="O144" s="728"/>
      <c r="P144" s="382"/>
    </row>
    <row r="145" spans="1:16" ht="27.75">
      <c r="A145" s="1520" t="s">
        <v>254</v>
      </c>
      <c r="B145" s="1521"/>
      <c r="C145" s="1522"/>
      <c r="D145" s="523" t="s">
        <v>24</v>
      </c>
      <c r="E145" s="455"/>
      <c r="F145" s="455"/>
      <c r="G145" s="543">
        <f>G144/G7</f>
        <v>0.29787656281008135</v>
      </c>
      <c r="H145" s="460">
        <f>G145+'15'!H145</f>
        <v>4.5526770851537348</v>
      </c>
      <c r="I145" s="544"/>
      <c r="J145" s="552">
        <f>H145/DAY(B2)</f>
        <v>0.28454231782210843</v>
      </c>
      <c r="K145" s="380"/>
      <c r="L145" s="377"/>
      <c r="N145" s="721"/>
      <c r="O145" s="728"/>
      <c r="P145" s="382"/>
    </row>
    <row r="146" spans="1:16" ht="27.75">
      <c r="A146" s="1520" t="s">
        <v>255</v>
      </c>
      <c r="B146" s="1521"/>
      <c r="C146" s="1522"/>
      <c r="D146" s="523" t="s">
        <v>132</v>
      </c>
      <c r="E146" s="455"/>
      <c r="F146" s="455"/>
      <c r="G146" s="460">
        <f>G39+G53</f>
        <v>2841</v>
      </c>
      <c r="H146" s="460">
        <f>G146+'15'!H146</f>
        <v>61097</v>
      </c>
      <c r="I146" s="545"/>
      <c r="J146" s="552">
        <f>H146/DAY(B2)</f>
        <v>3818.5625</v>
      </c>
      <c r="K146" s="380"/>
      <c r="L146" s="377"/>
      <c r="N146" s="721"/>
      <c r="O146" s="728"/>
      <c r="P146" s="382"/>
    </row>
    <row r="147" spans="1:16" ht="27.75">
      <c r="A147" s="1520" t="s">
        <v>256</v>
      </c>
      <c r="B147" s="1521"/>
      <c r="C147" s="1522"/>
      <c r="D147" s="523" t="s">
        <v>24</v>
      </c>
      <c r="E147" s="455"/>
      <c r="F147" s="455"/>
      <c r="G147" s="543">
        <f>G146/G7</f>
        <v>0.14095058543361777</v>
      </c>
      <c r="H147" s="460">
        <f>G147+'15'!H147</f>
        <v>2.8690112701059012</v>
      </c>
      <c r="I147" s="545"/>
      <c r="J147" s="552">
        <f>H147/DAY(B2)</f>
        <v>0.17931320438161882</v>
      </c>
      <c r="N147" s="721"/>
      <c r="O147" s="728"/>
      <c r="P147" s="382"/>
    </row>
    <row r="148" spans="1:16" ht="27.75">
      <c r="A148" s="1520" t="s">
        <v>257</v>
      </c>
      <c r="B148" s="1521"/>
      <c r="C148" s="1522"/>
      <c r="D148" s="523" t="s">
        <v>183</v>
      </c>
      <c r="E148" s="455"/>
      <c r="F148" s="455"/>
      <c r="G148" s="460">
        <f>G38+G52</f>
        <v>1654</v>
      </c>
      <c r="H148" s="460">
        <f>G148+'15'!H148</f>
        <v>26875</v>
      </c>
      <c r="I148" s="480"/>
      <c r="J148" s="552">
        <f>H148/DAY(B2)</f>
        <v>1679.6875</v>
      </c>
      <c r="K148" s="381"/>
      <c r="N148" s="721"/>
      <c r="O148" s="728"/>
      <c r="P148" s="382"/>
    </row>
    <row r="149" spans="1:16" ht="27.75">
      <c r="A149" s="1520" t="s">
        <v>258</v>
      </c>
      <c r="B149" s="1521"/>
      <c r="C149" s="1522"/>
      <c r="D149" s="523" t="s">
        <v>24</v>
      </c>
      <c r="E149" s="455"/>
      <c r="F149" s="455"/>
      <c r="G149" s="543">
        <f>G148/G7</f>
        <v>8.2059932526294899E-2</v>
      </c>
      <c r="H149" s="460">
        <f>G149+'15'!H149</f>
        <v>1.2655452240430427</v>
      </c>
      <c r="I149" s="545"/>
      <c r="J149" s="552">
        <f>H149/DAY(B2)</f>
        <v>7.9096576502690169E-2</v>
      </c>
      <c r="N149" s="721"/>
      <c r="O149" s="728"/>
      <c r="P149" s="382"/>
    </row>
    <row r="150" spans="1:16" ht="27.75">
      <c r="A150" s="1520" t="s">
        <v>259</v>
      </c>
      <c r="B150" s="1521"/>
      <c r="C150" s="1522"/>
      <c r="D150" s="523" t="s">
        <v>183</v>
      </c>
      <c r="E150" s="455"/>
      <c r="F150" s="455"/>
      <c r="G150" s="460">
        <f>G36+G50</f>
        <v>2201</v>
      </c>
      <c r="H150" s="460">
        <f>G150+'15'!H150</f>
        <v>33330</v>
      </c>
      <c r="I150" s="545"/>
      <c r="J150" s="552">
        <f>H150/DAY(B2)</f>
        <v>2083.125</v>
      </c>
      <c r="N150" s="721"/>
      <c r="O150" s="728"/>
      <c r="P150" s="382"/>
    </row>
    <row r="151" spans="1:16" ht="27.75">
      <c r="A151" s="1520" t="s">
        <v>260</v>
      </c>
      <c r="B151" s="1521"/>
      <c r="C151" s="1522"/>
      <c r="D151" s="523" t="s">
        <v>24</v>
      </c>
      <c r="E151" s="455"/>
      <c r="F151" s="455"/>
      <c r="G151" s="543">
        <f>G150/G7</f>
        <v>0.10919825362175034</v>
      </c>
      <c r="H151" s="460">
        <f>G151+'15'!H151</f>
        <v>1.5710184984883322</v>
      </c>
      <c r="I151" s="480"/>
      <c r="J151" s="552">
        <f>H151/DAY(B2)</f>
        <v>9.8188656155520762E-2</v>
      </c>
      <c r="N151" s="721"/>
      <c r="O151" s="728"/>
      <c r="P151" s="382"/>
    </row>
    <row r="152" spans="1:16" ht="27.75">
      <c r="A152" s="1520" t="s">
        <v>261</v>
      </c>
      <c r="B152" s="1521"/>
      <c r="C152" s="1522"/>
      <c r="D152" s="523" t="s">
        <v>183</v>
      </c>
      <c r="E152" s="455"/>
      <c r="F152" s="455"/>
      <c r="G152" s="460">
        <f>G37+G51</f>
        <v>1374</v>
      </c>
      <c r="H152" s="460">
        <f>G152+'15'!H152</f>
        <v>22017</v>
      </c>
      <c r="I152" s="480"/>
      <c r="J152" s="552">
        <f>H152/DAY(B2)</f>
        <v>1376.0625</v>
      </c>
      <c r="N152" s="721"/>
      <c r="O152" s="728"/>
      <c r="P152" s="382"/>
    </row>
    <row r="153" spans="1:16" ht="28.5" thickBot="1">
      <c r="A153" s="1523" t="s">
        <v>262</v>
      </c>
      <c r="B153" s="1524"/>
      <c r="C153" s="1525"/>
      <c r="D153" s="625" t="s">
        <v>24</v>
      </c>
      <c r="E153" s="565"/>
      <c r="F153" s="565"/>
      <c r="G153" s="566">
        <f>G152/G7</f>
        <v>6.8168287358602891E-2</v>
      </c>
      <c r="H153" s="460">
        <f>G153+'15'!H153</f>
        <v>1.0371372009511273</v>
      </c>
      <c r="I153" s="568"/>
      <c r="J153" s="569">
        <f>H153/DAY(B2)</f>
        <v>6.4821075059445454E-2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'15'!F160</f>
        <v>34687</v>
      </c>
      <c r="F160" s="807">
        <v>34771</v>
      </c>
      <c r="G160" s="473">
        <f t="shared" ref="G160:G163" si="16">F160-E160</f>
        <v>84</v>
      </c>
      <c r="N160" s="721"/>
    </row>
    <row r="161" spans="1:14">
      <c r="A161" s="798" t="s">
        <v>264</v>
      </c>
      <c r="B161" s="799"/>
      <c r="C161" s="799"/>
      <c r="D161" s="620" t="s">
        <v>187</v>
      </c>
      <c r="E161" s="522">
        <f>'15'!F161</f>
        <v>75505.789999999994</v>
      </c>
      <c r="F161" s="807">
        <v>75989</v>
      </c>
      <c r="G161" s="473">
        <f t="shared" si="16"/>
        <v>483.2100000000064</v>
      </c>
      <c r="N161" s="721"/>
    </row>
    <row r="162" spans="1:14">
      <c r="A162" s="798" t="s">
        <v>265</v>
      </c>
      <c r="B162" s="799"/>
      <c r="C162" s="799"/>
      <c r="D162" s="620" t="s">
        <v>187</v>
      </c>
      <c r="E162" s="522">
        <f>'15'!F162</f>
        <v>33499</v>
      </c>
      <c r="F162" s="787">
        <v>33770</v>
      </c>
      <c r="G162" s="473">
        <f t="shared" si="16"/>
        <v>271</v>
      </c>
      <c r="N162" s="721"/>
    </row>
    <row r="163" spans="1:14">
      <c r="A163" s="798" t="s">
        <v>266</v>
      </c>
      <c r="B163" s="799"/>
      <c r="C163" s="799"/>
      <c r="D163" s="620" t="s">
        <v>187</v>
      </c>
      <c r="E163" s="522">
        <f>'15'!F163</f>
        <v>5950</v>
      </c>
      <c r="F163" s="807">
        <v>5969</v>
      </c>
      <c r="G163" s="473">
        <f t="shared" si="16"/>
        <v>19</v>
      </c>
      <c r="N163" s="721"/>
    </row>
    <row r="164" spans="1:14">
      <c r="A164" s="800" t="s">
        <v>98</v>
      </c>
      <c r="B164" s="801"/>
      <c r="C164" s="801"/>
      <c r="D164" s="620" t="s">
        <v>187</v>
      </c>
      <c r="E164" s="522">
        <f>'15'!F164</f>
        <v>20419.18</v>
      </c>
      <c r="F164" s="514">
        <f>F62</f>
        <v>20419.18</v>
      </c>
      <c r="G164" s="473">
        <f t="shared" ref="G164:G171" si="17">F164-E164</f>
        <v>0</v>
      </c>
      <c r="N164" s="721"/>
    </row>
    <row r="165" spans="1:14">
      <c r="A165" s="800" t="s">
        <v>188</v>
      </c>
      <c r="B165" s="801"/>
      <c r="C165" s="801"/>
      <c r="D165" s="620" t="s">
        <v>187</v>
      </c>
      <c r="E165" s="522">
        <f>'15'!F165</f>
        <v>2268</v>
      </c>
      <c r="F165" s="514">
        <f t="shared" ref="F165:F171" si="18">F63</f>
        <v>2278.41</v>
      </c>
      <c r="G165" s="473">
        <f t="shared" si="17"/>
        <v>10.409999999999854</v>
      </c>
      <c r="N165" s="721"/>
    </row>
    <row r="166" spans="1:14" ht="27.75">
      <c r="A166" s="1565" t="s">
        <v>99</v>
      </c>
      <c r="B166" s="1565"/>
      <c r="C166" s="1565"/>
      <c r="D166" s="524" t="s">
        <v>187</v>
      </c>
      <c r="E166" s="522">
        <f>'15'!F166</f>
        <v>146266</v>
      </c>
      <c r="F166" s="514">
        <f t="shared" si="18"/>
        <v>146746</v>
      </c>
      <c r="G166" s="473">
        <f t="shared" si="17"/>
        <v>480</v>
      </c>
      <c r="N166" s="721"/>
    </row>
    <row r="167" spans="1:14" ht="27.75">
      <c r="A167" s="1565" t="s">
        <v>100</v>
      </c>
      <c r="B167" s="1565"/>
      <c r="C167" s="1565"/>
      <c r="D167" s="524" t="s">
        <v>187</v>
      </c>
      <c r="E167" s="522">
        <f>'15'!F167</f>
        <v>149636</v>
      </c>
      <c r="F167" s="514">
        <f t="shared" si="18"/>
        <v>149978</v>
      </c>
      <c r="G167" s="473">
        <f t="shared" si="17"/>
        <v>342</v>
      </c>
      <c r="N167" s="721"/>
    </row>
    <row r="168" spans="1:14" ht="27.75">
      <c r="A168" s="1565" t="s">
        <v>101</v>
      </c>
      <c r="B168" s="1565"/>
      <c r="C168" s="1565"/>
      <c r="D168" s="524" t="s">
        <v>187</v>
      </c>
      <c r="E168" s="522">
        <f>'15'!F168</f>
        <v>43078</v>
      </c>
      <c r="F168" s="514">
        <f t="shared" si="18"/>
        <v>43450</v>
      </c>
      <c r="G168" s="473">
        <f t="shared" si="17"/>
        <v>372</v>
      </c>
      <c r="N168" s="721"/>
    </row>
    <row r="169" spans="1:14" ht="27.75">
      <c r="A169" s="1565" t="s">
        <v>102</v>
      </c>
      <c r="B169" s="1565"/>
      <c r="C169" s="1565"/>
      <c r="D169" s="524" t="s">
        <v>187</v>
      </c>
      <c r="E169" s="522">
        <f>'15'!F169</f>
        <v>237444</v>
      </c>
      <c r="F169" s="514">
        <f t="shared" si="18"/>
        <v>237894</v>
      </c>
      <c r="G169" s="473">
        <f t="shared" si="17"/>
        <v>450</v>
      </c>
      <c r="N169" s="721"/>
    </row>
    <row r="170" spans="1:14" ht="27.75">
      <c r="A170" s="1565" t="s">
        <v>103</v>
      </c>
      <c r="B170" s="1565"/>
      <c r="C170" s="1565"/>
      <c r="D170" s="524" t="s">
        <v>187</v>
      </c>
      <c r="E170" s="522">
        <f>'15'!F170</f>
        <v>85321</v>
      </c>
      <c r="F170" s="514">
        <f t="shared" si="18"/>
        <v>85321</v>
      </c>
      <c r="G170" s="473">
        <f t="shared" si="17"/>
        <v>0</v>
      </c>
      <c r="N170" s="721"/>
    </row>
    <row r="171" spans="1:14" ht="27.75">
      <c r="A171" s="1565" t="s">
        <v>104</v>
      </c>
      <c r="B171" s="1565"/>
      <c r="C171" s="1565"/>
      <c r="D171" s="524" t="s">
        <v>187</v>
      </c>
      <c r="E171" s="522">
        <f>'15'!F171</f>
        <v>78090</v>
      </c>
      <c r="F171" s="514">
        <f t="shared" si="18"/>
        <v>78127</v>
      </c>
      <c r="G171" s="473">
        <f t="shared" si="17"/>
        <v>37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2548.6200000000063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23.25" customHeight="1">
      <c r="N177" s="721"/>
    </row>
    <row r="178" spans="14:14" ht="23.25" customHeight="1">
      <c r="N178" s="721"/>
    </row>
    <row r="179" spans="14:14" ht="23.25" customHeight="1">
      <c r="N179" s="721"/>
    </row>
    <row r="180" spans="14:14" ht="23.25" customHeight="1">
      <c r="N180" s="721"/>
    </row>
    <row r="181" spans="14:14" ht="23.25" customHeight="1">
      <c r="N181" s="721"/>
    </row>
    <row r="182" spans="14:14" ht="23.25" customHeight="1">
      <c r="N182" s="721"/>
    </row>
    <row r="183" spans="14:14" ht="23.25" customHeight="1">
      <c r="N183" s="721"/>
    </row>
    <row r="184" spans="14:14" ht="23.25" customHeight="1">
      <c r="N184" s="721"/>
    </row>
    <row r="185" spans="14:14" ht="23.25" customHeight="1">
      <c r="N185" s="721"/>
    </row>
    <row r="186" spans="14:14" ht="23.25" customHeight="1">
      <c r="N186" s="721"/>
    </row>
    <row r="187" spans="14:14" ht="23.25" customHeight="1">
      <c r="N187" s="721"/>
    </row>
    <row r="188" spans="14:14" ht="23.25" customHeight="1">
      <c r="N188" s="721"/>
    </row>
    <row r="189" spans="14:14" ht="23.25" customHeight="1">
      <c r="N189" s="721"/>
    </row>
    <row r="190" spans="14:14" ht="23.25" customHeight="1">
      <c r="N190" s="721"/>
    </row>
    <row r="191" spans="14:14" ht="23.25" customHeight="1">
      <c r="N191" s="721"/>
    </row>
    <row r="192" spans="14:14" ht="23.25" customHeight="1">
      <c r="N192" s="721"/>
    </row>
    <row r="193" spans="14:14" ht="23.25" customHeight="1">
      <c r="N193" s="721"/>
    </row>
    <row r="194" spans="14:14" ht="23.25" customHeight="1">
      <c r="N194" s="721"/>
    </row>
    <row r="195" spans="14:14" ht="23.25" customHeight="1">
      <c r="N195" s="721"/>
    </row>
    <row r="196" spans="14:14" ht="23.25" customHeight="1">
      <c r="N196" s="721"/>
    </row>
    <row r="197" spans="14:14" ht="23.25" customHeight="1">
      <c r="N197" s="721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46" zoomScale="55" zoomScaleSheetLayoutView="55" zoomScalePageLayoutView="60" workbookViewId="0">
      <selection activeCell="F92" sqref="F92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6" customWidth="1"/>
    <col min="7" max="7" width="24.44140625" style="537" customWidth="1"/>
    <col min="8" max="8" width="22.88671875" style="538" customWidth="1"/>
    <col min="9" max="9" width="16.886718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28" t="s">
        <v>117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6" s="281" customFormat="1" ht="27">
      <c r="A2" s="575" t="s">
        <v>356</v>
      </c>
      <c r="B2" s="1036">
        <v>44303</v>
      </c>
      <c r="C2" s="1229" t="s">
        <v>69</v>
      </c>
      <c r="D2" s="611">
        <v>0.7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229" t="s">
        <v>120</v>
      </c>
      <c r="D3" s="612">
        <v>28</v>
      </c>
      <c r="E3" s="1537" t="s">
        <v>121</v>
      </c>
      <c r="F3" s="1538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29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31" t="s">
        <v>130</v>
      </c>
      <c r="B6" s="1532"/>
      <c r="C6" s="1533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'16'!F7</f>
        <v>5453920</v>
      </c>
      <c r="F7" s="455">
        <v>5474218</v>
      </c>
      <c r="G7" s="681">
        <f>F7-E7</f>
        <v>20298</v>
      </c>
      <c r="H7" s="682">
        <f>G7+'16'!H7</f>
        <v>360295</v>
      </c>
      <c r="I7" s="683">
        <f>'1'!I7</f>
        <v>12000</v>
      </c>
      <c r="J7" s="684">
        <f>H7/DAY(B2)</f>
        <v>21193.823529411766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'16'!F8</f>
        <v>5486798</v>
      </c>
      <c r="F8" s="475">
        <v>5507143</v>
      </c>
      <c r="G8" s="692">
        <f>F8-E8</f>
        <v>20345</v>
      </c>
      <c r="H8" s="682">
        <f>G8+'16'!H8</f>
        <v>361825</v>
      </c>
      <c r="I8" s="689">
        <f>'1'!I8</f>
        <v>12000</v>
      </c>
      <c r="J8" s="684">
        <f>H8/DAY(B2)</f>
        <v>21283.823529411766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'16'!F9</f>
        <v>725720</v>
      </c>
      <c r="F9" s="478">
        <v>745395</v>
      </c>
      <c r="G9" s="705">
        <f t="shared" ref="G9:G12" si="0">F9-E9</f>
        <v>19675</v>
      </c>
      <c r="H9" s="682">
        <f>G9+'16'!H9</f>
        <v>349326</v>
      </c>
      <c r="I9" s="693">
        <f>I7-J7</f>
        <v>-9193.8235294117658</v>
      </c>
      <c r="J9" s="684">
        <f>H9/DAY(B2)</f>
        <v>20548.588235294119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'16'!F10</f>
        <v>2322.58</v>
      </c>
      <c r="F10" s="478">
        <v>2322.58</v>
      </c>
      <c r="G10" s="692">
        <f t="shared" si="0"/>
        <v>0</v>
      </c>
      <c r="H10" s="682">
        <f>G10+'16'!H10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G11+'16'!H11</f>
        <v>0</v>
      </c>
      <c r="I11" s="694"/>
      <c r="J11" s="684">
        <f>H11/DAY(B2)</f>
        <v>0</v>
      </c>
      <c r="K11" s="428"/>
      <c r="L11" s="377"/>
      <c r="N11" s="721">
        <f>G8-866</f>
        <v>19479</v>
      </c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G12+'16'!H12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19675</v>
      </c>
      <c r="H13" s="682">
        <f>G13+'16'!H13</f>
        <v>329135.3600000001</v>
      </c>
      <c r="I13" s="698">
        <f>G7-G13</f>
        <v>623</v>
      </c>
      <c r="J13" s="684">
        <f>H13/DAY(B2)</f>
        <v>19360.903529411771</v>
      </c>
      <c r="K13" s="428"/>
      <c r="L13" s="377"/>
      <c r="N13" s="721"/>
      <c r="O13" s="728"/>
      <c r="P13" s="382"/>
    </row>
    <row r="14" spans="1:16">
      <c r="A14" s="1534" t="s">
        <v>139</v>
      </c>
      <c r="B14" s="1535"/>
      <c r="C14" s="1536"/>
      <c r="D14" s="472"/>
      <c r="E14" s="472"/>
      <c r="F14" s="472"/>
      <c r="G14" s="483"/>
      <c r="H14" s="472"/>
      <c r="I14" s="472"/>
      <c r="J14" s="1222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'16'!F15</f>
        <v>1660872</v>
      </c>
      <c r="F15" s="485">
        <v>1661671</v>
      </c>
      <c r="G15" s="667">
        <f>(F15-E15)</f>
        <v>799</v>
      </c>
      <c r="H15" s="486">
        <f>G15+'16'!H15</f>
        <v>14982</v>
      </c>
      <c r="I15" s="474">
        <f>'1'!I15</f>
        <v>800</v>
      </c>
      <c r="J15" s="553">
        <f>H15/DAY(B2)</f>
        <v>881.29411764705878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-81.294117647058783</v>
      </c>
      <c r="J16" s="553"/>
      <c r="K16" s="428"/>
      <c r="L16" s="377"/>
      <c r="N16" s="721"/>
      <c r="O16" s="728"/>
      <c r="P16" s="382"/>
    </row>
    <row r="17" spans="1:16">
      <c r="A17" s="1534" t="s">
        <v>142</v>
      </c>
      <c r="B17" s="1535"/>
      <c r="C17" s="1536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60" t="s">
        <v>143</v>
      </c>
      <c r="B18" s="1561"/>
      <c r="C18" s="1562"/>
      <c r="D18" s="638" t="s">
        <v>144</v>
      </c>
      <c r="E18" s="635">
        <f>'16'!F18</f>
        <v>8</v>
      </c>
      <c r="F18" s="478">
        <v>8</v>
      </c>
      <c r="G18" s="697">
        <f>F18*10</f>
        <v>80</v>
      </c>
      <c r="H18" s="682">
        <f>G18+'16'!H18</f>
        <v>1620</v>
      </c>
      <c r="I18" s="683">
        <f>'1'!I18</f>
        <v>65</v>
      </c>
      <c r="J18" s="684">
        <f>H18/DAY(B2)</f>
        <v>95.294117647058826</v>
      </c>
      <c r="K18" s="428"/>
      <c r="L18" s="377"/>
      <c r="N18" s="721"/>
      <c r="O18" s="728"/>
      <c r="P18" s="382"/>
    </row>
    <row r="19" spans="1:16" ht="27.75">
      <c r="A19" s="1560" t="s">
        <v>71</v>
      </c>
      <c r="B19" s="1561"/>
      <c r="C19" s="1562"/>
      <c r="D19" s="638" t="s">
        <v>144</v>
      </c>
      <c r="E19" s="635">
        <f>'16'!F19</f>
        <v>137003</v>
      </c>
      <c r="F19" s="478">
        <v>137061</v>
      </c>
      <c r="G19" s="692">
        <f>F19-E19</f>
        <v>58</v>
      </c>
      <c r="H19" s="682">
        <f>G19+'16'!H19</f>
        <v>971</v>
      </c>
      <c r="I19" s="699"/>
      <c r="J19" s="684">
        <f>H19/DAY(B2)</f>
        <v>57.117647058823529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138</v>
      </c>
      <c r="H20" s="682">
        <f>G20+'16'!H20</f>
        <v>2591</v>
      </c>
      <c r="I20" s="701">
        <f>I18-J20</f>
        <v>-87.411764705882348</v>
      </c>
      <c r="J20" s="684">
        <f>H20/DAY(B2)</f>
        <v>152.41176470588235</v>
      </c>
      <c r="K20" s="428"/>
      <c r="L20" s="377"/>
      <c r="N20" s="721"/>
      <c r="O20" s="728"/>
      <c r="P20" s="382"/>
    </row>
    <row r="21" spans="1:16">
      <c r="A21" s="1534" t="s">
        <v>146</v>
      </c>
      <c r="B21" s="1535"/>
      <c r="C21" s="1536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27" t="s">
        <v>147</v>
      </c>
      <c r="B22" s="589"/>
      <c r="C22" s="589"/>
      <c r="D22" s="523" t="s">
        <v>148</v>
      </c>
      <c r="E22" s="635">
        <f>'16'!F22</f>
        <v>2970</v>
      </c>
      <c r="F22" s="478">
        <v>2970</v>
      </c>
      <c r="G22" s="481">
        <v>0</v>
      </c>
      <c r="H22" s="460">
        <f>G22+'16'!H22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27" t="s">
        <v>149</v>
      </c>
      <c r="B23" s="589"/>
      <c r="C23" s="589"/>
      <c r="D23" s="523" t="s">
        <v>148</v>
      </c>
      <c r="E23" s="635">
        <f>'16'!F23</f>
        <v>2900</v>
      </c>
      <c r="F23" s="478">
        <v>2900</v>
      </c>
      <c r="G23" s="481">
        <v>0</v>
      </c>
      <c r="H23" s="460">
        <f>G23+'16'!H23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39" t="s">
        <v>151</v>
      </c>
      <c r="B25" s="1540"/>
      <c r="C25" s="1541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20345</v>
      </c>
      <c r="F27" s="501">
        <v>9</v>
      </c>
      <c r="G27" s="502">
        <f>E27*F27</f>
        <v>183105</v>
      </c>
      <c r="H27" s="460">
        <f>G27+'16'!H27</f>
        <v>3256425</v>
      </c>
      <c r="I27" s="503"/>
      <c r="J27" s="552">
        <f>H27/DAY(B2)</f>
        <v>191554.41176470587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799</v>
      </c>
      <c r="F28" s="501">
        <v>51.45</v>
      </c>
      <c r="G28" s="502">
        <f>E28*F28</f>
        <v>41108.550000000003</v>
      </c>
      <c r="H28" s="460">
        <f>G28+'16'!H28</f>
        <v>770823.9</v>
      </c>
      <c r="I28" s="505"/>
      <c r="J28" s="552">
        <f>H28/DAY(B2)</f>
        <v>45342.582352941179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G29+'16'!H29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58</v>
      </c>
      <c r="F30" s="501">
        <v>134</v>
      </c>
      <c r="G30" s="502">
        <f>E30*F30</f>
        <v>7772</v>
      </c>
      <c r="H30" s="460">
        <f>G30+'16'!H30</f>
        <v>131482</v>
      </c>
      <c r="I30" s="505"/>
      <c r="J30" s="552">
        <f>H30/DAY(B2)</f>
        <v>7734.2352941176468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G31+'16'!H31</f>
        <v>129600</v>
      </c>
      <c r="I31" s="505"/>
      <c r="J31" s="552"/>
      <c r="K31" s="373">
        <f>E31*80%</f>
        <v>64</v>
      </c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238385.55</v>
      </c>
      <c r="H32" s="460">
        <f>G32+'16'!H32</f>
        <v>4288330.9000000004</v>
      </c>
      <c r="I32" s="509"/>
      <c r="J32" s="552">
        <f>H32/DAY(B2)</f>
        <v>252254.75882352944</v>
      </c>
      <c r="K32" s="373"/>
      <c r="L32" s="443"/>
      <c r="N32" s="721"/>
      <c r="O32" s="728"/>
      <c r="P32" s="382"/>
    </row>
    <row r="33" spans="1:16" ht="25.5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  <c r="N33" s="721"/>
      <c r="O33" s="728"/>
      <c r="P33" s="382"/>
    </row>
    <row r="34" spans="1:16">
      <c r="A34" s="598" t="s">
        <v>163</v>
      </c>
      <c r="B34" s="1232"/>
      <c r="C34" s="1232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'16'!F35</f>
        <v>849041</v>
      </c>
      <c r="F35" s="510">
        <v>851659</v>
      </c>
      <c r="G35" s="473">
        <f t="shared" ref="G35:G46" si="1">F35-E35</f>
        <v>2618</v>
      </c>
      <c r="H35" s="460">
        <f>G35+'16'!H35</f>
        <v>53270</v>
      </c>
      <c r="I35" s="455"/>
      <c r="J35" s="552">
        <f>H35/DAY(B2)</f>
        <v>3133.5294117647059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'16'!F36</f>
        <v>332653</v>
      </c>
      <c r="F36" s="510">
        <v>333743</v>
      </c>
      <c r="G36" s="473">
        <f t="shared" si="1"/>
        <v>1090</v>
      </c>
      <c r="H36" s="460">
        <f>G36+'16'!H36</f>
        <v>16307</v>
      </c>
      <c r="I36" s="455"/>
      <c r="J36" s="552">
        <f>H36/DAY(B2)</f>
        <v>959.23529411764707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'16'!F37</f>
        <v>76814</v>
      </c>
      <c r="F37" s="510">
        <v>78186</v>
      </c>
      <c r="G37" s="473">
        <f t="shared" si="1"/>
        <v>1372</v>
      </c>
      <c r="H37" s="460">
        <f>G37+'16'!H37</f>
        <v>23389</v>
      </c>
      <c r="I37" s="455"/>
      <c r="J37" s="552">
        <f>H37/DAY(B2)</f>
        <v>1375.8235294117646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'16'!F38</f>
        <v>99185</v>
      </c>
      <c r="F38" s="469">
        <v>100814</v>
      </c>
      <c r="G38" s="473">
        <f t="shared" si="1"/>
        <v>1629</v>
      </c>
      <c r="H38" s="460">
        <f>G38+'16'!H38</f>
        <v>28506</v>
      </c>
      <c r="I38" s="455"/>
      <c r="J38" s="552">
        <f>H38/DAY(B2)</f>
        <v>1676.8235294117646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'16'!F39</f>
        <v>208006</v>
      </c>
      <c r="F39" s="510">
        <v>210953</v>
      </c>
      <c r="G39" s="473">
        <f>F39-E39</f>
        <v>2947</v>
      </c>
      <c r="H39" s="460">
        <f>G39+'16'!H39</f>
        <v>58131</v>
      </c>
      <c r="I39" s="455"/>
      <c r="J39" s="552">
        <f>H39/DAY(B2)</f>
        <v>3419.4705882352941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'16'!F40</f>
        <v>0</v>
      </c>
      <c r="F40" s="510">
        <v>0</v>
      </c>
      <c r="G40" s="473">
        <f t="shared" si="1"/>
        <v>0</v>
      </c>
      <c r="H40" s="460">
        <f>G40+'16'!H40</f>
        <v>0.17</v>
      </c>
      <c r="I40" s="455"/>
      <c r="J40" s="552">
        <f>H40/DAY(B2)</f>
        <v>0.01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'16'!F41</f>
        <v>161910</v>
      </c>
      <c r="F41" s="510">
        <v>161910</v>
      </c>
      <c r="G41" s="473">
        <f t="shared" si="1"/>
        <v>0</v>
      </c>
      <c r="H41" s="460">
        <f>G41+'16'!H41</f>
        <v>28769</v>
      </c>
      <c r="I41" s="455"/>
      <c r="J41" s="552">
        <f>H41/DAY(B2)</f>
        <v>1692.2941176470588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'16'!F42</f>
        <v>59128</v>
      </c>
      <c r="F42" s="510">
        <v>59128</v>
      </c>
      <c r="G42" s="473">
        <f>F42-E42</f>
        <v>0</v>
      </c>
      <c r="H42" s="460">
        <f>G42+'16'!H42</f>
        <v>-0.16000000000349246</v>
      </c>
      <c r="I42" s="455"/>
      <c r="J42" s="552">
        <f>H42/DAY(B2)</f>
        <v>-9.4117647060877919E-3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'16'!F43</f>
        <v>940968</v>
      </c>
      <c r="F43" s="510">
        <v>943309</v>
      </c>
      <c r="G43" s="473">
        <f t="shared" si="1"/>
        <v>2341</v>
      </c>
      <c r="H43" s="460">
        <f>G43+'16'!H43</f>
        <v>41261</v>
      </c>
      <c r="I43" s="455"/>
      <c r="J43" s="552">
        <f>H43/DAY(B2)</f>
        <v>2427.1176470588234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11997</v>
      </c>
      <c r="H47" s="460">
        <f>G47+'16'!H47</f>
        <v>250434.49999999994</v>
      </c>
      <c r="I47" s="455"/>
      <c r="J47" s="552">
        <f>H47/DAY(B2)</f>
        <v>14731.441176470586</v>
      </c>
      <c r="K47" s="428"/>
      <c r="L47" s="377"/>
      <c r="N47" s="721"/>
      <c r="O47" s="728"/>
      <c r="P47" s="382"/>
    </row>
    <row r="48" spans="1:16">
      <c r="A48" s="598" t="s">
        <v>177</v>
      </c>
      <c r="B48" s="1232"/>
      <c r="C48" s="1232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'16'!F49</f>
        <v>260732.13</v>
      </c>
      <c r="F49" s="510">
        <v>260732.13</v>
      </c>
      <c r="G49" s="473">
        <f t="shared" ref="G49:G58" si="2">F49-E49</f>
        <v>0</v>
      </c>
      <c r="H49" s="460">
        <f>G49+'16'!H49</f>
        <v>0.13000000000465661</v>
      </c>
      <c r="I49" s="455"/>
      <c r="J49" s="552">
        <f>H49/DAY(B2)</f>
        <v>7.6470588238033302E-3</v>
      </c>
      <c r="K49" s="428">
        <f>E49+242</f>
        <v>260974.13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'16'!F50</f>
        <v>459345</v>
      </c>
      <c r="F50" s="510">
        <v>460329</v>
      </c>
      <c r="G50" s="473">
        <f t="shared" si="2"/>
        <v>984</v>
      </c>
      <c r="H50" s="460">
        <f>G50+'16'!H50</f>
        <v>18054.959999999963</v>
      </c>
      <c r="I50" s="455"/>
      <c r="J50" s="552">
        <f>H50/DAY(B2)</f>
        <v>1062.0564705882332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'16'!F51</f>
        <v>144640</v>
      </c>
      <c r="F51" s="510">
        <v>144640</v>
      </c>
      <c r="G51" s="473">
        <f t="shared" si="2"/>
        <v>0</v>
      </c>
      <c r="H51" s="460">
        <f>G51+'16'!H51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'16'!F52</f>
        <v>539606</v>
      </c>
      <c r="F52" s="510">
        <v>539606</v>
      </c>
      <c r="G52" s="473">
        <f t="shared" si="2"/>
        <v>0</v>
      </c>
      <c r="H52" s="460">
        <f>G52+'16'!H52</f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'16'!F53</f>
        <v>407177</v>
      </c>
      <c r="F53" s="510">
        <v>407177</v>
      </c>
      <c r="G53" s="473">
        <f t="shared" si="2"/>
        <v>0</v>
      </c>
      <c r="H53" s="460">
        <f>G53+'16'!H53</f>
        <v>5343.2000000000116</v>
      </c>
      <c r="I53" s="455"/>
      <c r="J53" s="552">
        <f>H53/DAY(B2)</f>
        <v>314.30588235294186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'16'!F54</f>
        <v>10331</v>
      </c>
      <c r="F54" s="510">
        <v>10406</v>
      </c>
      <c r="G54" s="473">
        <f t="shared" si="2"/>
        <v>75</v>
      </c>
      <c r="H54" s="460">
        <f>G54+'16'!H54</f>
        <v>4181.0300000000007</v>
      </c>
      <c r="I54" s="455"/>
      <c r="J54" s="552">
        <f>H54/DAY(B2)</f>
        <v>245.94294117647064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'16'!F55</f>
        <v>283956</v>
      </c>
      <c r="F55" s="656">
        <v>290139</v>
      </c>
      <c r="G55" s="655">
        <f t="shared" si="2"/>
        <v>6183</v>
      </c>
      <c r="H55" s="708">
        <f>G55+'16'!H55</f>
        <v>68685.799999999988</v>
      </c>
      <c r="I55" s="709"/>
      <c r="J55" s="710">
        <f>H55/DAY(B2)</f>
        <v>4040.3411764705875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'16'!F56</f>
        <v>589086</v>
      </c>
      <c r="F56" s="656">
        <v>589086</v>
      </c>
      <c r="G56" s="473">
        <f>F56-E56</f>
        <v>0</v>
      </c>
      <c r="H56" s="460">
        <f>G56+'16'!H56</f>
        <v>109.8399999999674</v>
      </c>
      <c r="I56" s="455"/>
      <c r="J56" s="552">
        <f>H56/DAY(B2)</f>
        <v>6.4611764705863175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0.32999999999992724</v>
      </c>
      <c r="I57" s="455"/>
      <c r="J57" s="552">
        <f>H57/DAY(B2)</f>
        <v>1.9411764705878073E-2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'16'!F58</f>
        <v>44522</v>
      </c>
      <c r="F58" s="656">
        <v>44710</v>
      </c>
      <c r="G58" s="473">
        <f t="shared" si="2"/>
        <v>188</v>
      </c>
      <c r="H58" s="460">
        <f>G58+'16'!H58</f>
        <v>3008.6599999999962</v>
      </c>
      <c r="I58" s="455"/>
      <c r="J58" s="552">
        <f>H58/DAY(B2)</f>
        <v>176.97999999999979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7430</v>
      </c>
      <c r="H59" s="460">
        <f>G59+'16'!H59</f>
        <v>99381.949999999939</v>
      </c>
      <c r="I59" s="455">
        <f>G7-G60</f>
        <v>871</v>
      </c>
      <c r="J59" s="552">
        <f>H59/DAY(B2)</f>
        <v>5845.9970588235255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19427</v>
      </c>
      <c r="H60" s="460">
        <f>G60+'16'!H60</f>
        <v>357016</v>
      </c>
      <c r="I60" s="455">
        <f>G13-G60</f>
        <v>248</v>
      </c>
      <c r="J60" s="552">
        <f>H60/DAY(B2)</f>
        <v>21000.941176470587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'16'!F62</f>
        <v>20419.18</v>
      </c>
      <c r="F62" s="514">
        <v>20419</v>
      </c>
      <c r="G62" s="473">
        <f t="shared" ref="G62:G69" si="3">F62-E62</f>
        <v>-0.18000000000029104</v>
      </c>
      <c r="H62" s="460">
        <f>G62+'16'!H62</f>
        <v>0.18199999999706051</v>
      </c>
      <c r="I62" s="515"/>
      <c r="J62" s="552">
        <f>H62/DAY(B2)</f>
        <v>1.0705882352768266E-2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'16'!F63</f>
        <v>2278.41</v>
      </c>
      <c r="F63" s="514">
        <v>2288</v>
      </c>
      <c r="G63" s="473">
        <f t="shared" si="3"/>
        <v>9.5900000000001455</v>
      </c>
      <c r="H63" s="460">
        <f>G63+'16'!H63</f>
        <v>192</v>
      </c>
      <c r="I63" s="515"/>
      <c r="J63" s="552">
        <f>H63/DAY(B2)</f>
        <v>11.294117647058824</v>
      </c>
      <c r="K63" s="428"/>
      <c r="L63" s="377"/>
      <c r="N63" s="721"/>
      <c r="O63" s="728"/>
      <c r="P63" s="382"/>
    </row>
    <row r="64" spans="1:16" ht="27.75">
      <c r="A64" s="1499" t="s">
        <v>99</v>
      </c>
      <c r="B64" s="1500"/>
      <c r="C64" s="1501"/>
      <c r="D64" s="523" t="s">
        <v>187</v>
      </c>
      <c r="E64" s="1234">
        <f>'16'!F64</f>
        <v>146746</v>
      </c>
      <c r="F64" s="626">
        <v>147244</v>
      </c>
      <c r="G64" s="777">
        <f t="shared" si="3"/>
        <v>498</v>
      </c>
      <c r="H64" s="460">
        <f>G64+'16'!H64</f>
        <v>8064</v>
      </c>
      <c r="I64" s="480"/>
      <c r="J64" s="552">
        <f>H64/DAY(B2)</f>
        <v>474.35294117647061</v>
      </c>
      <c r="K64" s="428"/>
      <c r="L64" s="377"/>
      <c r="N64" s="721"/>
      <c r="O64" s="728"/>
      <c r="P64" s="382"/>
    </row>
    <row r="65" spans="1:16" ht="27.75">
      <c r="A65" s="1499" t="s">
        <v>100</v>
      </c>
      <c r="B65" s="1500"/>
      <c r="C65" s="1501"/>
      <c r="D65" s="523" t="s">
        <v>187</v>
      </c>
      <c r="E65" s="514">
        <f>'16'!F65</f>
        <v>149978</v>
      </c>
      <c r="F65" s="654">
        <v>150347</v>
      </c>
      <c r="G65" s="473">
        <f t="shared" si="3"/>
        <v>369</v>
      </c>
      <c r="H65" s="460">
        <f>G65+'16'!H65</f>
        <v>6142</v>
      </c>
      <c r="I65" s="489"/>
      <c r="J65" s="552">
        <f>H65/DAY(B2)</f>
        <v>361.29411764705884</v>
      </c>
      <c r="K65" s="428"/>
      <c r="L65" s="377"/>
      <c r="N65" s="721"/>
      <c r="O65" s="729"/>
      <c r="P65" s="382"/>
    </row>
    <row r="66" spans="1:16" ht="27.75">
      <c r="A66" s="1499" t="s">
        <v>101</v>
      </c>
      <c r="B66" s="1500"/>
      <c r="C66" s="1501"/>
      <c r="D66" s="523" t="s">
        <v>187</v>
      </c>
      <c r="E66" s="514">
        <f>'16'!F66</f>
        <v>43450</v>
      </c>
      <c r="F66" s="478">
        <v>43852</v>
      </c>
      <c r="G66" s="473">
        <f t="shared" si="3"/>
        <v>402</v>
      </c>
      <c r="H66" s="460">
        <f>G66+'16'!H66</f>
        <v>6644</v>
      </c>
      <c r="I66" s="480"/>
      <c r="J66" s="552">
        <f>H66/DAY(B2)</f>
        <v>390.8235294117647</v>
      </c>
      <c r="K66" s="428"/>
      <c r="L66" s="377"/>
      <c r="N66" s="721"/>
      <c r="O66" s="728"/>
      <c r="P66" s="382"/>
    </row>
    <row r="67" spans="1:16" ht="27.75">
      <c r="A67" s="1499" t="s">
        <v>102</v>
      </c>
      <c r="B67" s="1500"/>
      <c r="C67" s="1501"/>
      <c r="D67" s="523" t="s">
        <v>187</v>
      </c>
      <c r="E67" s="514">
        <f>'16'!F67</f>
        <v>237894</v>
      </c>
      <c r="F67" s="478">
        <v>238369</v>
      </c>
      <c r="G67" s="473">
        <f t="shared" si="3"/>
        <v>475</v>
      </c>
      <c r="H67" s="460">
        <f>G67+'16'!H67</f>
        <v>9269</v>
      </c>
      <c r="I67" s="489"/>
      <c r="J67" s="552">
        <f>H67/DAY(B2)</f>
        <v>545.23529411764707</v>
      </c>
      <c r="K67" s="429"/>
      <c r="L67" s="377"/>
      <c r="N67" s="721"/>
      <c r="O67" s="728"/>
      <c r="P67" s="382"/>
    </row>
    <row r="68" spans="1:16" ht="27.75">
      <c r="A68" s="1499" t="s">
        <v>103</v>
      </c>
      <c r="B68" s="1500"/>
      <c r="C68" s="1501"/>
      <c r="D68" s="523" t="s">
        <v>187</v>
      </c>
      <c r="E68" s="514">
        <f>'16'!F68</f>
        <v>85321</v>
      </c>
      <c r="F68" s="478">
        <v>85321</v>
      </c>
      <c r="G68" s="473">
        <f t="shared" si="3"/>
        <v>0</v>
      </c>
      <c r="H68" s="460">
        <f>G68+'16'!H68</f>
        <v>2234</v>
      </c>
      <c r="I68" s="516"/>
      <c r="J68" s="552">
        <f>H68/DAY(B2)</f>
        <v>131.41176470588235</v>
      </c>
      <c r="K68" s="430"/>
      <c r="L68" s="377"/>
      <c r="N68" s="721"/>
      <c r="O68" s="728"/>
      <c r="P68" s="382"/>
    </row>
    <row r="69" spans="1:16" ht="27.75">
      <c r="A69" s="1499" t="s">
        <v>104</v>
      </c>
      <c r="B69" s="1500"/>
      <c r="C69" s="1501"/>
      <c r="D69" s="523" t="s">
        <v>187</v>
      </c>
      <c r="E69" s="514">
        <f>'16'!F69</f>
        <v>78127</v>
      </c>
      <c r="F69" s="478">
        <v>78166</v>
      </c>
      <c r="G69" s="473">
        <f t="shared" si="3"/>
        <v>39</v>
      </c>
      <c r="H69" s="460">
        <f>G69+'16'!H69</f>
        <v>3837</v>
      </c>
      <c r="I69" s="516"/>
      <c r="J69" s="552">
        <f>H69/DAY(B2)</f>
        <v>225.70588235294119</v>
      </c>
      <c r="K69" s="431"/>
      <c r="L69" s="377"/>
      <c r="N69" s="721"/>
      <c r="O69" s="728"/>
      <c r="P69" s="382"/>
    </row>
    <row r="70" spans="1:16" ht="27.75">
      <c r="A70" s="1505" t="s">
        <v>189</v>
      </c>
      <c r="B70" s="1506"/>
      <c r="C70" s="1507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502" t="s">
        <v>190</v>
      </c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  <c r="N71" s="721"/>
      <c r="O71" s="728"/>
      <c r="P71" s="382"/>
    </row>
    <row r="72" spans="1:16" ht="27.75">
      <c r="A72" s="1499" t="s">
        <v>191</v>
      </c>
      <c r="B72" s="1500"/>
      <c r="C72" s="1501"/>
      <c r="D72" s="523" t="s">
        <v>187</v>
      </c>
      <c r="E72" s="519">
        <f>'16'!F72</f>
        <v>854663</v>
      </c>
      <c r="F72" s="657">
        <v>854748</v>
      </c>
      <c r="G72" s="473">
        <f t="shared" ref="G72:G84" si="4">F72-E72</f>
        <v>85</v>
      </c>
      <c r="H72" s="460">
        <f>G72+'16'!H72</f>
        <v>1485</v>
      </c>
      <c r="I72" s="480"/>
      <c r="J72" s="552">
        <f>H72/DAY(B2)</f>
        <v>87.352941176470594</v>
      </c>
      <c r="K72" s="431"/>
      <c r="L72" s="377"/>
      <c r="N72" s="721"/>
      <c r="O72" s="728"/>
      <c r="P72" s="382"/>
    </row>
    <row r="73" spans="1:16" ht="27.75">
      <c r="A73" s="1499" t="s">
        <v>192</v>
      </c>
      <c r="B73" s="1500"/>
      <c r="C73" s="1501"/>
      <c r="D73" s="523" t="s">
        <v>187</v>
      </c>
      <c r="E73" s="519">
        <f>'16'!F73</f>
        <v>885824</v>
      </c>
      <c r="F73" s="658">
        <v>885826</v>
      </c>
      <c r="G73" s="655">
        <f t="shared" si="4"/>
        <v>2</v>
      </c>
      <c r="H73" s="460">
        <f>G73+'16'!H73</f>
        <v>1247</v>
      </c>
      <c r="I73" s="480"/>
      <c r="J73" s="552">
        <f>H73/DAY(B2)</f>
        <v>73.352941176470594</v>
      </c>
      <c r="K73" s="430"/>
      <c r="L73" s="377"/>
      <c r="N73" s="721"/>
      <c r="O73" s="728"/>
      <c r="P73" s="382"/>
    </row>
    <row r="74" spans="1:16" ht="27.75">
      <c r="A74" s="1499" t="s">
        <v>193</v>
      </c>
      <c r="B74" s="1500"/>
      <c r="C74" s="1501"/>
      <c r="D74" s="523" t="s">
        <v>187</v>
      </c>
      <c r="E74" s="519">
        <f>'16'!F74</f>
        <v>1840</v>
      </c>
      <c r="F74" s="658">
        <v>1870</v>
      </c>
      <c r="G74" s="473">
        <f t="shared" si="4"/>
        <v>30</v>
      </c>
      <c r="H74" s="460">
        <f>G74+'16'!H74</f>
        <v>500</v>
      </c>
      <c r="I74" s="480"/>
      <c r="J74" s="552">
        <f>H74/DAY(B2)</f>
        <v>29.411764705882351</v>
      </c>
      <c r="K74" s="431"/>
      <c r="L74" s="377"/>
      <c r="N74" s="721"/>
      <c r="O74" s="728"/>
      <c r="P74" s="382"/>
    </row>
    <row r="75" spans="1:16" ht="27.75">
      <c r="A75" s="1496" t="s">
        <v>194</v>
      </c>
      <c r="B75" s="1497"/>
      <c r="C75" s="1498"/>
      <c r="D75" s="523" t="s">
        <v>187</v>
      </c>
      <c r="E75" s="519">
        <f>'16'!F75</f>
        <v>10124</v>
      </c>
      <c r="F75" s="658">
        <v>10187</v>
      </c>
      <c r="G75" s="473">
        <f t="shared" si="4"/>
        <v>63</v>
      </c>
      <c r="H75" s="460">
        <f>G75+'16'!H75</f>
        <v>1507</v>
      </c>
      <c r="I75" s="480"/>
      <c r="J75" s="552">
        <f>H75/DAY(B2)</f>
        <v>88.647058823529406</v>
      </c>
      <c r="K75" s="430"/>
      <c r="L75" s="377"/>
      <c r="N75" s="721"/>
      <c r="O75" s="728"/>
      <c r="P75" s="382"/>
    </row>
    <row r="76" spans="1:16" ht="27.75">
      <c r="A76" s="1496" t="s">
        <v>195</v>
      </c>
      <c r="B76" s="1497"/>
      <c r="C76" s="1498"/>
      <c r="D76" s="523" t="s">
        <v>187</v>
      </c>
      <c r="E76" s="519">
        <f>'16'!F76</f>
        <v>5067</v>
      </c>
      <c r="F76" s="658">
        <v>5122</v>
      </c>
      <c r="G76" s="473">
        <f t="shared" si="4"/>
        <v>55</v>
      </c>
      <c r="H76" s="460">
        <f>G76+'16'!H76</f>
        <v>1496</v>
      </c>
      <c r="I76" s="505"/>
      <c r="J76" s="552">
        <f>H76/DAY(B2)</f>
        <v>88</v>
      </c>
      <c r="K76" s="430"/>
      <c r="L76" s="377"/>
      <c r="N76" s="721"/>
      <c r="O76" s="728"/>
      <c r="P76" s="382"/>
    </row>
    <row r="77" spans="1:16" ht="27.75">
      <c r="A77" s="1499" t="s">
        <v>196</v>
      </c>
      <c r="B77" s="1500"/>
      <c r="C77" s="1501"/>
      <c r="D77" s="523" t="s">
        <v>187</v>
      </c>
      <c r="E77" s="519">
        <f>'16'!F77</f>
        <v>700950</v>
      </c>
      <c r="F77" s="658">
        <v>700997</v>
      </c>
      <c r="G77" s="655">
        <f t="shared" si="4"/>
        <v>47</v>
      </c>
      <c r="H77" s="460">
        <f>G77+'16'!H77</f>
        <v>783</v>
      </c>
      <c r="I77" s="505"/>
      <c r="J77" s="552">
        <f>H77/DAY(B2)</f>
        <v>46.058823529411768</v>
      </c>
      <c r="K77" s="430"/>
      <c r="L77" s="377"/>
      <c r="N77" s="721"/>
      <c r="O77" s="728"/>
      <c r="P77" s="382"/>
    </row>
    <row r="78" spans="1:16" ht="27.75">
      <c r="A78" s="1230" t="s">
        <v>197</v>
      </c>
      <c r="B78" s="1223"/>
      <c r="C78" s="1223"/>
      <c r="D78" s="523" t="s">
        <v>187</v>
      </c>
      <c r="E78" s="519">
        <f>'16'!F78</f>
        <v>669076</v>
      </c>
      <c r="F78" s="659">
        <v>669158</v>
      </c>
      <c r="G78" s="473">
        <f t="shared" si="4"/>
        <v>82</v>
      </c>
      <c r="H78" s="460">
        <f>G78+'16'!H78</f>
        <v>3778</v>
      </c>
      <c r="I78" s="505"/>
      <c r="J78" s="552">
        <f>H78/DAY(B2)</f>
        <v>222.23529411764707</v>
      </c>
      <c r="K78" s="430"/>
      <c r="L78" s="377"/>
      <c r="N78" s="721"/>
      <c r="O78" s="728"/>
      <c r="P78" s="382"/>
    </row>
    <row r="79" spans="1:16" ht="27.75">
      <c r="A79" s="1496" t="s">
        <v>92</v>
      </c>
      <c r="B79" s="1497"/>
      <c r="C79" s="1498"/>
      <c r="D79" s="524" t="s">
        <v>187</v>
      </c>
      <c r="E79" s="519">
        <f>'16'!F79</f>
        <v>824187</v>
      </c>
      <c r="F79" s="659">
        <v>824371</v>
      </c>
      <c r="G79" s="473">
        <f t="shared" si="4"/>
        <v>184</v>
      </c>
      <c r="H79" s="460">
        <f>G79+'16'!H79</f>
        <v>4180</v>
      </c>
      <c r="I79" s="505"/>
      <c r="J79" s="552">
        <f>H79/DAY(B2)</f>
        <v>245.88235294117646</v>
      </c>
      <c r="K79" s="430"/>
      <c r="L79" s="377"/>
      <c r="N79" s="721"/>
      <c r="O79" s="728"/>
      <c r="P79" s="382"/>
    </row>
    <row r="80" spans="1:16" ht="27.75">
      <c r="A80" s="1496" t="s">
        <v>198</v>
      </c>
      <c r="B80" s="1497"/>
      <c r="C80" s="1498"/>
      <c r="D80" s="524" t="s">
        <v>187</v>
      </c>
      <c r="E80" s="519">
        <f>'16'!F80</f>
        <v>511500</v>
      </c>
      <c r="F80" s="658">
        <v>511884</v>
      </c>
      <c r="G80" s="473">
        <f t="shared" si="4"/>
        <v>384</v>
      </c>
      <c r="H80" s="460">
        <f>G80+'16'!H80</f>
        <v>3956</v>
      </c>
      <c r="I80" s="505"/>
      <c r="J80" s="552">
        <f>H80/DAY(B2)</f>
        <v>232.70588235294119</v>
      </c>
      <c r="K80" s="430"/>
      <c r="L80" s="377"/>
      <c r="N80" s="721"/>
      <c r="O80" s="728"/>
      <c r="P80" s="382"/>
    </row>
    <row r="81" spans="1:16" ht="27.75">
      <c r="A81" s="1496" t="s">
        <v>199</v>
      </c>
      <c r="B81" s="1497"/>
      <c r="C81" s="1498"/>
      <c r="D81" s="524" t="s">
        <v>187</v>
      </c>
      <c r="E81" s="519">
        <f>'16'!F81</f>
        <v>634287</v>
      </c>
      <c r="F81" s="658">
        <v>634501</v>
      </c>
      <c r="G81" s="473">
        <f t="shared" si="4"/>
        <v>214</v>
      </c>
      <c r="H81" s="460">
        <f>G81+'16'!H81</f>
        <v>4316</v>
      </c>
      <c r="I81" s="505"/>
      <c r="J81" s="552">
        <f>H81/DAY(B2)</f>
        <v>253.88235294117646</v>
      </c>
      <c r="K81" s="430"/>
      <c r="L81" s="377"/>
      <c r="N81" s="721"/>
      <c r="O81" s="728"/>
      <c r="P81" s="382"/>
    </row>
    <row r="82" spans="1:16" s="779" customFormat="1" ht="27.75">
      <c r="A82" s="1569" t="s">
        <v>93</v>
      </c>
      <c r="B82" s="1570"/>
      <c r="C82" s="1571"/>
      <c r="D82" s="626" t="s">
        <v>132</v>
      </c>
      <c r="E82" s="786">
        <f>'16'!F82</f>
        <v>107279</v>
      </c>
      <c r="F82" s="626">
        <v>107304</v>
      </c>
      <c r="G82" s="777">
        <f t="shared" si="4"/>
        <v>25</v>
      </c>
      <c r="H82" s="479">
        <f>G82+'16'!H82</f>
        <v>409</v>
      </c>
      <c r="I82" s="479"/>
      <c r="J82" s="778">
        <f>H82/DAY(B2)</f>
        <v>24.058823529411764</v>
      </c>
      <c r="K82" s="1220"/>
      <c r="L82" s="1221"/>
      <c r="N82" s="725"/>
      <c r="O82" s="729"/>
      <c r="P82" s="724"/>
    </row>
    <row r="83" spans="1:16" ht="27.75">
      <c r="A83" s="1496" t="s">
        <v>200</v>
      </c>
      <c r="B83" s="1497"/>
      <c r="C83" s="1498"/>
      <c r="D83" s="620" t="s">
        <v>132</v>
      </c>
      <c r="E83" s="519">
        <f>'16'!F83</f>
        <v>11295</v>
      </c>
      <c r="F83" s="511">
        <v>11607</v>
      </c>
      <c r="G83" s="473">
        <f t="shared" si="4"/>
        <v>312</v>
      </c>
      <c r="H83" s="460">
        <f>G83+'16'!H83</f>
        <v>4550</v>
      </c>
      <c r="I83" s="481"/>
      <c r="J83" s="552">
        <f>H83/DAY(B2)</f>
        <v>267.64705882352939</v>
      </c>
      <c r="K83" s="429"/>
      <c r="L83" s="377"/>
      <c r="N83" s="721"/>
      <c r="O83" s="728"/>
      <c r="P83" s="382"/>
    </row>
    <row r="84" spans="1:16">
      <c r="A84" s="1231" t="s">
        <v>201</v>
      </c>
      <c r="B84" s="571"/>
      <c r="C84" s="571"/>
      <c r="D84" s="478" t="s">
        <v>132</v>
      </c>
      <c r="E84" s="519">
        <f>'16'!F84</f>
        <v>469383</v>
      </c>
      <c r="F84" s="627">
        <v>470042</v>
      </c>
      <c r="G84" s="473">
        <f t="shared" si="4"/>
        <v>659</v>
      </c>
      <c r="H84" s="460">
        <f>G84+'16'!H84</f>
        <v>15358</v>
      </c>
      <c r="I84" s="481"/>
      <c r="J84" s="552">
        <f>H84/DAY(B2)</f>
        <v>903.41176470588232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2142</v>
      </c>
      <c r="H85" s="460">
        <f>G85+'16'!H85</f>
        <v>43224</v>
      </c>
      <c r="I85" s="481"/>
      <c r="J85" s="552">
        <f>H85/DAY(B2)</f>
        <v>2542.5882352941176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'16'!F86</f>
        <v>457725</v>
      </c>
      <c r="F86" s="650">
        <v>457759</v>
      </c>
      <c r="G86" s="708">
        <f t="shared" ref="G86:G90" si="5">F86-E86</f>
        <v>34</v>
      </c>
      <c r="H86" s="708">
        <f t="shared" ref="H86:H88" si="6">G86</f>
        <v>34</v>
      </c>
      <c r="I86" s="655"/>
      <c r="J86" s="710">
        <f>H86/DAY(B2)</f>
        <v>2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'16'!F87</f>
        <v>80682</v>
      </c>
      <c r="F87" s="650">
        <v>80711</v>
      </c>
      <c r="G87" s="708">
        <f t="shared" si="5"/>
        <v>29</v>
      </c>
      <c r="H87" s="708">
        <f t="shared" si="6"/>
        <v>29</v>
      </c>
      <c r="I87" s="655"/>
      <c r="J87" s="710">
        <f>H87/DAY(B2)</f>
        <v>1.7058823529411764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'16'!F88</f>
        <v>151289</v>
      </c>
      <c r="F88" s="650">
        <v>151314</v>
      </c>
      <c r="G88" s="708">
        <f t="shared" si="5"/>
        <v>25</v>
      </c>
      <c r="H88" s="708">
        <f t="shared" si="6"/>
        <v>25</v>
      </c>
      <c r="I88" s="655"/>
      <c r="J88" s="710">
        <f>H88/DAY(B2)</f>
        <v>1.4705882352941178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'16'!F89</f>
        <v>64244</v>
      </c>
      <c r="F89" s="650">
        <v>64289</v>
      </c>
      <c r="G89" s="708">
        <f t="shared" si="5"/>
        <v>45</v>
      </c>
      <c r="H89" s="708">
        <f>G89</f>
        <v>45</v>
      </c>
      <c r="I89" s="655"/>
      <c r="J89" s="710">
        <f>H89/DAY(B2)</f>
        <v>2.6470588235294117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'16'!F90</f>
        <v>3272</v>
      </c>
      <c r="F90" s="650">
        <v>3271.9</v>
      </c>
      <c r="G90" s="708">
        <f t="shared" si="5"/>
        <v>-9.9999999999909051E-2</v>
      </c>
      <c r="H90" s="708">
        <f>G90</f>
        <v>-9.9999999999909051E-2</v>
      </c>
      <c r="I90" s="655"/>
      <c r="J90" s="710">
        <f>H90/DAY(B2)</f>
        <v>-5.8823529411711206E-3</v>
      </c>
      <c r="K90" s="736"/>
      <c r="L90" s="737"/>
      <c r="N90" s="781"/>
      <c r="O90" s="382"/>
    </row>
    <row r="91" spans="1:16" s="379" customFormat="1">
      <c r="A91" s="606" t="s">
        <v>205</v>
      </c>
      <c r="B91" s="1233"/>
      <c r="C91" s="1233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520" t="s">
        <v>206</v>
      </c>
      <c r="B92" s="1521"/>
      <c r="C92" s="1522"/>
      <c r="D92" s="523" t="s">
        <v>144</v>
      </c>
      <c r="E92" s="484">
        <f>'16'!F92</f>
        <v>243765</v>
      </c>
      <c r="F92" s="478">
        <v>243813</v>
      </c>
      <c r="G92" s="473">
        <f t="shared" ref="G92:G93" si="7">F92-E92</f>
        <v>48</v>
      </c>
      <c r="H92" s="460">
        <f>G92+'16'!H92</f>
        <v>1167</v>
      </c>
      <c r="I92" s="480"/>
      <c r="J92" s="552">
        <f>H92/DAY(B2)</f>
        <v>68.647058823529406</v>
      </c>
      <c r="K92" s="429"/>
      <c r="L92" s="377"/>
      <c r="N92" s="721"/>
      <c r="O92" s="728"/>
      <c r="P92" s="382"/>
    </row>
    <row r="93" spans="1:16" ht="27.75">
      <c r="A93" s="1520" t="s">
        <v>207</v>
      </c>
      <c r="B93" s="1521"/>
      <c r="C93" s="1522"/>
      <c r="D93" s="523" t="s">
        <v>144</v>
      </c>
      <c r="E93" s="484">
        <f>'16'!F93</f>
        <v>182011</v>
      </c>
      <c r="F93" s="478">
        <v>182180</v>
      </c>
      <c r="G93" s="473">
        <f t="shared" si="7"/>
        <v>169</v>
      </c>
      <c r="H93" s="460">
        <f>G93+'16'!H93</f>
        <v>2501</v>
      </c>
      <c r="I93" s="480"/>
      <c r="J93" s="552">
        <f>H93/DAY(B2)</f>
        <v>147.11764705882354</v>
      </c>
      <c r="K93" s="380"/>
      <c r="L93" s="377"/>
      <c r="N93" s="721"/>
      <c r="O93" s="728"/>
      <c r="P93" s="382"/>
    </row>
    <row r="94" spans="1:16">
      <c r="A94" s="1548" t="s">
        <v>208</v>
      </c>
      <c r="B94" s="1549"/>
      <c r="C94" s="1550"/>
      <c r="D94" s="523"/>
      <c r="E94" s="484">
        <f>'16'!F94</f>
        <v>0</v>
      </c>
      <c r="F94" s="478"/>
      <c r="G94" s="473">
        <f>G92+G93</f>
        <v>217</v>
      </c>
      <c r="H94" s="460">
        <f>G94+'16'!H94</f>
        <v>3449</v>
      </c>
      <c r="I94" s="480"/>
      <c r="J94" s="552">
        <f>H94/DAY(B2)</f>
        <v>202.88235294117646</v>
      </c>
      <c r="K94" s="380"/>
      <c r="L94" s="377"/>
      <c r="N94" s="721"/>
      <c r="O94" s="728"/>
      <c r="P94" s="382"/>
    </row>
    <row r="95" spans="1:16" ht="27.75">
      <c r="A95" s="1520" t="s">
        <v>209</v>
      </c>
      <c r="B95" s="1521"/>
      <c r="C95" s="1522"/>
      <c r="D95" s="523" t="s">
        <v>144</v>
      </c>
      <c r="E95" s="484">
        <f>'16'!F95</f>
        <v>411943</v>
      </c>
      <c r="F95" s="478">
        <v>412004</v>
      </c>
      <c r="G95" s="473">
        <f t="shared" ref="G95:G100" si="8">F95-E95</f>
        <v>61</v>
      </c>
      <c r="H95" s="460">
        <f>G95+'16'!H95</f>
        <v>1219</v>
      </c>
      <c r="I95" s="480"/>
      <c r="J95" s="552">
        <f>H95/DAY(B2)</f>
        <v>71.705882352941174</v>
      </c>
      <c r="K95" s="380"/>
      <c r="L95" s="377"/>
      <c r="N95" s="721"/>
      <c r="O95" s="728"/>
      <c r="P95" s="382"/>
    </row>
    <row r="96" spans="1:16" ht="27.75">
      <c r="A96" s="1227" t="s">
        <v>210</v>
      </c>
      <c r="B96" s="1228"/>
      <c r="C96" s="1228"/>
      <c r="D96" s="523" t="s">
        <v>144</v>
      </c>
      <c r="E96" s="484">
        <f>'16'!F96</f>
        <v>102104</v>
      </c>
      <c r="F96" s="478">
        <v>102123</v>
      </c>
      <c r="G96" s="473">
        <f t="shared" si="8"/>
        <v>19</v>
      </c>
      <c r="H96" s="460">
        <f>G96+'16'!H96</f>
        <v>292</v>
      </c>
      <c r="I96" s="480"/>
      <c r="J96" s="552">
        <f>H96/DAY(B2)</f>
        <v>17.176470588235293</v>
      </c>
      <c r="K96" s="427"/>
      <c r="L96" s="377"/>
      <c r="N96" s="721"/>
      <c r="O96" s="728"/>
      <c r="P96" s="382"/>
    </row>
    <row r="97" spans="1:16" ht="27.75">
      <c r="A97" s="1227" t="s">
        <v>211</v>
      </c>
      <c r="B97" s="1228"/>
      <c r="C97" s="1228"/>
      <c r="D97" s="523" t="s">
        <v>144</v>
      </c>
      <c r="E97" s="484">
        <f>'16'!F97</f>
        <v>97202</v>
      </c>
      <c r="F97" s="478">
        <v>97222</v>
      </c>
      <c r="G97" s="473">
        <f t="shared" si="8"/>
        <v>20</v>
      </c>
      <c r="H97" s="460">
        <f>G97+'16'!H97</f>
        <v>294</v>
      </c>
      <c r="I97" s="480"/>
      <c r="J97" s="552">
        <f>H97/DAY(B2)</f>
        <v>17.294117647058822</v>
      </c>
      <c r="K97" s="432"/>
      <c r="L97" s="377"/>
      <c r="N97" s="721"/>
      <c r="O97" s="728"/>
      <c r="P97" s="382"/>
    </row>
    <row r="98" spans="1:16" ht="27.75">
      <c r="A98" s="1227" t="s">
        <v>212</v>
      </c>
      <c r="B98" s="1228"/>
      <c r="C98" s="1228"/>
      <c r="D98" s="523" t="s">
        <v>144</v>
      </c>
      <c r="E98" s="484">
        <f>'16'!F98</f>
        <v>149422</v>
      </c>
      <c r="F98" s="478">
        <v>149431</v>
      </c>
      <c r="G98" s="473">
        <f t="shared" si="8"/>
        <v>9</v>
      </c>
      <c r="H98" s="460">
        <f>G98+'16'!H98</f>
        <v>522</v>
      </c>
      <c r="I98" s="480"/>
      <c r="J98" s="552">
        <f>H98/DAY(B2)</f>
        <v>30.705882352941178</v>
      </c>
      <c r="K98" s="380"/>
      <c r="L98" s="377"/>
      <c r="N98" s="723"/>
      <c r="O98" s="728"/>
      <c r="P98" s="382"/>
    </row>
    <row r="99" spans="1:16" ht="27.75">
      <c r="A99" s="1227" t="s">
        <v>213</v>
      </c>
      <c r="B99" s="1228"/>
      <c r="C99" s="1228"/>
      <c r="D99" s="523" t="s">
        <v>144</v>
      </c>
      <c r="E99" s="484">
        <f>'16'!F99</f>
        <v>7067</v>
      </c>
      <c r="F99" s="478">
        <v>7076</v>
      </c>
      <c r="G99" s="473">
        <f t="shared" si="8"/>
        <v>9</v>
      </c>
      <c r="H99" s="460">
        <f>G99+'16'!H99</f>
        <v>221</v>
      </c>
      <c r="I99" s="480"/>
      <c r="J99" s="552">
        <f>H99/DAY(B2)</f>
        <v>13</v>
      </c>
      <c r="K99" s="380"/>
      <c r="L99" s="377"/>
      <c r="N99" s="721"/>
      <c r="O99" s="728"/>
      <c r="P99" s="382"/>
    </row>
    <row r="100" spans="1:16" ht="27.75">
      <c r="A100" s="1227" t="s">
        <v>214</v>
      </c>
      <c r="B100" s="1228"/>
      <c r="C100" s="1228"/>
      <c r="D100" s="523" t="s">
        <v>144</v>
      </c>
      <c r="E100" s="484">
        <f>'16'!F100</f>
        <v>5057</v>
      </c>
      <c r="F100" s="478">
        <v>5063</v>
      </c>
      <c r="G100" s="473">
        <f t="shared" si="8"/>
        <v>6</v>
      </c>
      <c r="H100" s="460">
        <f>G100+'16'!H100</f>
        <v>120</v>
      </c>
      <c r="I100" s="480"/>
      <c r="J100" s="552">
        <f>H100/DAY(B2)</f>
        <v>7.0588235294117645</v>
      </c>
      <c r="K100" s="380"/>
      <c r="L100" s="377"/>
      <c r="N100" s="721"/>
      <c r="O100" s="728"/>
      <c r="P100" s="382"/>
    </row>
    <row r="101" spans="1:16">
      <c r="A101" s="1548" t="s">
        <v>216</v>
      </c>
      <c r="B101" s="1549"/>
      <c r="C101" s="1550"/>
      <c r="D101" s="524"/>
      <c r="E101" s="484"/>
      <c r="F101" s="524"/>
      <c r="G101" s="525">
        <f>SUM(G95:G100)</f>
        <v>124</v>
      </c>
      <c r="H101" s="460">
        <f>G101+'16'!H101</f>
        <v>2668</v>
      </c>
      <c r="I101" s="526"/>
      <c r="J101" s="552">
        <f>H101/DAY(B2)</f>
        <v>156.94117647058823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551" t="s">
        <v>218</v>
      </c>
      <c r="B103" s="1552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512" t="s">
        <v>219</v>
      </c>
      <c r="B104" s="1513"/>
      <c r="C104" s="1226"/>
      <c r="D104" s="622" t="s">
        <v>144</v>
      </c>
      <c r="E104" s="484">
        <f>'16'!F104</f>
        <v>7373</v>
      </c>
      <c r="F104" s="661">
        <v>7378</v>
      </c>
      <c r="G104" s="532">
        <f>F104-E104</f>
        <v>5</v>
      </c>
      <c r="H104" s="533">
        <f>SUM(G104+'1'!G76)</f>
        <v>64</v>
      </c>
      <c r="I104" s="532"/>
      <c r="J104" s="558">
        <f>H104/DAY(B2)</f>
        <v>3.7647058823529411</v>
      </c>
      <c r="N104" s="721"/>
      <c r="O104" s="728"/>
      <c r="P104" s="382"/>
    </row>
    <row r="105" spans="1:16" s="442" customFormat="1" ht="27.75">
      <c r="A105" s="1512" t="s">
        <v>77</v>
      </c>
      <c r="B105" s="1513"/>
      <c r="C105" s="1226"/>
      <c r="D105" s="622" t="s">
        <v>144</v>
      </c>
      <c r="E105" s="484">
        <f>'16'!F105</f>
        <v>35747</v>
      </c>
      <c r="F105" s="662">
        <v>35751</v>
      </c>
      <c r="G105" s="532">
        <f t="shared" ref="G105:G106" si="9">F105-E105</f>
        <v>4</v>
      </c>
      <c r="H105" s="533">
        <f>SUM(G105+'1'!G77)</f>
        <v>54</v>
      </c>
      <c r="I105" s="532"/>
      <c r="J105" s="558">
        <f>H105/DAY(B2)</f>
        <v>3.1764705882352939</v>
      </c>
      <c r="N105" s="721"/>
      <c r="O105" s="728"/>
      <c r="P105" s="382"/>
    </row>
    <row r="106" spans="1:16" s="442" customFormat="1" ht="27.75">
      <c r="A106" s="1512" t="s">
        <v>78</v>
      </c>
      <c r="B106" s="1553"/>
      <c r="C106" s="1513"/>
      <c r="D106" s="622" t="s">
        <v>144</v>
      </c>
      <c r="E106" s="484">
        <f>'16'!F106</f>
        <v>19524</v>
      </c>
      <c r="F106" s="662">
        <v>19532</v>
      </c>
      <c r="G106" s="532">
        <f t="shared" si="9"/>
        <v>8</v>
      </c>
      <c r="H106" s="533">
        <f>SUM(G106+'1'!G78)</f>
        <v>403</v>
      </c>
      <c r="I106" s="532"/>
      <c r="J106" s="558">
        <f>H106/DAY(B2)</f>
        <v>23.705882352941178</v>
      </c>
      <c r="N106" s="721"/>
      <c r="O106" s="728"/>
      <c r="P106" s="382"/>
    </row>
    <row r="107" spans="1:16" s="442" customFormat="1" ht="27.75">
      <c r="A107" s="1514" t="s">
        <v>202</v>
      </c>
      <c r="B107" s="1515"/>
      <c r="C107" s="1226"/>
      <c r="D107" s="622"/>
      <c r="E107" s="484">
        <f>'16'!F107</f>
        <v>0</v>
      </c>
      <c r="F107" s="662"/>
      <c r="G107" s="532">
        <f>SUM(G104:G106)</f>
        <v>17</v>
      </c>
      <c r="H107" s="533">
        <f>SUM(G107+'1'!G79)</f>
        <v>211</v>
      </c>
      <c r="I107" s="532"/>
      <c r="J107" s="558">
        <f>H107/DAY(B2)</f>
        <v>12.411764705882353</v>
      </c>
      <c r="N107" s="721"/>
      <c r="O107" s="728"/>
      <c r="P107" s="382"/>
    </row>
    <row r="108" spans="1:16" s="442" customFormat="1" ht="27.75">
      <c r="A108" s="1518" t="s">
        <v>79</v>
      </c>
      <c r="B108" s="1519"/>
      <c r="C108" s="1226"/>
      <c r="D108" s="622" t="s">
        <v>144</v>
      </c>
      <c r="E108" s="484">
        <f>'16'!F108</f>
        <v>0</v>
      </c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512" t="s">
        <v>220</v>
      </c>
      <c r="B109" s="1513"/>
      <c r="C109" s="1226"/>
      <c r="D109" s="622" t="s">
        <v>144</v>
      </c>
      <c r="E109" s="484">
        <f>'16'!F109</f>
        <v>60108</v>
      </c>
      <c r="F109" s="662">
        <v>60170</v>
      </c>
      <c r="G109" s="532">
        <f>F109-E109</f>
        <v>62</v>
      </c>
      <c r="H109" s="533">
        <f>SUM(G109+'1'!G81)</f>
        <v>260</v>
      </c>
      <c r="I109" s="532"/>
      <c r="J109" s="558">
        <f>H109/DAY(B2)</f>
        <v>15.294117647058824</v>
      </c>
      <c r="N109" s="721"/>
      <c r="O109" s="728"/>
      <c r="P109" s="382"/>
    </row>
    <row r="110" spans="1:16" s="442" customFormat="1" ht="27.75">
      <c r="A110" s="1512" t="s">
        <v>221</v>
      </c>
      <c r="B110" s="1513"/>
      <c r="C110" s="1226"/>
      <c r="D110" s="622" t="s">
        <v>144</v>
      </c>
      <c r="E110" s="484">
        <f>'16'!F110</f>
        <v>32085</v>
      </c>
      <c r="F110" s="662">
        <v>32105</v>
      </c>
      <c r="G110" s="532">
        <f t="shared" ref="G110:G111" si="10">F110-E110</f>
        <v>20</v>
      </c>
      <c r="H110" s="533">
        <f>SUM(G110+'1'!G82)</f>
        <v>43</v>
      </c>
      <c r="I110" s="532"/>
      <c r="J110" s="558">
        <f>H110/DAY(B2)</f>
        <v>2.5294117647058822</v>
      </c>
      <c r="N110" s="721"/>
      <c r="O110" s="728"/>
      <c r="P110" s="382"/>
    </row>
    <row r="111" spans="1:16" s="442" customFormat="1" ht="27.75">
      <c r="A111" s="1512" t="s">
        <v>222</v>
      </c>
      <c r="B111" s="1513"/>
      <c r="C111" s="1226"/>
      <c r="D111" s="622" t="s">
        <v>144</v>
      </c>
      <c r="E111" s="484">
        <f>'16'!F111</f>
        <v>4292</v>
      </c>
      <c r="F111" s="662">
        <v>4292</v>
      </c>
      <c r="G111" s="532">
        <f t="shared" si="10"/>
        <v>0</v>
      </c>
      <c r="H111" s="533">
        <f>SUM(G111+'1'!G83)</f>
        <v>239</v>
      </c>
      <c r="I111" s="532"/>
      <c r="J111" s="558">
        <f>H111/DAY(B2)</f>
        <v>14.058823529411764</v>
      </c>
      <c r="N111" s="721"/>
      <c r="O111" s="728"/>
      <c r="P111" s="382"/>
    </row>
    <row r="112" spans="1:16" s="442" customFormat="1" ht="27.75">
      <c r="A112" s="1514" t="s">
        <v>110</v>
      </c>
      <c r="B112" s="1515"/>
      <c r="C112" s="1226"/>
      <c r="D112" s="622"/>
      <c r="E112" s="484">
        <f>'16'!F112</f>
        <v>0</v>
      </c>
      <c r="F112" s="662"/>
      <c r="G112" s="532">
        <f>SUM(G109:G111)</f>
        <v>82</v>
      </c>
      <c r="H112" s="533">
        <f>SUM(G112+'1'!G84)</f>
        <v>997</v>
      </c>
      <c r="I112" s="532"/>
      <c r="J112" s="558">
        <f>H112/DAY(B2)</f>
        <v>58.647058823529413</v>
      </c>
      <c r="N112" s="721"/>
      <c r="O112" s="728"/>
      <c r="P112" s="382"/>
    </row>
    <row r="113" spans="1:16" s="442" customFormat="1" ht="27.75">
      <c r="A113" s="1518" t="s">
        <v>223</v>
      </c>
      <c r="B113" s="1519"/>
      <c r="C113" s="1226"/>
      <c r="D113" s="622"/>
      <c r="E113" s="484">
        <f>'16'!F113</f>
        <v>0</v>
      </c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512" t="s">
        <v>224</v>
      </c>
      <c r="B114" s="1513"/>
      <c r="C114" s="574"/>
      <c r="D114" s="622" t="s">
        <v>144</v>
      </c>
      <c r="E114" s="484">
        <f>'16'!F114</f>
        <v>11112</v>
      </c>
      <c r="F114" s="662">
        <v>11124</v>
      </c>
      <c r="G114" s="534">
        <f>F114-E114</f>
        <v>12</v>
      </c>
      <c r="H114" s="533">
        <f>SUM(G114+'1'!G91)</f>
        <v>12</v>
      </c>
      <c r="I114" s="532"/>
      <c r="J114" s="558">
        <f>H114/DAY(B2)</f>
        <v>0.70588235294117652</v>
      </c>
      <c r="N114" s="721"/>
      <c r="O114" s="728"/>
      <c r="P114" s="382"/>
    </row>
    <row r="115" spans="1:16" s="442" customFormat="1" ht="27.75">
      <c r="A115" s="1512" t="s">
        <v>225</v>
      </c>
      <c r="B115" s="1513"/>
      <c r="C115" s="574"/>
      <c r="D115" s="622" t="s">
        <v>144</v>
      </c>
      <c r="E115" s="484">
        <f>'16'!F115</f>
        <v>8066</v>
      </c>
      <c r="F115" s="662">
        <v>8071</v>
      </c>
      <c r="G115" s="534">
        <f t="shared" ref="G115:G116" si="11">F115-E115</f>
        <v>5</v>
      </c>
      <c r="H115" s="533">
        <f>SUM(G115+'1'!G92)</f>
        <v>97</v>
      </c>
      <c r="I115" s="532"/>
      <c r="J115" s="558">
        <f>H115/DAY(B2)</f>
        <v>5.7058823529411766</v>
      </c>
      <c r="N115" s="721"/>
      <c r="O115" s="728"/>
      <c r="P115" s="382"/>
    </row>
    <row r="116" spans="1:16" s="442" customFormat="1" ht="27.75">
      <c r="A116" s="1512" t="s">
        <v>226</v>
      </c>
      <c r="B116" s="1513"/>
      <c r="C116" s="574"/>
      <c r="D116" s="622" t="s">
        <v>144</v>
      </c>
      <c r="E116" s="534"/>
      <c r="F116" s="662"/>
      <c r="G116" s="534">
        <f t="shared" si="11"/>
        <v>0</v>
      </c>
      <c r="H116" s="533">
        <f>SUM(G116+'1'!G93)</f>
        <v>127</v>
      </c>
      <c r="I116" s="532"/>
      <c r="J116" s="558">
        <f>H116/DAY(B2)</f>
        <v>7.4705882352941178</v>
      </c>
      <c r="N116" s="721"/>
      <c r="O116" s="728"/>
      <c r="P116" s="382"/>
    </row>
    <row r="117" spans="1:16" s="445" customFormat="1" ht="27.75">
      <c r="A117" s="1514" t="s">
        <v>202</v>
      </c>
      <c r="B117" s="1515"/>
      <c r="C117" s="574"/>
      <c r="D117" s="623"/>
      <c r="E117" s="534"/>
      <c r="F117" s="662"/>
      <c r="G117" s="534">
        <f>SUM(G114:G116)</f>
        <v>17</v>
      </c>
      <c r="H117" s="533">
        <f>SUM(G117+'1'!G95)</f>
        <v>94</v>
      </c>
      <c r="I117" s="534"/>
      <c r="J117" s="558">
        <f>H117/DAY(B2)</f>
        <v>5.5294117647058822</v>
      </c>
      <c r="N117" s="721"/>
      <c r="O117" s="728"/>
      <c r="P117" s="382"/>
    </row>
    <row r="118" spans="1:16" s="446" customFormat="1" ht="27.75">
      <c r="A118" s="1508" t="s">
        <v>227</v>
      </c>
      <c r="B118" s="1509"/>
      <c r="C118" s="1224"/>
      <c r="D118" s="624" t="s">
        <v>144</v>
      </c>
      <c r="E118" s="536"/>
      <c r="F118" s="663">
        <f>SUM(G19+G92)</f>
        <v>106</v>
      </c>
      <c r="G118" s="536">
        <f>SUM(G19+G92)</f>
        <v>106</v>
      </c>
      <c r="H118" s="533">
        <f>SUM(G118+'1'!G96)</f>
        <v>123</v>
      </c>
      <c r="I118" s="535"/>
      <c r="J118" s="559">
        <f>H118/DAY(B2)</f>
        <v>7.2352941176470589</v>
      </c>
      <c r="N118" s="721"/>
      <c r="O118" s="728"/>
      <c r="P118" s="382"/>
    </row>
    <row r="119" spans="1:16" s="446" customFormat="1" ht="27.75">
      <c r="A119" s="1508" t="s">
        <v>228</v>
      </c>
      <c r="B119" s="1509"/>
      <c r="C119" s="1224"/>
      <c r="D119" s="624" t="s">
        <v>144</v>
      </c>
      <c r="E119" s="536"/>
      <c r="F119" s="663">
        <f>SUM(G95,G96,G97,G99,G100)</f>
        <v>115</v>
      </c>
      <c r="G119" s="536">
        <f>SUM(G95,G96,G97,G99,G100)</f>
        <v>115</v>
      </c>
      <c r="H119" s="533">
        <f>SUM(G119+'1'!G98)</f>
        <v>143</v>
      </c>
      <c r="I119" s="535"/>
      <c r="J119" s="559">
        <f>H119/DAY(B2)</f>
        <v>8.4117647058823533</v>
      </c>
      <c r="N119" s="721"/>
      <c r="O119" s="728"/>
      <c r="P119" s="382"/>
    </row>
    <row r="120" spans="1:16" s="446" customFormat="1" ht="27.75">
      <c r="A120" s="1508" t="s">
        <v>229</v>
      </c>
      <c r="B120" s="1509"/>
      <c r="C120" s="1224"/>
      <c r="D120" s="624" t="s">
        <v>144</v>
      </c>
      <c r="E120" s="534"/>
      <c r="F120" s="662">
        <f>SUM(G112)</f>
        <v>82</v>
      </c>
      <c r="G120" s="534">
        <f>SUM(G112)</f>
        <v>82</v>
      </c>
      <c r="H120" s="533">
        <f>SUM(G120+'1'!G100)</f>
        <v>88</v>
      </c>
      <c r="I120" s="535"/>
      <c r="J120" s="559">
        <f>H120/DAY(B2)</f>
        <v>5.1764705882352944</v>
      </c>
      <c r="N120" s="721"/>
      <c r="O120" s="728"/>
      <c r="P120" s="382"/>
    </row>
    <row r="121" spans="1:16" s="442" customFormat="1" ht="27.75">
      <c r="A121" s="1510"/>
      <c r="B121" s="1511"/>
      <c r="C121" s="1225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545" t="s">
        <v>230</v>
      </c>
      <c r="B122" s="1546"/>
      <c r="C122" s="1547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227" t="s">
        <v>231</v>
      </c>
      <c r="B123" s="1228"/>
      <c r="C123" s="1228"/>
      <c r="D123" s="523" t="s">
        <v>141</v>
      </c>
      <c r="E123" s="478">
        <f>'16'!F123</f>
        <v>822821</v>
      </c>
      <c r="F123" s="478">
        <v>823046</v>
      </c>
      <c r="G123" s="473">
        <f t="shared" ref="G123:G127" si="12">F123-E123</f>
        <v>225</v>
      </c>
      <c r="H123" s="460">
        <f>G123+'16'!H123</f>
        <v>4236</v>
      </c>
      <c r="I123" s="526"/>
      <c r="J123" s="552">
        <f>H123/DAY(B2)</f>
        <v>249.1764705882353</v>
      </c>
      <c r="K123" s="380"/>
      <c r="L123" s="377"/>
      <c r="N123" s="721"/>
      <c r="O123" s="728"/>
      <c r="P123" s="382"/>
    </row>
    <row r="124" spans="1:16" ht="27.75">
      <c r="A124" s="1227" t="s">
        <v>232</v>
      </c>
      <c r="B124" s="1228"/>
      <c r="C124" s="1228"/>
      <c r="D124" s="523" t="s">
        <v>141</v>
      </c>
      <c r="E124" s="626">
        <f>'16'!F124</f>
        <v>73583.399999999994</v>
      </c>
      <c r="F124" s="626">
        <v>73583.399999999994</v>
      </c>
      <c r="G124" s="473">
        <f t="shared" si="12"/>
        <v>0</v>
      </c>
      <c r="H124" s="460">
        <f>G124+'16'!H124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499" t="s">
        <v>233</v>
      </c>
      <c r="B125" s="1500"/>
      <c r="C125" s="1501"/>
      <c r="D125" s="523" t="s">
        <v>141</v>
      </c>
      <c r="E125" s="478">
        <f>'16'!F125</f>
        <v>143577</v>
      </c>
      <c r="F125" s="478">
        <v>143665</v>
      </c>
      <c r="G125" s="473">
        <f t="shared" si="12"/>
        <v>88</v>
      </c>
      <c r="H125" s="460">
        <f>G125+'16'!H125</f>
        <v>1529</v>
      </c>
      <c r="I125" s="526"/>
      <c r="J125" s="552">
        <f>H125/DAY(B2)</f>
        <v>89.941176470588232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228"/>
      <c r="C126" s="1228"/>
      <c r="D126" s="523" t="s">
        <v>141</v>
      </c>
      <c r="E126" s="626">
        <f>'16'!F126</f>
        <v>31404</v>
      </c>
      <c r="F126" s="626">
        <v>31404</v>
      </c>
      <c r="G126" s="473">
        <f t="shared" si="12"/>
        <v>0</v>
      </c>
      <c r="H126" s="460">
        <f>G126+'16'!H126</f>
        <v>85.299999999999272</v>
      </c>
      <c r="I126" s="526"/>
      <c r="J126" s="552">
        <f>H126/DAY(B2)</f>
        <v>5.0176470588234867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228"/>
      <c r="C127" s="1228"/>
      <c r="D127" s="523" t="s">
        <v>141</v>
      </c>
      <c r="E127" s="626">
        <f>'16'!F127</f>
        <v>8967</v>
      </c>
      <c r="F127" s="626">
        <v>8968</v>
      </c>
      <c r="G127" s="473">
        <f t="shared" si="12"/>
        <v>1</v>
      </c>
      <c r="H127" s="460">
        <f>G127+'16'!H127</f>
        <v>6</v>
      </c>
      <c r="I127" s="480"/>
      <c r="J127" s="552">
        <f>H127/DAY(B2)</f>
        <v>0.35294117647058826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228"/>
      <c r="C128" s="1228"/>
      <c r="D128" s="523"/>
      <c r="E128" s="478"/>
      <c r="F128" s="478"/>
      <c r="G128" s="473">
        <f>G15-SUM(G123:G127)</f>
        <v>485</v>
      </c>
      <c r="H128" s="460">
        <f>G128+'16'!H128</f>
        <v>993.25</v>
      </c>
      <c r="I128" s="480"/>
      <c r="J128" s="552">
        <f>H128/DAY(B2)</f>
        <v>58.426470588235297</v>
      </c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227" t="s">
        <v>238</v>
      </c>
      <c r="B130" s="1228"/>
      <c r="C130" s="1228"/>
      <c r="D130" s="523" t="s">
        <v>239</v>
      </c>
      <c r="E130" s="484">
        <f>'16'!F130</f>
        <v>0</v>
      </c>
      <c r="F130" s="478">
        <v>0</v>
      </c>
      <c r="G130" s="473">
        <f t="shared" ref="G130:G140" si="13">F130-E130</f>
        <v>0</v>
      </c>
      <c r="H130" s="460">
        <f>G130+'16'!H130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227" t="s">
        <v>240</v>
      </c>
      <c r="B131" s="1228"/>
      <c r="C131" s="1228"/>
      <c r="D131" s="523" t="s">
        <v>239</v>
      </c>
      <c r="E131" s="484">
        <f>'16'!F131</f>
        <v>0</v>
      </c>
      <c r="F131" s="478">
        <v>0</v>
      </c>
      <c r="G131" s="473">
        <f t="shared" si="13"/>
        <v>0</v>
      </c>
      <c r="H131" s="460">
        <f>G131+'16'!H131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27" t="s">
        <v>241</v>
      </c>
      <c r="B132" s="1228"/>
      <c r="C132" s="1228"/>
      <c r="D132" s="523" t="s">
        <v>239</v>
      </c>
      <c r="E132" s="541">
        <f>'16'!F132</f>
        <v>39659.230000000003</v>
      </c>
      <c r="F132" s="654">
        <v>39659.230000000003</v>
      </c>
      <c r="G132" s="473">
        <f t="shared" si="13"/>
        <v>0</v>
      </c>
      <c r="H132" s="460">
        <f>G132+'16'!H132</f>
        <v>126.2300000000032</v>
      </c>
      <c r="I132" s="480"/>
      <c r="J132" s="552">
        <f>H132/DAY(B2)</f>
        <v>7.4252941176472476</v>
      </c>
      <c r="N132" s="721"/>
      <c r="O132" s="728"/>
      <c r="P132" s="382"/>
    </row>
    <row r="133" spans="1:16" ht="27.75">
      <c r="A133" s="1227" t="s">
        <v>242</v>
      </c>
      <c r="B133" s="1228"/>
      <c r="C133" s="1228"/>
      <c r="D133" s="523" t="s">
        <v>239</v>
      </c>
      <c r="E133" s="704">
        <f>'16'!F133</f>
        <v>300</v>
      </c>
      <c r="F133" s="626">
        <v>300</v>
      </c>
      <c r="G133" s="473">
        <f t="shared" si="13"/>
        <v>0</v>
      </c>
      <c r="H133" s="460">
        <f>G133+'16'!H133</f>
        <v>0</v>
      </c>
      <c r="I133" s="480">
        <f>G130+G131+G132+G133</f>
        <v>0</v>
      </c>
      <c r="J133" s="552">
        <f>H133/DAY(B2)</f>
        <v>0</v>
      </c>
      <c r="N133" s="721"/>
      <c r="O133" s="728"/>
      <c r="P133" s="382"/>
    </row>
    <row r="134" spans="1:16" ht="27.75">
      <c r="A134" s="1227" t="s">
        <v>243</v>
      </c>
      <c r="B134" s="1228"/>
      <c r="C134" s="1228"/>
      <c r="D134" s="523" t="s">
        <v>239</v>
      </c>
      <c r="E134" s="704">
        <f>'16'!F134</f>
        <v>41126.480000000003</v>
      </c>
      <c r="F134" s="626">
        <v>41150.639999999999</v>
      </c>
      <c r="G134" s="473">
        <f t="shared" si="13"/>
        <v>24.159999999996217</v>
      </c>
      <c r="H134" s="460">
        <f>G134+'16'!H134</f>
        <v>309.08000000000175</v>
      </c>
      <c r="I134" s="480"/>
      <c r="J134" s="552">
        <f>H134/DAY(B2)</f>
        <v>18.181176470588337</v>
      </c>
      <c r="N134" s="721"/>
      <c r="O134" s="728"/>
      <c r="P134" s="382"/>
    </row>
    <row r="135" spans="1:16" ht="27.75">
      <c r="A135" s="1227" t="s">
        <v>244</v>
      </c>
      <c r="B135" s="1228"/>
      <c r="C135" s="1228"/>
      <c r="D135" s="523" t="s">
        <v>239</v>
      </c>
      <c r="E135" s="541">
        <f>'16'!F135</f>
        <v>32582.98</v>
      </c>
      <c r="F135" s="654">
        <v>32582.98</v>
      </c>
      <c r="G135" s="473">
        <f t="shared" si="13"/>
        <v>0</v>
      </c>
      <c r="H135" s="460">
        <f>G135+'16'!H135</f>
        <v>-2.0000000000436557E-2</v>
      </c>
      <c r="I135" s="480"/>
      <c r="J135" s="552">
        <f>H135/DAY(B2)</f>
        <v>-1.176470588260974E-3</v>
      </c>
      <c r="N135" s="721"/>
      <c r="O135" s="728"/>
      <c r="P135" s="382"/>
    </row>
    <row r="136" spans="1:16" ht="27.75">
      <c r="A136" s="1227" t="s">
        <v>245</v>
      </c>
      <c r="B136" s="1228"/>
      <c r="C136" s="1228"/>
      <c r="D136" s="523" t="s">
        <v>239</v>
      </c>
      <c r="E136" s="541">
        <f>'16'!F136</f>
        <v>22647</v>
      </c>
      <c r="F136" s="654">
        <v>22657</v>
      </c>
      <c r="G136" s="473">
        <f t="shared" si="13"/>
        <v>10</v>
      </c>
      <c r="H136" s="460">
        <f>G136+'16'!H136</f>
        <v>168.34999999999854</v>
      </c>
      <c r="I136" s="480">
        <f>G134+G135+G136</f>
        <v>34.159999999996217</v>
      </c>
      <c r="J136" s="552">
        <f>H136/DAY(B2)</f>
        <v>9.9029411764705024</v>
      </c>
      <c r="N136" s="721"/>
      <c r="O136" s="728"/>
      <c r="P136" s="382"/>
    </row>
    <row r="137" spans="1:16" ht="27.75">
      <c r="A137" s="1227" t="s">
        <v>246</v>
      </c>
      <c r="B137" s="1228"/>
      <c r="C137" s="1228"/>
      <c r="D137" s="523" t="s">
        <v>239</v>
      </c>
      <c r="E137" s="541">
        <f>'16'!F137</f>
        <v>25049.97</v>
      </c>
      <c r="F137" s="654">
        <v>25050</v>
      </c>
      <c r="G137" s="473">
        <f t="shared" si="13"/>
        <v>2.9999999998835847E-2</v>
      </c>
      <c r="H137" s="460">
        <f>G137+'16'!H137</f>
        <v>1.2099999999991269</v>
      </c>
      <c r="I137" s="480"/>
      <c r="J137" s="552">
        <f>H137/DAY(B2)</f>
        <v>7.1176470588183938E-2</v>
      </c>
      <c r="N137" s="721"/>
      <c r="O137" s="728"/>
      <c r="P137" s="382"/>
    </row>
    <row r="138" spans="1:16" ht="27.75">
      <c r="A138" s="1227" t="s">
        <v>247</v>
      </c>
      <c r="B138" s="1228"/>
      <c r="C138" s="1228"/>
      <c r="D138" s="523" t="s">
        <v>239</v>
      </c>
      <c r="E138" s="541">
        <f>'16'!F138</f>
        <v>70282.789999999994</v>
      </c>
      <c r="F138" s="654">
        <v>70282.789999999994</v>
      </c>
      <c r="G138" s="473">
        <f t="shared" si="13"/>
        <v>0</v>
      </c>
      <c r="H138" s="460">
        <f>G138+'16'!H138</f>
        <v>28.759999999994761</v>
      </c>
      <c r="I138" s="480">
        <f>G137+G138</f>
        <v>2.9999999998835847E-2</v>
      </c>
      <c r="J138" s="552">
        <f>H138/DAY(B2)</f>
        <v>1.6917647058820449</v>
      </c>
      <c r="N138" s="721"/>
      <c r="O138" s="728"/>
      <c r="P138" s="382"/>
    </row>
    <row r="139" spans="1:16" ht="27.75">
      <c r="A139" s="1227" t="s">
        <v>248</v>
      </c>
      <c r="B139" s="1228"/>
      <c r="C139" s="1228"/>
      <c r="D139" s="523" t="s">
        <v>239</v>
      </c>
      <c r="E139" s="704">
        <f>'16'!F139</f>
        <v>1536.62</v>
      </c>
      <c r="F139" s="626">
        <v>1536.62</v>
      </c>
      <c r="G139" s="473">
        <f t="shared" si="13"/>
        <v>0</v>
      </c>
      <c r="H139" s="460">
        <f>G139+'16'!H139</f>
        <v>9.9999999999909051E-2</v>
      </c>
      <c r="I139" s="542"/>
      <c r="J139" s="552">
        <f>H139/DAY(B2)</f>
        <v>5.8823529411711206E-3</v>
      </c>
      <c r="N139" s="721"/>
      <c r="O139" s="728"/>
      <c r="P139" s="382"/>
    </row>
    <row r="140" spans="1:16" ht="27.75">
      <c r="A140" s="1227" t="s">
        <v>249</v>
      </c>
      <c r="B140" s="1228"/>
      <c r="C140" s="1228"/>
      <c r="D140" s="523" t="s">
        <v>239</v>
      </c>
      <c r="E140" s="484">
        <f>'16'!F140</f>
        <v>4600</v>
      </c>
      <c r="F140" s="478">
        <v>4607.33</v>
      </c>
      <c r="G140" s="473">
        <f t="shared" si="13"/>
        <v>7.3299999999999272</v>
      </c>
      <c r="H140" s="460">
        <f>G140+'16'!H140</f>
        <v>138.78999999999996</v>
      </c>
      <c r="I140" s="542"/>
      <c r="J140" s="552">
        <f>H140/DAY(B2)</f>
        <v>8.1641176470588217</v>
      </c>
      <c r="N140" s="721"/>
      <c r="O140" s="728"/>
      <c r="P140" s="382"/>
    </row>
    <row r="141" spans="1:16">
      <c r="A141" s="1526" t="s">
        <v>250</v>
      </c>
      <c r="B141" s="1527"/>
      <c r="C141" s="1233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520" t="s">
        <v>251</v>
      </c>
      <c r="B142" s="1521"/>
      <c r="C142" s="1522"/>
      <c r="D142" s="523" t="s">
        <v>132</v>
      </c>
      <c r="E142" s="523"/>
      <c r="F142" s="523"/>
      <c r="G142" s="460">
        <v>3349</v>
      </c>
      <c r="H142" s="460">
        <f>G142+'16'!H142</f>
        <v>92921.46</v>
      </c>
      <c r="I142" s="480"/>
      <c r="J142" s="552">
        <f>H142/DAY(B2)</f>
        <v>5465.9682352941181</v>
      </c>
      <c r="K142" s="380"/>
      <c r="L142" s="377"/>
      <c r="N142" s="721"/>
      <c r="O142" s="728"/>
      <c r="P142" s="382"/>
    </row>
    <row r="143" spans="1:16" ht="27.75">
      <c r="A143" s="1520" t="s">
        <v>252</v>
      </c>
      <c r="B143" s="1521"/>
      <c r="C143" s="1522"/>
      <c r="D143" s="523" t="s">
        <v>24</v>
      </c>
      <c r="E143" s="511"/>
      <c r="F143" s="511"/>
      <c r="G143" s="543">
        <f>G142/G7</f>
        <v>0.16499162479061977</v>
      </c>
      <c r="H143" s="460">
        <f>G143+'16'!H143</f>
        <v>4.3779965137398964</v>
      </c>
      <c r="I143" s="544"/>
      <c r="J143" s="552">
        <f>H143/DAY(B2)</f>
        <v>0.25752920669058216</v>
      </c>
      <c r="K143" s="380"/>
      <c r="L143" s="377"/>
      <c r="N143" s="721"/>
      <c r="O143" s="728"/>
      <c r="P143" s="382"/>
    </row>
    <row r="144" spans="1:16" ht="27.75">
      <c r="A144" s="1520" t="s">
        <v>253</v>
      </c>
      <c r="B144" s="1521"/>
      <c r="C144" s="1522"/>
      <c r="D144" s="523" t="s">
        <v>132</v>
      </c>
      <c r="E144" s="455"/>
      <c r="F144" s="455"/>
      <c r="G144" s="460">
        <f>G41+G42+G55+G56</f>
        <v>6183</v>
      </c>
      <c r="H144" s="460">
        <f>G144+'16'!H144</f>
        <v>102929.84</v>
      </c>
      <c r="I144" s="480"/>
      <c r="J144" s="552">
        <f>H144/DAY(B2)</f>
        <v>6054.6964705882347</v>
      </c>
      <c r="K144" s="380"/>
      <c r="L144" s="377"/>
      <c r="N144" s="721"/>
      <c r="O144" s="728"/>
      <c r="P144" s="382"/>
    </row>
    <row r="145" spans="1:16" ht="27.75">
      <c r="A145" s="1520" t="s">
        <v>254</v>
      </c>
      <c r="B145" s="1521"/>
      <c r="C145" s="1522"/>
      <c r="D145" s="523" t="s">
        <v>24</v>
      </c>
      <c r="E145" s="455"/>
      <c r="F145" s="455"/>
      <c r="G145" s="543">
        <f>G144/G7</f>
        <v>0.30461129175288204</v>
      </c>
      <c r="H145" s="460">
        <f>G145+'16'!H145</f>
        <v>4.8572883769066166</v>
      </c>
      <c r="I145" s="544"/>
      <c r="J145" s="552">
        <f>H145/DAY(B2)</f>
        <v>0.28572284570038919</v>
      </c>
      <c r="K145" s="380"/>
      <c r="L145" s="377"/>
      <c r="N145" s="721"/>
      <c r="O145" s="728"/>
      <c r="P145" s="382"/>
    </row>
    <row r="146" spans="1:16" ht="27.75">
      <c r="A146" s="1520" t="s">
        <v>255</v>
      </c>
      <c r="B146" s="1521"/>
      <c r="C146" s="1522"/>
      <c r="D146" s="523" t="s">
        <v>132</v>
      </c>
      <c r="E146" s="455"/>
      <c r="F146" s="455"/>
      <c r="G146" s="460">
        <f>G39+G53</f>
        <v>2947</v>
      </c>
      <c r="H146" s="460">
        <f>G146+'16'!H146</f>
        <v>64044</v>
      </c>
      <c r="I146" s="545"/>
      <c r="J146" s="552">
        <f>H146/DAY(B2)</f>
        <v>3767.294117647059</v>
      </c>
      <c r="K146" s="380"/>
      <c r="L146" s="377"/>
      <c r="N146" s="721"/>
      <c r="O146" s="728"/>
      <c r="P146" s="382"/>
    </row>
    <row r="147" spans="1:16" ht="27.75">
      <c r="A147" s="1520" t="s">
        <v>256</v>
      </c>
      <c r="B147" s="1521"/>
      <c r="C147" s="1522"/>
      <c r="D147" s="523" t="s">
        <v>24</v>
      </c>
      <c r="E147" s="455"/>
      <c r="F147" s="455"/>
      <c r="G147" s="543">
        <f>G146/G7</f>
        <v>0.1451867179032417</v>
      </c>
      <c r="H147" s="460">
        <f>G147+'16'!H147</f>
        <v>3.0141979880091427</v>
      </c>
      <c r="I147" s="545"/>
      <c r="J147" s="552">
        <f>H147/DAY(B2)</f>
        <v>0.1773057640005378</v>
      </c>
      <c r="N147" s="721"/>
      <c r="O147" s="728"/>
      <c r="P147" s="382"/>
    </row>
    <row r="148" spans="1:16" ht="27.75">
      <c r="A148" s="1520" t="s">
        <v>257</v>
      </c>
      <c r="B148" s="1521"/>
      <c r="C148" s="1522"/>
      <c r="D148" s="523" t="s">
        <v>183</v>
      </c>
      <c r="E148" s="455"/>
      <c r="F148" s="455"/>
      <c r="G148" s="460">
        <f>G38+G52</f>
        <v>1629</v>
      </c>
      <c r="H148" s="460">
        <f>G148+'16'!H148</f>
        <v>28504</v>
      </c>
      <c r="I148" s="480"/>
      <c r="J148" s="552">
        <f>H148/DAY(B2)</f>
        <v>1676.7058823529412</v>
      </c>
      <c r="K148" s="381"/>
      <c r="N148" s="721"/>
      <c r="O148" s="728"/>
      <c r="P148" s="382"/>
    </row>
    <row r="149" spans="1:16" ht="27.75">
      <c r="A149" s="1520" t="s">
        <v>258</v>
      </c>
      <c r="B149" s="1521"/>
      <c r="C149" s="1522"/>
      <c r="D149" s="523" t="s">
        <v>24</v>
      </c>
      <c r="E149" s="455"/>
      <c r="F149" s="455"/>
      <c r="G149" s="543">
        <f>G148/G7</f>
        <v>8.0254212237658884E-2</v>
      </c>
      <c r="H149" s="460">
        <f>G149+'16'!H149</f>
        <v>1.3457994362807015</v>
      </c>
      <c r="I149" s="545"/>
      <c r="J149" s="552">
        <f>H149/DAY(B2)</f>
        <v>7.9164672722394205E-2</v>
      </c>
      <c r="N149" s="721"/>
      <c r="O149" s="728"/>
      <c r="P149" s="382"/>
    </row>
    <row r="150" spans="1:16" ht="27.75">
      <c r="A150" s="1520" t="s">
        <v>259</v>
      </c>
      <c r="B150" s="1521"/>
      <c r="C150" s="1522"/>
      <c r="D150" s="523" t="s">
        <v>183</v>
      </c>
      <c r="E150" s="455"/>
      <c r="F150" s="455"/>
      <c r="G150" s="460">
        <f>G36+G50</f>
        <v>2074</v>
      </c>
      <c r="H150" s="460">
        <f>G150+'16'!H150</f>
        <v>35404</v>
      </c>
      <c r="I150" s="545"/>
      <c r="J150" s="552">
        <f>H150/DAY(B2)</f>
        <v>2082.5882352941176</v>
      </c>
      <c r="N150" s="721"/>
      <c r="O150" s="728"/>
      <c r="P150" s="382"/>
    </row>
    <row r="151" spans="1:16" ht="27.75">
      <c r="A151" s="1520" t="s">
        <v>260</v>
      </c>
      <c r="B151" s="1521"/>
      <c r="C151" s="1522"/>
      <c r="D151" s="523" t="s">
        <v>24</v>
      </c>
      <c r="E151" s="455"/>
      <c r="F151" s="455"/>
      <c r="G151" s="543">
        <f>G150/G7</f>
        <v>0.10217755443886097</v>
      </c>
      <c r="H151" s="460">
        <f>G151+'16'!H151</f>
        <v>1.6731960529271932</v>
      </c>
      <c r="I151" s="480"/>
      <c r="J151" s="552">
        <f>H151/DAY(B2)</f>
        <v>9.842329723101137E-2</v>
      </c>
      <c r="N151" s="721"/>
      <c r="O151" s="728"/>
      <c r="P151" s="382"/>
    </row>
    <row r="152" spans="1:16" ht="27.75">
      <c r="A152" s="1520" t="s">
        <v>261</v>
      </c>
      <c r="B152" s="1521"/>
      <c r="C152" s="1522"/>
      <c r="D152" s="523" t="s">
        <v>183</v>
      </c>
      <c r="E152" s="455"/>
      <c r="F152" s="455"/>
      <c r="G152" s="460">
        <f>G37+G51</f>
        <v>1372</v>
      </c>
      <c r="H152" s="460">
        <f>G152+'16'!H152</f>
        <v>23389</v>
      </c>
      <c r="I152" s="480"/>
      <c r="J152" s="552">
        <f>H152/DAY(B2)</f>
        <v>1375.8235294117646</v>
      </c>
      <c r="N152" s="721"/>
      <c r="O152" s="728"/>
      <c r="P152" s="382"/>
    </row>
    <row r="153" spans="1:16" ht="28.5" thickBot="1">
      <c r="A153" s="1523" t="s">
        <v>262</v>
      </c>
      <c r="B153" s="1524"/>
      <c r="C153" s="1525"/>
      <c r="D153" s="625" t="s">
        <v>24</v>
      </c>
      <c r="E153" s="565"/>
      <c r="F153" s="565"/>
      <c r="G153" s="566">
        <f>G152/G7</f>
        <v>6.7592866292245535E-2</v>
      </c>
      <c r="H153" s="460">
        <f>G153+'16'!H153</f>
        <v>1.1047300672433729</v>
      </c>
      <c r="I153" s="568"/>
      <c r="J153" s="569">
        <f>H153/DAY(B2)</f>
        <v>6.4984121602551348E-2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'16'!F160</f>
        <v>34771</v>
      </c>
      <c r="F160" s="807">
        <v>34856</v>
      </c>
      <c r="G160" s="473">
        <f t="shared" ref="G160:G163" si="14">F160-E160</f>
        <v>85</v>
      </c>
      <c r="N160" s="721"/>
    </row>
    <row r="161" spans="1:14">
      <c r="A161" s="798" t="s">
        <v>264</v>
      </c>
      <c r="B161" s="799"/>
      <c r="C161" s="799"/>
      <c r="D161" s="620" t="s">
        <v>187</v>
      </c>
      <c r="E161" s="522">
        <f>'16'!F161</f>
        <v>75989</v>
      </c>
      <c r="F161" s="807">
        <v>76444</v>
      </c>
      <c r="G161" s="473">
        <f t="shared" si="14"/>
        <v>455</v>
      </c>
      <c r="N161" s="721"/>
    </row>
    <row r="162" spans="1:14">
      <c r="A162" s="798" t="s">
        <v>265</v>
      </c>
      <c r="B162" s="799"/>
      <c r="C162" s="799"/>
      <c r="D162" s="620" t="s">
        <v>187</v>
      </c>
      <c r="E162" s="522">
        <f>'16'!F162</f>
        <v>33770</v>
      </c>
      <c r="F162" s="787">
        <v>34041</v>
      </c>
      <c r="G162" s="473">
        <f t="shared" si="14"/>
        <v>271</v>
      </c>
      <c r="N162" s="721"/>
    </row>
    <row r="163" spans="1:14">
      <c r="A163" s="798" t="s">
        <v>266</v>
      </c>
      <c r="B163" s="799"/>
      <c r="C163" s="799"/>
      <c r="D163" s="620" t="s">
        <v>187</v>
      </c>
      <c r="E163" s="522">
        <f>'16'!F163</f>
        <v>5969</v>
      </c>
      <c r="F163" s="807">
        <v>5989</v>
      </c>
      <c r="G163" s="473">
        <f t="shared" si="14"/>
        <v>20</v>
      </c>
      <c r="N163" s="721"/>
    </row>
    <row r="164" spans="1:14">
      <c r="A164" s="800" t="s">
        <v>98</v>
      </c>
      <c r="B164" s="801"/>
      <c r="C164" s="801"/>
      <c r="D164" s="620" t="s">
        <v>187</v>
      </c>
      <c r="E164" s="522">
        <f>E62</f>
        <v>20419.18</v>
      </c>
      <c r="F164" s="514">
        <f>F62</f>
        <v>20419</v>
      </c>
      <c r="G164" s="473">
        <f t="shared" ref="G164:G171" si="15">F164-E164</f>
        <v>-0.18000000000029104</v>
      </c>
      <c r="N164" s="721"/>
    </row>
    <row r="165" spans="1:14">
      <c r="A165" s="800" t="s">
        <v>188</v>
      </c>
      <c r="B165" s="801"/>
      <c r="C165" s="801"/>
      <c r="D165" s="620" t="s">
        <v>187</v>
      </c>
      <c r="E165" s="522">
        <f t="shared" ref="E165:E171" si="16">E63</f>
        <v>2278.41</v>
      </c>
      <c r="F165" s="514">
        <f t="shared" ref="F165:F171" si="17">F63</f>
        <v>2288</v>
      </c>
      <c r="G165" s="473">
        <f t="shared" si="15"/>
        <v>9.5900000000001455</v>
      </c>
      <c r="N165" s="721"/>
    </row>
    <row r="166" spans="1:14" ht="27.75">
      <c r="A166" s="1565" t="s">
        <v>99</v>
      </c>
      <c r="B166" s="1565"/>
      <c r="C166" s="1565"/>
      <c r="D166" s="524" t="s">
        <v>187</v>
      </c>
      <c r="E166" s="522">
        <f t="shared" si="16"/>
        <v>146746</v>
      </c>
      <c r="F166" s="514">
        <f t="shared" si="17"/>
        <v>147244</v>
      </c>
      <c r="G166" s="473">
        <f t="shared" si="15"/>
        <v>498</v>
      </c>
      <c r="N166" s="721"/>
    </row>
    <row r="167" spans="1:14" ht="27.75">
      <c r="A167" s="1565" t="s">
        <v>100</v>
      </c>
      <c r="B167" s="1565"/>
      <c r="C167" s="1565"/>
      <c r="D167" s="524" t="s">
        <v>187</v>
      </c>
      <c r="E167" s="522">
        <f t="shared" si="16"/>
        <v>149978</v>
      </c>
      <c r="F167" s="514" t="s">
        <v>358</v>
      </c>
      <c r="G167" s="473" t="e">
        <f t="shared" si="15"/>
        <v>#VALUE!</v>
      </c>
      <c r="N167" s="721"/>
    </row>
    <row r="168" spans="1:14" ht="27.75">
      <c r="A168" s="1565" t="s">
        <v>101</v>
      </c>
      <c r="B168" s="1565"/>
      <c r="C168" s="1565"/>
      <c r="D168" s="524" t="s">
        <v>187</v>
      </c>
      <c r="E168" s="522">
        <f t="shared" si="16"/>
        <v>43450</v>
      </c>
      <c r="F168" s="514">
        <f t="shared" si="17"/>
        <v>43852</v>
      </c>
      <c r="G168" s="473">
        <f t="shared" si="15"/>
        <v>402</v>
      </c>
      <c r="N168" s="721"/>
    </row>
    <row r="169" spans="1:14" ht="27.75">
      <c r="A169" s="1565" t="s">
        <v>102</v>
      </c>
      <c r="B169" s="1565"/>
      <c r="C169" s="1565"/>
      <c r="D169" s="524" t="s">
        <v>187</v>
      </c>
      <c r="E169" s="522">
        <f t="shared" si="16"/>
        <v>237894</v>
      </c>
      <c r="F169" s="514">
        <f t="shared" si="17"/>
        <v>238369</v>
      </c>
      <c r="G169" s="473">
        <f t="shared" si="15"/>
        <v>475</v>
      </c>
      <c r="N169" s="721"/>
    </row>
    <row r="170" spans="1:14" ht="27.75">
      <c r="A170" s="1565" t="s">
        <v>103</v>
      </c>
      <c r="B170" s="1565"/>
      <c r="C170" s="1565"/>
      <c r="D170" s="524" t="s">
        <v>187</v>
      </c>
      <c r="E170" s="522">
        <f t="shared" si="16"/>
        <v>85321</v>
      </c>
      <c r="F170" s="514">
        <f t="shared" si="17"/>
        <v>85321</v>
      </c>
      <c r="G170" s="473">
        <f t="shared" si="15"/>
        <v>0</v>
      </c>
      <c r="N170" s="721"/>
    </row>
    <row r="171" spans="1:14" ht="27.75">
      <c r="A171" s="1565" t="s">
        <v>104</v>
      </c>
      <c r="B171" s="1565"/>
      <c r="C171" s="1565"/>
      <c r="D171" s="524" t="s">
        <v>187</v>
      </c>
      <c r="E171" s="522">
        <f t="shared" si="16"/>
        <v>78127</v>
      </c>
      <c r="F171" s="514">
        <f t="shared" si="17"/>
        <v>78166</v>
      </c>
      <c r="G171" s="473">
        <f t="shared" si="15"/>
        <v>39</v>
      </c>
      <c r="N171" s="721"/>
    </row>
    <row r="172" spans="1:14">
      <c r="A172" s="802"/>
      <c r="B172" s="803"/>
      <c r="C172" s="803"/>
      <c r="D172" s="804"/>
      <c r="E172" s="804"/>
      <c r="F172" s="805"/>
      <c r="G172" s="806" t="e">
        <f>SUM(G160:G171)</f>
        <v>#VALUE!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18.75" customHeight="1">
      <c r="N177" s="721"/>
    </row>
    <row r="178" spans="14:14" ht="17.25" customHeight="1">
      <c r="N178" s="721"/>
    </row>
    <row r="179" spans="14:14" ht="18.75" customHeight="1">
      <c r="N179" s="721"/>
    </row>
    <row r="180" spans="14:14" ht="18.75" customHeight="1">
      <c r="N180" s="721"/>
    </row>
    <row r="181" spans="14:14" ht="17.25" customHeight="1">
      <c r="N181" s="721"/>
    </row>
    <row r="182" spans="14:14" ht="18.75" customHeight="1">
      <c r="N182" s="721"/>
    </row>
    <row r="183" spans="14:14" ht="18.75" customHeight="1">
      <c r="N183" s="721"/>
    </row>
    <row r="184" spans="14:14" ht="17.25" customHeight="1">
      <c r="N184" s="721"/>
    </row>
    <row r="185" spans="14:14" ht="17.25" customHeight="1">
      <c r="N185" s="721"/>
    </row>
    <row r="186" spans="14:14" ht="17.25" customHeight="1">
      <c r="N186" s="721"/>
    </row>
    <row r="187" spans="14:14" ht="17.25" customHeight="1">
      <c r="N187" s="721"/>
    </row>
    <row r="188" spans="14:14" ht="17.25" customHeight="1">
      <c r="N188" s="721"/>
    </row>
    <row r="189" spans="14:14" ht="17.25" customHeight="1">
      <c r="N189" s="721"/>
    </row>
    <row r="190" spans="14:14" ht="17.25" customHeight="1">
      <c r="N190" s="721"/>
    </row>
    <row r="191" spans="14:14" ht="18.7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50" zoomScale="55" zoomScaleNormal="68" zoomScaleSheetLayoutView="55" workbookViewId="0">
      <selection activeCell="F93" sqref="F93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6" customWidth="1"/>
    <col min="7" max="7" width="24.44140625" style="537" customWidth="1"/>
    <col min="8" max="8" width="22.88671875" style="538" customWidth="1"/>
    <col min="9" max="9" width="18.1093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28" t="s">
        <v>117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6" s="281" customFormat="1" ht="27">
      <c r="A2" s="575" t="s">
        <v>355</v>
      </c>
      <c r="B2" s="1036">
        <v>44304</v>
      </c>
      <c r="C2" s="1330" t="s">
        <v>69</v>
      </c>
      <c r="D2" s="611">
        <v>0.46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330" t="s">
        <v>120</v>
      </c>
      <c r="D3" s="612">
        <v>30</v>
      </c>
      <c r="E3" s="1537" t="s">
        <v>121</v>
      </c>
      <c r="F3" s="1538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20"/>
      <c r="O3" s="727"/>
    </row>
    <row r="4" spans="1:16" s="281" customFormat="1" ht="27">
      <c r="A4" s="576"/>
      <c r="B4" s="616"/>
      <c r="C4" s="1330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31" t="s">
        <v>130</v>
      </c>
      <c r="B6" s="1532"/>
      <c r="C6" s="1533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'17'!F7</f>
        <v>5474218</v>
      </c>
      <c r="F7" s="455">
        <v>5494211</v>
      </c>
      <c r="G7" s="681">
        <f>F7-E7</f>
        <v>19993</v>
      </c>
      <c r="H7" s="682">
        <f>G7+'17'!H7</f>
        <v>380288</v>
      </c>
      <c r="I7" s="683">
        <f>'1'!I7</f>
        <v>12000</v>
      </c>
      <c r="J7" s="684">
        <f>H7/DAY(B2)</f>
        <v>21127.111111111109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'17'!F8</f>
        <v>5507143</v>
      </c>
      <c r="F8" s="475">
        <v>5527188</v>
      </c>
      <c r="G8" s="692">
        <f>F8-E8</f>
        <v>20045</v>
      </c>
      <c r="H8" s="682">
        <f>G8+'17'!H8</f>
        <v>381870</v>
      </c>
      <c r="I8" s="689">
        <f>'1'!I8</f>
        <v>12000</v>
      </c>
      <c r="J8" s="684">
        <f>H8/DAY(B2)</f>
        <v>21215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'17'!F9</f>
        <v>745395</v>
      </c>
      <c r="F9" s="478">
        <v>764771</v>
      </c>
      <c r="G9" s="705">
        <f t="shared" ref="G9:G12" si="0">F9-E9</f>
        <v>19376</v>
      </c>
      <c r="H9" s="682">
        <f>G9+'17'!H9</f>
        <v>368702</v>
      </c>
      <c r="I9" s="693">
        <f>I7-J7</f>
        <v>-9127.1111111111095</v>
      </c>
      <c r="J9" s="684">
        <f>H9/DAY(B2)</f>
        <v>20483.444444444445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'17'!F10</f>
        <v>2322.58</v>
      </c>
      <c r="F10" s="478">
        <v>2322.58</v>
      </c>
      <c r="G10" s="692">
        <f t="shared" si="0"/>
        <v>0</v>
      </c>
      <c r="H10" s="682">
        <f>G10+'17'!H10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G11+'17'!H11</f>
        <v>0</v>
      </c>
      <c r="I11" s="694"/>
      <c r="J11" s="684">
        <f>H11/DAY(B2)</f>
        <v>0</v>
      </c>
      <c r="K11" s="428"/>
      <c r="L11" s="377"/>
      <c r="N11" s="721">
        <f>G8-866</f>
        <v>19179</v>
      </c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G12+'17'!H12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19376</v>
      </c>
      <c r="H13" s="682">
        <f>G13+'17'!H13</f>
        <v>348511.3600000001</v>
      </c>
      <c r="I13" s="698">
        <f>G7-G13</f>
        <v>617</v>
      </c>
      <c r="J13" s="684">
        <f>H13/DAY(B2)</f>
        <v>19361.742222222227</v>
      </c>
      <c r="K13" s="428"/>
      <c r="L13" s="377"/>
      <c r="N13" s="721"/>
      <c r="O13" s="728"/>
      <c r="P13" s="382"/>
    </row>
    <row r="14" spans="1:16">
      <c r="A14" s="1534" t="s">
        <v>139</v>
      </c>
      <c r="B14" s="1535"/>
      <c r="C14" s="1536"/>
      <c r="D14" s="472"/>
      <c r="E14" s="472"/>
      <c r="F14" s="472"/>
      <c r="G14" s="483"/>
      <c r="H14" s="472"/>
      <c r="I14" s="472"/>
      <c r="J14" s="1222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'17'!F15</f>
        <v>1661671</v>
      </c>
      <c r="F15" s="485">
        <v>1662447</v>
      </c>
      <c r="G15" s="667">
        <f>(F15-E15)</f>
        <v>776</v>
      </c>
      <c r="H15" s="486">
        <f>G15+'17'!H15</f>
        <v>15758</v>
      </c>
      <c r="I15" s="474">
        <f>'1'!I15</f>
        <v>800</v>
      </c>
      <c r="J15" s="553">
        <f>H15/DAY(B2)</f>
        <v>875.44444444444446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-75.444444444444457</v>
      </c>
      <c r="J16" s="553"/>
      <c r="K16" s="428"/>
      <c r="L16" s="377"/>
      <c r="N16" s="721"/>
      <c r="O16" s="728"/>
      <c r="P16" s="382"/>
    </row>
    <row r="17" spans="1:16">
      <c r="A17" s="1534" t="s">
        <v>142</v>
      </c>
      <c r="B17" s="1535"/>
      <c r="C17" s="1536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60" t="s">
        <v>143</v>
      </c>
      <c r="B18" s="1561"/>
      <c r="C18" s="1562"/>
      <c r="D18" s="638" t="s">
        <v>144</v>
      </c>
      <c r="E18" s="635">
        <f>'17'!F18</f>
        <v>8</v>
      </c>
      <c r="F18" s="478">
        <v>10</v>
      </c>
      <c r="G18" s="697">
        <f>F18*10</f>
        <v>100</v>
      </c>
      <c r="H18" s="682">
        <f>G18+'17'!H18</f>
        <v>1720</v>
      </c>
      <c r="I18" s="683">
        <f>'1'!I18</f>
        <v>65</v>
      </c>
      <c r="J18" s="684">
        <f>H18/DAY(B2)</f>
        <v>95.555555555555557</v>
      </c>
      <c r="K18" s="428"/>
      <c r="L18" s="377"/>
      <c r="N18" s="721"/>
      <c r="O18" s="728"/>
      <c r="P18" s="382"/>
    </row>
    <row r="19" spans="1:16" ht="27.75">
      <c r="A19" s="1560" t="s">
        <v>71</v>
      </c>
      <c r="B19" s="1561"/>
      <c r="C19" s="1562"/>
      <c r="D19" s="638" t="s">
        <v>144</v>
      </c>
      <c r="E19" s="635">
        <f>'17'!F19</f>
        <v>137061</v>
      </c>
      <c r="F19" s="478">
        <v>137118</v>
      </c>
      <c r="G19" s="692">
        <f t="shared" ref="G19" si="1">F19-E19</f>
        <v>57</v>
      </c>
      <c r="H19" s="682">
        <f>G19+'17'!H19</f>
        <v>1028</v>
      </c>
      <c r="I19" s="699"/>
      <c r="J19" s="684">
        <f>H19/DAY(B2)</f>
        <v>57.111111111111114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157</v>
      </c>
      <c r="H20" s="682">
        <f>G20+'17'!H20</f>
        <v>2748</v>
      </c>
      <c r="I20" s="701">
        <f>I18-J20</f>
        <v>-87.666666666666657</v>
      </c>
      <c r="J20" s="684">
        <f>H20/DAY(B2)</f>
        <v>152.66666666666666</v>
      </c>
      <c r="K20" s="428"/>
      <c r="L20" s="377"/>
      <c r="N20" s="721"/>
      <c r="O20" s="728"/>
      <c r="P20" s="382"/>
    </row>
    <row r="21" spans="1:16">
      <c r="A21" s="1534" t="s">
        <v>146</v>
      </c>
      <c r="B21" s="1535"/>
      <c r="C21" s="1536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328" t="s">
        <v>147</v>
      </c>
      <c r="B22" s="589"/>
      <c r="C22" s="589"/>
      <c r="D22" s="523" t="s">
        <v>148</v>
      </c>
      <c r="E22" s="635">
        <f>'17'!F22</f>
        <v>2970</v>
      </c>
      <c r="F22" s="478">
        <v>2970</v>
      </c>
      <c r="G22" s="481">
        <f t="shared" ref="G22" si="2">F22-E22</f>
        <v>0</v>
      </c>
      <c r="H22" s="460">
        <f>G22+'17'!H22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328" t="s">
        <v>149</v>
      </c>
      <c r="B23" s="589"/>
      <c r="C23" s="589"/>
      <c r="D23" s="523" t="s">
        <v>148</v>
      </c>
      <c r="E23" s="635">
        <f>'17'!F23</f>
        <v>2900</v>
      </c>
      <c r="F23" s="478">
        <v>2900</v>
      </c>
      <c r="G23" s="481">
        <v>0</v>
      </c>
      <c r="H23" s="460">
        <f>G23+'17'!H23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39" t="s">
        <v>151</v>
      </c>
      <c r="B25" s="1540"/>
      <c r="C25" s="1541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20045</v>
      </c>
      <c r="F27" s="501">
        <v>9</v>
      </c>
      <c r="G27" s="502">
        <f>E27*F27</f>
        <v>180405</v>
      </c>
      <c r="H27" s="460">
        <f>G27+'17'!H27</f>
        <v>3436830</v>
      </c>
      <c r="I27" s="503"/>
      <c r="J27" s="552">
        <f>H27/DAY(B2)</f>
        <v>190935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776</v>
      </c>
      <c r="F28" s="501">
        <v>51.45</v>
      </c>
      <c r="G28" s="502">
        <f>E28*F28</f>
        <v>39925.200000000004</v>
      </c>
      <c r="H28" s="460">
        <f>G28+'17'!H28</f>
        <v>810749.1</v>
      </c>
      <c r="I28" s="505"/>
      <c r="J28" s="552">
        <f>H28/DAY(B2)</f>
        <v>45041.616666666669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G29+'17'!H29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57</v>
      </c>
      <c r="F30" s="501">
        <v>134</v>
      </c>
      <c r="G30" s="502">
        <f>E30*F30</f>
        <v>7638</v>
      </c>
      <c r="H30" s="460">
        <f>G30+'17'!H30</f>
        <v>139120</v>
      </c>
      <c r="I30" s="505"/>
      <c r="J30" s="552">
        <f>H30/DAY(B2)</f>
        <v>7728.8888888888887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>E31*F31</f>
        <v>8000</v>
      </c>
      <c r="H31" s="460">
        <f>G31+'17'!H31</f>
        <v>137600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235968.2</v>
      </c>
      <c r="H32" s="460">
        <f>G32+'17'!H32</f>
        <v>4524299.1000000006</v>
      </c>
      <c r="I32" s="509"/>
      <c r="J32" s="552">
        <f>H32/DAY(B2)</f>
        <v>251349.95000000004</v>
      </c>
      <c r="K32" s="373"/>
      <c r="L32" s="443"/>
      <c r="N32" s="721"/>
      <c r="O32" s="728"/>
      <c r="P32" s="382"/>
    </row>
    <row r="33" spans="1:16" ht="25.5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  <c r="N33" s="721"/>
      <c r="O33" s="728"/>
      <c r="P33" s="382"/>
    </row>
    <row r="34" spans="1:16">
      <c r="A34" s="598" t="s">
        <v>163</v>
      </c>
      <c r="B34" s="1333"/>
      <c r="C34" s="1333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'17'!F35</f>
        <v>851659</v>
      </c>
      <c r="F35" s="510">
        <v>854227</v>
      </c>
      <c r="G35" s="473">
        <f>F35-E35</f>
        <v>2568</v>
      </c>
      <c r="H35" s="460">
        <f>G35+'17'!H35</f>
        <v>55838</v>
      </c>
      <c r="I35" s="455"/>
      <c r="J35" s="552">
        <f>H35/DAY(B2)</f>
        <v>3102.1111111111113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'17'!F36</f>
        <v>333743</v>
      </c>
      <c r="F36" s="510">
        <v>334688</v>
      </c>
      <c r="G36" s="473">
        <f t="shared" ref="G36:G46" si="3">F36-E36</f>
        <v>945</v>
      </c>
      <c r="H36" s="460">
        <f>G36+'17'!H36</f>
        <v>17252</v>
      </c>
      <c r="I36" s="455"/>
      <c r="J36" s="552">
        <f>H36/DAY(B2)</f>
        <v>958.44444444444446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'17'!F37</f>
        <v>78186</v>
      </c>
      <c r="F37" s="510">
        <v>79476</v>
      </c>
      <c r="G37" s="473">
        <f>F37-E37</f>
        <v>1290</v>
      </c>
      <c r="H37" s="460">
        <f>G37+'17'!H37</f>
        <v>24679</v>
      </c>
      <c r="I37" s="455"/>
      <c r="J37" s="552">
        <f>H37/DAY(B2)</f>
        <v>1371.0555555555557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'17'!F38</f>
        <v>100814</v>
      </c>
      <c r="F38" s="469">
        <v>102478</v>
      </c>
      <c r="G38" s="473">
        <f t="shared" si="3"/>
        <v>1664</v>
      </c>
      <c r="H38" s="460">
        <f>G38+'17'!H38</f>
        <v>30170</v>
      </c>
      <c r="I38" s="455"/>
      <c r="J38" s="552">
        <f>H38/DAY(B2)</f>
        <v>1676.1111111111111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'17'!F39</f>
        <v>210953</v>
      </c>
      <c r="F39" s="510">
        <v>213738</v>
      </c>
      <c r="G39" s="473">
        <f>F39-E39</f>
        <v>2785</v>
      </c>
      <c r="H39" s="460">
        <f>G39+'17'!H39</f>
        <v>60916</v>
      </c>
      <c r="I39" s="455"/>
      <c r="J39" s="552">
        <f>H39/DAY(B2)</f>
        <v>3384.2222222222222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v>0</v>
      </c>
      <c r="F40" s="510">
        <v>0</v>
      </c>
      <c r="G40" s="473">
        <f t="shared" si="3"/>
        <v>0</v>
      </c>
      <c r="H40" s="460">
        <f>G40+'17'!H40</f>
        <v>0.17</v>
      </c>
      <c r="I40" s="455"/>
      <c r="J40" s="552">
        <f>H40/DAY(B2)</f>
        <v>9.4444444444444445E-3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'17'!F41</f>
        <v>161910</v>
      </c>
      <c r="F41" s="510">
        <v>161910</v>
      </c>
      <c r="G41" s="473">
        <f t="shared" si="3"/>
        <v>0</v>
      </c>
      <c r="H41" s="460">
        <f>G41+'17'!H41</f>
        <v>28769</v>
      </c>
      <c r="I41" s="455"/>
      <c r="J41" s="552">
        <f>H41/DAY(B2)</f>
        <v>1598.2777777777778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'17'!F42</f>
        <v>59128</v>
      </c>
      <c r="F42" s="510">
        <v>59128</v>
      </c>
      <c r="G42" s="473">
        <f t="shared" si="3"/>
        <v>0</v>
      </c>
      <c r="H42" s="460">
        <f>G42+'17'!H42</f>
        <v>-0.16000000000349246</v>
      </c>
      <c r="I42" s="455"/>
      <c r="J42" s="552">
        <f>H42/DAY(B2)</f>
        <v>-8.8888888890829142E-3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'17'!F43</f>
        <v>943309</v>
      </c>
      <c r="F43" s="510">
        <v>945619</v>
      </c>
      <c r="G43" s="473">
        <f t="shared" si="3"/>
        <v>2310</v>
      </c>
      <c r="H43" s="460">
        <f>G43+'17'!H43</f>
        <v>43571</v>
      </c>
      <c r="I43" s="455"/>
      <c r="J43" s="552">
        <f>H43/DAY(B2)</f>
        <v>2420.6111111111113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-5.0000000000011369E-2</v>
      </c>
      <c r="I46" s="455"/>
      <c r="J46" s="552">
        <f>H46/DAY(B2)</f>
        <v>-2.7777777777784093E-3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11561.95</v>
      </c>
      <c r="H47" s="460">
        <f>G47+'17'!H47</f>
        <v>261996.44999999995</v>
      </c>
      <c r="I47" s="455"/>
      <c r="J47" s="552">
        <f>H47/DAY(B2)</f>
        <v>14555.35833333333</v>
      </c>
      <c r="K47" s="428"/>
      <c r="L47" s="377"/>
      <c r="N47" s="721"/>
      <c r="O47" s="728"/>
      <c r="P47" s="382"/>
    </row>
    <row r="48" spans="1:16">
      <c r="A48" s="598" t="s">
        <v>177</v>
      </c>
      <c r="B48" s="1333"/>
      <c r="C48" s="1333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'17'!F49</f>
        <v>260732.13</v>
      </c>
      <c r="F49" s="510">
        <v>260732.13</v>
      </c>
      <c r="G49" s="473">
        <f t="shared" ref="G49:G58" si="4">F49-E49</f>
        <v>0</v>
      </c>
      <c r="H49" s="460">
        <f>G49+'17'!H49</f>
        <v>0.13000000000465661</v>
      </c>
      <c r="I49" s="455"/>
      <c r="J49" s="552">
        <f>H49/DAY(B2)</f>
        <v>7.2222222224809229E-3</v>
      </c>
      <c r="K49" s="428">
        <f>E49+247</f>
        <v>260979.13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'17'!F50</f>
        <v>460329</v>
      </c>
      <c r="F50" s="510">
        <v>461340</v>
      </c>
      <c r="G50" s="473">
        <f t="shared" si="4"/>
        <v>1011</v>
      </c>
      <c r="H50" s="460">
        <f>G50+'17'!H50</f>
        <v>19065.959999999963</v>
      </c>
      <c r="I50" s="455"/>
      <c r="J50" s="552">
        <f>H50/DAY(B2)</f>
        <v>1059.219999999998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'17'!F51</f>
        <v>144640</v>
      </c>
      <c r="F51" s="510">
        <v>144640</v>
      </c>
      <c r="G51" s="473">
        <f t="shared" si="4"/>
        <v>0</v>
      </c>
      <c r="H51" s="460">
        <f>G51+'17'!H51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'17'!F52</f>
        <v>539606</v>
      </c>
      <c r="F52" s="510">
        <v>539606</v>
      </c>
      <c r="G52" s="473">
        <f t="shared" si="4"/>
        <v>0</v>
      </c>
      <c r="H52" s="460">
        <f>G52+'17'!H52</f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'17'!F53</f>
        <v>407177</v>
      </c>
      <c r="F53" s="510">
        <v>407177</v>
      </c>
      <c r="G53" s="473">
        <f t="shared" si="4"/>
        <v>0</v>
      </c>
      <c r="H53" s="460">
        <f>G53+'17'!H53</f>
        <v>5343.2000000000116</v>
      </c>
      <c r="I53" s="455"/>
      <c r="J53" s="552">
        <f>H53/DAY(B2)</f>
        <v>296.84444444444512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'17'!F54</f>
        <v>10406</v>
      </c>
      <c r="F54" s="510">
        <v>10484</v>
      </c>
      <c r="G54" s="473">
        <f t="shared" si="4"/>
        <v>78</v>
      </c>
      <c r="H54" s="460">
        <f>G54+'17'!H54</f>
        <v>4259.0300000000007</v>
      </c>
      <c r="I54" s="455"/>
      <c r="J54" s="552">
        <f>H54/DAY(B2)</f>
        <v>236.61277777777781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'17'!F55</f>
        <v>290139</v>
      </c>
      <c r="F55" s="656">
        <v>296465</v>
      </c>
      <c r="G55" s="655">
        <f t="shared" si="4"/>
        <v>6326</v>
      </c>
      <c r="H55" s="708">
        <f>G55+'17'!H55</f>
        <v>75011.799999999988</v>
      </c>
      <c r="I55" s="709"/>
      <c r="J55" s="710">
        <f>H55/DAY(B2)</f>
        <v>4167.3222222222212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'17'!F56</f>
        <v>589086</v>
      </c>
      <c r="F56" s="656">
        <v>589086</v>
      </c>
      <c r="G56" s="473">
        <f t="shared" si="4"/>
        <v>0</v>
      </c>
      <c r="H56" s="460">
        <f>G56+'17'!H56</f>
        <v>109.8399999999674</v>
      </c>
      <c r="I56" s="455"/>
      <c r="J56" s="552">
        <f>H56/DAY(B2)</f>
        <v>6.1022222222204112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0.32999999999992724</v>
      </c>
      <c r="I57" s="455"/>
      <c r="J57" s="552">
        <f>H57/DAY(B2)</f>
        <v>1.8333333333329292E-2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'17'!F58</f>
        <v>44710</v>
      </c>
      <c r="F58" s="656">
        <v>44877</v>
      </c>
      <c r="G58" s="473">
        <f t="shared" si="4"/>
        <v>167</v>
      </c>
      <c r="H58" s="460">
        <f>G58+'17'!H58</f>
        <v>3175.6599999999962</v>
      </c>
      <c r="I58" s="455"/>
      <c r="J58" s="552">
        <f>H58/DAY(B2)</f>
        <v>176.42555555555535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7582</v>
      </c>
      <c r="H59" s="460">
        <f>G59+'17'!H59</f>
        <v>106963.94999999994</v>
      </c>
      <c r="I59" s="455">
        <f>G7-G60</f>
        <v>849.04999999999927</v>
      </c>
      <c r="J59" s="552">
        <f>H59/DAY(B2)</f>
        <v>5942.441666666663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19143.95</v>
      </c>
      <c r="H60" s="460">
        <f>G60+'17'!H60</f>
        <v>376159.95</v>
      </c>
      <c r="I60" s="455">
        <f>G13-G60</f>
        <v>232.04999999999927</v>
      </c>
      <c r="J60" s="552">
        <f>H60/DAY(B2)</f>
        <v>20897.775000000001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'17'!F62</f>
        <v>20419</v>
      </c>
      <c r="F62" s="514">
        <v>20419.18</v>
      </c>
      <c r="G62" s="473">
        <f t="shared" ref="G62:G69" si="5">F62-E62</f>
        <v>0.18000000000029104</v>
      </c>
      <c r="H62" s="460">
        <f>G62+'17'!H62</f>
        <v>0.36199999999735155</v>
      </c>
      <c r="I62" s="515"/>
      <c r="J62" s="552">
        <f>H62/DAY(B2)</f>
        <v>2.0111111110963975E-2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'17'!F63</f>
        <v>2288</v>
      </c>
      <c r="F63" s="514">
        <v>2294</v>
      </c>
      <c r="G63" s="473">
        <f t="shared" si="5"/>
        <v>6</v>
      </c>
      <c r="H63" s="460">
        <f>G63+'17'!H63</f>
        <v>198</v>
      </c>
      <c r="I63" s="515"/>
      <c r="J63" s="552">
        <f>H63/DAY(B2)</f>
        <v>11</v>
      </c>
      <c r="K63" s="428"/>
      <c r="L63" s="377"/>
      <c r="N63" s="721"/>
      <c r="O63" s="728"/>
      <c r="P63" s="382"/>
    </row>
    <row r="64" spans="1:16" ht="27.75">
      <c r="A64" s="1499" t="s">
        <v>99</v>
      </c>
      <c r="B64" s="1500"/>
      <c r="C64" s="1501"/>
      <c r="D64" s="523" t="s">
        <v>187</v>
      </c>
      <c r="E64" s="1234">
        <f>'17'!F64</f>
        <v>147244</v>
      </c>
      <c r="F64" s="626">
        <v>147773</v>
      </c>
      <c r="G64" s="777">
        <f t="shared" si="5"/>
        <v>529</v>
      </c>
      <c r="H64" s="460">
        <f>G64+'17'!H64</f>
        <v>8593</v>
      </c>
      <c r="I64" s="480"/>
      <c r="J64" s="552">
        <f>H64/DAY(B2)</f>
        <v>477.38888888888891</v>
      </c>
      <c r="K64" s="428"/>
      <c r="L64" s="377"/>
      <c r="N64" s="721"/>
      <c r="O64" s="728"/>
      <c r="P64" s="382"/>
    </row>
    <row r="65" spans="1:16" ht="27.75">
      <c r="A65" s="1499" t="s">
        <v>100</v>
      </c>
      <c r="B65" s="1500"/>
      <c r="C65" s="1501"/>
      <c r="D65" s="523" t="s">
        <v>187</v>
      </c>
      <c r="E65" s="514">
        <f>'17'!F65</f>
        <v>150347</v>
      </c>
      <c r="F65" s="654">
        <v>150704</v>
      </c>
      <c r="G65" s="473">
        <f t="shared" si="5"/>
        <v>357</v>
      </c>
      <c r="H65" s="460">
        <f>G65+'17'!H65</f>
        <v>6499</v>
      </c>
      <c r="I65" s="489"/>
      <c r="J65" s="552">
        <f>H65/DAY(B2)</f>
        <v>361.05555555555554</v>
      </c>
      <c r="K65" s="428"/>
      <c r="L65" s="377"/>
      <c r="N65" s="721"/>
      <c r="O65" s="729"/>
      <c r="P65" s="382"/>
    </row>
    <row r="66" spans="1:16" ht="27.75">
      <c r="A66" s="1499" t="s">
        <v>101</v>
      </c>
      <c r="B66" s="1500"/>
      <c r="C66" s="1501"/>
      <c r="D66" s="523" t="s">
        <v>187</v>
      </c>
      <c r="E66" s="514">
        <f>'17'!F66</f>
        <v>43852</v>
      </c>
      <c r="F66" s="478">
        <v>44227</v>
      </c>
      <c r="G66" s="473">
        <f t="shared" si="5"/>
        <v>375</v>
      </c>
      <c r="H66" s="460">
        <f>G66+'17'!H66</f>
        <v>7019</v>
      </c>
      <c r="I66" s="480"/>
      <c r="J66" s="552">
        <f>H66/DAY(B2)</f>
        <v>389.94444444444446</v>
      </c>
      <c r="K66" s="428"/>
      <c r="L66" s="377"/>
      <c r="N66" s="721"/>
      <c r="O66" s="728"/>
      <c r="P66" s="382"/>
    </row>
    <row r="67" spans="1:16" ht="27.75">
      <c r="A67" s="1499" t="s">
        <v>102</v>
      </c>
      <c r="B67" s="1500"/>
      <c r="C67" s="1501"/>
      <c r="D67" s="523" t="s">
        <v>187</v>
      </c>
      <c r="E67" s="514">
        <f>'17'!F67</f>
        <v>238369</v>
      </c>
      <c r="F67" s="478">
        <v>238748</v>
      </c>
      <c r="G67" s="473">
        <f t="shared" si="5"/>
        <v>379</v>
      </c>
      <c r="H67" s="460">
        <f>G67+'17'!H67</f>
        <v>9648</v>
      </c>
      <c r="I67" s="489"/>
      <c r="J67" s="552">
        <f>H67/DAY(B2)</f>
        <v>536</v>
      </c>
      <c r="K67" s="429"/>
      <c r="L67" s="377"/>
      <c r="N67" s="721"/>
      <c r="O67" s="728"/>
      <c r="P67" s="382"/>
    </row>
    <row r="68" spans="1:16" ht="27.75">
      <c r="A68" s="1499" t="s">
        <v>103</v>
      </c>
      <c r="B68" s="1500"/>
      <c r="C68" s="1501"/>
      <c r="D68" s="523" t="s">
        <v>187</v>
      </c>
      <c r="E68" s="514">
        <f>'17'!F68</f>
        <v>85321</v>
      </c>
      <c r="F68" s="478">
        <v>85321</v>
      </c>
      <c r="G68" s="473">
        <f t="shared" si="5"/>
        <v>0</v>
      </c>
      <c r="H68" s="460">
        <f>G68+'17'!H68</f>
        <v>2234</v>
      </c>
      <c r="I68" s="516"/>
      <c r="J68" s="552">
        <f>H68/DAY(B2)</f>
        <v>124.11111111111111</v>
      </c>
      <c r="K68" s="430"/>
      <c r="L68" s="377"/>
      <c r="N68" s="721"/>
      <c r="O68" s="728"/>
      <c r="P68" s="382"/>
    </row>
    <row r="69" spans="1:16" ht="27.75">
      <c r="A69" s="1499" t="s">
        <v>104</v>
      </c>
      <c r="B69" s="1500"/>
      <c r="C69" s="1501"/>
      <c r="D69" s="523" t="s">
        <v>187</v>
      </c>
      <c r="E69" s="514">
        <f>'17'!F69</f>
        <v>78166</v>
      </c>
      <c r="F69" s="478">
        <v>78205</v>
      </c>
      <c r="G69" s="473">
        <f t="shared" si="5"/>
        <v>39</v>
      </c>
      <c r="H69" s="460">
        <f>G69+'17'!H69</f>
        <v>3876</v>
      </c>
      <c r="I69" s="516"/>
      <c r="J69" s="552">
        <f>H69/DAY(B2)</f>
        <v>215.33333333333334</v>
      </c>
      <c r="K69" s="431"/>
      <c r="L69" s="377"/>
      <c r="N69" s="721"/>
      <c r="O69" s="728"/>
      <c r="P69" s="382"/>
    </row>
    <row r="70" spans="1:16" ht="27.75">
      <c r="A70" s="1505" t="s">
        <v>189</v>
      </c>
      <c r="B70" s="1506"/>
      <c r="C70" s="1507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502" t="s">
        <v>190</v>
      </c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  <c r="N71" s="721"/>
      <c r="O71" s="728"/>
      <c r="P71" s="382"/>
    </row>
    <row r="72" spans="1:16" ht="27.75">
      <c r="A72" s="1499" t="s">
        <v>191</v>
      </c>
      <c r="B72" s="1500"/>
      <c r="C72" s="1501"/>
      <c r="D72" s="523" t="s">
        <v>187</v>
      </c>
      <c r="E72" s="519">
        <f>'17'!F72</f>
        <v>854748</v>
      </c>
      <c r="F72" s="657">
        <v>854819</v>
      </c>
      <c r="G72" s="473">
        <f t="shared" ref="G72:G84" si="6">F72-E72</f>
        <v>71</v>
      </c>
      <c r="H72" s="460">
        <f>G72+'17'!H72</f>
        <v>1556</v>
      </c>
      <c r="I72" s="480"/>
      <c r="J72" s="552">
        <f>H72/DAY(B2)</f>
        <v>86.444444444444443</v>
      </c>
      <c r="K72" s="431"/>
      <c r="L72" s="377"/>
      <c r="N72" s="721"/>
      <c r="O72" s="728"/>
      <c r="P72" s="382"/>
    </row>
    <row r="73" spans="1:16" ht="27.75">
      <c r="A73" s="1499" t="s">
        <v>192</v>
      </c>
      <c r="B73" s="1500"/>
      <c r="C73" s="1501"/>
      <c r="D73" s="523" t="s">
        <v>187</v>
      </c>
      <c r="E73" s="519">
        <f>'17'!F73</f>
        <v>885826</v>
      </c>
      <c r="F73" s="658">
        <v>885827</v>
      </c>
      <c r="G73" s="655">
        <f t="shared" si="6"/>
        <v>1</v>
      </c>
      <c r="H73" s="460">
        <f>G73+'17'!H73</f>
        <v>1248</v>
      </c>
      <c r="I73" s="480"/>
      <c r="J73" s="552">
        <f>H73/DAY(B2)</f>
        <v>69.333333333333329</v>
      </c>
      <c r="K73" s="430"/>
      <c r="L73" s="377"/>
      <c r="N73" s="721"/>
      <c r="O73" s="728"/>
      <c r="P73" s="382"/>
    </row>
    <row r="74" spans="1:16" ht="27.75">
      <c r="A74" s="1499" t="s">
        <v>193</v>
      </c>
      <c r="B74" s="1500"/>
      <c r="C74" s="1501"/>
      <c r="D74" s="523" t="s">
        <v>187</v>
      </c>
      <c r="E74" s="519">
        <f>'17'!F74</f>
        <v>1870</v>
      </c>
      <c r="F74" s="658">
        <v>1901</v>
      </c>
      <c r="G74" s="473">
        <f t="shared" si="6"/>
        <v>31</v>
      </c>
      <c r="H74" s="460">
        <f>G74+'17'!H74</f>
        <v>531</v>
      </c>
      <c r="I74" s="480"/>
      <c r="J74" s="552">
        <f>H74/DAY(B2)</f>
        <v>29.5</v>
      </c>
      <c r="K74" s="431"/>
      <c r="L74" s="377"/>
      <c r="N74" s="721"/>
      <c r="O74" s="728"/>
      <c r="P74" s="382"/>
    </row>
    <row r="75" spans="1:16" ht="27.75">
      <c r="A75" s="1496" t="s">
        <v>194</v>
      </c>
      <c r="B75" s="1497"/>
      <c r="C75" s="1498"/>
      <c r="D75" s="523" t="s">
        <v>187</v>
      </c>
      <c r="E75" s="519">
        <f>'17'!F75</f>
        <v>10187</v>
      </c>
      <c r="F75" s="658">
        <v>10248</v>
      </c>
      <c r="G75" s="473">
        <f t="shared" si="6"/>
        <v>61</v>
      </c>
      <c r="H75" s="460">
        <f>G75+'17'!H75</f>
        <v>1568</v>
      </c>
      <c r="I75" s="480"/>
      <c r="J75" s="552">
        <f>H75/DAY(B2)</f>
        <v>87.111111111111114</v>
      </c>
      <c r="K75" s="430"/>
      <c r="L75" s="377"/>
      <c r="N75" s="721"/>
      <c r="O75" s="728"/>
      <c r="P75" s="382"/>
    </row>
    <row r="76" spans="1:16" ht="27.75">
      <c r="A76" s="1496" t="s">
        <v>195</v>
      </c>
      <c r="B76" s="1497"/>
      <c r="C76" s="1498"/>
      <c r="D76" s="523" t="s">
        <v>187</v>
      </c>
      <c r="E76" s="519">
        <f>'17'!F76</f>
        <v>5122</v>
      </c>
      <c r="F76" s="658">
        <v>5176</v>
      </c>
      <c r="G76" s="473">
        <f t="shared" si="6"/>
        <v>54</v>
      </c>
      <c r="H76" s="460">
        <f>G76+'17'!H76</f>
        <v>1550</v>
      </c>
      <c r="I76" s="505"/>
      <c r="J76" s="552">
        <f>H76/DAY(B2)</f>
        <v>86.111111111111114</v>
      </c>
      <c r="K76" s="430"/>
      <c r="L76" s="377"/>
      <c r="N76" s="721"/>
      <c r="O76" s="728"/>
      <c r="P76" s="382"/>
    </row>
    <row r="77" spans="1:16" ht="27.75">
      <c r="A77" s="1499" t="s">
        <v>196</v>
      </c>
      <c r="B77" s="1500"/>
      <c r="C77" s="1501"/>
      <c r="D77" s="523" t="s">
        <v>187</v>
      </c>
      <c r="E77" s="519">
        <f>'17'!F77</f>
        <v>700997</v>
      </c>
      <c r="F77" s="658">
        <v>701041</v>
      </c>
      <c r="G77" s="655">
        <f t="shared" si="6"/>
        <v>44</v>
      </c>
      <c r="H77" s="460">
        <f>G77+'17'!H77</f>
        <v>827</v>
      </c>
      <c r="I77" s="505"/>
      <c r="J77" s="552">
        <f>H77/DAY(B2)</f>
        <v>45.944444444444443</v>
      </c>
      <c r="K77" s="430"/>
      <c r="L77" s="377"/>
      <c r="N77" s="721"/>
      <c r="O77" s="728"/>
      <c r="P77" s="382"/>
    </row>
    <row r="78" spans="1:16" ht="27.75">
      <c r="A78" s="1331" t="s">
        <v>197</v>
      </c>
      <c r="B78" s="1324"/>
      <c r="C78" s="1324"/>
      <c r="D78" s="523" t="s">
        <v>187</v>
      </c>
      <c r="E78" s="519">
        <f>'17'!F78</f>
        <v>669158</v>
      </c>
      <c r="F78" s="659">
        <v>669229</v>
      </c>
      <c r="G78" s="473">
        <f t="shared" si="6"/>
        <v>71</v>
      </c>
      <c r="H78" s="460">
        <f>G78+'17'!H78</f>
        <v>3849</v>
      </c>
      <c r="I78" s="505"/>
      <c r="J78" s="552">
        <f>H78/DAY(B2)</f>
        <v>213.83333333333334</v>
      </c>
      <c r="K78" s="430"/>
      <c r="L78" s="377"/>
      <c r="N78" s="721"/>
      <c r="O78" s="728"/>
      <c r="P78" s="382"/>
    </row>
    <row r="79" spans="1:16" ht="27.75">
      <c r="A79" s="1496" t="s">
        <v>92</v>
      </c>
      <c r="B79" s="1497"/>
      <c r="C79" s="1498"/>
      <c r="D79" s="524" t="s">
        <v>187</v>
      </c>
      <c r="E79" s="519">
        <f>'17'!F79</f>
        <v>824371</v>
      </c>
      <c r="F79" s="659">
        <v>824539</v>
      </c>
      <c r="G79" s="473">
        <f t="shared" si="6"/>
        <v>168</v>
      </c>
      <c r="H79" s="460">
        <f>G79+'17'!H79</f>
        <v>4348</v>
      </c>
      <c r="I79" s="505"/>
      <c r="J79" s="552">
        <f>H79/DAY(B2)</f>
        <v>241.55555555555554</v>
      </c>
      <c r="K79" s="430"/>
      <c r="L79" s="377"/>
      <c r="N79" s="721"/>
      <c r="O79" s="728"/>
      <c r="P79" s="382"/>
    </row>
    <row r="80" spans="1:16" ht="27.75">
      <c r="A80" s="1496" t="s">
        <v>198</v>
      </c>
      <c r="B80" s="1497"/>
      <c r="C80" s="1498"/>
      <c r="D80" s="524" t="s">
        <v>187</v>
      </c>
      <c r="E80" s="519">
        <f>'17'!F80</f>
        <v>511884</v>
      </c>
      <c r="F80" s="658">
        <v>512259</v>
      </c>
      <c r="G80" s="473">
        <f t="shared" si="6"/>
        <v>375</v>
      </c>
      <c r="H80" s="460">
        <f>G80+'17'!H80</f>
        <v>4331</v>
      </c>
      <c r="I80" s="505"/>
      <c r="J80" s="552">
        <f>H80/DAY(B2)</f>
        <v>240.61111111111111</v>
      </c>
      <c r="K80" s="430"/>
      <c r="L80" s="377"/>
      <c r="N80" s="721"/>
      <c r="O80" s="728"/>
      <c r="P80" s="382"/>
    </row>
    <row r="81" spans="1:16" ht="27.75">
      <c r="A81" s="1496" t="s">
        <v>199</v>
      </c>
      <c r="B81" s="1497"/>
      <c r="C81" s="1498"/>
      <c r="D81" s="524" t="s">
        <v>187</v>
      </c>
      <c r="E81" s="519">
        <f>'17'!F81</f>
        <v>634501</v>
      </c>
      <c r="F81" s="658">
        <v>634690</v>
      </c>
      <c r="G81" s="473">
        <f t="shared" si="6"/>
        <v>189</v>
      </c>
      <c r="H81" s="460">
        <f>G81+'17'!H81</f>
        <v>4505</v>
      </c>
      <c r="I81" s="505"/>
      <c r="J81" s="552">
        <f>H81/DAY(B2)</f>
        <v>250.27777777777777</v>
      </c>
      <c r="K81" s="430"/>
      <c r="L81" s="377"/>
      <c r="N81" s="721"/>
      <c r="O81" s="728"/>
      <c r="P81" s="382"/>
    </row>
    <row r="82" spans="1:16" s="779" customFormat="1" ht="27.75">
      <c r="A82" s="1569" t="s">
        <v>93</v>
      </c>
      <c r="B82" s="1570"/>
      <c r="C82" s="1571"/>
      <c r="D82" s="626" t="s">
        <v>132</v>
      </c>
      <c r="E82" s="519">
        <f>'17'!F82</f>
        <v>107304</v>
      </c>
      <c r="F82" s="626">
        <v>107329</v>
      </c>
      <c r="G82" s="777">
        <f t="shared" si="6"/>
        <v>25</v>
      </c>
      <c r="H82" s="479">
        <f>G82+'17'!H82</f>
        <v>434</v>
      </c>
      <c r="I82" s="479"/>
      <c r="J82" s="778">
        <f>H82/DAY(B2)</f>
        <v>24.111111111111111</v>
      </c>
      <c r="K82" s="1220"/>
      <c r="L82" s="1221"/>
      <c r="N82" s="725"/>
      <c r="O82" s="729"/>
      <c r="P82" s="724"/>
    </row>
    <row r="83" spans="1:16" ht="27.75">
      <c r="A83" s="1496" t="s">
        <v>200</v>
      </c>
      <c r="B83" s="1497"/>
      <c r="C83" s="1498"/>
      <c r="D83" s="620" t="s">
        <v>132</v>
      </c>
      <c r="E83" s="519">
        <f>'17'!F83</f>
        <v>11607</v>
      </c>
      <c r="F83" s="511">
        <v>11910</v>
      </c>
      <c r="G83" s="473">
        <f t="shared" si="6"/>
        <v>303</v>
      </c>
      <c r="H83" s="460">
        <f>G83+'17'!H83</f>
        <v>4853</v>
      </c>
      <c r="I83" s="481"/>
      <c r="J83" s="552">
        <f>H83/DAY(B2)</f>
        <v>269.61111111111109</v>
      </c>
      <c r="K83" s="429"/>
      <c r="L83" s="377"/>
      <c r="N83" s="721"/>
      <c r="O83" s="728"/>
      <c r="P83" s="382"/>
    </row>
    <row r="84" spans="1:16">
      <c r="A84" s="1332" t="s">
        <v>201</v>
      </c>
      <c r="B84" s="571"/>
      <c r="C84" s="571"/>
      <c r="D84" s="478" t="s">
        <v>132</v>
      </c>
      <c r="E84" s="519">
        <f>'17'!F84</f>
        <v>470042</v>
      </c>
      <c r="F84" s="627">
        <v>470671</v>
      </c>
      <c r="G84" s="473">
        <f t="shared" si="6"/>
        <v>629</v>
      </c>
      <c r="H84" s="460">
        <f>G84+'17'!H84</f>
        <v>15987</v>
      </c>
      <c r="I84" s="481"/>
      <c r="J84" s="552">
        <f>H84/DAY(B2)</f>
        <v>888.16666666666663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2022</v>
      </c>
      <c r="H85" s="460">
        <f>G85+'17'!H85</f>
        <v>45246</v>
      </c>
      <c r="I85" s="481"/>
      <c r="J85" s="552">
        <f>H85/DAY(B2)</f>
        <v>2513.6666666666665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'17'!F86</f>
        <v>457759</v>
      </c>
      <c r="F86" s="650">
        <v>457802</v>
      </c>
      <c r="G86" s="708">
        <f t="shared" ref="G86:G90" si="7">F86-E86</f>
        <v>43</v>
      </c>
      <c r="H86" s="708">
        <f t="shared" ref="H86:H88" si="8">G86</f>
        <v>43</v>
      </c>
      <c r="I86" s="655"/>
      <c r="J86" s="710">
        <f>H86/DAY(B2)</f>
        <v>2.3888888888888888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'17'!F87</f>
        <v>80711</v>
      </c>
      <c r="F87" s="650">
        <v>80745</v>
      </c>
      <c r="G87" s="708">
        <f t="shared" si="7"/>
        <v>34</v>
      </c>
      <c r="H87" s="708">
        <f t="shared" si="8"/>
        <v>34</v>
      </c>
      <c r="I87" s="655"/>
      <c r="J87" s="710">
        <f>H87/DAY(B2)</f>
        <v>1.8888888888888888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'17'!F88</f>
        <v>151314</v>
      </c>
      <c r="F88" s="650">
        <v>151336</v>
      </c>
      <c r="G88" s="708">
        <f t="shared" si="7"/>
        <v>22</v>
      </c>
      <c r="H88" s="708">
        <f t="shared" si="8"/>
        <v>22</v>
      </c>
      <c r="I88" s="655"/>
      <c r="J88" s="710">
        <f>H88/DAY(B2)</f>
        <v>1.2222222222222223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'17'!F89</f>
        <v>64289</v>
      </c>
      <c r="F89" s="650">
        <v>64331</v>
      </c>
      <c r="G89" s="708">
        <f t="shared" si="7"/>
        <v>42</v>
      </c>
      <c r="H89" s="708">
        <f>G89</f>
        <v>42</v>
      </c>
      <c r="I89" s="655"/>
      <c r="J89" s="710">
        <f>H89/DAY(B2)</f>
        <v>2.3333333333333335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'17'!F90</f>
        <v>3271.9</v>
      </c>
      <c r="F90" s="650">
        <v>3272</v>
      </c>
      <c r="G90" s="708">
        <f t="shared" si="7"/>
        <v>9.9999999999909051E-2</v>
      </c>
      <c r="H90" s="708">
        <f>G90</f>
        <v>9.9999999999909051E-2</v>
      </c>
      <c r="I90" s="655"/>
      <c r="J90" s="710">
        <f>H90/DAY(B2)</f>
        <v>5.5555555555505025E-3</v>
      </c>
      <c r="K90" s="736"/>
      <c r="L90" s="737"/>
      <c r="N90" s="781"/>
      <c r="O90" s="382"/>
    </row>
    <row r="91" spans="1:16" s="379" customFormat="1">
      <c r="A91" s="606" t="s">
        <v>205</v>
      </c>
      <c r="B91" s="1334"/>
      <c r="C91" s="1334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520" t="s">
        <v>206</v>
      </c>
      <c r="B92" s="1521"/>
      <c r="C92" s="1522"/>
      <c r="D92" s="523" t="s">
        <v>144</v>
      </c>
      <c r="E92" s="484">
        <f>'17'!F92</f>
        <v>243813</v>
      </c>
      <c r="F92" s="478">
        <v>243879</v>
      </c>
      <c r="G92" s="473">
        <f t="shared" ref="G92:G93" si="9">F92-E92</f>
        <v>66</v>
      </c>
      <c r="H92" s="460">
        <f>G92+'17'!H92</f>
        <v>1233</v>
      </c>
      <c r="I92" s="480"/>
      <c r="J92" s="552">
        <f>H92/DAY(B2)</f>
        <v>68.5</v>
      </c>
      <c r="K92" s="429"/>
      <c r="L92" s="377"/>
      <c r="N92" s="721"/>
      <c r="O92" s="728"/>
      <c r="P92" s="382"/>
    </row>
    <row r="93" spans="1:16" ht="27.75">
      <c r="A93" s="1520" t="s">
        <v>207</v>
      </c>
      <c r="B93" s="1521"/>
      <c r="C93" s="1522"/>
      <c r="D93" s="523" t="s">
        <v>144</v>
      </c>
      <c r="E93" s="484">
        <f>'17'!F93</f>
        <v>182180</v>
      </c>
      <c r="F93" s="478">
        <v>182324</v>
      </c>
      <c r="G93" s="473">
        <f t="shared" si="9"/>
        <v>144</v>
      </c>
      <c r="H93" s="460">
        <f>G93+'17'!H93</f>
        <v>2645</v>
      </c>
      <c r="I93" s="480"/>
      <c r="J93" s="552">
        <f>H93/DAY(B2)</f>
        <v>146.94444444444446</v>
      </c>
      <c r="K93" s="380"/>
      <c r="L93" s="377"/>
      <c r="N93" s="721"/>
      <c r="O93" s="728"/>
      <c r="P93" s="382"/>
    </row>
    <row r="94" spans="1:16">
      <c r="A94" s="1548" t="s">
        <v>208</v>
      </c>
      <c r="B94" s="1549"/>
      <c r="C94" s="1550"/>
      <c r="D94" s="523"/>
      <c r="E94" s="484">
        <f>'17'!F94</f>
        <v>0</v>
      </c>
      <c r="F94" s="478"/>
      <c r="G94" s="473">
        <f>G92+G93</f>
        <v>210</v>
      </c>
      <c r="H94" s="460">
        <f>G94+'17'!H94</f>
        <v>3659</v>
      </c>
      <c r="I94" s="480"/>
      <c r="J94" s="552">
        <f>H94/DAY(B2)</f>
        <v>203.27777777777777</v>
      </c>
      <c r="K94" s="380"/>
      <c r="L94" s="377"/>
      <c r="N94" s="721"/>
      <c r="O94" s="728"/>
      <c r="P94" s="382"/>
    </row>
    <row r="95" spans="1:16" ht="27.75">
      <c r="A95" s="1520" t="s">
        <v>209</v>
      </c>
      <c r="B95" s="1521"/>
      <c r="C95" s="1522"/>
      <c r="D95" s="523" t="s">
        <v>144</v>
      </c>
      <c r="E95" s="484">
        <f>'17'!F95</f>
        <v>412004</v>
      </c>
      <c r="F95" s="478">
        <v>412067</v>
      </c>
      <c r="G95" s="473">
        <f t="shared" ref="G95:G100" si="10">F95-E95</f>
        <v>63</v>
      </c>
      <c r="H95" s="460">
        <f>G95+'17'!H95</f>
        <v>1282</v>
      </c>
      <c r="I95" s="480"/>
      <c r="J95" s="552">
        <f>H95/DAY(B2)</f>
        <v>71.222222222222229</v>
      </c>
      <c r="K95" s="380"/>
      <c r="L95" s="377"/>
      <c r="N95" s="721"/>
      <c r="O95" s="728"/>
      <c r="P95" s="382"/>
    </row>
    <row r="96" spans="1:16" ht="27.75">
      <c r="A96" s="1328" t="s">
        <v>210</v>
      </c>
      <c r="B96" s="1329"/>
      <c r="C96" s="1329"/>
      <c r="D96" s="523" t="s">
        <v>144</v>
      </c>
      <c r="E96" s="484">
        <f>'17'!F96</f>
        <v>102123</v>
      </c>
      <c r="F96" s="478">
        <v>102144</v>
      </c>
      <c r="G96" s="473">
        <f t="shared" si="10"/>
        <v>21</v>
      </c>
      <c r="H96" s="460">
        <f>G96+'17'!H96</f>
        <v>313</v>
      </c>
      <c r="I96" s="480"/>
      <c r="J96" s="552">
        <f>H96/DAY(B2)</f>
        <v>17.388888888888889</v>
      </c>
      <c r="K96" s="427"/>
      <c r="L96" s="377"/>
      <c r="N96" s="721"/>
      <c r="O96" s="728"/>
      <c r="P96" s="382"/>
    </row>
    <row r="97" spans="1:16" ht="27.75">
      <c r="A97" s="1328" t="s">
        <v>211</v>
      </c>
      <c r="B97" s="1329"/>
      <c r="C97" s="1329"/>
      <c r="D97" s="523" t="s">
        <v>144</v>
      </c>
      <c r="E97" s="484">
        <f>'17'!F97</f>
        <v>97222</v>
      </c>
      <c r="F97" s="478">
        <v>97238</v>
      </c>
      <c r="G97" s="473">
        <f t="shared" si="10"/>
        <v>16</v>
      </c>
      <c r="H97" s="460">
        <f>G97+'17'!H97</f>
        <v>310</v>
      </c>
      <c r="I97" s="480"/>
      <c r="J97" s="552">
        <f>H97/DAY(B2)</f>
        <v>17.222222222222221</v>
      </c>
      <c r="K97" s="432"/>
      <c r="L97" s="377"/>
      <c r="N97" s="721"/>
      <c r="O97" s="728"/>
      <c r="P97" s="382"/>
    </row>
    <row r="98" spans="1:16" ht="27.75">
      <c r="A98" s="1328" t="s">
        <v>212</v>
      </c>
      <c r="B98" s="1329"/>
      <c r="C98" s="1329"/>
      <c r="D98" s="523" t="s">
        <v>144</v>
      </c>
      <c r="E98" s="484">
        <f>'17'!F98</f>
        <v>149431</v>
      </c>
      <c r="F98" s="478">
        <v>149438</v>
      </c>
      <c r="G98" s="473">
        <f t="shared" si="10"/>
        <v>7</v>
      </c>
      <c r="H98" s="460">
        <f>G98+'17'!H98</f>
        <v>529</v>
      </c>
      <c r="I98" s="480"/>
      <c r="J98" s="552">
        <f>H98/DAY(B2)</f>
        <v>29.388888888888889</v>
      </c>
      <c r="K98" s="380"/>
      <c r="L98" s="377"/>
      <c r="N98" s="723"/>
      <c r="O98" s="728"/>
      <c r="P98" s="382"/>
    </row>
    <row r="99" spans="1:16" ht="27.75">
      <c r="A99" s="1328" t="s">
        <v>213</v>
      </c>
      <c r="B99" s="1329"/>
      <c r="C99" s="1329"/>
      <c r="D99" s="523" t="s">
        <v>144</v>
      </c>
      <c r="E99" s="484">
        <f>'17'!F99</f>
        <v>7076</v>
      </c>
      <c r="F99" s="478">
        <v>7084</v>
      </c>
      <c r="G99" s="473">
        <f t="shared" si="10"/>
        <v>8</v>
      </c>
      <c r="H99" s="460">
        <f>G99+'17'!H99</f>
        <v>229</v>
      </c>
      <c r="I99" s="480"/>
      <c r="J99" s="552">
        <f>H99/DAY(B2)</f>
        <v>12.722222222222221</v>
      </c>
      <c r="K99" s="380"/>
      <c r="L99" s="377"/>
      <c r="N99" s="721"/>
      <c r="O99" s="728"/>
      <c r="P99" s="382"/>
    </row>
    <row r="100" spans="1:16" ht="27.75">
      <c r="A100" s="1328" t="s">
        <v>214</v>
      </c>
      <c r="B100" s="1329"/>
      <c r="C100" s="1329"/>
      <c r="D100" s="523" t="s">
        <v>144</v>
      </c>
      <c r="E100" s="484">
        <f>'17'!F100</f>
        <v>5063</v>
      </c>
      <c r="F100" s="478">
        <v>5069</v>
      </c>
      <c r="G100" s="473">
        <f t="shared" si="10"/>
        <v>6</v>
      </c>
      <c r="H100" s="460">
        <f>G100+'17'!H100</f>
        <v>126</v>
      </c>
      <c r="I100" s="480"/>
      <c r="J100" s="552">
        <f>H100/DAY(B2)</f>
        <v>7</v>
      </c>
      <c r="K100" s="380"/>
      <c r="L100" s="377"/>
      <c r="N100" s="721"/>
      <c r="O100" s="728"/>
      <c r="P100" s="382"/>
    </row>
    <row r="101" spans="1:16">
      <c r="A101" s="1548" t="s">
        <v>216</v>
      </c>
      <c r="B101" s="1549"/>
      <c r="C101" s="1550"/>
      <c r="D101" s="524"/>
      <c r="E101" s="484"/>
      <c r="F101" s="524"/>
      <c r="G101" s="525">
        <f>SUM(G95:G100)</f>
        <v>121</v>
      </c>
      <c r="H101" s="460">
        <f>G101+'17'!H101</f>
        <v>2789</v>
      </c>
      <c r="I101" s="526"/>
      <c r="J101" s="552">
        <f>H101/DAY(B2)</f>
        <v>154.94444444444446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551" t="s">
        <v>218</v>
      </c>
      <c r="B103" s="1552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512" t="s">
        <v>219</v>
      </c>
      <c r="B104" s="1513"/>
      <c r="C104" s="1327"/>
      <c r="D104" s="622" t="s">
        <v>144</v>
      </c>
      <c r="E104" s="484">
        <f>'17'!F104</f>
        <v>7378</v>
      </c>
      <c r="F104" s="661">
        <v>7382</v>
      </c>
      <c r="G104" s="532">
        <f>F104-E104</f>
        <v>4</v>
      </c>
      <c r="H104" s="533">
        <f>SUM(G104+'1'!G76)</f>
        <v>63</v>
      </c>
      <c r="I104" s="532"/>
      <c r="J104" s="558">
        <f>H104/DAY(B2)</f>
        <v>3.5</v>
      </c>
      <c r="N104" s="721"/>
      <c r="O104" s="728"/>
      <c r="P104" s="382"/>
    </row>
    <row r="105" spans="1:16" s="442" customFormat="1" ht="27.75">
      <c r="A105" s="1512" t="s">
        <v>77</v>
      </c>
      <c r="B105" s="1513"/>
      <c r="C105" s="1327"/>
      <c r="D105" s="622" t="s">
        <v>144</v>
      </c>
      <c r="E105" s="484">
        <f>'17'!F105</f>
        <v>35751</v>
      </c>
      <c r="F105" s="662">
        <v>35758</v>
      </c>
      <c r="G105" s="532">
        <f t="shared" ref="G105:G106" si="11">F105-E105</f>
        <v>7</v>
      </c>
      <c r="H105" s="533">
        <f>SUM(G105+'1'!G77)</f>
        <v>57</v>
      </c>
      <c r="I105" s="532"/>
      <c r="J105" s="558">
        <f>H105/DAY(B2)</f>
        <v>3.1666666666666665</v>
      </c>
      <c r="N105" s="721"/>
      <c r="O105" s="728"/>
      <c r="P105" s="382"/>
    </row>
    <row r="106" spans="1:16" s="442" customFormat="1" ht="27.75">
      <c r="A106" s="1512" t="s">
        <v>78</v>
      </c>
      <c r="B106" s="1553"/>
      <c r="C106" s="1513"/>
      <c r="D106" s="622" t="s">
        <v>144</v>
      </c>
      <c r="E106" s="484">
        <f>'17'!F106</f>
        <v>19532</v>
      </c>
      <c r="F106" s="662">
        <v>19540</v>
      </c>
      <c r="G106" s="532">
        <f t="shared" si="11"/>
        <v>8</v>
      </c>
      <c r="H106" s="533">
        <f>SUM(G106+'1'!G78)</f>
        <v>403</v>
      </c>
      <c r="I106" s="532"/>
      <c r="J106" s="558">
        <f>H106/DAY(B2)</f>
        <v>22.388888888888889</v>
      </c>
      <c r="N106" s="721"/>
      <c r="O106" s="728"/>
      <c r="P106" s="382"/>
    </row>
    <row r="107" spans="1:16" s="442" customFormat="1" ht="27.75">
      <c r="A107" s="1514" t="s">
        <v>202</v>
      </c>
      <c r="B107" s="1515"/>
      <c r="C107" s="1327"/>
      <c r="D107" s="622"/>
      <c r="E107" s="484">
        <f>'17'!F107</f>
        <v>0</v>
      </c>
      <c r="F107" s="662"/>
      <c r="G107" s="532">
        <f>SUM(G104:G106)</f>
        <v>19</v>
      </c>
      <c r="H107" s="533">
        <f>SUM(G107+'1'!G79)</f>
        <v>213</v>
      </c>
      <c r="I107" s="532"/>
      <c r="J107" s="558">
        <f>H107/DAY(B2)</f>
        <v>11.833333333333334</v>
      </c>
      <c r="N107" s="721"/>
      <c r="O107" s="728"/>
      <c r="P107" s="382"/>
    </row>
    <row r="108" spans="1:16" s="442" customFormat="1" ht="27.75">
      <c r="A108" s="1518" t="s">
        <v>79</v>
      </c>
      <c r="B108" s="1519"/>
      <c r="C108" s="1327"/>
      <c r="D108" s="622" t="s">
        <v>144</v>
      </c>
      <c r="E108" s="484">
        <f>'17'!F108</f>
        <v>0</v>
      </c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512" t="s">
        <v>220</v>
      </c>
      <c r="B109" s="1513"/>
      <c r="C109" s="1327"/>
      <c r="D109" s="622" t="s">
        <v>144</v>
      </c>
      <c r="E109" s="484">
        <f>'17'!F109</f>
        <v>60170</v>
      </c>
      <c r="F109" s="662">
        <v>60243</v>
      </c>
      <c r="G109" s="532">
        <f>F109-E109</f>
        <v>73</v>
      </c>
      <c r="H109" s="533">
        <f>SUM(G109+'1'!G81)</f>
        <v>271</v>
      </c>
      <c r="I109" s="532"/>
      <c r="J109" s="558">
        <f>H109/DAY(B2)</f>
        <v>15.055555555555555</v>
      </c>
      <c r="N109" s="721"/>
      <c r="O109" s="728"/>
      <c r="P109" s="382"/>
    </row>
    <row r="110" spans="1:16" s="442" customFormat="1" ht="27.75">
      <c r="A110" s="1512" t="s">
        <v>221</v>
      </c>
      <c r="B110" s="1513"/>
      <c r="C110" s="1327"/>
      <c r="D110" s="622" t="s">
        <v>144</v>
      </c>
      <c r="E110" s="484">
        <f>'17'!F110</f>
        <v>32105</v>
      </c>
      <c r="F110" s="662">
        <v>32110</v>
      </c>
      <c r="G110" s="532">
        <f t="shared" ref="G110:G111" si="12">F110-E110</f>
        <v>5</v>
      </c>
      <c r="H110" s="533">
        <f>SUM(G110+'1'!G82)</f>
        <v>28</v>
      </c>
      <c r="I110" s="532"/>
      <c r="J110" s="558">
        <f>H110/DAY(B2)</f>
        <v>1.5555555555555556</v>
      </c>
      <c r="N110" s="721"/>
      <c r="O110" s="728"/>
      <c r="P110" s="382"/>
    </row>
    <row r="111" spans="1:16" s="442" customFormat="1" ht="27.75">
      <c r="A111" s="1512" t="s">
        <v>222</v>
      </c>
      <c r="B111" s="1513"/>
      <c r="C111" s="1327"/>
      <c r="D111" s="622" t="s">
        <v>144</v>
      </c>
      <c r="E111" s="484">
        <f>'17'!F111</f>
        <v>4292</v>
      </c>
      <c r="F111" s="662">
        <v>4292</v>
      </c>
      <c r="G111" s="532">
        <f t="shared" si="12"/>
        <v>0</v>
      </c>
      <c r="H111" s="533">
        <f>SUM(G111+'1'!G83)</f>
        <v>239</v>
      </c>
      <c r="I111" s="532"/>
      <c r="J111" s="558">
        <f>H111/DAY(B2)</f>
        <v>13.277777777777779</v>
      </c>
      <c r="N111" s="721"/>
      <c r="O111" s="728"/>
      <c r="P111" s="382"/>
    </row>
    <row r="112" spans="1:16" s="442" customFormat="1" ht="27.75">
      <c r="A112" s="1514" t="s">
        <v>110</v>
      </c>
      <c r="B112" s="1515"/>
      <c r="C112" s="1327"/>
      <c r="D112" s="622"/>
      <c r="E112" s="484">
        <f>'17'!F112</f>
        <v>0</v>
      </c>
      <c r="F112" s="662"/>
      <c r="G112" s="532">
        <f>SUM(G109:G111)</f>
        <v>78</v>
      </c>
      <c r="H112" s="533">
        <f>SUM(G112+'1'!G84)</f>
        <v>993</v>
      </c>
      <c r="I112" s="532"/>
      <c r="J112" s="558">
        <f>H112/DAY(B2)</f>
        <v>55.166666666666664</v>
      </c>
      <c r="N112" s="721"/>
      <c r="O112" s="728"/>
      <c r="P112" s="382"/>
    </row>
    <row r="113" spans="1:16" s="442" customFormat="1" ht="27.75">
      <c r="A113" s="1518" t="s">
        <v>223</v>
      </c>
      <c r="B113" s="1519"/>
      <c r="C113" s="1327"/>
      <c r="D113" s="622"/>
      <c r="E113" s="484">
        <f>'17'!F113</f>
        <v>0</v>
      </c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512" t="s">
        <v>224</v>
      </c>
      <c r="B114" s="1513"/>
      <c r="C114" s="574"/>
      <c r="D114" s="622" t="s">
        <v>144</v>
      </c>
      <c r="E114" s="484">
        <f>'17'!F114</f>
        <v>11124</v>
      </c>
      <c r="F114" s="662">
        <v>11135</v>
      </c>
      <c r="G114" s="534">
        <f>F114-E114</f>
        <v>11</v>
      </c>
      <c r="H114" s="533">
        <f>SUM(G114+'1'!G91)</f>
        <v>11</v>
      </c>
      <c r="I114" s="532"/>
      <c r="J114" s="558">
        <f>H114/DAY(B2)</f>
        <v>0.61111111111111116</v>
      </c>
      <c r="N114" s="721"/>
      <c r="O114" s="728"/>
      <c r="P114" s="382"/>
    </row>
    <row r="115" spans="1:16" s="442" customFormat="1" ht="27.75">
      <c r="A115" s="1512" t="s">
        <v>225</v>
      </c>
      <c r="B115" s="1513"/>
      <c r="C115" s="574"/>
      <c r="D115" s="622" t="s">
        <v>144</v>
      </c>
      <c r="E115" s="484">
        <f>'17'!F115</f>
        <v>8071</v>
      </c>
      <c r="F115" s="662">
        <v>8075</v>
      </c>
      <c r="G115" s="534">
        <f t="shared" ref="G115:G116" si="13">F115-E115</f>
        <v>4</v>
      </c>
      <c r="H115" s="533">
        <f>SUM(G115+'1'!G92)</f>
        <v>96</v>
      </c>
      <c r="I115" s="532"/>
      <c r="J115" s="558">
        <f>H115/DAY(B2)</f>
        <v>5.333333333333333</v>
      </c>
      <c r="N115" s="721"/>
      <c r="O115" s="728"/>
      <c r="P115" s="382"/>
    </row>
    <row r="116" spans="1:16" s="442" customFormat="1" ht="27.75">
      <c r="A116" s="1512" t="s">
        <v>226</v>
      </c>
      <c r="B116" s="1513"/>
      <c r="C116" s="574"/>
      <c r="D116" s="622" t="s">
        <v>144</v>
      </c>
      <c r="E116" s="534"/>
      <c r="F116" s="662"/>
      <c r="G116" s="534">
        <f t="shared" si="13"/>
        <v>0</v>
      </c>
      <c r="H116" s="533">
        <f>SUM(G116+'1'!G93)</f>
        <v>127</v>
      </c>
      <c r="I116" s="532"/>
      <c r="J116" s="558">
        <f>H116/DAY(B2)</f>
        <v>7.0555555555555554</v>
      </c>
      <c r="N116" s="721"/>
      <c r="O116" s="728"/>
      <c r="P116" s="382"/>
    </row>
    <row r="117" spans="1:16" s="445" customFormat="1" ht="27.75">
      <c r="A117" s="1514" t="s">
        <v>202</v>
      </c>
      <c r="B117" s="1515"/>
      <c r="C117" s="574"/>
      <c r="D117" s="623"/>
      <c r="E117" s="534"/>
      <c r="F117" s="662"/>
      <c r="G117" s="534">
        <f>SUM(G114:G116)</f>
        <v>15</v>
      </c>
      <c r="H117" s="533">
        <f>SUM(G117+'1'!G95)</f>
        <v>92</v>
      </c>
      <c r="I117" s="534"/>
      <c r="J117" s="558">
        <f>H117/DAY(B2)</f>
        <v>5.1111111111111107</v>
      </c>
      <c r="N117" s="721"/>
      <c r="O117" s="728"/>
      <c r="P117" s="382"/>
    </row>
    <row r="118" spans="1:16" s="446" customFormat="1" ht="27.75">
      <c r="A118" s="1508" t="s">
        <v>227</v>
      </c>
      <c r="B118" s="1509"/>
      <c r="C118" s="1325"/>
      <c r="D118" s="624" t="s">
        <v>144</v>
      </c>
      <c r="E118" s="536"/>
      <c r="F118" s="663">
        <f>SUM(G19+G92)</f>
        <v>123</v>
      </c>
      <c r="G118" s="536">
        <f>SUM(G19+G92)</f>
        <v>123</v>
      </c>
      <c r="H118" s="533">
        <f>SUM(G118+'1'!G96)</f>
        <v>140</v>
      </c>
      <c r="I118" s="535"/>
      <c r="J118" s="559">
        <f>H118/DAY(B2)</f>
        <v>7.7777777777777777</v>
      </c>
      <c r="N118" s="721"/>
      <c r="O118" s="728"/>
      <c r="P118" s="382"/>
    </row>
    <row r="119" spans="1:16" s="446" customFormat="1" ht="27.75">
      <c r="A119" s="1508" t="s">
        <v>228</v>
      </c>
      <c r="B119" s="1509"/>
      <c r="C119" s="1325"/>
      <c r="D119" s="624" t="s">
        <v>144</v>
      </c>
      <c r="E119" s="536"/>
      <c r="F119" s="663">
        <f>SUM(G95,G96,G97,G99,G100)</f>
        <v>114</v>
      </c>
      <c r="G119" s="536">
        <f>SUM(G95,G96,G97,G99,G100)</f>
        <v>114</v>
      </c>
      <c r="H119" s="533">
        <f>SUM(G119+'1'!G98)</f>
        <v>142</v>
      </c>
      <c r="I119" s="535"/>
      <c r="J119" s="559">
        <f>H119/DAY(B2)</f>
        <v>7.8888888888888893</v>
      </c>
      <c r="N119" s="721"/>
      <c r="O119" s="728"/>
      <c r="P119" s="382"/>
    </row>
    <row r="120" spans="1:16" s="446" customFormat="1" ht="27.75">
      <c r="A120" s="1508" t="s">
        <v>229</v>
      </c>
      <c r="B120" s="1509"/>
      <c r="C120" s="1325"/>
      <c r="D120" s="624" t="s">
        <v>144</v>
      </c>
      <c r="E120" s="534"/>
      <c r="F120" s="662">
        <f>SUM(G112)</f>
        <v>78</v>
      </c>
      <c r="G120" s="534">
        <f>SUM(G112)</f>
        <v>78</v>
      </c>
      <c r="H120" s="533">
        <f>SUM(G120+'1'!G100)</f>
        <v>84</v>
      </c>
      <c r="I120" s="535"/>
      <c r="J120" s="559">
        <f>H120/DAY(B2)</f>
        <v>4.666666666666667</v>
      </c>
      <c r="N120" s="721"/>
      <c r="O120" s="728"/>
      <c r="P120" s="382"/>
    </row>
    <row r="121" spans="1:16" s="442" customFormat="1" ht="27.75">
      <c r="A121" s="1510"/>
      <c r="B121" s="1511"/>
      <c r="C121" s="1326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545" t="s">
        <v>230</v>
      </c>
      <c r="B122" s="1546"/>
      <c r="C122" s="1547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328" t="s">
        <v>231</v>
      </c>
      <c r="B123" s="1329"/>
      <c r="C123" s="1329"/>
      <c r="D123" s="523" t="s">
        <v>141</v>
      </c>
      <c r="E123" s="478">
        <f>'17'!F123</f>
        <v>823046</v>
      </c>
      <c r="F123" s="478">
        <v>823306</v>
      </c>
      <c r="G123" s="473">
        <f t="shared" ref="G123:G127" si="14">F123-E123</f>
        <v>260</v>
      </c>
      <c r="H123" s="460">
        <f>G123+'17'!H123</f>
        <v>4496</v>
      </c>
      <c r="I123" s="526"/>
      <c r="J123" s="552">
        <f>H123/DAY(B2)</f>
        <v>249.77777777777777</v>
      </c>
      <c r="K123" s="380"/>
      <c r="L123" s="377"/>
      <c r="N123" s="721"/>
      <c r="O123" s="728"/>
      <c r="P123" s="382"/>
    </row>
    <row r="124" spans="1:16" ht="27.75">
      <c r="A124" s="1328" t="s">
        <v>232</v>
      </c>
      <c r="B124" s="1329"/>
      <c r="C124" s="1329"/>
      <c r="D124" s="523" t="s">
        <v>141</v>
      </c>
      <c r="E124" s="626">
        <f>'17'!F124</f>
        <v>73583.399999999994</v>
      </c>
      <c r="F124" s="626">
        <v>73583.399999999994</v>
      </c>
      <c r="G124" s="473">
        <f t="shared" si="14"/>
        <v>0</v>
      </c>
      <c r="H124" s="460">
        <f>G124+'17'!H124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499" t="s">
        <v>233</v>
      </c>
      <c r="B125" s="1500"/>
      <c r="C125" s="1501"/>
      <c r="D125" s="523" t="s">
        <v>141</v>
      </c>
      <c r="E125" s="478">
        <f>'17'!F125</f>
        <v>143665</v>
      </c>
      <c r="F125" s="478">
        <v>143733</v>
      </c>
      <c r="G125" s="473">
        <f t="shared" si="14"/>
        <v>68</v>
      </c>
      <c r="H125" s="460">
        <f>G125+'17'!H125</f>
        <v>1597</v>
      </c>
      <c r="I125" s="526"/>
      <c r="J125" s="552">
        <f>H125/DAY(B2)</f>
        <v>88.722222222222229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329"/>
      <c r="C126" s="1329"/>
      <c r="D126" s="523" t="s">
        <v>141</v>
      </c>
      <c r="E126" s="626">
        <f>'17'!F126</f>
        <v>31404</v>
      </c>
      <c r="F126" s="626">
        <v>31404</v>
      </c>
      <c r="G126" s="473">
        <f t="shared" si="14"/>
        <v>0</v>
      </c>
      <c r="H126" s="460">
        <f>G126+'17'!H126</f>
        <v>85.299999999999272</v>
      </c>
      <c r="I126" s="526"/>
      <c r="J126" s="552">
        <f>H126/DAY(B2)</f>
        <v>4.7388888888888481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329"/>
      <c r="C127" s="1329"/>
      <c r="D127" s="523" t="s">
        <v>141</v>
      </c>
      <c r="E127" s="626">
        <f>'17'!F127</f>
        <v>8968</v>
      </c>
      <c r="F127" s="626">
        <v>8968</v>
      </c>
      <c r="G127" s="473">
        <f t="shared" si="14"/>
        <v>0</v>
      </c>
      <c r="H127" s="460">
        <f>G127+'17'!H127</f>
        <v>6</v>
      </c>
      <c r="I127" s="480"/>
      <c r="J127" s="552">
        <f>H127/DAY(B2)</f>
        <v>0.33333333333333331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329"/>
      <c r="C128" s="1329"/>
      <c r="D128" s="523"/>
      <c r="E128" s="478"/>
      <c r="F128" s="478"/>
      <c r="G128" s="473">
        <f>G15-SUM(G123:G127)</f>
        <v>448</v>
      </c>
      <c r="H128" s="460">
        <f>G128+'17'!H128</f>
        <v>1441.25</v>
      </c>
      <c r="I128" s="480"/>
      <c r="J128" s="552">
        <f>H128/DAY(B2)</f>
        <v>80.069444444444443</v>
      </c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328" t="s">
        <v>238</v>
      </c>
      <c r="B130" s="1329"/>
      <c r="C130" s="1329"/>
      <c r="D130" s="523" t="s">
        <v>239</v>
      </c>
      <c r="E130" s="484">
        <f>'17'!F130</f>
        <v>0</v>
      </c>
      <c r="F130" s="478">
        <v>0</v>
      </c>
      <c r="G130" s="473">
        <f t="shared" ref="G130:G140" si="15">F130-E130</f>
        <v>0</v>
      </c>
      <c r="H130" s="460">
        <f>G130+'17'!H130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328" t="s">
        <v>240</v>
      </c>
      <c r="B131" s="1329"/>
      <c r="C131" s="1329"/>
      <c r="D131" s="523" t="s">
        <v>239</v>
      </c>
      <c r="E131" s="484">
        <f>'17'!F131</f>
        <v>0</v>
      </c>
      <c r="F131" s="478">
        <v>0</v>
      </c>
      <c r="G131" s="473">
        <f t="shared" si="15"/>
        <v>0</v>
      </c>
      <c r="H131" s="460">
        <f>G131+'17'!H131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328" t="s">
        <v>241</v>
      </c>
      <c r="B132" s="1329"/>
      <c r="C132" s="1329"/>
      <c r="D132" s="523" t="s">
        <v>239</v>
      </c>
      <c r="E132" s="484">
        <f>'17'!F132</f>
        <v>39659.230000000003</v>
      </c>
      <c r="F132" s="654">
        <v>39659.230000000003</v>
      </c>
      <c r="G132" s="473">
        <v>0</v>
      </c>
      <c r="H132" s="460">
        <f>G132+'17'!H132</f>
        <v>126.2300000000032</v>
      </c>
      <c r="I132" s="480"/>
      <c r="J132" s="552">
        <f>H132/DAY(B2)</f>
        <v>7.0127777777779556</v>
      </c>
      <c r="N132" s="721"/>
      <c r="O132" s="728"/>
      <c r="P132" s="382"/>
    </row>
    <row r="133" spans="1:16" ht="27.75">
      <c r="A133" s="1328" t="s">
        <v>242</v>
      </c>
      <c r="B133" s="1329"/>
      <c r="C133" s="1329"/>
      <c r="D133" s="523" t="s">
        <v>239</v>
      </c>
      <c r="E133" s="484">
        <f>'17'!F133</f>
        <v>300</v>
      </c>
      <c r="F133" s="626">
        <v>300</v>
      </c>
      <c r="G133" s="473">
        <f t="shared" si="15"/>
        <v>0</v>
      </c>
      <c r="H133" s="460">
        <f>G133+'17'!H133</f>
        <v>0</v>
      </c>
      <c r="I133" s="480">
        <f>G130+G131+G132+G133</f>
        <v>0</v>
      </c>
      <c r="J133" s="552">
        <f>H133/DAY(B2)</f>
        <v>0</v>
      </c>
      <c r="N133" s="721"/>
      <c r="O133" s="728"/>
      <c r="P133" s="382"/>
    </row>
    <row r="134" spans="1:16" ht="27.75">
      <c r="A134" s="1328" t="s">
        <v>243</v>
      </c>
      <c r="B134" s="1329"/>
      <c r="C134" s="1329"/>
      <c r="D134" s="523" t="s">
        <v>239</v>
      </c>
      <c r="E134" s="484">
        <f>'17'!F134</f>
        <v>41150.639999999999</v>
      </c>
      <c r="F134" s="626">
        <v>41174.53</v>
      </c>
      <c r="G134" s="473">
        <f t="shared" si="15"/>
        <v>23.889999999999418</v>
      </c>
      <c r="H134" s="460">
        <f>G134+'17'!H134</f>
        <v>332.97000000000116</v>
      </c>
      <c r="I134" s="480"/>
      <c r="J134" s="552">
        <f>H134/DAY(B2)</f>
        <v>18.498333333333399</v>
      </c>
      <c r="N134" s="721"/>
      <c r="O134" s="728"/>
      <c r="P134" s="382"/>
    </row>
    <row r="135" spans="1:16" ht="27.75">
      <c r="A135" s="1328" t="s">
        <v>244</v>
      </c>
      <c r="B135" s="1329"/>
      <c r="C135" s="1329"/>
      <c r="D135" s="523" t="s">
        <v>239</v>
      </c>
      <c r="E135" s="484">
        <f>'17'!F135</f>
        <v>32582.98</v>
      </c>
      <c r="F135" s="654">
        <v>32582.98</v>
      </c>
      <c r="G135" s="473">
        <f t="shared" si="15"/>
        <v>0</v>
      </c>
      <c r="H135" s="460">
        <f>G135+'17'!H135</f>
        <v>-2.0000000000436557E-2</v>
      </c>
      <c r="I135" s="480"/>
      <c r="J135" s="552">
        <f>H135/DAY(B2)</f>
        <v>-1.1111111111353643E-3</v>
      </c>
      <c r="N135" s="721"/>
      <c r="O135" s="728"/>
      <c r="P135" s="382"/>
    </row>
    <row r="136" spans="1:16" ht="27.75">
      <c r="A136" s="1328" t="s">
        <v>245</v>
      </c>
      <c r="B136" s="1329"/>
      <c r="C136" s="1329"/>
      <c r="D136" s="523" t="s">
        <v>239</v>
      </c>
      <c r="E136" s="484">
        <f>'17'!F136</f>
        <v>22657</v>
      </c>
      <c r="F136" s="654">
        <v>22665</v>
      </c>
      <c r="G136" s="473">
        <f t="shared" si="15"/>
        <v>8</v>
      </c>
      <c r="H136" s="460">
        <f>G136+'17'!H136</f>
        <v>176.34999999999854</v>
      </c>
      <c r="I136" s="480">
        <f>G134+G135+G136</f>
        <v>31.889999999999418</v>
      </c>
      <c r="J136" s="552">
        <f>H136/DAY(B2)</f>
        <v>9.7972222222221408</v>
      </c>
      <c r="N136" s="721"/>
      <c r="O136" s="728"/>
      <c r="P136" s="382"/>
    </row>
    <row r="137" spans="1:16" ht="27.75">
      <c r="A137" s="1328" t="s">
        <v>246</v>
      </c>
      <c r="B137" s="1329"/>
      <c r="C137" s="1329"/>
      <c r="D137" s="523" t="s">
        <v>239</v>
      </c>
      <c r="E137" s="484">
        <f>'17'!F137</f>
        <v>25050</v>
      </c>
      <c r="F137" s="654">
        <v>25050</v>
      </c>
      <c r="G137" s="473">
        <f t="shared" si="15"/>
        <v>0</v>
      </c>
      <c r="H137" s="460">
        <f>G137+'17'!H137</f>
        <v>1.2099999999991269</v>
      </c>
      <c r="I137" s="480"/>
      <c r="J137" s="552">
        <f>H137/DAY(B2)</f>
        <v>6.7222222222173722E-2</v>
      </c>
      <c r="N137" s="721"/>
      <c r="O137" s="728"/>
      <c r="P137" s="382"/>
    </row>
    <row r="138" spans="1:16" ht="27.75">
      <c r="A138" s="1328" t="s">
        <v>247</v>
      </c>
      <c r="B138" s="1329"/>
      <c r="C138" s="1329"/>
      <c r="D138" s="523" t="s">
        <v>239</v>
      </c>
      <c r="E138" s="484">
        <f>'17'!F138</f>
        <v>70282.789999999994</v>
      </c>
      <c r="F138" s="654">
        <v>70285</v>
      </c>
      <c r="G138" s="473">
        <f t="shared" si="15"/>
        <v>2.2100000000064028</v>
      </c>
      <c r="H138" s="460">
        <f>G138+'17'!H138</f>
        <v>30.970000000001164</v>
      </c>
      <c r="I138" s="480">
        <f>G137+G138</f>
        <v>2.2100000000064028</v>
      </c>
      <c r="J138" s="552">
        <f>H138/DAY(B2)</f>
        <v>1.7205555555556202</v>
      </c>
      <c r="N138" s="721"/>
      <c r="O138" s="728"/>
      <c r="P138" s="382"/>
    </row>
    <row r="139" spans="1:16" ht="27.75">
      <c r="A139" s="1328" t="s">
        <v>248</v>
      </c>
      <c r="B139" s="1329"/>
      <c r="C139" s="1329"/>
      <c r="D139" s="523" t="s">
        <v>239</v>
      </c>
      <c r="E139" s="484">
        <f>'17'!F139</f>
        <v>1536.62</v>
      </c>
      <c r="F139" s="626">
        <v>1536.62</v>
      </c>
      <c r="G139" s="473">
        <f t="shared" si="15"/>
        <v>0</v>
      </c>
      <c r="H139" s="460">
        <f>G139+'17'!H139</f>
        <v>9.9999999999909051E-2</v>
      </c>
      <c r="I139" s="542"/>
      <c r="J139" s="552">
        <f>H139/DAY(B2)</f>
        <v>5.5555555555505025E-3</v>
      </c>
      <c r="N139" s="721"/>
      <c r="O139" s="728"/>
      <c r="P139" s="382"/>
    </row>
    <row r="140" spans="1:16" ht="27.75">
      <c r="A140" s="1328" t="s">
        <v>249</v>
      </c>
      <c r="B140" s="1329"/>
      <c r="C140" s="1329"/>
      <c r="D140" s="523" t="s">
        <v>239</v>
      </c>
      <c r="E140" s="484">
        <f>'17'!F140</f>
        <v>4607.33</v>
      </c>
      <c r="F140" s="478">
        <v>4615.9399999999996</v>
      </c>
      <c r="G140" s="473">
        <f t="shared" si="15"/>
        <v>8.6099999999996726</v>
      </c>
      <c r="H140" s="460">
        <f>G140+'17'!H140</f>
        <v>147.39999999999964</v>
      </c>
      <c r="I140" s="542"/>
      <c r="J140" s="552">
        <f>H140/DAY(B2)</f>
        <v>8.1888888888888687</v>
      </c>
      <c r="N140" s="721"/>
      <c r="O140" s="728"/>
      <c r="P140" s="382"/>
    </row>
    <row r="141" spans="1:16">
      <c r="A141" s="1526" t="s">
        <v>250</v>
      </c>
      <c r="B141" s="1527"/>
      <c r="C141" s="1334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520" t="s">
        <v>251</v>
      </c>
      <c r="B142" s="1521"/>
      <c r="C142" s="1522"/>
      <c r="D142" s="523" t="s">
        <v>132</v>
      </c>
      <c r="E142" s="523"/>
      <c r="F142" s="523"/>
      <c r="G142" s="460">
        <f>G35+G43+G49+G57</f>
        <v>4878</v>
      </c>
      <c r="H142" s="460">
        <f>G142+'17'!H142</f>
        <v>97799.46</v>
      </c>
      <c r="I142" s="480"/>
      <c r="J142" s="552">
        <f>H142/DAY(B2)</f>
        <v>5433.3033333333333</v>
      </c>
      <c r="K142" s="380"/>
      <c r="L142" s="377"/>
      <c r="N142" s="721"/>
      <c r="O142" s="728"/>
      <c r="P142" s="382"/>
    </row>
    <row r="143" spans="1:16" ht="27.75">
      <c r="A143" s="1520" t="s">
        <v>252</v>
      </c>
      <c r="B143" s="1521"/>
      <c r="C143" s="1522"/>
      <c r="D143" s="523" t="s">
        <v>24</v>
      </c>
      <c r="E143" s="511"/>
      <c r="F143" s="511"/>
      <c r="G143" s="543">
        <f>G142/G7</f>
        <v>0.24398539488821086</v>
      </c>
      <c r="H143" s="460">
        <f>G143+'17'!H143</f>
        <v>4.6219819086281069</v>
      </c>
      <c r="I143" s="544"/>
      <c r="J143" s="552">
        <f>H143/DAY(B2)</f>
        <v>0.25677677270156152</v>
      </c>
      <c r="K143" s="380"/>
      <c r="L143" s="377"/>
      <c r="N143" s="721"/>
      <c r="O143" s="728"/>
      <c r="P143" s="382"/>
    </row>
    <row r="144" spans="1:16" ht="27.75">
      <c r="A144" s="1520" t="s">
        <v>253</v>
      </c>
      <c r="B144" s="1521"/>
      <c r="C144" s="1522"/>
      <c r="D144" s="523" t="s">
        <v>132</v>
      </c>
      <c r="E144" s="455"/>
      <c r="F144" s="455"/>
      <c r="G144" s="460">
        <f>G41+G42+G55+G56</f>
        <v>6326</v>
      </c>
      <c r="H144" s="460">
        <f>G144+'17'!H144</f>
        <v>109255.84</v>
      </c>
      <c r="I144" s="480"/>
      <c r="J144" s="552">
        <f>H144/DAY(B2)</f>
        <v>6069.7688888888888</v>
      </c>
      <c r="K144" s="380"/>
      <c r="L144" s="377"/>
      <c r="N144" s="721"/>
      <c r="O144" s="728"/>
      <c r="P144" s="382"/>
    </row>
    <row r="145" spans="1:16" ht="27.75">
      <c r="A145" s="1520" t="s">
        <v>254</v>
      </c>
      <c r="B145" s="1521"/>
      <c r="C145" s="1522"/>
      <c r="D145" s="523" t="s">
        <v>24</v>
      </c>
      <c r="E145" s="455"/>
      <c r="F145" s="455" t="s">
        <v>273</v>
      </c>
      <c r="G145" s="543">
        <f>G144/G7</f>
        <v>0.31641074376031614</v>
      </c>
      <c r="H145" s="460">
        <f>G145+'17'!H145</f>
        <v>5.1736991206669325</v>
      </c>
      <c r="I145" s="544"/>
      <c r="J145" s="552">
        <f>H145/DAY(B2)</f>
        <v>0.28742772892594071</v>
      </c>
      <c r="K145" s="380"/>
      <c r="L145" s="377"/>
      <c r="N145" s="721"/>
      <c r="O145" s="728"/>
      <c r="P145" s="382"/>
    </row>
    <row r="146" spans="1:16" ht="27.75">
      <c r="A146" s="1520" t="s">
        <v>255</v>
      </c>
      <c r="B146" s="1521"/>
      <c r="C146" s="1522"/>
      <c r="D146" s="523" t="s">
        <v>132</v>
      </c>
      <c r="E146" s="455"/>
      <c r="F146" s="455"/>
      <c r="G146" s="460">
        <f>G39+G53</f>
        <v>2785</v>
      </c>
      <c r="H146" s="460">
        <f>G146+'17'!H146</f>
        <v>66829</v>
      </c>
      <c r="I146" s="545"/>
      <c r="J146" s="552">
        <f>H146/DAY(B2)</f>
        <v>3712.7222222222222</v>
      </c>
      <c r="K146" s="380"/>
      <c r="L146" s="377"/>
      <c r="N146" s="721"/>
      <c r="O146" s="728"/>
      <c r="P146" s="382"/>
    </row>
    <row r="147" spans="1:16" ht="27.75">
      <c r="A147" s="1520" t="s">
        <v>256</v>
      </c>
      <c r="B147" s="1521"/>
      <c r="C147" s="1522"/>
      <c r="D147" s="523" t="s">
        <v>24</v>
      </c>
      <c r="E147" s="455"/>
      <c r="F147" s="455"/>
      <c r="G147" s="543">
        <f>G146/G7</f>
        <v>0.13929875456409743</v>
      </c>
      <c r="H147" s="460">
        <f>G147+'17'!H147</f>
        <v>3.1534967425732403</v>
      </c>
      <c r="I147" s="545"/>
      <c r="J147" s="552">
        <f>H147/DAY(B2)</f>
        <v>0.17519426347629113</v>
      </c>
      <c r="N147" s="721"/>
      <c r="O147" s="728"/>
      <c r="P147" s="382"/>
    </row>
    <row r="148" spans="1:16" ht="27.75">
      <c r="A148" s="1520" t="s">
        <v>257</v>
      </c>
      <c r="B148" s="1521"/>
      <c r="C148" s="1522"/>
      <c r="D148" s="523" t="s">
        <v>183</v>
      </c>
      <c r="E148" s="455"/>
      <c r="F148" s="455"/>
      <c r="G148" s="460">
        <f>G38+G52</f>
        <v>1664</v>
      </c>
      <c r="H148" s="460">
        <f>G148+'17'!H148</f>
        <v>30168</v>
      </c>
      <c r="I148" s="480"/>
      <c r="J148" s="552">
        <f>H148/DAY(B2)</f>
        <v>1676</v>
      </c>
      <c r="K148" s="381"/>
      <c r="N148" s="721"/>
      <c r="O148" s="728"/>
      <c r="P148" s="382"/>
    </row>
    <row r="149" spans="1:16" ht="27.75">
      <c r="A149" s="1520" t="s">
        <v>258</v>
      </c>
      <c r="B149" s="1521"/>
      <c r="C149" s="1522"/>
      <c r="D149" s="523" t="s">
        <v>24</v>
      </c>
      <c r="E149" s="455"/>
      <c r="F149" s="455"/>
      <c r="G149" s="543">
        <f>G148/G7</f>
        <v>8.3229130195568449E-2</v>
      </c>
      <c r="H149" s="460">
        <f>G149+'17'!H149</f>
        <v>1.4290285664762701</v>
      </c>
      <c r="I149" s="545"/>
      <c r="J149" s="552">
        <f>H149/DAY(B2)</f>
        <v>7.9390475915348341E-2</v>
      </c>
      <c r="N149" s="721"/>
      <c r="O149" s="728"/>
      <c r="P149" s="382"/>
    </row>
    <row r="150" spans="1:16" ht="27.75">
      <c r="A150" s="1520" t="s">
        <v>259</v>
      </c>
      <c r="B150" s="1521"/>
      <c r="C150" s="1522"/>
      <c r="D150" s="523" t="s">
        <v>183</v>
      </c>
      <c r="E150" s="455"/>
      <c r="F150" s="455"/>
      <c r="G150" s="460">
        <f>G36+G50</f>
        <v>1956</v>
      </c>
      <c r="H150" s="460">
        <f>G150+'17'!H150</f>
        <v>37360</v>
      </c>
      <c r="I150" s="545"/>
      <c r="J150" s="552">
        <f>H150/DAY(B2)</f>
        <v>2075.5555555555557</v>
      </c>
      <c r="N150" s="721"/>
      <c r="O150" s="728"/>
      <c r="P150" s="382"/>
    </row>
    <row r="151" spans="1:16" ht="27.75">
      <c r="A151" s="1520" t="s">
        <v>260</v>
      </c>
      <c r="B151" s="1521"/>
      <c r="C151" s="1522"/>
      <c r="D151" s="523" t="s">
        <v>24</v>
      </c>
      <c r="E151" s="455"/>
      <c r="F151" s="455"/>
      <c r="G151" s="543">
        <f>G150/G7</f>
        <v>9.7834241984694648E-2</v>
      </c>
      <c r="H151" s="460">
        <f>G151+'17'!H151</f>
        <v>1.7710302949118879</v>
      </c>
      <c r="I151" s="480"/>
      <c r="J151" s="552">
        <f>H151/DAY(B2)</f>
        <v>9.8390571939549323E-2</v>
      </c>
      <c r="N151" s="721"/>
      <c r="O151" s="728"/>
      <c r="P151" s="382"/>
    </row>
    <row r="152" spans="1:16" ht="27.75">
      <c r="A152" s="1520" t="s">
        <v>261</v>
      </c>
      <c r="B152" s="1521"/>
      <c r="C152" s="1522"/>
      <c r="D152" s="523" t="s">
        <v>183</v>
      </c>
      <c r="E152" s="455"/>
      <c r="F152" s="455"/>
      <c r="G152" s="460">
        <f>G37+G51</f>
        <v>1290</v>
      </c>
      <c r="H152" s="460">
        <f>G152+'17'!H152</f>
        <v>24679</v>
      </c>
      <c r="I152" s="480"/>
      <c r="J152" s="552">
        <f>H152/DAY(B2)</f>
        <v>1371.0555555555557</v>
      </c>
      <c r="N152" s="721"/>
      <c r="O152" s="728"/>
      <c r="P152" s="382"/>
    </row>
    <row r="153" spans="1:16" ht="28.5" thickBot="1">
      <c r="A153" s="1523" t="s">
        <v>262</v>
      </c>
      <c r="B153" s="1524"/>
      <c r="C153" s="1525"/>
      <c r="D153" s="625" t="s">
        <v>24</v>
      </c>
      <c r="E153" s="565"/>
      <c r="F153" s="565"/>
      <c r="G153" s="566">
        <f>G152/G7</f>
        <v>6.4522582904016412E-2</v>
      </c>
      <c r="H153" s="460">
        <f>G153+'17'!H153</f>
        <v>1.1692526501473892</v>
      </c>
      <c r="I153" s="568"/>
      <c r="J153" s="569">
        <f>H153/DAY(B2)</f>
        <v>6.4958480563743842E-2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'17'!F160</f>
        <v>34856</v>
      </c>
      <c r="F160" s="807">
        <v>34939</v>
      </c>
      <c r="G160" s="473">
        <f t="shared" ref="G160:G165" si="16">F160-E160</f>
        <v>83</v>
      </c>
      <c r="N160" s="721"/>
    </row>
    <row r="161" spans="1:14">
      <c r="A161" s="798" t="s">
        <v>264</v>
      </c>
      <c r="B161" s="799"/>
      <c r="C161" s="799"/>
      <c r="D161" s="620" t="s">
        <v>187</v>
      </c>
      <c r="E161" s="522">
        <f>'17'!F161</f>
        <v>76444</v>
      </c>
      <c r="F161" s="807">
        <v>76872</v>
      </c>
      <c r="G161" s="473">
        <f t="shared" si="16"/>
        <v>428</v>
      </c>
      <c r="N161" s="721"/>
    </row>
    <row r="162" spans="1:14">
      <c r="A162" s="798" t="s">
        <v>265</v>
      </c>
      <c r="B162" s="799"/>
      <c r="C162" s="799"/>
      <c r="D162" s="620" t="s">
        <v>187</v>
      </c>
      <c r="E162" s="522">
        <f>'17'!F162</f>
        <v>34041</v>
      </c>
      <c r="F162" s="787">
        <v>34312</v>
      </c>
      <c r="G162" s="473">
        <f t="shared" si="16"/>
        <v>271</v>
      </c>
      <c r="N162" s="721"/>
    </row>
    <row r="163" spans="1:14">
      <c r="A163" s="798" t="s">
        <v>266</v>
      </c>
      <c r="B163" s="799"/>
      <c r="C163" s="799"/>
      <c r="D163" s="620" t="s">
        <v>187</v>
      </c>
      <c r="E163" s="522">
        <f>'17'!F163</f>
        <v>5989</v>
      </c>
      <c r="F163" s="807">
        <v>6008</v>
      </c>
      <c r="G163" s="473">
        <f t="shared" si="16"/>
        <v>19</v>
      </c>
      <c r="N163" s="721"/>
    </row>
    <row r="164" spans="1:14">
      <c r="A164" s="800" t="s">
        <v>98</v>
      </c>
      <c r="B164" s="801"/>
      <c r="C164" s="801"/>
      <c r="D164" s="620" t="s">
        <v>187</v>
      </c>
      <c r="E164" s="522">
        <f>E62</f>
        <v>20419</v>
      </c>
      <c r="F164" s="514">
        <v>20419</v>
      </c>
      <c r="G164" s="473">
        <f t="shared" si="16"/>
        <v>0</v>
      </c>
      <c r="N164" s="721"/>
    </row>
    <row r="165" spans="1:14">
      <c r="A165" s="800" t="s">
        <v>188</v>
      </c>
      <c r="B165" s="801"/>
      <c r="C165" s="801"/>
      <c r="D165" s="620" t="s">
        <v>187</v>
      </c>
      <c r="E165" s="522">
        <f t="shared" ref="E165:F171" si="17">E63</f>
        <v>2288</v>
      </c>
      <c r="F165" s="514">
        <f>F63</f>
        <v>2294</v>
      </c>
      <c r="G165" s="473">
        <f t="shared" si="16"/>
        <v>6</v>
      </c>
      <c r="N165" s="721"/>
    </row>
    <row r="166" spans="1:14" ht="27.75">
      <c r="A166" s="1565" t="s">
        <v>99</v>
      </c>
      <c r="B166" s="1565"/>
      <c r="C166" s="1565"/>
      <c r="D166" s="524" t="s">
        <v>187</v>
      </c>
      <c r="E166" s="522">
        <f t="shared" si="17"/>
        <v>147244</v>
      </c>
      <c r="F166" s="514">
        <f t="shared" si="17"/>
        <v>147773</v>
      </c>
      <c r="G166" s="473">
        <f>F64-E64</f>
        <v>529</v>
      </c>
      <c r="N166" s="721"/>
    </row>
    <row r="167" spans="1:14" ht="27.75">
      <c r="A167" s="1565" t="s">
        <v>100</v>
      </c>
      <c r="B167" s="1565"/>
      <c r="C167" s="1565"/>
      <c r="D167" s="524" t="s">
        <v>187</v>
      </c>
      <c r="E167" s="522">
        <f t="shared" si="17"/>
        <v>150347</v>
      </c>
      <c r="F167" s="514">
        <f t="shared" si="17"/>
        <v>150704</v>
      </c>
      <c r="G167" s="473">
        <f t="shared" ref="G167:G171" si="18">F65-E65</f>
        <v>357</v>
      </c>
      <c r="N167" s="721"/>
    </row>
    <row r="168" spans="1:14" ht="27.75">
      <c r="A168" s="1565" t="s">
        <v>101</v>
      </c>
      <c r="B168" s="1565"/>
      <c r="C168" s="1565"/>
      <c r="D168" s="524" t="s">
        <v>187</v>
      </c>
      <c r="E168" s="522">
        <f t="shared" si="17"/>
        <v>43852</v>
      </c>
      <c r="F168" s="514">
        <f t="shared" si="17"/>
        <v>44227</v>
      </c>
      <c r="G168" s="473">
        <f t="shared" si="18"/>
        <v>375</v>
      </c>
      <c r="N168" s="721"/>
    </row>
    <row r="169" spans="1:14" ht="27.75">
      <c r="A169" s="1565" t="s">
        <v>102</v>
      </c>
      <c r="B169" s="1565"/>
      <c r="C169" s="1565"/>
      <c r="D169" s="524" t="s">
        <v>187</v>
      </c>
      <c r="E169" s="522">
        <f t="shared" si="17"/>
        <v>238369</v>
      </c>
      <c r="F169" s="514">
        <f t="shared" si="17"/>
        <v>238748</v>
      </c>
      <c r="G169" s="473">
        <f t="shared" si="18"/>
        <v>379</v>
      </c>
      <c r="N169" s="721"/>
    </row>
    <row r="170" spans="1:14" ht="27.75">
      <c r="A170" s="1565" t="s">
        <v>103</v>
      </c>
      <c r="B170" s="1565"/>
      <c r="C170" s="1565"/>
      <c r="D170" s="524" t="s">
        <v>187</v>
      </c>
      <c r="E170" s="522">
        <f t="shared" si="17"/>
        <v>85321</v>
      </c>
      <c r="F170" s="514">
        <f t="shared" si="17"/>
        <v>85321</v>
      </c>
      <c r="G170" s="473">
        <f t="shared" si="18"/>
        <v>0</v>
      </c>
      <c r="N170" s="721"/>
    </row>
    <row r="171" spans="1:14" ht="27.75">
      <c r="A171" s="1565" t="s">
        <v>104</v>
      </c>
      <c r="B171" s="1565"/>
      <c r="C171" s="1565"/>
      <c r="D171" s="524" t="s">
        <v>187</v>
      </c>
      <c r="E171" s="522">
        <f t="shared" si="17"/>
        <v>78166</v>
      </c>
      <c r="F171" s="514">
        <f t="shared" si="17"/>
        <v>78205</v>
      </c>
      <c r="G171" s="473">
        <f t="shared" si="18"/>
        <v>39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2486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23.25" customHeight="1">
      <c r="N178" s="721"/>
    </row>
    <row r="179" spans="14:14" ht="23.25" customHeight="1">
      <c r="N179" s="721"/>
    </row>
    <row r="180" spans="14:14" ht="23.25" customHeight="1">
      <c r="N180" s="721"/>
    </row>
    <row r="181" spans="14:14" ht="23.25" customHeight="1">
      <c r="N181" s="721"/>
    </row>
    <row r="182" spans="14:14" ht="23.25" customHeight="1">
      <c r="N182" s="721"/>
    </row>
    <row r="183" spans="14:14" ht="23.25" customHeight="1">
      <c r="N183" s="721"/>
    </row>
    <row r="184" spans="14:14" ht="23.25" customHeight="1">
      <c r="N184" s="721"/>
    </row>
    <row r="185" spans="14:14" ht="23.25" customHeight="1">
      <c r="N185" s="721"/>
    </row>
    <row r="186" spans="14:14" ht="23.25" customHeight="1">
      <c r="N186" s="721"/>
    </row>
    <row r="187" spans="14:14" ht="23.25" customHeight="1">
      <c r="N187" s="721"/>
    </row>
    <row r="188" spans="14:14" ht="23.25" customHeight="1">
      <c r="N188" s="721"/>
    </row>
    <row r="189" spans="14:14" ht="23.25" customHeight="1">
      <c r="N189" s="721"/>
    </row>
    <row r="190" spans="14:14" ht="23.25" customHeight="1">
      <c r="N190" s="721"/>
    </row>
    <row r="191" spans="14:14" ht="23.25" customHeight="1">
      <c r="N191" s="721"/>
    </row>
    <row r="192" spans="14:14" ht="23.25" customHeight="1">
      <c r="N192" s="721"/>
    </row>
    <row r="193" spans="14:14" ht="23.25" customHeight="1">
      <c r="N193" s="721"/>
    </row>
    <row r="194" spans="14:14" ht="23.25" customHeight="1">
      <c r="N194" s="721"/>
    </row>
    <row r="195" spans="14:14" ht="23.25" customHeight="1">
      <c r="N195" s="721"/>
    </row>
    <row r="196" spans="14:14" ht="23.25" customHeight="1">
      <c r="N196" s="721"/>
    </row>
    <row r="197" spans="14:14" ht="23.25" customHeight="1">
      <c r="N197" s="721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49" zoomScale="55" zoomScaleNormal="40" zoomScaleSheetLayoutView="55" zoomScalePageLayoutView="60" workbookViewId="0">
      <selection activeCell="F93" sqref="F93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28" t="s">
        <v>117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5" s="281" customFormat="1" ht="27">
      <c r="A2" s="575" t="s">
        <v>359</v>
      </c>
      <c r="B2" s="1036">
        <v>44305</v>
      </c>
      <c r="C2" s="1146" t="s">
        <v>69</v>
      </c>
      <c r="D2" s="611">
        <v>0.77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6" t="s">
        <v>120</v>
      </c>
      <c r="D3" s="612">
        <v>33</v>
      </c>
      <c r="E3" s="1537" t="s">
        <v>121</v>
      </c>
      <c r="F3" s="1538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6" t="s">
        <v>122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31" t="s">
        <v>130</v>
      </c>
      <c r="B6" s="1532"/>
      <c r="C6" s="1533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'18'!F7</f>
        <v>5494211</v>
      </c>
      <c r="F7" s="455">
        <v>5514511</v>
      </c>
      <c r="G7" s="473">
        <f>F7-E7</f>
        <v>20300</v>
      </c>
      <c r="H7" s="460">
        <f>G7+'18'!H7</f>
        <v>400588</v>
      </c>
      <c r="I7" s="474">
        <f>'1'!I7</f>
        <v>12000</v>
      </c>
      <c r="J7" s="552">
        <f>H7/DAY(B2)</f>
        <v>21083.57894736842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'18'!F8</f>
        <v>5527188</v>
      </c>
      <c r="F8" s="475">
        <v>5547543</v>
      </c>
      <c r="G8" s="476">
        <f>F8-E8</f>
        <v>20355</v>
      </c>
      <c r="H8" s="460">
        <f>G8+'18'!H8</f>
        <v>402225</v>
      </c>
      <c r="I8" s="477">
        <f>'1'!I8</f>
        <v>12000</v>
      </c>
      <c r="J8" s="552">
        <f>H8/DAY(B2)</f>
        <v>21169.736842105263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'18'!F9</f>
        <v>764771</v>
      </c>
      <c r="F9" s="478">
        <v>784346</v>
      </c>
      <c r="G9" s="473">
        <f t="shared" ref="G9:G12" si="0">F9-E9</f>
        <v>19575</v>
      </c>
      <c r="H9" s="460">
        <f>G9+'18'!H9</f>
        <v>388277</v>
      </c>
      <c r="I9" s="479">
        <f>I8-J8</f>
        <v>-9169.7368421052633</v>
      </c>
      <c r="J9" s="552">
        <f>H9/DAY(B2)</f>
        <v>20435.63157894737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'18'!F10</f>
        <v>2322.58</v>
      </c>
      <c r="F10" s="478">
        <v>2322.58</v>
      </c>
      <c r="G10" s="473">
        <v>0</v>
      </c>
      <c r="H10" s="460">
        <f>G10+'18'!H10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19575</v>
      </c>
      <c r="H13" s="460">
        <f>G13+'18'!H13</f>
        <v>368086.3600000001</v>
      </c>
      <c r="I13" s="482">
        <f>G7-G13</f>
        <v>725</v>
      </c>
      <c r="J13" s="552">
        <f>H13/DAY(B2)</f>
        <v>19372.966315789479</v>
      </c>
      <c r="K13" s="428"/>
      <c r="L13" s="377"/>
      <c r="N13" s="382"/>
      <c r="O13" s="382"/>
    </row>
    <row r="14" spans="1:15">
      <c r="A14" s="1534" t="s">
        <v>139</v>
      </c>
      <c r="B14" s="1535"/>
      <c r="C14" s="1536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144" t="s">
        <v>140</v>
      </c>
      <c r="B15" s="589"/>
      <c r="C15" s="589"/>
      <c r="D15" s="523" t="s">
        <v>141</v>
      </c>
      <c r="E15" s="484">
        <f>'18'!F15</f>
        <v>1662447</v>
      </c>
      <c r="F15" s="484">
        <v>1663180</v>
      </c>
      <c r="G15" s="783">
        <f>(F15-E15)</f>
        <v>733</v>
      </c>
      <c r="H15" s="460">
        <f>G15+'18'!H15</f>
        <v>16491</v>
      </c>
      <c r="I15" s="474">
        <v>800</v>
      </c>
      <c r="J15" s="552">
        <f>H15/DAY(B2)</f>
        <v>867.9473684210526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-67.947368421052602</v>
      </c>
      <c r="J16" s="553"/>
      <c r="K16" s="428"/>
      <c r="L16" s="377"/>
      <c r="N16" s="382"/>
      <c r="O16" s="382"/>
    </row>
    <row r="17" spans="1:15">
      <c r="A17" s="1534" t="s">
        <v>142</v>
      </c>
      <c r="B17" s="1535"/>
      <c r="C17" s="1536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20" t="s">
        <v>143</v>
      </c>
      <c r="B18" s="1521"/>
      <c r="C18" s="1522"/>
      <c r="D18" s="523" t="s">
        <v>144</v>
      </c>
      <c r="E18" s="484">
        <f>'18'!F18</f>
        <v>10</v>
      </c>
      <c r="F18" s="484">
        <v>8</v>
      </c>
      <c r="G18" s="481">
        <f>F18*10</f>
        <v>80</v>
      </c>
      <c r="H18" s="460">
        <f>G18+'18'!H18</f>
        <v>1800</v>
      </c>
      <c r="I18" s="474">
        <f>'1'!I18</f>
        <v>65</v>
      </c>
      <c r="J18" s="552">
        <f>H18/DAY(B2)</f>
        <v>94.736842105263165</v>
      </c>
      <c r="K18" s="428"/>
      <c r="L18" s="377"/>
      <c r="N18" s="382"/>
      <c r="O18" s="382"/>
    </row>
    <row r="19" spans="1:15" ht="27.75">
      <c r="A19" s="1520" t="s">
        <v>71</v>
      </c>
      <c r="B19" s="1521"/>
      <c r="C19" s="1522"/>
      <c r="D19" s="523" t="s">
        <v>144</v>
      </c>
      <c r="E19" s="484">
        <f>'18'!F19</f>
        <v>137118</v>
      </c>
      <c r="F19" s="484">
        <v>137189</v>
      </c>
      <c r="G19" s="473">
        <f t="shared" ref="G19" si="1">F19-E19</f>
        <v>71</v>
      </c>
      <c r="H19" s="460">
        <f>G19+'18'!H19</f>
        <v>1099</v>
      </c>
      <c r="I19" s="489"/>
      <c r="J19" s="552">
        <f>H19/DAY(B2)</f>
        <v>57.842105263157897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151</v>
      </c>
      <c r="H20" s="460">
        <f>G20+'18'!H20</f>
        <v>2899</v>
      </c>
      <c r="I20" s="492">
        <f>I18-J20</f>
        <v>-87.578947368421041</v>
      </c>
      <c r="J20" s="552">
        <f>H20/DAY(B2)</f>
        <v>152.57894736842104</v>
      </c>
      <c r="K20" s="428"/>
      <c r="L20" s="377"/>
      <c r="N20" s="382"/>
      <c r="O20" s="382"/>
    </row>
    <row r="21" spans="1:15">
      <c r="A21" s="1534" t="s">
        <v>146</v>
      </c>
      <c r="B21" s="1535"/>
      <c r="C21" s="1536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4" t="s">
        <v>147</v>
      </c>
      <c r="B22" s="589"/>
      <c r="C22" s="589"/>
      <c r="D22" s="523" t="s">
        <v>148</v>
      </c>
      <c r="E22" s="267">
        <v>2250</v>
      </c>
      <c r="F22" s="484">
        <v>2250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4" t="s">
        <v>149</v>
      </c>
      <c r="B23" s="589"/>
      <c r="C23" s="589"/>
      <c r="D23" s="523" t="s">
        <v>148</v>
      </c>
      <c r="E23" s="267">
        <v>2000</v>
      </c>
      <c r="F23" s="484">
        <v>2000</v>
      </c>
      <c r="G23" s="481">
        <v>0</v>
      </c>
      <c r="H23" s="460"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332">
        <v>4250</v>
      </c>
      <c r="F24" s="493">
        <v>4250</v>
      </c>
      <c r="G24" s="481">
        <v>0</v>
      </c>
      <c r="H24" s="460">
        <f>G24+'18'!H24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39" t="s">
        <v>151</v>
      </c>
      <c r="B25" s="1540"/>
      <c r="C25" s="1541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20355</v>
      </c>
      <c r="F27" s="501">
        <v>9</v>
      </c>
      <c r="G27" s="502">
        <f>E27*F27</f>
        <v>183195</v>
      </c>
      <c r="H27" s="460">
        <f>G27+'18'!H27</f>
        <v>3620025</v>
      </c>
      <c r="I27" s="503"/>
      <c r="J27" s="552">
        <f>H27/DAY(B2)</f>
        <v>190527.63157894736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733</v>
      </c>
      <c r="F28" s="501">
        <v>51.45</v>
      </c>
      <c r="G28" s="502">
        <f>E28*F28</f>
        <v>37712.85</v>
      </c>
      <c r="H28" s="460">
        <f>G28+'18'!H28</f>
        <v>848461.95</v>
      </c>
      <c r="I28" s="505"/>
      <c r="J28" s="552">
        <f>H28/DAY(B2)</f>
        <v>44655.892105263156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71</v>
      </c>
      <c r="F30" s="501">
        <v>134</v>
      </c>
      <c r="G30" s="502">
        <f>E30*F30</f>
        <v>9514</v>
      </c>
      <c r="H30" s="460">
        <f>G30+'18'!H30</f>
        <v>148634</v>
      </c>
      <c r="I30" s="505"/>
      <c r="J30" s="552">
        <f>H30/DAY(B2)</f>
        <v>7822.8421052631575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80</v>
      </c>
      <c r="F31" s="501">
        <v>80</v>
      </c>
      <c r="G31" s="502">
        <f>E31*F31</f>
        <v>6400</v>
      </c>
      <c r="H31" s="460">
        <f>G31+'18'!H31</f>
        <v>144000</v>
      </c>
      <c r="I31" s="505"/>
      <c r="J31" s="552">
        <f>H31/DAY(B2)</f>
        <v>7578.9473684210525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236821.85</v>
      </c>
      <c r="H32" s="460">
        <f>G32+'18'!H32</f>
        <v>4761120.95</v>
      </c>
      <c r="I32" s="509"/>
      <c r="J32" s="552">
        <f>H32/DAY(B2)</f>
        <v>250585.31315789474</v>
      </c>
      <c r="K32" s="373"/>
      <c r="L32" s="443"/>
      <c r="N32" s="444"/>
      <c r="O32" s="382"/>
    </row>
    <row r="33" spans="1:15" ht="25.5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  <c r="N33" s="382"/>
      <c r="O33" s="382"/>
    </row>
    <row r="34" spans="1:15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'18'!F35</f>
        <v>854227</v>
      </c>
      <c r="F35" s="510">
        <v>856962</v>
      </c>
      <c r="G35" s="473">
        <f t="shared" ref="G35:G46" si="3">F35-E35</f>
        <v>2735</v>
      </c>
      <c r="H35" s="460">
        <f>G35+'18'!H35</f>
        <v>58573</v>
      </c>
      <c r="I35" s="455"/>
      <c r="J35" s="552">
        <f>H35/DAY(B2)</f>
        <v>3082.7894736842104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'18'!F36</f>
        <v>334688</v>
      </c>
      <c r="F36" s="510">
        <v>335688</v>
      </c>
      <c r="G36" s="473">
        <f t="shared" si="3"/>
        <v>1000</v>
      </c>
      <c r="H36" s="460">
        <f>G36+'18'!H36</f>
        <v>18252</v>
      </c>
      <c r="I36" s="455"/>
      <c r="J36" s="552">
        <f>H36/DAY(B2)</f>
        <v>960.63157894736844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'18'!F37</f>
        <v>79476</v>
      </c>
      <c r="F37" s="510">
        <v>80828</v>
      </c>
      <c r="G37" s="473">
        <f t="shared" si="3"/>
        <v>1352</v>
      </c>
      <c r="H37" s="460">
        <f>G37+'18'!H37</f>
        <v>26031</v>
      </c>
      <c r="I37" s="455"/>
      <c r="J37" s="552">
        <f>H37/DAY(B2)</f>
        <v>1370.0526315789473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'18'!F38</f>
        <v>102478</v>
      </c>
      <c r="F38" s="469">
        <v>104032</v>
      </c>
      <c r="G38" s="473">
        <f t="shared" si="3"/>
        <v>1554</v>
      </c>
      <c r="H38" s="460">
        <f>G38+'18'!H38</f>
        <v>31724</v>
      </c>
      <c r="I38" s="455"/>
      <c r="J38" s="552">
        <f>H38/DAY(B2)</f>
        <v>1669.6842105263158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'18'!F39</f>
        <v>213738</v>
      </c>
      <c r="F39" s="510">
        <v>216531</v>
      </c>
      <c r="G39" s="473">
        <f t="shared" si="3"/>
        <v>2793</v>
      </c>
      <c r="H39" s="460">
        <f>G39+'18'!H39</f>
        <v>63709</v>
      </c>
      <c r="I39" s="455"/>
      <c r="J39" s="552">
        <f>H39/DAY(B2)</f>
        <v>3353.1052631578946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'18'!F40</f>
        <v>0</v>
      </c>
      <c r="F40" s="510">
        <v>0</v>
      </c>
      <c r="G40" s="473">
        <f t="shared" si="3"/>
        <v>0</v>
      </c>
      <c r="H40" s="460">
        <f>G40+'18'!H40</f>
        <v>0.17</v>
      </c>
      <c r="I40" s="455"/>
      <c r="J40" s="552">
        <f>H40/DAY(B2)</f>
        <v>8.9473684210526327E-3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'18'!F41</f>
        <v>161910</v>
      </c>
      <c r="F41" s="510">
        <v>161910</v>
      </c>
      <c r="G41" s="473">
        <f t="shared" si="3"/>
        <v>0</v>
      </c>
      <c r="H41" s="460">
        <f>G41+'18'!H41</f>
        <v>28769</v>
      </c>
      <c r="I41" s="455"/>
      <c r="J41" s="552">
        <f>H41/DAY(B2)</f>
        <v>1514.1578947368421</v>
      </c>
      <c r="K41" s="428"/>
      <c r="L41" s="377"/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'18'!F42</f>
        <v>59128</v>
      </c>
      <c r="F42" s="510">
        <v>59128</v>
      </c>
      <c r="G42" s="473">
        <f>F42-E42</f>
        <v>0</v>
      </c>
      <c r="H42" s="460">
        <f>G42+'18'!H42</f>
        <v>-0.16000000000349246</v>
      </c>
      <c r="I42" s="455"/>
      <c r="J42" s="552">
        <f>H42/DAY(B2)</f>
        <v>-8.4210526317627602E-3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'18'!F43</f>
        <v>945619</v>
      </c>
      <c r="F43" s="510">
        <v>947907</v>
      </c>
      <c r="G43" s="473">
        <f t="shared" si="3"/>
        <v>2288</v>
      </c>
      <c r="H43" s="460">
        <f>G43+'18'!H43</f>
        <v>45859</v>
      </c>
      <c r="I43" s="455"/>
      <c r="J43" s="552">
        <f>H43/DAY(B2)</f>
        <v>2413.6315789473683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'18'!F44</f>
        <v>0</v>
      </c>
      <c r="F44" s="510">
        <v>0</v>
      </c>
      <c r="G44" s="473">
        <f t="shared" si="3"/>
        <v>0</v>
      </c>
      <c r="H44" s="460">
        <f>G44+'18'!H44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f>G45+'18'!H45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f>G46+'18'!H46</f>
        <v>-5.0000000000011369E-2</v>
      </c>
      <c r="I46" s="455"/>
      <c r="J46" s="552">
        <f>H46/DAY(B2)</f>
        <v>-2.6315789473690195E-3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>
        <f>'18'!F47</f>
        <v>0</v>
      </c>
      <c r="F47" s="511">
        <v>0</v>
      </c>
      <c r="G47" s="481">
        <f>G35+G36+G37+G38+G39+G40+G41+G42+G43+G44+G45+G46</f>
        <v>11722</v>
      </c>
      <c r="H47" s="460">
        <f>G47+'18'!H47</f>
        <v>273718.44999999995</v>
      </c>
      <c r="I47" s="455"/>
      <c r="J47" s="552">
        <f>H47/DAY(B2)</f>
        <v>14406.234210526314</v>
      </c>
      <c r="K47" s="428"/>
      <c r="L47" s="377"/>
      <c r="N47" s="382"/>
      <c r="O47" s="382"/>
    </row>
    <row r="48" spans="1:15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'18'!F49</f>
        <v>260732.13</v>
      </c>
      <c r="F49" s="510">
        <v>260732</v>
      </c>
      <c r="G49" s="473">
        <f t="shared" ref="G49:G58" si="4">F49-E49</f>
        <v>-0.13000000000465661</v>
      </c>
      <c r="H49" s="460">
        <f>G49+'18'!H49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'18'!F50</f>
        <v>461340</v>
      </c>
      <c r="F50" s="510">
        <v>462537</v>
      </c>
      <c r="G50" s="473">
        <f t="shared" si="4"/>
        <v>1197</v>
      </c>
      <c r="H50" s="460">
        <f>G50+'18'!H50</f>
        <v>20262.959999999963</v>
      </c>
      <c r="I50" s="455"/>
      <c r="J50" s="552">
        <f>H50/DAY(B2)</f>
        <v>1066.4715789473664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'18'!F51</f>
        <v>144640</v>
      </c>
      <c r="F51" s="510">
        <v>144640</v>
      </c>
      <c r="G51" s="473">
        <f t="shared" si="4"/>
        <v>0</v>
      </c>
      <c r="H51" s="460">
        <f>G51+'18'!H51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'18'!F52</f>
        <v>539606</v>
      </c>
      <c r="F52" s="510">
        <v>539606</v>
      </c>
      <c r="G52" s="473">
        <f t="shared" si="4"/>
        <v>0</v>
      </c>
      <c r="H52" s="460">
        <f>G52+'18'!H52</f>
        <v>0</v>
      </c>
      <c r="I52" s="455"/>
      <c r="J52" s="552">
        <f>H52/DAY(B2)</f>
        <v>0</v>
      </c>
      <c r="K52" s="428"/>
      <c r="L52" s="377"/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v>409523</v>
      </c>
      <c r="F53" s="510">
        <v>410057</v>
      </c>
      <c r="G53" s="473">
        <f t="shared" si="4"/>
        <v>534</v>
      </c>
      <c r="H53" s="460">
        <f>G53+'18'!H53</f>
        <v>5877.2000000000116</v>
      </c>
      <c r="I53" s="455"/>
      <c r="J53" s="552">
        <f>H53/DAY(B2)</f>
        <v>309.32631578947428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'18'!F54</f>
        <v>10484</v>
      </c>
      <c r="F54" s="510">
        <v>10559</v>
      </c>
      <c r="G54" s="473">
        <f t="shared" si="4"/>
        <v>75</v>
      </c>
      <c r="H54" s="460">
        <f>G54+'18'!H54</f>
        <v>4334.0300000000007</v>
      </c>
      <c r="I54" s="455"/>
      <c r="J54" s="552">
        <f>H54/DAY(B2)</f>
        <v>228.10684210526318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'18'!F55</f>
        <v>296465</v>
      </c>
      <c r="F55" s="510">
        <v>302609</v>
      </c>
      <c r="G55" s="473">
        <f t="shared" si="4"/>
        <v>6144</v>
      </c>
      <c r="H55" s="460">
        <f>G55+'18'!H55</f>
        <v>81155.799999999988</v>
      </c>
      <c r="I55" s="455"/>
      <c r="J55" s="552">
        <f>H55/DAY(B2)</f>
        <v>4271.3578947368414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'18'!F56</f>
        <v>589086</v>
      </c>
      <c r="F56" s="510">
        <v>589150</v>
      </c>
      <c r="G56" s="473">
        <f t="shared" si="4"/>
        <v>64</v>
      </c>
      <c r="H56" s="460">
        <f>G56+'18'!H56</f>
        <v>173.8399999999674</v>
      </c>
      <c r="I56" s="455"/>
      <c r="J56" s="552">
        <f>H56/DAY(B2)</f>
        <v>9.1494736842088109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'18'!F57</f>
        <v>7711.33</v>
      </c>
      <c r="F57" s="510">
        <v>7711</v>
      </c>
      <c r="G57" s="473">
        <f t="shared" si="4"/>
        <v>-0.32999999999992724</v>
      </c>
      <c r="H57" s="460">
        <f>G57+'18'!H57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'18'!F58</f>
        <v>44877</v>
      </c>
      <c r="F58" s="510">
        <v>45042</v>
      </c>
      <c r="G58" s="473">
        <f t="shared" si="4"/>
        <v>165</v>
      </c>
      <c r="H58" s="460">
        <f>G58+'18'!H58</f>
        <v>3340.6599999999962</v>
      </c>
      <c r="I58" s="455"/>
      <c r="J58" s="552">
        <f>H58/DAY(B2)</f>
        <v>175.8242105263156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8178.5399999999954</v>
      </c>
      <c r="H59" s="460">
        <f>G59+'18'!H59</f>
        <v>115142.48999999993</v>
      </c>
      <c r="I59" s="455">
        <f>G7-G60</f>
        <v>399.4600000000064</v>
      </c>
      <c r="J59" s="552">
        <f>H59/DAY(B2)</f>
        <v>6060.1310526315756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19900.539999999994</v>
      </c>
      <c r="H60" s="460">
        <f>G60+'18'!H60</f>
        <v>396060.49</v>
      </c>
      <c r="I60" s="455">
        <f>G13-G60</f>
        <v>-325.5399999999936</v>
      </c>
      <c r="J60" s="552">
        <f>H60/DAY(B2)</f>
        <v>20845.288947368419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'18'!F62</f>
        <v>20419.18</v>
      </c>
      <c r="F62" s="514">
        <v>20419.2</v>
      </c>
      <c r="G62" s="473">
        <f t="shared" ref="G62:G69" si="5">F62-E62</f>
        <v>2.0000000000436557E-2</v>
      </c>
      <c r="H62" s="460">
        <f>G62+'18'!H62</f>
        <v>0.38199999999778811</v>
      </c>
      <c r="I62" s="515"/>
      <c r="J62" s="552">
        <f>H62/DAY(B2)</f>
        <v>2.010526315777832E-2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'18'!F63</f>
        <v>2294</v>
      </c>
      <c r="F63" s="514">
        <v>2302</v>
      </c>
      <c r="G63" s="473">
        <f t="shared" si="5"/>
        <v>8</v>
      </c>
      <c r="H63" s="460">
        <f>G63+'18'!H63</f>
        <v>206</v>
      </c>
      <c r="I63" s="515"/>
      <c r="J63" s="552">
        <f>H63/DAY(B2)</f>
        <v>10.842105263157896</v>
      </c>
      <c r="K63" s="428"/>
      <c r="L63" s="377"/>
      <c r="N63" s="382"/>
      <c r="O63" s="382"/>
    </row>
    <row r="64" spans="1:15" ht="27.75">
      <c r="A64" s="1499" t="s">
        <v>99</v>
      </c>
      <c r="B64" s="1500"/>
      <c r="C64" s="1501"/>
      <c r="D64" s="523" t="s">
        <v>187</v>
      </c>
      <c r="E64" s="484">
        <f>'18'!F64</f>
        <v>147773</v>
      </c>
      <c r="F64" s="484">
        <v>148284</v>
      </c>
      <c r="G64" s="473">
        <f t="shared" si="5"/>
        <v>511</v>
      </c>
      <c r="H64" s="460">
        <f>G64+'18'!H64</f>
        <v>9104</v>
      </c>
      <c r="I64" s="480"/>
      <c r="J64" s="552">
        <f>H64/DAY(B2)</f>
        <v>479.15789473684208</v>
      </c>
      <c r="K64" s="428"/>
      <c r="L64" s="377"/>
      <c r="N64" s="382"/>
      <c r="O64" s="382"/>
    </row>
    <row r="65" spans="1:15" ht="27.75">
      <c r="A65" s="1499" t="s">
        <v>100</v>
      </c>
      <c r="B65" s="1500"/>
      <c r="C65" s="1501"/>
      <c r="D65" s="523" t="s">
        <v>187</v>
      </c>
      <c r="E65" s="484">
        <f>'18'!F65</f>
        <v>150704</v>
      </c>
      <c r="F65" s="484">
        <v>151060</v>
      </c>
      <c r="G65" s="473">
        <f t="shared" si="5"/>
        <v>356</v>
      </c>
      <c r="H65" s="460">
        <f>G65+'18'!H65</f>
        <v>6855</v>
      </c>
      <c r="I65" s="489"/>
      <c r="J65" s="552">
        <f>H65/DAY(B2)</f>
        <v>360.78947368421052</v>
      </c>
      <c r="K65" s="428"/>
      <c r="L65" s="377"/>
      <c r="N65" s="382"/>
      <c r="O65" s="382"/>
    </row>
    <row r="66" spans="1:15" ht="27.75">
      <c r="A66" s="1499" t="s">
        <v>101</v>
      </c>
      <c r="B66" s="1500"/>
      <c r="C66" s="1501"/>
      <c r="D66" s="523" t="s">
        <v>187</v>
      </c>
      <c r="E66" s="484">
        <f>'18'!F66</f>
        <v>44227</v>
      </c>
      <c r="F66" s="484">
        <v>44599</v>
      </c>
      <c r="G66" s="473">
        <f t="shared" si="5"/>
        <v>372</v>
      </c>
      <c r="H66" s="460">
        <f>G66+'18'!H66</f>
        <v>7391</v>
      </c>
      <c r="I66" s="480"/>
      <c r="J66" s="552">
        <f>H66/DAY(B2)</f>
        <v>389</v>
      </c>
      <c r="K66" s="428"/>
      <c r="L66" s="377"/>
      <c r="N66" s="382"/>
      <c r="O66" s="382"/>
    </row>
    <row r="67" spans="1:15" ht="27.75">
      <c r="A67" s="1499" t="s">
        <v>102</v>
      </c>
      <c r="B67" s="1500"/>
      <c r="C67" s="1501"/>
      <c r="D67" s="523" t="s">
        <v>187</v>
      </c>
      <c r="E67" s="484">
        <f>'18'!F67</f>
        <v>238748</v>
      </c>
      <c r="F67" s="484">
        <v>239138</v>
      </c>
      <c r="G67" s="473">
        <f t="shared" si="5"/>
        <v>390</v>
      </c>
      <c r="H67" s="460">
        <f>G67+'18'!H67</f>
        <v>10038</v>
      </c>
      <c r="I67" s="489"/>
      <c r="J67" s="552">
        <f>H67/DAY(B2)</f>
        <v>528.31578947368416</v>
      </c>
      <c r="K67" s="429"/>
      <c r="L67" s="377"/>
      <c r="N67" s="382"/>
      <c r="O67" s="382"/>
    </row>
    <row r="68" spans="1:15" ht="27.75">
      <c r="A68" s="1499" t="s">
        <v>103</v>
      </c>
      <c r="B68" s="1500"/>
      <c r="C68" s="1501"/>
      <c r="D68" s="523" t="s">
        <v>187</v>
      </c>
      <c r="E68" s="484">
        <f>'18'!F68</f>
        <v>85321</v>
      </c>
      <c r="F68" s="484">
        <v>85321</v>
      </c>
      <c r="G68" s="473">
        <f t="shared" si="5"/>
        <v>0</v>
      </c>
      <c r="H68" s="460">
        <f>G68+'18'!H68</f>
        <v>2234</v>
      </c>
      <c r="I68" s="516"/>
      <c r="J68" s="552">
        <f>H68/DAY(B2)</f>
        <v>117.57894736842105</v>
      </c>
      <c r="K68" s="430"/>
      <c r="L68" s="377"/>
      <c r="N68" s="382"/>
      <c r="O68" s="382"/>
    </row>
    <row r="69" spans="1:15" ht="27.75">
      <c r="A69" s="1499" t="s">
        <v>104</v>
      </c>
      <c r="B69" s="1500"/>
      <c r="C69" s="1501"/>
      <c r="D69" s="523" t="s">
        <v>187</v>
      </c>
      <c r="E69" s="484">
        <f>'18'!F69</f>
        <v>78205</v>
      </c>
      <c r="F69" s="484">
        <v>78244</v>
      </c>
      <c r="G69" s="473">
        <f t="shared" si="5"/>
        <v>39</v>
      </c>
      <c r="H69" s="460">
        <f>G69+'18'!H69</f>
        <v>3915</v>
      </c>
      <c r="I69" s="516"/>
      <c r="J69" s="552">
        <f>H69/DAY(B2)</f>
        <v>206.05263157894737</v>
      </c>
      <c r="K69" s="431"/>
      <c r="L69" s="377"/>
      <c r="N69" s="382"/>
      <c r="O69" s="382"/>
    </row>
    <row r="70" spans="1:15" ht="27.75">
      <c r="A70" s="1505" t="s">
        <v>189</v>
      </c>
      <c r="B70" s="1506"/>
      <c r="C70" s="1507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02" t="s">
        <v>190</v>
      </c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  <c r="N71" s="382"/>
      <c r="O71" s="382"/>
    </row>
    <row r="72" spans="1:15" ht="27.75">
      <c r="A72" s="1499" t="s">
        <v>191</v>
      </c>
      <c r="B72" s="1500"/>
      <c r="C72" s="1501"/>
      <c r="D72" s="523" t="s">
        <v>187</v>
      </c>
      <c r="E72" s="519">
        <f>'18'!F72</f>
        <v>854819</v>
      </c>
      <c r="F72" s="519">
        <v>854846</v>
      </c>
      <c r="G72" s="473">
        <f t="shared" ref="G72:G84" si="6">F72-E72</f>
        <v>27</v>
      </c>
      <c r="H72" s="460">
        <f>G72+'18'!H72</f>
        <v>1583</v>
      </c>
      <c r="I72" s="480"/>
      <c r="J72" s="552">
        <f>H72/DAY(B2)</f>
        <v>83.315789473684205</v>
      </c>
      <c r="K72" s="431"/>
      <c r="L72" s="377"/>
      <c r="N72" s="382"/>
      <c r="O72" s="382"/>
    </row>
    <row r="73" spans="1:15" ht="27.75">
      <c r="A73" s="1499" t="s">
        <v>192</v>
      </c>
      <c r="B73" s="1500"/>
      <c r="C73" s="1501"/>
      <c r="D73" s="523" t="s">
        <v>187</v>
      </c>
      <c r="E73" s="520">
        <f>'18'!F73</f>
        <v>885827</v>
      </c>
      <c r="F73" s="520">
        <v>885829</v>
      </c>
      <c r="G73" s="473">
        <f t="shared" si="6"/>
        <v>2</v>
      </c>
      <c r="H73" s="460">
        <f>G73+'18'!H73</f>
        <v>1250</v>
      </c>
      <c r="I73" s="480"/>
      <c r="J73" s="552">
        <f>H73/DAY(B2)</f>
        <v>65.78947368421052</v>
      </c>
      <c r="K73" s="430"/>
      <c r="L73" s="377"/>
      <c r="N73" s="382"/>
      <c r="O73" s="382"/>
    </row>
    <row r="74" spans="1:15" ht="27.75">
      <c r="A74" s="1575" t="s">
        <v>193</v>
      </c>
      <c r="B74" s="1576"/>
      <c r="C74" s="1577"/>
      <c r="D74" s="523" t="s">
        <v>187</v>
      </c>
      <c r="E74" s="521">
        <f>'18'!F74</f>
        <v>1901</v>
      </c>
      <c r="F74" s="521">
        <v>1932</v>
      </c>
      <c r="G74" s="473">
        <f t="shared" si="6"/>
        <v>31</v>
      </c>
      <c r="H74" s="460">
        <f>G74+'18'!H74</f>
        <v>562</v>
      </c>
      <c r="I74" s="480"/>
      <c r="J74" s="552">
        <f>H74/DAY(B2)</f>
        <v>29.578947368421051</v>
      </c>
      <c r="K74" s="431"/>
      <c r="L74" s="377"/>
      <c r="N74" s="382"/>
      <c r="O74" s="382"/>
    </row>
    <row r="75" spans="1:15" ht="27.75">
      <c r="A75" s="1496" t="s">
        <v>194</v>
      </c>
      <c r="B75" s="1497"/>
      <c r="C75" s="1498"/>
      <c r="D75" s="523" t="s">
        <v>187</v>
      </c>
      <c r="E75" s="521">
        <f>'18'!F75</f>
        <v>10248</v>
      </c>
      <c r="F75" s="521">
        <v>10309</v>
      </c>
      <c r="G75" s="473">
        <f t="shared" si="6"/>
        <v>61</v>
      </c>
      <c r="H75" s="460">
        <f>G75+'18'!H75</f>
        <v>1629</v>
      </c>
      <c r="I75" s="480"/>
      <c r="J75" s="552">
        <f>H75/DAY(B2)</f>
        <v>85.736842105263165</v>
      </c>
      <c r="K75" s="430"/>
      <c r="L75" s="377"/>
      <c r="N75" s="382"/>
      <c r="O75" s="382"/>
    </row>
    <row r="76" spans="1:15" ht="27.75">
      <c r="A76" s="1496" t="s">
        <v>195</v>
      </c>
      <c r="B76" s="1497"/>
      <c r="C76" s="1498"/>
      <c r="D76" s="523" t="s">
        <v>187</v>
      </c>
      <c r="E76" s="520">
        <f>'18'!F76</f>
        <v>5176</v>
      </c>
      <c r="F76" s="520">
        <v>5230</v>
      </c>
      <c r="G76" s="473">
        <f t="shared" si="6"/>
        <v>54</v>
      </c>
      <c r="H76" s="460">
        <f>G76+'18'!H76</f>
        <v>1604</v>
      </c>
      <c r="I76" s="505"/>
      <c r="J76" s="552">
        <f>H76/DAY(B2)</f>
        <v>84.421052631578945</v>
      </c>
      <c r="K76" s="430"/>
      <c r="L76" s="377"/>
      <c r="N76" s="382"/>
      <c r="O76" s="382"/>
    </row>
    <row r="77" spans="1:15" ht="27.75">
      <c r="A77" s="1499" t="s">
        <v>196</v>
      </c>
      <c r="B77" s="1500"/>
      <c r="C77" s="1501"/>
      <c r="D77" s="523" t="s">
        <v>187</v>
      </c>
      <c r="E77" s="521">
        <f>'18'!F77</f>
        <v>701041</v>
      </c>
      <c r="F77" s="521">
        <v>701085</v>
      </c>
      <c r="G77" s="473">
        <f t="shared" si="6"/>
        <v>44</v>
      </c>
      <c r="H77" s="460">
        <f>G77+'18'!H77</f>
        <v>871</v>
      </c>
      <c r="I77" s="505"/>
      <c r="J77" s="552">
        <f>H77/DAY(B2)</f>
        <v>45.842105263157897</v>
      </c>
      <c r="K77" s="430"/>
      <c r="L77" s="377"/>
      <c r="N77" s="382"/>
      <c r="O77" s="382"/>
    </row>
    <row r="78" spans="1:15" ht="27.75">
      <c r="A78" s="1147" t="s">
        <v>197</v>
      </c>
      <c r="B78" s="1120"/>
      <c r="C78" s="1120"/>
      <c r="D78" s="523" t="s">
        <v>187</v>
      </c>
      <c r="E78" s="521">
        <f>'18'!F78</f>
        <v>669229</v>
      </c>
      <c r="F78" s="521">
        <v>669229</v>
      </c>
      <c r="G78" s="473">
        <f t="shared" si="6"/>
        <v>0</v>
      </c>
      <c r="H78" s="460">
        <f>G78+'18'!H78</f>
        <v>3849</v>
      </c>
      <c r="I78" s="505"/>
      <c r="J78" s="552">
        <f>H78/DAY(B2)</f>
        <v>202.57894736842104</v>
      </c>
      <c r="K78" s="430"/>
      <c r="L78" s="377"/>
      <c r="N78" s="382"/>
      <c r="O78" s="382"/>
    </row>
    <row r="79" spans="1:15" ht="27.75">
      <c r="A79" s="1496" t="s">
        <v>92</v>
      </c>
      <c r="B79" s="1497"/>
      <c r="C79" s="1498"/>
      <c r="D79" s="524" t="s">
        <v>187</v>
      </c>
      <c r="E79" s="521">
        <f>'18'!F79</f>
        <v>824539</v>
      </c>
      <c r="F79" s="521">
        <v>824746</v>
      </c>
      <c r="G79" s="473">
        <f t="shared" si="6"/>
        <v>207</v>
      </c>
      <c r="H79" s="460">
        <f>G79+'18'!H79</f>
        <v>4555</v>
      </c>
      <c r="I79" s="505"/>
      <c r="J79" s="552">
        <f>H79/DAY(B2)</f>
        <v>239.73684210526315</v>
      </c>
      <c r="K79" s="430"/>
      <c r="L79" s="377"/>
      <c r="N79" s="382"/>
      <c r="O79" s="382"/>
    </row>
    <row r="80" spans="1:15" ht="27.75">
      <c r="A80" s="1496" t="s">
        <v>198</v>
      </c>
      <c r="B80" s="1497"/>
      <c r="C80" s="1498"/>
      <c r="D80" s="524" t="s">
        <v>187</v>
      </c>
      <c r="E80" s="520">
        <f>'18'!F80</f>
        <v>512259</v>
      </c>
      <c r="F80" s="520">
        <v>512636</v>
      </c>
      <c r="G80" s="473">
        <f t="shared" si="6"/>
        <v>377</v>
      </c>
      <c r="H80" s="460">
        <f>G80+'18'!H80</f>
        <v>4708</v>
      </c>
      <c r="I80" s="505"/>
      <c r="J80" s="552">
        <f>H80/DAY(B2)</f>
        <v>247.78947368421052</v>
      </c>
      <c r="K80" s="430"/>
      <c r="L80" s="377"/>
      <c r="N80" s="382"/>
      <c r="O80" s="382"/>
    </row>
    <row r="81" spans="1:15" ht="27.75">
      <c r="A81" s="1496" t="s">
        <v>199</v>
      </c>
      <c r="B81" s="1497"/>
      <c r="C81" s="1498"/>
      <c r="D81" s="524" t="s">
        <v>187</v>
      </c>
      <c r="E81" s="520">
        <f>'18'!F81</f>
        <v>634690</v>
      </c>
      <c r="F81" s="520">
        <v>634896</v>
      </c>
      <c r="G81" s="473">
        <f t="shared" si="6"/>
        <v>206</v>
      </c>
      <c r="H81" s="460">
        <f>G81+'18'!H81</f>
        <v>4711</v>
      </c>
      <c r="I81" s="505"/>
      <c r="J81" s="552">
        <f>H81/DAY(B2)</f>
        <v>247.94736842105263</v>
      </c>
      <c r="K81" s="430"/>
      <c r="L81" s="377"/>
      <c r="N81" s="382"/>
      <c r="O81" s="382"/>
    </row>
    <row r="82" spans="1:15" ht="27.75">
      <c r="A82" s="1496" t="s">
        <v>93</v>
      </c>
      <c r="B82" s="1497"/>
      <c r="C82" s="1498"/>
      <c r="D82" s="485" t="s">
        <v>132</v>
      </c>
      <c r="E82" s="522">
        <f>'18'!F82</f>
        <v>107329</v>
      </c>
      <c r="F82" s="522">
        <v>107357</v>
      </c>
      <c r="G82" s="473">
        <f t="shared" si="6"/>
        <v>28</v>
      </c>
      <c r="H82" s="460">
        <f>G82+'18'!H82</f>
        <v>462</v>
      </c>
      <c r="I82" s="486"/>
      <c r="J82" s="552">
        <f>H82/DAY(B2)</f>
        <v>24.315789473684209</v>
      </c>
      <c r="K82" s="430"/>
      <c r="L82" s="377"/>
      <c r="N82" s="382"/>
      <c r="O82" s="382"/>
    </row>
    <row r="83" spans="1:15" ht="27.75">
      <c r="A83" s="1496" t="s">
        <v>200</v>
      </c>
      <c r="B83" s="1497"/>
      <c r="C83" s="1498"/>
      <c r="D83" s="620" t="s">
        <v>132</v>
      </c>
      <c r="E83" s="511">
        <f>'18'!F83</f>
        <v>11910</v>
      </c>
      <c r="F83" s="511">
        <v>12256</v>
      </c>
      <c r="G83" s="473">
        <f t="shared" si="6"/>
        <v>346</v>
      </c>
      <c r="H83" s="460">
        <f>G83+'18'!H83</f>
        <v>5199</v>
      </c>
      <c r="I83" s="481"/>
      <c r="J83" s="552">
        <f>H83/DAY(B2)</f>
        <v>273.63157894736844</v>
      </c>
      <c r="K83" s="429"/>
      <c r="L83" s="377"/>
      <c r="N83" s="382"/>
      <c r="O83" s="724"/>
    </row>
    <row r="84" spans="1:15">
      <c r="A84" s="1148" t="s">
        <v>201</v>
      </c>
      <c r="B84" s="571"/>
      <c r="C84" s="571"/>
      <c r="D84" s="478" t="s">
        <v>132</v>
      </c>
      <c r="E84" s="627">
        <f>'18'!F84</f>
        <v>470671</v>
      </c>
      <c r="F84" s="627">
        <v>471468</v>
      </c>
      <c r="G84" s="473">
        <f t="shared" si="6"/>
        <v>797</v>
      </c>
      <c r="H84" s="460">
        <f>G84+'18'!H84</f>
        <v>16784</v>
      </c>
      <c r="I84" s="481"/>
      <c r="J84" s="552">
        <f>H84/DAY(B2)</f>
        <v>883.36842105263156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2180</v>
      </c>
      <c r="H85" s="460">
        <f>G85+'18'!H85</f>
        <v>47426</v>
      </c>
      <c r="I85" s="481"/>
      <c r="J85" s="552">
        <f>H85/DAY(B2)</f>
        <v>2496.1052631578946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'18'!F86</f>
        <v>457802</v>
      </c>
      <c r="F86" s="650">
        <v>458007</v>
      </c>
      <c r="G86" s="708">
        <f t="shared" ref="G86:G90" si="7">F86-E86</f>
        <v>205</v>
      </c>
      <c r="H86" s="460">
        <f>G86+'18'!H86</f>
        <v>248</v>
      </c>
      <c r="I86" s="655"/>
      <c r="J86" s="710">
        <f>H86/DAY(B2)</f>
        <v>13.052631578947368</v>
      </c>
      <c r="K86" s="736">
        <v>424609</v>
      </c>
      <c r="L86" s="737">
        <f>K86-F86</f>
        <v>-33398</v>
      </c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'18'!F87</f>
        <v>80745</v>
      </c>
      <c r="F87" s="650">
        <v>80772</v>
      </c>
      <c r="G87" s="708">
        <f t="shared" si="7"/>
        <v>27</v>
      </c>
      <c r="H87" s="460">
        <f>G87+'18'!H87</f>
        <v>61</v>
      </c>
      <c r="I87" s="655"/>
      <c r="J87" s="710">
        <f>H87/DAY(B2)</f>
        <v>3.2105263157894739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'18'!F88</f>
        <v>151336</v>
      </c>
      <c r="F88" s="650">
        <v>151450</v>
      </c>
      <c r="G88" s="708">
        <f t="shared" si="7"/>
        <v>114</v>
      </c>
      <c r="H88" s="460">
        <f>G88+'18'!H88</f>
        <v>136</v>
      </c>
      <c r="I88" s="655"/>
      <c r="J88" s="710">
        <f>H88/DAY(B2)</f>
        <v>7.1578947368421053</v>
      </c>
      <c r="K88" s="736"/>
      <c r="L88" s="737"/>
      <c r="N88" s="781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'18'!F89</f>
        <v>64331</v>
      </c>
      <c r="F89" s="650">
        <v>64374</v>
      </c>
      <c r="G89" s="708">
        <f t="shared" si="7"/>
        <v>43</v>
      </c>
      <c r="H89" s="460">
        <f>G89+'18'!H89</f>
        <v>85</v>
      </c>
      <c r="I89" s="655"/>
      <c r="J89" s="710">
        <f>H89/DAY(B2)</f>
        <v>4.4736842105263159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'18'!F90</f>
        <v>3272</v>
      </c>
      <c r="F90" s="650">
        <v>3272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379" customFormat="1">
      <c r="A91" s="606" t="s">
        <v>205</v>
      </c>
      <c r="B91" s="1150"/>
      <c r="C91" s="1150"/>
      <c r="D91" s="472"/>
      <c r="E91" s="472"/>
      <c r="F91" s="472"/>
      <c r="G91" s="488"/>
      <c r="H91" s="472"/>
      <c r="I91" s="472"/>
      <c r="J91" s="551"/>
      <c r="K91" s="380"/>
      <c r="L91" s="378"/>
      <c r="N91" s="780"/>
      <c r="O91" s="382"/>
    </row>
    <row r="92" spans="1:15" ht="27.75">
      <c r="A92" s="1520" t="s">
        <v>206</v>
      </c>
      <c r="B92" s="1521"/>
      <c r="C92" s="1522"/>
      <c r="D92" s="523" t="s">
        <v>144</v>
      </c>
      <c r="E92" s="484">
        <f>'18'!F92</f>
        <v>243879</v>
      </c>
      <c r="F92" s="484">
        <v>243943</v>
      </c>
      <c r="G92" s="473">
        <f t="shared" ref="G92:G93" si="8">F92-E92</f>
        <v>64</v>
      </c>
      <c r="H92" s="460">
        <f>G92+'18'!H92</f>
        <v>1297</v>
      </c>
      <c r="I92" s="480"/>
      <c r="J92" s="552">
        <f>H92/DAY(B2)</f>
        <v>68.263157894736835</v>
      </c>
      <c r="K92" s="429"/>
      <c r="L92" s="377"/>
      <c r="N92" s="382"/>
      <c r="O92" s="382"/>
    </row>
    <row r="93" spans="1:15" ht="27.75">
      <c r="A93" s="1520" t="s">
        <v>207</v>
      </c>
      <c r="B93" s="1521"/>
      <c r="C93" s="1522"/>
      <c r="D93" s="523" t="s">
        <v>144</v>
      </c>
      <c r="E93" s="484">
        <f>'18'!F93</f>
        <v>182324</v>
      </c>
      <c r="F93" s="484">
        <v>182420</v>
      </c>
      <c r="G93" s="473">
        <f t="shared" si="8"/>
        <v>96</v>
      </c>
      <c r="H93" s="460">
        <f>G93+'18'!H93</f>
        <v>2741</v>
      </c>
      <c r="I93" s="480"/>
      <c r="J93" s="552">
        <f>H93/DAY(B2)</f>
        <v>144.26315789473685</v>
      </c>
      <c r="K93" s="380"/>
      <c r="L93" s="377"/>
      <c r="N93" s="382"/>
      <c r="O93" s="382"/>
    </row>
    <row r="94" spans="1:15">
      <c r="A94" s="1548" t="s">
        <v>208</v>
      </c>
      <c r="B94" s="1549"/>
      <c r="C94" s="1550"/>
      <c r="D94" s="523"/>
      <c r="E94" s="484">
        <f>'18'!F94</f>
        <v>0</v>
      </c>
      <c r="F94" s="484"/>
      <c r="G94" s="473">
        <f>G92+G93</f>
        <v>160</v>
      </c>
      <c r="H94" s="460">
        <f>G94+'18'!H94</f>
        <v>3819</v>
      </c>
      <c r="I94" s="480"/>
      <c r="J94" s="552">
        <f>H94/DAY(B2)</f>
        <v>201</v>
      </c>
      <c r="K94" s="380"/>
      <c r="L94" s="377"/>
      <c r="N94" s="382"/>
      <c r="O94" s="382"/>
    </row>
    <row r="95" spans="1:15" ht="27.75">
      <c r="A95" s="1520" t="s">
        <v>209</v>
      </c>
      <c r="B95" s="1521"/>
      <c r="C95" s="1522"/>
      <c r="D95" s="523" t="s">
        <v>144</v>
      </c>
      <c r="E95" s="484">
        <f>'18'!F95</f>
        <v>412067</v>
      </c>
      <c r="F95" s="484">
        <v>412137</v>
      </c>
      <c r="G95" s="473">
        <f t="shared" ref="G95:G100" si="9">F95-E95</f>
        <v>70</v>
      </c>
      <c r="H95" s="460">
        <f>G95+'18'!H95</f>
        <v>1352</v>
      </c>
      <c r="I95" s="480"/>
      <c r="J95" s="552">
        <f>H95/DAY(B2)</f>
        <v>71.15789473684211</v>
      </c>
      <c r="K95" s="380"/>
      <c r="L95" s="377"/>
      <c r="N95" s="382"/>
      <c r="O95" s="382"/>
    </row>
    <row r="96" spans="1:15" ht="27.75">
      <c r="A96" s="1144" t="s">
        <v>210</v>
      </c>
      <c r="B96" s="1145"/>
      <c r="C96" s="1145"/>
      <c r="D96" s="523" t="s">
        <v>144</v>
      </c>
      <c r="E96" s="484">
        <f>'18'!F96</f>
        <v>102144</v>
      </c>
      <c r="F96" s="484">
        <v>102160</v>
      </c>
      <c r="G96" s="473">
        <f t="shared" si="9"/>
        <v>16</v>
      </c>
      <c r="H96" s="460">
        <f>G96+'18'!H96</f>
        <v>329</v>
      </c>
      <c r="I96" s="480"/>
      <c r="J96" s="552">
        <f>H96/DAY(B2)</f>
        <v>17.315789473684209</v>
      </c>
      <c r="K96" s="427"/>
      <c r="L96" s="377"/>
      <c r="N96" s="382"/>
      <c r="O96" s="382"/>
    </row>
    <row r="97" spans="1:15" ht="27.75">
      <c r="A97" s="1144" t="s">
        <v>211</v>
      </c>
      <c r="B97" s="1145"/>
      <c r="C97" s="1145"/>
      <c r="D97" s="523" t="s">
        <v>144</v>
      </c>
      <c r="E97" s="484">
        <f>'18'!F97</f>
        <v>97238</v>
      </c>
      <c r="F97" s="484">
        <v>97258</v>
      </c>
      <c r="G97" s="473">
        <f t="shared" si="9"/>
        <v>20</v>
      </c>
      <c r="H97" s="460">
        <f>G97+'18'!H97</f>
        <v>330</v>
      </c>
      <c r="I97" s="480"/>
      <c r="J97" s="552">
        <f>H97/DAY(B2)</f>
        <v>17.368421052631579</v>
      </c>
      <c r="K97" s="432"/>
      <c r="L97" s="377"/>
      <c r="N97" s="382"/>
      <c r="O97" s="382"/>
    </row>
    <row r="98" spans="1:15" ht="27.75">
      <c r="A98" s="1144" t="s">
        <v>212</v>
      </c>
      <c r="B98" s="1145"/>
      <c r="C98" s="1145"/>
      <c r="D98" s="523" t="s">
        <v>144</v>
      </c>
      <c r="E98" s="484">
        <f>'18'!F98</f>
        <v>149438</v>
      </c>
      <c r="F98" s="484">
        <v>149450</v>
      </c>
      <c r="G98" s="473">
        <f t="shared" si="9"/>
        <v>12</v>
      </c>
      <c r="H98" s="460">
        <f>G98+'18'!H98</f>
        <v>541</v>
      </c>
      <c r="I98" s="480"/>
      <c r="J98" s="552">
        <f>H98/DAY(B2)</f>
        <v>28.473684210526315</v>
      </c>
      <c r="K98" s="380"/>
      <c r="L98" s="377"/>
      <c r="N98" s="382"/>
      <c r="O98" s="382"/>
    </row>
    <row r="99" spans="1:15" ht="27.75">
      <c r="A99" s="1144" t="s">
        <v>213</v>
      </c>
      <c r="B99" s="1145"/>
      <c r="C99" s="1145"/>
      <c r="D99" s="523" t="s">
        <v>144</v>
      </c>
      <c r="E99" s="484">
        <f>'18'!F99</f>
        <v>7084</v>
      </c>
      <c r="F99" s="484">
        <v>7099</v>
      </c>
      <c r="G99" s="473">
        <f t="shared" si="9"/>
        <v>15</v>
      </c>
      <c r="H99" s="460">
        <f>G99+'18'!H99</f>
        <v>244</v>
      </c>
      <c r="I99" s="480"/>
      <c r="J99" s="552">
        <f>H99/DAY(B2)</f>
        <v>12.842105263157896</v>
      </c>
      <c r="K99" s="380"/>
      <c r="L99" s="377"/>
      <c r="N99" s="382"/>
      <c r="O99" s="382"/>
    </row>
    <row r="100" spans="1:15" ht="27.75">
      <c r="A100" s="1144" t="s">
        <v>214</v>
      </c>
      <c r="B100" s="1145"/>
      <c r="C100" s="1145"/>
      <c r="D100" s="523" t="s">
        <v>144</v>
      </c>
      <c r="E100" s="484">
        <f>'18'!F100</f>
        <v>5069</v>
      </c>
      <c r="F100" s="484">
        <v>5075</v>
      </c>
      <c r="G100" s="473">
        <f t="shared" si="9"/>
        <v>6</v>
      </c>
      <c r="H100" s="460">
        <f>G100+'18'!H100</f>
        <v>132</v>
      </c>
      <c r="I100" s="480"/>
      <c r="J100" s="552">
        <f>H100/DAY(B2)</f>
        <v>6.9473684210526319</v>
      </c>
      <c r="K100" s="380"/>
      <c r="L100" s="377"/>
      <c r="N100" s="382"/>
      <c r="O100" s="382"/>
    </row>
    <row r="101" spans="1:15">
      <c r="A101" s="1548" t="s">
        <v>216</v>
      </c>
      <c r="B101" s="1549"/>
      <c r="C101" s="1550"/>
      <c r="D101" s="524"/>
      <c r="E101" s="524"/>
      <c r="F101" s="524"/>
      <c r="G101" s="525">
        <f>SUM(G95:G100)</f>
        <v>139</v>
      </c>
      <c r="H101" s="460">
        <f>G101+'18'!H101</f>
        <v>2928</v>
      </c>
      <c r="I101" s="526"/>
      <c r="J101" s="552">
        <f>H101/DAY(B2)</f>
        <v>154.10526315789474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529"/>
      <c r="H102" s="530"/>
      <c r="I102" s="531"/>
      <c r="J102" s="557"/>
      <c r="N102" s="444"/>
      <c r="O102" s="382"/>
    </row>
    <row r="103" spans="1:15" s="442" customFormat="1" ht="27.75">
      <c r="A103" s="1551" t="s">
        <v>218</v>
      </c>
      <c r="B103" s="1552"/>
      <c r="C103" s="573"/>
      <c r="D103" s="622"/>
      <c r="E103" s="532"/>
      <c r="F103" s="532"/>
      <c r="G103" s="532"/>
      <c r="H103" s="533"/>
      <c r="I103" s="532"/>
      <c r="J103" s="558"/>
      <c r="N103" s="444"/>
      <c r="O103" s="382"/>
    </row>
    <row r="104" spans="1:15" s="442" customFormat="1" ht="27.75">
      <c r="A104" s="1512" t="s">
        <v>219</v>
      </c>
      <c r="B104" s="1513"/>
      <c r="C104" s="1142"/>
      <c r="D104" s="622" t="s">
        <v>144</v>
      </c>
      <c r="E104" s="532">
        <f>'18'!F104</f>
        <v>7382</v>
      </c>
      <c r="F104" s="532">
        <v>7391</v>
      </c>
      <c r="G104" s="532">
        <f>F104-E104</f>
        <v>9</v>
      </c>
      <c r="H104" s="460">
        <f>G104+'18'!H104</f>
        <v>72</v>
      </c>
      <c r="I104" s="532"/>
      <c r="J104" s="558">
        <f>H104/DAY(B2)</f>
        <v>3.7894736842105261</v>
      </c>
      <c r="N104" s="444"/>
      <c r="O104" s="382"/>
    </row>
    <row r="105" spans="1:15" s="442" customFormat="1" ht="27.75">
      <c r="A105" s="1512" t="s">
        <v>77</v>
      </c>
      <c r="B105" s="1513"/>
      <c r="C105" s="1142"/>
      <c r="D105" s="622" t="s">
        <v>144</v>
      </c>
      <c r="E105" s="534">
        <f>'18'!F105</f>
        <v>35758</v>
      </c>
      <c r="F105" s="534">
        <v>35764</v>
      </c>
      <c r="G105" s="532">
        <f t="shared" ref="G105" si="10">F105-E105</f>
        <v>6</v>
      </c>
      <c r="H105" s="460">
        <f>G105+'18'!H105</f>
        <v>63</v>
      </c>
      <c r="I105" s="532"/>
      <c r="J105" s="558">
        <f>H105/DAY(B2)</f>
        <v>3.3157894736842106</v>
      </c>
      <c r="N105" s="444"/>
      <c r="O105" s="382"/>
    </row>
    <row r="106" spans="1:15" s="442" customFormat="1" ht="27.75">
      <c r="A106" s="1512" t="s">
        <v>78</v>
      </c>
      <c r="B106" s="1553"/>
      <c r="C106" s="1513"/>
      <c r="D106" s="622" t="s">
        <v>144</v>
      </c>
      <c r="E106" s="532">
        <f>'18'!F106</f>
        <v>19540</v>
      </c>
      <c r="F106" s="532">
        <v>19547</v>
      </c>
      <c r="G106" s="532">
        <f>F106-E106</f>
        <v>7</v>
      </c>
      <c r="H106" s="460">
        <f>G106+'18'!H106</f>
        <v>410</v>
      </c>
      <c r="I106" s="532"/>
      <c r="J106" s="558">
        <f>H106/DAY(B2)</f>
        <v>21.578947368421051</v>
      </c>
      <c r="N106" s="444"/>
      <c r="O106" s="382"/>
    </row>
    <row r="107" spans="1:15" s="442" customFormat="1" ht="27.75">
      <c r="A107" s="1514" t="s">
        <v>202</v>
      </c>
      <c r="B107" s="1515"/>
      <c r="C107" s="1142"/>
      <c r="D107" s="622"/>
      <c r="E107" s="532">
        <f>'18'!F107</f>
        <v>0</v>
      </c>
      <c r="F107" s="532"/>
      <c r="G107" s="532">
        <f>SUM(G104:G106)</f>
        <v>22</v>
      </c>
      <c r="H107" s="460">
        <f>G107+'18'!H107</f>
        <v>235</v>
      </c>
      <c r="I107" s="532"/>
      <c r="J107" s="558">
        <f>H107/DAY(B2)</f>
        <v>12.368421052631579</v>
      </c>
      <c r="N107" s="444"/>
      <c r="O107" s="382"/>
    </row>
    <row r="108" spans="1:15" s="442" customFormat="1" ht="27.75">
      <c r="A108" s="1518" t="s">
        <v>79</v>
      </c>
      <c r="B108" s="1519"/>
      <c r="C108" s="1142"/>
      <c r="D108" s="622" t="s">
        <v>144</v>
      </c>
      <c r="E108" s="532">
        <f>'18'!F108</f>
        <v>0</v>
      </c>
      <c r="F108" s="532"/>
      <c r="G108" s="532"/>
      <c r="H108" s="460"/>
      <c r="I108" s="532"/>
      <c r="J108" s="558"/>
      <c r="N108" s="444"/>
      <c r="O108" s="382"/>
    </row>
    <row r="109" spans="1:15" s="442" customFormat="1" ht="27.75">
      <c r="A109" s="1512" t="s">
        <v>220</v>
      </c>
      <c r="B109" s="1513"/>
      <c r="C109" s="1142"/>
      <c r="D109" s="622" t="s">
        <v>144</v>
      </c>
      <c r="E109" s="532">
        <f>'18'!F109</f>
        <v>60243</v>
      </c>
      <c r="F109" s="532">
        <v>60314</v>
      </c>
      <c r="G109" s="532">
        <f>F109-E109</f>
        <v>71</v>
      </c>
      <c r="H109" s="460">
        <f>G109+'18'!H109</f>
        <v>342</v>
      </c>
      <c r="I109" s="532"/>
      <c r="J109" s="558">
        <f>H109/DAY(B2)</f>
        <v>18</v>
      </c>
      <c r="N109" s="444"/>
      <c r="O109" s="382"/>
    </row>
    <row r="110" spans="1:15" s="442" customFormat="1" ht="27.75">
      <c r="A110" s="1512" t="s">
        <v>221</v>
      </c>
      <c r="B110" s="1513"/>
      <c r="C110" s="1142"/>
      <c r="D110" s="622" t="s">
        <v>144</v>
      </c>
      <c r="E110" s="532">
        <f>'18'!F110</f>
        <v>32110</v>
      </c>
      <c r="F110" s="532">
        <v>32110</v>
      </c>
      <c r="G110" s="532">
        <f t="shared" ref="G110:G111" si="11">F110-E110</f>
        <v>0</v>
      </c>
      <c r="H110" s="460">
        <f>G110+'18'!H110</f>
        <v>28</v>
      </c>
      <c r="I110" s="532"/>
      <c r="J110" s="558">
        <f>H110/DAY(B2)</f>
        <v>1.4736842105263157</v>
      </c>
      <c r="N110" s="444"/>
      <c r="O110" s="382"/>
    </row>
    <row r="111" spans="1:15" s="442" customFormat="1" ht="27.75">
      <c r="A111" s="1512" t="s">
        <v>222</v>
      </c>
      <c r="B111" s="1513"/>
      <c r="C111" s="1142"/>
      <c r="D111" s="622" t="s">
        <v>144</v>
      </c>
      <c r="E111" s="532">
        <f>'18'!F111</f>
        <v>4292</v>
      </c>
      <c r="F111" s="532">
        <v>4309</v>
      </c>
      <c r="G111" s="532">
        <f t="shared" si="11"/>
        <v>17</v>
      </c>
      <c r="H111" s="460">
        <f>G111+'18'!H111</f>
        <v>256</v>
      </c>
      <c r="I111" s="532"/>
      <c r="J111" s="558">
        <f>H111/DAY(B2)</f>
        <v>13.473684210526315</v>
      </c>
      <c r="N111" s="444"/>
      <c r="O111" s="382"/>
    </row>
    <row r="112" spans="1:15" s="442" customFormat="1" ht="27.75">
      <c r="A112" s="1516" t="s">
        <v>110</v>
      </c>
      <c r="B112" s="1517"/>
      <c r="C112" s="1142"/>
      <c r="D112" s="622"/>
      <c r="E112" s="532">
        <f>'18'!F112</f>
        <v>0</v>
      </c>
      <c r="F112" s="532"/>
      <c r="G112" s="532">
        <f>SUM(G109:G111)</f>
        <v>88</v>
      </c>
      <c r="H112" s="460">
        <f>G112+'18'!H112</f>
        <v>1081</v>
      </c>
      <c r="I112" s="532"/>
      <c r="J112" s="558">
        <f>H112/DAY(B2)</f>
        <v>56.89473684210526</v>
      </c>
      <c r="N112" s="444"/>
      <c r="O112" s="382"/>
    </row>
    <row r="113" spans="1:15" s="442" customFormat="1" ht="27.75">
      <c r="A113" s="1518" t="s">
        <v>223</v>
      </c>
      <c r="B113" s="1519"/>
      <c r="C113" s="1142"/>
      <c r="D113" s="622"/>
      <c r="E113" s="532">
        <f>'18'!F113</f>
        <v>0</v>
      </c>
      <c r="F113" s="532"/>
      <c r="G113" s="532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512" t="s">
        <v>224</v>
      </c>
      <c r="B114" s="1513"/>
      <c r="C114" s="574"/>
      <c r="D114" s="622" t="s">
        <v>144</v>
      </c>
      <c r="E114" s="534">
        <f>'18'!F114</f>
        <v>11135</v>
      </c>
      <c r="F114" s="534">
        <v>11151</v>
      </c>
      <c r="G114" s="534">
        <f>F114-E114</f>
        <v>16</v>
      </c>
      <c r="H114" s="460">
        <f>G114+'18'!H114</f>
        <v>27</v>
      </c>
      <c r="I114" s="532"/>
      <c r="J114" s="558">
        <f>H114/DAY(B2)</f>
        <v>1.4210526315789473</v>
      </c>
      <c r="N114" s="444"/>
      <c r="O114" s="382"/>
    </row>
    <row r="115" spans="1:15" s="442" customFormat="1" ht="27.75">
      <c r="A115" s="1512" t="s">
        <v>225</v>
      </c>
      <c r="B115" s="1513"/>
      <c r="C115" s="574"/>
      <c r="D115" s="622" t="s">
        <v>144</v>
      </c>
      <c r="E115" s="534">
        <f>'18'!F115</f>
        <v>8075</v>
      </c>
      <c r="F115" s="534">
        <v>8079</v>
      </c>
      <c r="G115" s="534">
        <f t="shared" ref="G115:G116" si="12">F115-E115</f>
        <v>4</v>
      </c>
      <c r="H115" s="460">
        <f>G115+'18'!H115</f>
        <v>100</v>
      </c>
      <c r="I115" s="532"/>
      <c r="J115" s="558">
        <f>H115/DAY(B2)</f>
        <v>5.2631578947368425</v>
      </c>
      <c r="N115" s="444"/>
      <c r="O115" s="382"/>
    </row>
    <row r="116" spans="1:15" s="442" customFormat="1" ht="27.75">
      <c r="A116" s="1512" t="s">
        <v>226</v>
      </c>
      <c r="B116" s="1513"/>
      <c r="C116" s="574"/>
      <c r="D116" s="622" t="s">
        <v>144</v>
      </c>
      <c r="E116" s="534"/>
      <c r="F116" s="534"/>
      <c r="G116" s="534">
        <f t="shared" si="12"/>
        <v>0</v>
      </c>
      <c r="H116" s="460">
        <f>G116+'18'!H116</f>
        <v>127</v>
      </c>
      <c r="I116" s="532"/>
      <c r="J116" s="558">
        <f>H116/DAY(B2)</f>
        <v>6.6842105263157894</v>
      </c>
      <c r="N116" s="444"/>
      <c r="O116" s="382"/>
    </row>
    <row r="117" spans="1:15" s="445" customFormat="1" ht="27.75">
      <c r="A117" s="1514" t="s">
        <v>202</v>
      </c>
      <c r="B117" s="1515"/>
      <c r="C117" s="574"/>
      <c r="D117" s="623"/>
      <c r="E117" s="534"/>
      <c r="F117" s="534"/>
      <c r="G117" s="534">
        <f>SUM(G114:G116)</f>
        <v>20</v>
      </c>
      <c r="H117" s="460">
        <f>G117+'18'!H117</f>
        <v>112</v>
      </c>
      <c r="I117" s="534"/>
      <c r="J117" s="558">
        <f>H117/DAY(B2)</f>
        <v>5.8947368421052628</v>
      </c>
      <c r="N117" s="447"/>
      <c r="O117" s="382"/>
    </row>
    <row r="118" spans="1:15" s="446" customFormat="1" ht="27.75">
      <c r="A118" s="1508" t="s">
        <v>227</v>
      </c>
      <c r="B118" s="1509"/>
      <c r="C118" s="1141"/>
      <c r="D118" s="624" t="s">
        <v>144</v>
      </c>
      <c r="E118" s="536"/>
      <c r="F118" s="536">
        <f>SUM(G19+G92)</f>
        <v>135</v>
      </c>
      <c r="G118" s="536">
        <f>SUM(G19+G92)</f>
        <v>135</v>
      </c>
      <c r="H118" s="460">
        <f>G118+'18'!H118</f>
        <v>275</v>
      </c>
      <c r="I118" s="535"/>
      <c r="J118" s="559">
        <f>H118/DAY(B2)</f>
        <v>14.473684210526315</v>
      </c>
      <c r="N118" s="782"/>
      <c r="O118" s="382"/>
    </row>
    <row r="119" spans="1:15" s="446" customFormat="1" ht="27.75">
      <c r="A119" s="1508" t="s">
        <v>228</v>
      </c>
      <c r="B119" s="1509"/>
      <c r="C119" s="1141"/>
      <c r="D119" s="624" t="s">
        <v>144</v>
      </c>
      <c r="E119" s="536"/>
      <c r="F119" s="536">
        <f>SUM(G95,G96,G97,G99,G100)</f>
        <v>127</v>
      </c>
      <c r="G119" s="536">
        <f>SUM(G95,G96,G97,G99,G100)</f>
        <v>127</v>
      </c>
      <c r="H119" s="460">
        <f>G119+'18'!H119</f>
        <v>269</v>
      </c>
      <c r="I119" s="535"/>
      <c r="J119" s="559">
        <f>H119/DAY(B2)</f>
        <v>14.157894736842104</v>
      </c>
      <c r="N119" s="782"/>
      <c r="O119" s="382"/>
    </row>
    <row r="120" spans="1:15" s="446" customFormat="1" ht="27.75">
      <c r="A120" s="1508" t="s">
        <v>229</v>
      </c>
      <c r="B120" s="1509"/>
      <c r="C120" s="1141"/>
      <c r="D120" s="624" t="s">
        <v>144</v>
      </c>
      <c r="E120" s="534"/>
      <c r="F120" s="534">
        <f>SUM(G112)</f>
        <v>88</v>
      </c>
      <c r="G120" s="534">
        <f>SUM(G112)</f>
        <v>88</v>
      </c>
      <c r="H120" s="460">
        <f>G120+'18'!H120</f>
        <v>172</v>
      </c>
      <c r="I120" s="535"/>
      <c r="J120" s="559">
        <f>H120/DAY(B2)</f>
        <v>9.0526315789473681</v>
      </c>
      <c r="N120" s="782"/>
      <c r="O120" s="382"/>
    </row>
    <row r="121" spans="1:15" s="442" customFormat="1" ht="27.75">
      <c r="A121" s="1510"/>
      <c r="B121" s="1511"/>
      <c r="C121" s="1142"/>
      <c r="D121" s="560"/>
      <c r="E121" s="560"/>
      <c r="F121" s="560" t="s">
        <v>215</v>
      </c>
      <c r="G121" s="560"/>
      <c r="H121" s="561"/>
      <c r="I121" s="560"/>
      <c r="J121" s="562"/>
      <c r="N121" s="444"/>
      <c r="O121" s="382"/>
    </row>
    <row r="122" spans="1:15">
      <c r="A122" s="1545" t="s">
        <v>230</v>
      </c>
      <c r="B122" s="1546"/>
      <c r="C122" s="1547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  <c r="O122" s="382"/>
    </row>
    <row r="123" spans="1:15" ht="27.75">
      <c r="A123" s="1144" t="s">
        <v>231</v>
      </c>
      <c r="B123" s="1145"/>
      <c r="C123" s="1145"/>
      <c r="D123" s="523" t="s">
        <v>141</v>
      </c>
      <c r="E123" s="478">
        <f>'18'!F123</f>
        <v>823306</v>
      </c>
      <c r="F123" s="478">
        <v>823557</v>
      </c>
      <c r="G123" s="473">
        <f t="shared" ref="G123:G127" si="13">F123-E123</f>
        <v>251</v>
      </c>
      <c r="H123" s="460">
        <f>G123+'18'!H123</f>
        <v>4747</v>
      </c>
      <c r="I123" s="526"/>
      <c r="J123" s="552">
        <f>H123/DAY(B2)</f>
        <v>249.84210526315789</v>
      </c>
      <c r="K123" s="380"/>
      <c r="L123" s="377"/>
      <c r="N123" s="382"/>
      <c r="O123" s="382"/>
    </row>
    <row r="124" spans="1:15" ht="27.75">
      <c r="A124" s="1144" t="s">
        <v>232</v>
      </c>
      <c r="B124" s="1145"/>
      <c r="C124" s="1145"/>
      <c r="D124" s="523" t="s">
        <v>141</v>
      </c>
      <c r="E124" s="626">
        <f>'18'!F124</f>
        <v>73583.399999999994</v>
      </c>
      <c r="F124" s="626">
        <v>73583</v>
      </c>
      <c r="G124" s="473">
        <f t="shared" si="13"/>
        <v>-0.39999999999417923</v>
      </c>
      <c r="H124" s="460">
        <f>G124+'18'!H124</f>
        <v>-0.39999999999417923</v>
      </c>
      <c r="I124" s="526"/>
      <c r="J124" s="552">
        <f>H124/DAY(B2)</f>
        <v>-2.1052631578641012E-2</v>
      </c>
      <c r="K124" s="380"/>
      <c r="L124" s="377"/>
      <c r="N124" s="382"/>
      <c r="O124" s="382"/>
    </row>
    <row r="125" spans="1:15" ht="27.75">
      <c r="A125" s="1499" t="s">
        <v>233</v>
      </c>
      <c r="B125" s="1500"/>
      <c r="C125" s="1501"/>
      <c r="D125" s="523" t="s">
        <v>141</v>
      </c>
      <c r="E125" s="478">
        <f>'18'!F125</f>
        <v>143733</v>
      </c>
      <c r="F125" s="478">
        <v>143824</v>
      </c>
      <c r="G125" s="473">
        <f t="shared" si="13"/>
        <v>91</v>
      </c>
      <c r="H125" s="460">
        <f>G125+'18'!H125</f>
        <v>1688</v>
      </c>
      <c r="I125" s="526"/>
      <c r="J125" s="552">
        <f>H125/DAY(B2)</f>
        <v>88.84210526315789</v>
      </c>
      <c r="K125" s="380"/>
      <c r="L125" s="377"/>
      <c r="N125" s="382"/>
      <c r="O125" s="382"/>
    </row>
    <row r="126" spans="1:15" ht="27.75">
      <c r="A126" s="609" t="s">
        <v>234</v>
      </c>
      <c r="B126" s="1145"/>
      <c r="C126" s="1145"/>
      <c r="D126" s="523" t="s">
        <v>141</v>
      </c>
      <c r="E126" s="626">
        <f>'18'!F126</f>
        <v>31404</v>
      </c>
      <c r="F126" s="626">
        <v>31404</v>
      </c>
      <c r="G126" s="473">
        <f t="shared" si="13"/>
        <v>0</v>
      </c>
      <c r="H126" s="460">
        <f>G126+'18'!H126</f>
        <v>85.299999999999272</v>
      </c>
      <c r="I126" s="526"/>
      <c r="J126" s="552">
        <f>H126/DAY(B2)</f>
        <v>4.4894736842104876</v>
      </c>
      <c r="K126" s="380"/>
      <c r="L126" s="377"/>
      <c r="N126" s="382"/>
      <c r="O126" s="382"/>
    </row>
    <row r="127" spans="1:15" ht="27.75">
      <c r="A127" s="609" t="s">
        <v>235</v>
      </c>
      <c r="B127" s="1145"/>
      <c r="C127" s="1145"/>
      <c r="D127" s="523" t="s">
        <v>141</v>
      </c>
      <c r="E127" s="626">
        <f>'18'!F127</f>
        <v>8968</v>
      </c>
      <c r="F127" s="626">
        <v>8968</v>
      </c>
      <c r="G127" s="473">
        <f t="shared" si="13"/>
        <v>0</v>
      </c>
      <c r="H127" s="460">
        <f>G127+'18'!H127</f>
        <v>6</v>
      </c>
      <c r="I127" s="480"/>
      <c r="J127" s="552">
        <f>H127/DAY(B2)</f>
        <v>0.31578947368421051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145"/>
      <c r="C128" s="1145"/>
      <c r="D128" s="523"/>
      <c r="E128" s="478"/>
      <c r="F128" s="478"/>
      <c r="G128" s="473">
        <f>G15-SUM(G123:G127)</f>
        <v>391.39999999999418</v>
      </c>
      <c r="H128" s="460">
        <f>G128+'18'!H128</f>
        <v>1832.6499999999942</v>
      </c>
      <c r="I128" s="480"/>
      <c r="J128" s="552">
        <f>H128/DAY(B2)</f>
        <v>96.455263157894436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  <c r="O129" s="382"/>
    </row>
    <row r="130" spans="1:15" ht="27.75">
      <c r="A130" s="1144" t="s">
        <v>238</v>
      </c>
      <c r="B130" s="1145"/>
      <c r="C130" s="1145"/>
      <c r="D130" s="523" t="s">
        <v>239</v>
      </c>
      <c r="E130" s="484">
        <f>'18'!F130</f>
        <v>0</v>
      </c>
      <c r="F130" s="484">
        <v>0</v>
      </c>
      <c r="G130" s="473">
        <f t="shared" ref="G130:G140" si="14">F130-E130</f>
        <v>0</v>
      </c>
      <c r="H130" s="460">
        <f>G130+'18'!H130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144" t="s">
        <v>240</v>
      </c>
      <c r="B131" s="1145"/>
      <c r="C131" s="1145"/>
      <c r="D131" s="523" t="s">
        <v>239</v>
      </c>
      <c r="E131" s="484">
        <f>'18'!F131</f>
        <v>0</v>
      </c>
      <c r="F131" s="484">
        <v>0</v>
      </c>
      <c r="G131" s="473">
        <f t="shared" si="14"/>
        <v>0</v>
      </c>
      <c r="H131" s="460">
        <f>G131+'18'!H131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4" t="s">
        <v>241</v>
      </c>
      <c r="B132" s="1145"/>
      <c r="C132" s="1145"/>
      <c r="D132" s="523" t="s">
        <v>239</v>
      </c>
      <c r="E132" s="541">
        <f>'18'!F132</f>
        <v>39659.230000000003</v>
      </c>
      <c r="F132" s="541">
        <v>39659.230000000003</v>
      </c>
      <c r="G132" s="473">
        <f t="shared" si="14"/>
        <v>0</v>
      </c>
      <c r="H132" s="460">
        <f>G132+'18'!H132</f>
        <v>126.2300000000032</v>
      </c>
      <c r="I132" s="480"/>
      <c r="J132" s="552">
        <f>H132/DAY(B2)</f>
        <v>6.6436842105264846</v>
      </c>
      <c r="N132" s="382"/>
      <c r="O132" s="382"/>
    </row>
    <row r="133" spans="1:15" s="441" customFormat="1" ht="27.75">
      <c r="A133" s="1074" t="s">
        <v>242</v>
      </c>
      <c r="B133" s="1075"/>
      <c r="C133" s="1075"/>
      <c r="D133" s="627" t="s">
        <v>239</v>
      </c>
      <c r="E133" s="541">
        <f>'18'!F133</f>
        <v>300</v>
      </c>
      <c r="F133" s="541">
        <v>300</v>
      </c>
      <c r="G133" s="655">
        <f t="shared" si="14"/>
        <v>0</v>
      </c>
      <c r="H133" s="708">
        <f>G133+'18'!H133</f>
        <v>0</v>
      </c>
      <c r="I133" s="1076">
        <f>G130+G131+G132+G133</f>
        <v>0</v>
      </c>
      <c r="J133" s="710">
        <f>H133/DAY(B2)</f>
        <v>0</v>
      </c>
      <c r="N133" s="716"/>
      <c r="O133" s="716"/>
    </row>
    <row r="134" spans="1:15" ht="27.75">
      <c r="A134" s="1144" t="s">
        <v>243</v>
      </c>
      <c r="B134" s="1145"/>
      <c r="C134" s="1145"/>
      <c r="D134" s="523" t="s">
        <v>239</v>
      </c>
      <c r="E134" s="541">
        <f>'18'!F134</f>
        <v>41174.53</v>
      </c>
      <c r="F134" s="541">
        <v>41199</v>
      </c>
      <c r="G134" s="473">
        <f t="shared" si="14"/>
        <v>24.470000000001164</v>
      </c>
      <c r="H134" s="460">
        <f>G134+'18'!H134</f>
        <v>357.44000000000233</v>
      </c>
      <c r="I134" s="480"/>
      <c r="J134" s="552">
        <f>H134/DAY(B2)</f>
        <v>18.812631578947492</v>
      </c>
      <c r="N134" s="382"/>
      <c r="O134" s="382"/>
    </row>
    <row r="135" spans="1:15" ht="27.75">
      <c r="A135" s="1144" t="s">
        <v>244</v>
      </c>
      <c r="B135" s="1145"/>
      <c r="C135" s="1145"/>
      <c r="D135" s="523" t="s">
        <v>239</v>
      </c>
      <c r="E135" s="541">
        <f>'18'!F135</f>
        <v>32582.98</v>
      </c>
      <c r="F135" s="541">
        <v>32582.92</v>
      </c>
      <c r="G135" s="473">
        <f t="shared" si="14"/>
        <v>-6.0000000001309672E-2</v>
      </c>
      <c r="H135" s="460">
        <f>G135+'18'!H135</f>
        <v>-8.000000000174623E-2</v>
      </c>
      <c r="I135" s="480"/>
      <c r="J135" s="552">
        <f>H135/DAY(B2)</f>
        <v>-4.2105263158813801E-3</v>
      </c>
      <c r="N135" s="382"/>
      <c r="O135" s="382"/>
    </row>
    <row r="136" spans="1:15" ht="27.75">
      <c r="A136" s="1144" t="s">
        <v>245</v>
      </c>
      <c r="B136" s="1145"/>
      <c r="C136" s="1145"/>
      <c r="D136" s="523" t="s">
        <v>239</v>
      </c>
      <c r="E136" s="541">
        <f>'18'!F136</f>
        <v>22665</v>
      </c>
      <c r="F136" s="541">
        <v>22672</v>
      </c>
      <c r="G136" s="473">
        <f t="shared" si="14"/>
        <v>7</v>
      </c>
      <c r="H136" s="460">
        <f>G136+'18'!H136</f>
        <v>183.34999999999854</v>
      </c>
      <c r="I136" s="480">
        <f>G134+G135+G136</f>
        <v>31.409999999999854</v>
      </c>
      <c r="J136" s="552">
        <f>H136/DAY(B2)</f>
        <v>9.649999999999924</v>
      </c>
      <c r="N136" s="382"/>
      <c r="O136" s="382"/>
    </row>
    <row r="137" spans="1:15" ht="27.75">
      <c r="A137" s="1144" t="s">
        <v>246</v>
      </c>
      <c r="B137" s="1145"/>
      <c r="C137" s="1145"/>
      <c r="D137" s="523" t="s">
        <v>239</v>
      </c>
      <c r="E137" s="541">
        <f>'18'!F137</f>
        <v>25050</v>
      </c>
      <c r="F137" s="541">
        <v>25050</v>
      </c>
      <c r="G137" s="473">
        <f t="shared" si="14"/>
        <v>0</v>
      </c>
      <c r="H137" s="460">
        <f>G137+'18'!H137</f>
        <v>1.2099999999991269</v>
      </c>
      <c r="I137" s="480"/>
      <c r="J137" s="552">
        <f>H137/DAY(B2)</f>
        <v>6.3684210526269838E-2</v>
      </c>
      <c r="N137" s="382"/>
      <c r="O137" s="382"/>
    </row>
    <row r="138" spans="1:15" ht="27.75">
      <c r="A138" s="1144" t="s">
        <v>247</v>
      </c>
      <c r="B138" s="1145"/>
      <c r="C138" s="1145"/>
      <c r="D138" s="523" t="s">
        <v>239</v>
      </c>
      <c r="E138" s="541">
        <f>'18'!F138</f>
        <v>70285</v>
      </c>
      <c r="F138" s="541">
        <v>70286.720000000001</v>
      </c>
      <c r="G138" s="473">
        <f t="shared" si="14"/>
        <v>1.7200000000011642</v>
      </c>
      <c r="H138" s="460">
        <f>G138+'18'!H138</f>
        <v>32.690000000002328</v>
      </c>
      <c r="I138" s="480">
        <f>G137+G138</f>
        <v>1.7200000000011642</v>
      </c>
      <c r="J138" s="552">
        <f>H138/DAY(B2)</f>
        <v>1.7205263157895963</v>
      </c>
      <c r="N138" s="382"/>
      <c r="O138" s="382"/>
    </row>
    <row r="139" spans="1:15" ht="27.75">
      <c r="A139" s="1144" t="s">
        <v>248</v>
      </c>
      <c r="B139" s="1145"/>
      <c r="C139" s="1145"/>
      <c r="D139" s="523" t="s">
        <v>239</v>
      </c>
      <c r="E139" s="484">
        <f>'18'!F139</f>
        <v>1536.62</v>
      </c>
      <c r="F139" s="484">
        <v>1536.52</v>
      </c>
      <c r="G139" s="473">
        <f t="shared" si="14"/>
        <v>-9.9999999999909051E-2</v>
      </c>
      <c r="H139" s="460">
        <f>G139+'18'!H139</f>
        <v>0</v>
      </c>
      <c r="I139" s="542"/>
      <c r="J139" s="552">
        <f>H139/DAY(B2)</f>
        <v>0</v>
      </c>
      <c r="N139" s="382"/>
      <c r="O139" s="382"/>
    </row>
    <row r="140" spans="1:15" ht="27.75">
      <c r="A140" s="1144" t="s">
        <v>249</v>
      </c>
      <c r="B140" s="1145"/>
      <c r="C140" s="1145"/>
      <c r="D140" s="523" t="s">
        <v>239</v>
      </c>
      <c r="E140" s="484">
        <f>'18'!F140</f>
        <v>4615.9399999999996</v>
      </c>
      <c r="F140" s="484">
        <v>4624.26</v>
      </c>
      <c r="G140" s="473">
        <f t="shared" si="14"/>
        <v>8.3200000000006185</v>
      </c>
      <c r="H140" s="460">
        <f>G140+'18'!H140</f>
        <v>155.72000000000025</v>
      </c>
      <c r="I140" s="542"/>
      <c r="J140" s="552">
        <f>H140/DAY(B2)</f>
        <v>8.1957894736842238</v>
      </c>
      <c r="N140" s="382"/>
      <c r="O140" s="382"/>
    </row>
    <row r="141" spans="1:15">
      <c r="A141" s="1526" t="s">
        <v>250</v>
      </c>
      <c r="B141" s="1527"/>
      <c r="C141" s="1150"/>
      <c r="D141" s="472"/>
      <c r="E141" s="472"/>
      <c r="F141" s="472" t="s">
        <v>273</v>
      </c>
      <c r="G141" s="483"/>
      <c r="H141" s="483"/>
      <c r="I141" s="483"/>
      <c r="J141" s="563"/>
      <c r="K141" s="380"/>
      <c r="L141" s="377"/>
      <c r="N141" s="382"/>
      <c r="O141" s="382"/>
    </row>
    <row r="142" spans="1:15" ht="27.75">
      <c r="A142" s="1520" t="s">
        <v>251</v>
      </c>
      <c r="B142" s="1521"/>
      <c r="C142" s="1522"/>
      <c r="D142" s="523" t="s">
        <v>132</v>
      </c>
      <c r="E142" s="523"/>
      <c r="F142" s="523"/>
      <c r="G142" s="460">
        <f>G35+G43+G49+G57</f>
        <v>5022.5399999999954</v>
      </c>
      <c r="H142" s="460">
        <f>G142+'18'!H142</f>
        <v>102822</v>
      </c>
      <c r="I142" s="480"/>
      <c r="J142" s="552">
        <f>H142/DAY(B2)</f>
        <v>5411.6842105263158</v>
      </c>
      <c r="K142" s="380"/>
      <c r="L142" s="377"/>
      <c r="N142" s="382"/>
      <c r="O142" s="382"/>
    </row>
    <row r="143" spans="1:15" ht="27.75">
      <c r="A143" s="1520" t="s">
        <v>252</v>
      </c>
      <c r="B143" s="1521"/>
      <c r="C143" s="1522"/>
      <c r="D143" s="523" t="s">
        <v>24</v>
      </c>
      <c r="E143" s="511"/>
      <c r="F143" s="511"/>
      <c r="G143" s="543">
        <f>G142/G7</f>
        <v>0.24741576354679781</v>
      </c>
      <c r="H143" s="460">
        <f>G143+'18'!H143</f>
        <v>4.8693976721749044</v>
      </c>
      <c r="I143" s="544"/>
      <c r="J143" s="552">
        <f>H143/DAY(B2)</f>
        <v>0.25628408800920549</v>
      </c>
      <c r="K143" s="380"/>
      <c r="L143" s="377"/>
      <c r="N143" s="382"/>
      <c r="O143" s="382"/>
    </row>
    <row r="144" spans="1:15" ht="27.75">
      <c r="A144" s="1520" t="s">
        <v>253</v>
      </c>
      <c r="B144" s="1521"/>
      <c r="C144" s="1522"/>
      <c r="D144" s="523" t="s">
        <v>132</v>
      </c>
      <c r="E144" s="455"/>
      <c r="F144" s="455"/>
      <c r="G144" s="460">
        <f>G41+G42+G55+G56</f>
        <v>6208</v>
      </c>
      <c r="H144" s="460">
        <f>G144+'18'!H144</f>
        <v>115463.84</v>
      </c>
      <c r="I144" s="480"/>
      <c r="J144" s="552">
        <f>H144/DAY(B2)</f>
        <v>6077.0442105263155</v>
      </c>
      <c r="K144" s="380"/>
      <c r="L144" s="377"/>
      <c r="N144" s="382"/>
      <c r="O144" s="382"/>
    </row>
    <row r="145" spans="1:15" ht="27.75">
      <c r="A145" s="1520" t="s">
        <v>254</v>
      </c>
      <c r="B145" s="1521"/>
      <c r="C145" s="1522"/>
      <c r="D145" s="523" t="s">
        <v>24</v>
      </c>
      <c r="E145" s="455"/>
      <c r="F145" s="455"/>
      <c r="G145" s="543">
        <f>G144/G7</f>
        <v>0.3058128078817734</v>
      </c>
      <c r="H145" s="460">
        <f>G145+'18'!H145</f>
        <v>5.4795119285487059</v>
      </c>
      <c r="I145" s="544"/>
      <c r="J145" s="552">
        <f>H145/DAY(B2)</f>
        <v>0.28839536466045823</v>
      </c>
      <c r="K145" s="380"/>
      <c r="L145" s="377"/>
      <c r="N145" s="382"/>
      <c r="O145" s="382"/>
    </row>
    <row r="146" spans="1:15" ht="27.75">
      <c r="A146" s="1520" t="s">
        <v>255</v>
      </c>
      <c r="B146" s="1521"/>
      <c r="C146" s="1522"/>
      <c r="D146" s="523" t="s">
        <v>132</v>
      </c>
      <c r="E146" s="455"/>
      <c r="F146" s="455"/>
      <c r="G146" s="460">
        <f>G39+G53</f>
        <v>3327</v>
      </c>
      <c r="H146" s="460">
        <f>G146+'18'!H146</f>
        <v>70156</v>
      </c>
      <c r="I146" s="545"/>
      <c r="J146" s="552">
        <f>H146/DAY(B2)</f>
        <v>3692.4210526315787</v>
      </c>
      <c r="K146" s="380"/>
      <c r="L146" s="377"/>
      <c r="N146" s="382"/>
      <c r="O146" s="382"/>
    </row>
    <row r="147" spans="1:15" ht="27.75">
      <c r="A147" s="1520" t="s">
        <v>256</v>
      </c>
      <c r="B147" s="1521"/>
      <c r="C147" s="1522"/>
      <c r="D147" s="523" t="s">
        <v>24</v>
      </c>
      <c r="E147" s="455"/>
      <c r="F147" s="455"/>
      <c r="G147" s="543">
        <f>G146/G7</f>
        <v>0.16389162561576354</v>
      </c>
      <c r="H147" s="460">
        <f>G147+'18'!H147</f>
        <v>3.317388368189004</v>
      </c>
      <c r="I147" s="545"/>
      <c r="J147" s="552">
        <f>H147/DAY(B2)</f>
        <v>0.17459938779942127</v>
      </c>
      <c r="N147" s="382"/>
      <c r="O147" s="382"/>
    </row>
    <row r="148" spans="1:15" ht="27.75">
      <c r="A148" s="1520" t="s">
        <v>257</v>
      </c>
      <c r="B148" s="1521"/>
      <c r="C148" s="1522"/>
      <c r="D148" s="523" t="s">
        <v>183</v>
      </c>
      <c r="E148" s="455"/>
      <c r="F148" s="455"/>
      <c r="G148" s="460">
        <f>G38+G52</f>
        <v>1554</v>
      </c>
      <c r="H148" s="460">
        <f>G148+'18'!H148</f>
        <v>31722</v>
      </c>
      <c r="I148" s="480"/>
      <c r="J148" s="552">
        <f>H148/DAY(B2)</f>
        <v>1669.578947368421</v>
      </c>
      <c r="K148" s="381"/>
      <c r="N148" s="382"/>
      <c r="O148" s="382"/>
    </row>
    <row r="149" spans="1:15" ht="27.75">
      <c r="A149" s="1520" t="s">
        <v>258</v>
      </c>
      <c r="B149" s="1521"/>
      <c r="C149" s="1522"/>
      <c r="D149" s="523" t="s">
        <v>24</v>
      </c>
      <c r="E149" s="455"/>
      <c r="F149" s="455"/>
      <c r="G149" s="543">
        <f>G148/G7</f>
        <v>7.6551724137931029E-2</v>
      </c>
      <c r="H149" s="460">
        <f>G149+'18'!H149</f>
        <v>1.5055802906142011</v>
      </c>
      <c r="I149" s="545"/>
      <c r="J149" s="552">
        <f>H149/DAY(B2)</f>
        <v>7.9241067927063216E-2</v>
      </c>
      <c r="N149" s="382"/>
      <c r="O149" s="382"/>
    </row>
    <row r="150" spans="1:15" ht="27.75">
      <c r="A150" s="1520" t="s">
        <v>259</v>
      </c>
      <c r="B150" s="1521"/>
      <c r="C150" s="1522"/>
      <c r="D150" s="523" t="s">
        <v>183</v>
      </c>
      <c r="E150" s="455"/>
      <c r="F150" s="455"/>
      <c r="G150" s="460">
        <f>G36+G50</f>
        <v>2197</v>
      </c>
      <c r="H150" s="460">
        <f>G150+'18'!H150</f>
        <v>39557</v>
      </c>
      <c r="I150" s="545"/>
      <c r="J150" s="552">
        <f>H150/DAY(B2)</f>
        <v>2081.9473684210525</v>
      </c>
      <c r="N150" s="382"/>
      <c r="O150" s="382"/>
    </row>
    <row r="151" spans="1:15" ht="27.75">
      <c r="A151" s="1520" t="s">
        <v>260</v>
      </c>
      <c r="B151" s="1521"/>
      <c r="C151" s="1522"/>
      <c r="D151" s="523" t="s">
        <v>24</v>
      </c>
      <c r="E151" s="455"/>
      <c r="F151" s="455"/>
      <c r="G151" s="543">
        <f>G150/G7</f>
        <v>0.10822660098522167</v>
      </c>
      <c r="H151" s="460">
        <f>G151+'18'!H151</f>
        <v>1.8792568958971096</v>
      </c>
      <c r="I151" s="480"/>
      <c r="J151" s="552">
        <f>H151/DAY(B2)</f>
        <v>9.8908257678795242E-2</v>
      </c>
      <c r="N151" s="382"/>
      <c r="O151" s="382"/>
    </row>
    <row r="152" spans="1:15" ht="27.75">
      <c r="A152" s="1520" t="s">
        <v>261</v>
      </c>
      <c r="B152" s="1521"/>
      <c r="C152" s="1522"/>
      <c r="D152" s="523" t="s">
        <v>183</v>
      </c>
      <c r="E152" s="455"/>
      <c r="F152" s="455"/>
      <c r="G152" s="460">
        <f>G37+G51</f>
        <v>1352</v>
      </c>
      <c r="H152" s="460">
        <f>G152+'18'!H152</f>
        <v>26031</v>
      </c>
      <c r="I152" s="480"/>
      <c r="J152" s="552">
        <f>H152/DAY(B2)</f>
        <v>1370.0526315789473</v>
      </c>
      <c r="N152" s="382"/>
      <c r="O152" s="382"/>
    </row>
    <row r="153" spans="1:15" ht="28.5" thickBot="1">
      <c r="A153" s="1523" t="s">
        <v>262</v>
      </c>
      <c r="B153" s="1524"/>
      <c r="C153" s="1525"/>
      <c r="D153" s="625" t="s">
        <v>24</v>
      </c>
      <c r="E153" s="565"/>
      <c r="F153" s="565"/>
      <c r="G153" s="566">
        <f>G152/G7</f>
        <v>6.6600985221674874E-2</v>
      </c>
      <c r="H153" s="460">
        <f>G153+'18'!H153</f>
        <v>1.2358536353690641</v>
      </c>
      <c r="I153" s="568"/>
      <c r="J153" s="569">
        <f>H153/DAY(B2)</f>
        <v>6.5044928177319161E-2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O154" s="382"/>
    </row>
    <row r="160" spans="1:15">
      <c r="A160" s="788" t="s">
        <v>263</v>
      </c>
      <c r="B160" s="789"/>
      <c r="C160" s="789"/>
      <c r="D160" s="511" t="s">
        <v>187</v>
      </c>
      <c r="E160" s="661">
        <f>'18'!F160</f>
        <v>34939</v>
      </c>
      <c r="F160" s="661">
        <v>35023</v>
      </c>
      <c r="G160" s="473">
        <f t="shared" ref="G160:G163" si="15">F160-E160</f>
        <v>84</v>
      </c>
    </row>
    <row r="161" spans="1:7">
      <c r="A161" s="788" t="s">
        <v>264</v>
      </c>
      <c r="B161" s="789"/>
      <c r="C161" s="789"/>
      <c r="D161" s="511" t="s">
        <v>187</v>
      </c>
      <c r="E161" s="661">
        <f>'18'!F161</f>
        <v>76872</v>
      </c>
      <c r="F161" s="661">
        <v>77322</v>
      </c>
      <c r="G161" s="473">
        <f t="shared" si="15"/>
        <v>450</v>
      </c>
    </row>
    <row r="162" spans="1:7">
      <c r="A162" s="788" t="s">
        <v>265</v>
      </c>
      <c r="B162" s="789"/>
      <c r="C162" s="789"/>
      <c r="D162" s="511" t="s">
        <v>187</v>
      </c>
      <c r="E162" s="661">
        <f>'18'!F162</f>
        <v>34312</v>
      </c>
      <c r="F162" s="661">
        <v>34583</v>
      </c>
      <c r="G162" s="473">
        <f t="shared" si="15"/>
        <v>271</v>
      </c>
    </row>
    <row r="163" spans="1:7">
      <c r="A163" s="788" t="s">
        <v>266</v>
      </c>
      <c r="B163" s="789"/>
      <c r="C163" s="789"/>
      <c r="D163" s="511" t="s">
        <v>187</v>
      </c>
      <c r="E163" s="661">
        <f>'18'!F163</f>
        <v>6008</v>
      </c>
      <c r="F163" s="661">
        <v>6027</v>
      </c>
      <c r="G163" s="473">
        <f t="shared" si="15"/>
        <v>19</v>
      </c>
    </row>
    <row r="164" spans="1:7">
      <c r="A164" s="790" t="s">
        <v>98</v>
      </c>
      <c r="B164" s="604"/>
      <c r="C164" s="604"/>
      <c r="D164" s="511" t="s">
        <v>187</v>
      </c>
      <c r="E164" s="661">
        <f>'18'!F164</f>
        <v>20419</v>
      </c>
      <c r="F164" s="514">
        <v>20419</v>
      </c>
      <c r="G164" s="473">
        <f t="shared" ref="G164:G165" si="16">F164-E164</f>
        <v>0</v>
      </c>
    </row>
    <row r="165" spans="1:7">
      <c r="A165" s="790" t="s">
        <v>188</v>
      </c>
      <c r="B165" s="604"/>
      <c r="C165" s="604"/>
      <c r="D165" s="511" t="s">
        <v>187</v>
      </c>
      <c r="E165" s="661">
        <f>'18'!F165</f>
        <v>2294</v>
      </c>
      <c r="F165" s="514">
        <v>2302</v>
      </c>
      <c r="G165" s="473">
        <f t="shared" si="16"/>
        <v>8</v>
      </c>
    </row>
    <row r="166" spans="1:7" ht="27.75">
      <c r="A166" s="1495" t="s">
        <v>99</v>
      </c>
      <c r="B166" s="1495"/>
      <c r="C166" s="1495"/>
      <c r="D166" s="523" t="s">
        <v>187</v>
      </c>
      <c r="E166" s="661">
        <f>'18'!F166</f>
        <v>147773</v>
      </c>
      <c r="F166" s="514">
        <v>106166</v>
      </c>
      <c r="G166" s="473">
        <f>F64-E64</f>
        <v>511</v>
      </c>
    </row>
    <row r="167" spans="1:7" ht="27.75">
      <c r="A167" s="1495" t="s">
        <v>100</v>
      </c>
      <c r="B167" s="1495"/>
      <c r="C167" s="1495"/>
      <c r="D167" s="523" t="s">
        <v>187</v>
      </c>
      <c r="E167" s="661">
        <f>'18'!F167</f>
        <v>150704</v>
      </c>
      <c r="F167" s="514">
        <v>116811.03</v>
      </c>
      <c r="G167" s="473">
        <f t="shared" ref="G167:G171" si="17">F65-E65</f>
        <v>356</v>
      </c>
    </row>
    <row r="168" spans="1:7" ht="27.75">
      <c r="A168" s="1495" t="s">
        <v>101</v>
      </c>
      <c r="B168" s="1495"/>
      <c r="C168" s="1495"/>
      <c r="D168" s="523" t="s">
        <v>187</v>
      </c>
      <c r="E168" s="661">
        <f>'18'!F168</f>
        <v>44227</v>
      </c>
      <c r="F168" s="514">
        <v>9380.09</v>
      </c>
      <c r="G168" s="473">
        <f t="shared" si="17"/>
        <v>372</v>
      </c>
    </row>
    <row r="169" spans="1:7" ht="27.75">
      <c r="A169" s="1495" t="s">
        <v>102</v>
      </c>
      <c r="B169" s="1495"/>
      <c r="C169" s="1495"/>
      <c r="D169" s="523" t="s">
        <v>187</v>
      </c>
      <c r="E169" s="661">
        <f>'18'!F169</f>
        <v>238748</v>
      </c>
      <c r="F169" s="514">
        <v>180787.83</v>
      </c>
      <c r="G169" s="473">
        <f t="shared" si="17"/>
        <v>390</v>
      </c>
    </row>
    <row r="170" spans="1:7" ht="27.75">
      <c r="A170" s="1495" t="s">
        <v>103</v>
      </c>
      <c r="B170" s="1495"/>
      <c r="C170" s="1495"/>
      <c r="D170" s="523" t="s">
        <v>187</v>
      </c>
      <c r="E170" s="661">
        <f>'18'!F170</f>
        <v>85321</v>
      </c>
      <c r="F170" s="514">
        <v>59451.31</v>
      </c>
      <c r="G170" s="473">
        <f t="shared" si="17"/>
        <v>0</v>
      </c>
    </row>
    <row r="171" spans="1:7" ht="27.75">
      <c r="A171" s="1495" t="s">
        <v>104</v>
      </c>
      <c r="B171" s="1495"/>
      <c r="C171" s="1495"/>
      <c r="D171" s="523" t="s">
        <v>187</v>
      </c>
      <c r="E171" s="661">
        <f>'18'!F171</f>
        <v>78205</v>
      </c>
      <c r="F171" s="514">
        <v>52064.98</v>
      </c>
      <c r="G171" s="473">
        <f t="shared" si="17"/>
        <v>39</v>
      </c>
    </row>
    <row r="172" spans="1:7">
      <c r="G172" s="537">
        <f>SUM(G160:G171)</f>
        <v>2500</v>
      </c>
    </row>
    <row r="173" spans="1:7" ht="27.75">
      <c r="A173" s="1495" t="s">
        <v>360</v>
      </c>
      <c r="B173" s="1495"/>
      <c r="C173" s="1495"/>
      <c r="D173" s="523" t="s">
        <v>187</v>
      </c>
      <c r="E173" s="661">
        <v>27869</v>
      </c>
      <c r="F173" s="514">
        <v>27873</v>
      </c>
      <c r="G173" s="473">
        <f t="shared" ref="G173" si="18">F173-E173</f>
        <v>4</v>
      </c>
    </row>
    <row r="176" spans="1:7" ht="18.75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3:C173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46" zoomScale="55" zoomScaleSheetLayoutView="55" zoomScalePageLayoutView="78" workbookViewId="0">
      <selection activeCell="F173" sqref="F173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6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28" t="s">
        <v>117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5" s="281" customFormat="1" ht="27">
      <c r="A2" s="575" t="s">
        <v>361</v>
      </c>
      <c r="B2" s="1036">
        <v>44306</v>
      </c>
      <c r="C2" s="1146" t="s">
        <v>69</v>
      </c>
      <c r="D2" s="611">
        <v>0.77</v>
      </c>
      <c r="E2" s="461"/>
      <c r="F2" s="461"/>
      <c r="G2" s="1336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6" t="s">
        <v>120</v>
      </c>
      <c r="D3" s="612">
        <v>33</v>
      </c>
      <c r="E3" s="1537" t="s">
        <v>121</v>
      </c>
      <c r="F3" s="1538"/>
      <c r="G3" s="1337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6" t="s">
        <v>122</v>
      </c>
      <c r="D4" s="611">
        <v>0.79</v>
      </c>
      <c r="E4" s="464"/>
      <c r="F4" s="464"/>
      <c r="G4" s="1337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31" t="s">
        <v>130</v>
      </c>
      <c r="B6" s="1532"/>
      <c r="C6" s="1533"/>
      <c r="D6" s="471"/>
      <c r="E6" s="471"/>
      <c r="F6" s="471"/>
      <c r="G6" s="1339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'19'!F7</f>
        <v>5514511</v>
      </c>
      <c r="F7" s="455">
        <v>5534671</v>
      </c>
      <c r="G7" s="1340">
        <f>F7-E7</f>
        <v>20160</v>
      </c>
      <c r="H7" s="460">
        <f>G7+'19'!H7</f>
        <v>420748</v>
      </c>
      <c r="I7" s="474">
        <f>'1'!I7</f>
        <v>12000</v>
      </c>
      <c r="J7" s="552">
        <f>H7/DAY(B2)</f>
        <v>21037.4</v>
      </c>
      <c r="K7" s="549">
        <v>11998</v>
      </c>
      <c r="L7" s="377">
        <f>G7-K7</f>
        <v>8162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'19'!F8</f>
        <v>5547543</v>
      </c>
      <c r="F8" s="475">
        <v>5567759</v>
      </c>
      <c r="G8" s="1341">
        <f>F8-E8</f>
        <v>20216</v>
      </c>
      <c r="H8" s="460">
        <f>G8+'19'!H8</f>
        <v>422441</v>
      </c>
      <c r="I8" s="477">
        <f>'1'!I8</f>
        <v>12000</v>
      </c>
      <c r="J8" s="552">
        <f>H8/DAY(B2)</f>
        <v>21122.05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'19'!F9</f>
        <v>784346</v>
      </c>
      <c r="F9" s="478">
        <v>803853</v>
      </c>
      <c r="G9" s="1340">
        <f t="shared" ref="G9:G12" si="0">F9-E9</f>
        <v>19507</v>
      </c>
      <c r="H9" s="460">
        <f>G9+'19'!H9</f>
        <v>407784</v>
      </c>
      <c r="I9" s="479">
        <f>I8-J8</f>
        <v>-9122.0499999999993</v>
      </c>
      <c r="J9" s="552">
        <f>H9/DAY(B2)</f>
        <v>20389.2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'19'!F10</f>
        <v>2322.58</v>
      </c>
      <c r="F10" s="478">
        <v>2322.58</v>
      </c>
      <c r="G10" s="1340">
        <f t="shared" si="0"/>
        <v>0</v>
      </c>
      <c r="H10" s="460">
        <f>G10+'19'!H10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40">
        <f t="shared" si="0"/>
        <v>0</v>
      </c>
      <c r="H11" s="460">
        <f>G11+'19'!H11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40">
        <f t="shared" si="0"/>
        <v>0</v>
      </c>
      <c r="H12" s="460">
        <f>G12+'19'!H12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2">
        <f>G9+G10+G11+G12</f>
        <v>19507</v>
      </c>
      <c r="H13" s="460">
        <f>G13+'19'!H13</f>
        <v>387593.3600000001</v>
      </c>
      <c r="I13" s="482">
        <f>G7-G13</f>
        <v>653</v>
      </c>
      <c r="J13" s="552">
        <f>H13/DAY(B2)</f>
        <v>19379.668000000005</v>
      </c>
      <c r="K13" s="428"/>
      <c r="L13" s="377"/>
      <c r="N13" s="382"/>
      <c r="O13" s="382"/>
    </row>
    <row r="14" spans="1:15">
      <c r="A14" s="1534" t="s">
        <v>139</v>
      </c>
      <c r="B14" s="1535"/>
      <c r="C14" s="1536"/>
      <c r="D14" s="472"/>
      <c r="E14" s="472"/>
      <c r="F14" s="472"/>
      <c r="G14" s="1343"/>
      <c r="H14" s="472"/>
      <c r="I14" s="472"/>
      <c r="J14" s="551"/>
      <c r="K14" s="429"/>
      <c r="L14" s="377"/>
      <c r="N14" s="382"/>
      <c r="O14" s="382"/>
    </row>
    <row r="15" spans="1:15">
      <c r="A15" s="1144" t="s">
        <v>140</v>
      </c>
      <c r="B15" s="589"/>
      <c r="C15" s="589"/>
      <c r="D15" s="523" t="s">
        <v>141</v>
      </c>
      <c r="E15" s="484">
        <f>'19'!F15</f>
        <v>1663180</v>
      </c>
      <c r="F15" s="484">
        <v>1663952</v>
      </c>
      <c r="G15" s="1344">
        <f>(F15-E15)</f>
        <v>772</v>
      </c>
      <c r="H15" s="460">
        <f>G15+'19'!H15</f>
        <v>17263</v>
      </c>
      <c r="I15" s="474">
        <v>800</v>
      </c>
      <c r="J15" s="552">
        <f>H15/DAY(B2)</f>
        <v>863.15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40"/>
      <c r="H16" s="486"/>
      <c r="I16" s="487">
        <f>I15-J15</f>
        <v>-63.149999999999977</v>
      </c>
      <c r="J16" s="553"/>
      <c r="K16" s="428"/>
      <c r="L16" s="377"/>
      <c r="N16" s="382"/>
      <c r="O16" s="382"/>
    </row>
    <row r="17" spans="1:15">
      <c r="A17" s="1534" t="s">
        <v>142</v>
      </c>
      <c r="B17" s="1535"/>
      <c r="C17" s="1536"/>
      <c r="D17" s="472"/>
      <c r="E17" s="472"/>
      <c r="F17" s="472"/>
      <c r="G17" s="1343"/>
      <c r="H17" s="472"/>
      <c r="I17" s="472"/>
      <c r="J17" s="551"/>
      <c r="K17" s="428"/>
      <c r="L17" s="377"/>
      <c r="N17" s="382"/>
      <c r="O17" s="382"/>
    </row>
    <row r="18" spans="1:15" ht="27.75">
      <c r="A18" s="1520" t="s">
        <v>143</v>
      </c>
      <c r="B18" s="1521"/>
      <c r="C18" s="1522"/>
      <c r="D18" s="523" t="s">
        <v>144</v>
      </c>
      <c r="E18" s="484">
        <f>'19'!F18</f>
        <v>8</v>
      </c>
      <c r="F18" s="484">
        <v>8</v>
      </c>
      <c r="G18" s="1342">
        <f>F18*10</f>
        <v>80</v>
      </c>
      <c r="H18" s="460">
        <f>G18+'19'!H18</f>
        <v>1880</v>
      </c>
      <c r="I18" s="474">
        <f>'1'!I18</f>
        <v>65</v>
      </c>
      <c r="J18" s="552">
        <f>H18/DAY(B2)</f>
        <v>94</v>
      </c>
      <c r="K18" s="428"/>
      <c r="L18" s="377"/>
      <c r="N18" s="382"/>
      <c r="O18" s="382"/>
    </row>
    <row r="19" spans="1:15" ht="27.75">
      <c r="A19" s="1520" t="s">
        <v>71</v>
      </c>
      <c r="B19" s="1521"/>
      <c r="C19" s="1522"/>
      <c r="D19" s="523" t="s">
        <v>144</v>
      </c>
      <c r="E19" s="484">
        <f>'19'!F19</f>
        <v>137189</v>
      </c>
      <c r="F19" s="484">
        <v>137250</v>
      </c>
      <c r="G19" s="1340">
        <f t="shared" ref="G19" si="1">F19-E19</f>
        <v>61</v>
      </c>
      <c r="H19" s="460">
        <f>G19+'19'!H19</f>
        <v>1160</v>
      </c>
      <c r="I19" s="489"/>
      <c r="J19" s="552">
        <f>H19/DAY(B2)</f>
        <v>58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5">
        <f>G18+G19</f>
        <v>141</v>
      </c>
      <c r="H20" s="460">
        <f>G20+'19'!H20</f>
        <v>3040</v>
      </c>
      <c r="I20" s="492">
        <f>I18-J20</f>
        <v>-87</v>
      </c>
      <c r="J20" s="552">
        <f>H20/DAY(B2)</f>
        <v>152</v>
      </c>
      <c r="K20" s="428"/>
      <c r="L20" s="377"/>
      <c r="N20" s="382"/>
      <c r="O20" s="382"/>
    </row>
    <row r="21" spans="1:15">
      <c r="A21" s="1534" t="s">
        <v>146</v>
      </c>
      <c r="B21" s="1535"/>
      <c r="C21" s="1536"/>
      <c r="D21" s="472"/>
      <c r="E21" s="472"/>
      <c r="F21" s="472"/>
      <c r="G21" s="1343"/>
      <c r="H21" s="472"/>
      <c r="I21" s="472"/>
      <c r="J21" s="551"/>
      <c r="K21" s="428"/>
      <c r="L21" s="377"/>
      <c r="N21" s="382"/>
      <c r="O21" s="382"/>
    </row>
    <row r="22" spans="1:15">
      <c r="A22" s="1144" t="s">
        <v>147</v>
      </c>
      <c r="B22" s="589"/>
      <c r="C22" s="589"/>
      <c r="D22" s="523" t="s">
        <v>148</v>
      </c>
      <c r="E22" s="484">
        <f>'19'!F22</f>
        <v>2250</v>
      </c>
      <c r="F22" s="484">
        <v>2250</v>
      </c>
      <c r="G22" s="1342">
        <v>0</v>
      </c>
      <c r="H22" s="460">
        <f>G22+'19'!H22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4" t="s">
        <v>149</v>
      </c>
      <c r="B23" s="589"/>
      <c r="C23" s="589"/>
      <c r="D23" s="523" t="s">
        <v>148</v>
      </c>
      <c r="E23" s="484">
        <f>'19'!F23</f>
        <v>2000</v>
      </c>
      <c r="F23" s="484">
        <v>2000</v>
      </c>
      <c r="G23" s="1342">
        <v>0</v>
      </c>
      <c r="H23" s="460">
        <f>G23+'19'!H23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332">
        <v>4250</v>
      </c>
      <c r="F24" s="332">
        <v>4250</v>
      </c>
      <c r="G24" s="1342">
        <v>0</v>
      </c>
      <c r="H24" s="460">
        <f>G24+'19'!H24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39" t="s">
        <v>151</v>
      </c>
      <c r="B25" s="1540"/>
      <c r="C25" s="1541"/>
      <c r="D25" s="471"/>
      <c r="E25" s="471"/>
      <c r="F25" s="471"/>
      <c r="G25" s="1346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7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20216</v>
      </c>
      <c r="F27" s="501">
        <v>9</v>
      </c>
      <c r="G27" s="1348">
        <f>E27*F27</f>
        <v>181944</v>
      </c>
      <c r="H27" s="460">
        <f>G27+'19'!H27</f>
        <v>3801969</v>
      </c>
      <c r="I27" s="503"/>
      <c r="J27" s="552">
        <f>H27/DAY(B2)</f>
        <v>190098.45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772</v>
      </c>
      <c r="F28" s="501">
        <v>51.45</v>
      </c>
      <c r="G28" s="1348">
        <f>E28*F28</f>
        <v>39719.4</v>
      </c>
      <c r="H28" s="460">
        <f>G28+'19'!H28</f>
        <v>888181.35</v>
      </c>
      <c r="I28" s="505"/>
      <c r="J28" s="552">
        <f>H28/DAY(B2)</f>
        <v>44409.067499999997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8">
        <f>E29*F29</f>
        <v>0</v>
      </c>
      <c r="H29" s="460">
        <f>G29+'19'!H29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61</v>
      </c>
      <c r="F30" s="501">
        <v>134</v>
      </c>
      <c r="G30" s="1348">
        <f>E30*F30</f>
        <v>8174</v>
      </c>
      <c r="H30" s="460">
        <f>G30+'19'!H30</f>
        <v>156808</v>
      </c>
      <c r="I30" s="505"/>
      <c r="J30" s="552">
        <f>H30/DAY(B2)</f>
        <v>7840.4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80</v>
      </c>
      <c r="F31" s="501">
        <v>80</v>
      </c>
      <c r="G31" s="1348">
        <f>E31*F31</f>
        <v>6400</v>
      </c>
      <c r="H31" s="460">
        <f>G31+'19'!H31</f>
        <v>150400</v>
      </c>
      <c r="I31" s="505"/>
      <c r="J31" s="552">
        <f>H31/DAY(B2)</f>
        <v>7520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9">
        <f>G27+G28+G29+G30+G31</f>
        <v>236237.4</v>
      </c>
      <c r="H32" s="460">
        <f>G32+'19'!H32</f>
        <v>4997358.3500000006</v>
      </c>
      <c r="I32" s="509"/>
      <c r="J32" s="552">
        <f>H32/DAY(B2)</f>
        <v>249867.91750000004</v>
      </c>
      <c r="K32" s="373"/>
      <c r="L32" s="443"/>
      <c r="N32" s="444"/>
      <c r="O32" s="382"/>
    </row>
    <row r="33" spans="1:15" ht="25.5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  <c r="N33" s="382"/>
      <c r="O33" s="382"/>
    </row>
    <row r="34" spans="1:15">
      <c r="A34" s="598" t="s">
        <v>163</v>
      </c>
      <c r="B34" s="1149"/>
      <c r="C34" s="1149"/>
      <c r="D34" s="472"/>
      <c r="E34" s="471"/>
      <c r="F34" s="471"/>
      <c r="G34" s="1350"/>
      <c r="H34" s="472"/>
      <c r="I34" s="472"/>
      <c r="J34" s="551" t="s">
        <v>312</v>
      </c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'19'!F35</f>
        <v>856962</v>
      </c>
      <c r="F35" s="510">
        <v>859779</v>
      </c>
      <c r="G35" s="1340">
        <f t="shared" ref="G35:G46" si="2">F35-E35</f>
        <v>2817</v>
      </c>
      <c r="H35" s="460">
        <f>G35+'19'!H35</f>
        <v>61390</v>
      </c>
      <c r="I35" s="455"/>
      <c r="J35" s="552">
        <f>H35/DAY(B2)</f>
        <v>3069.5</v>
      </c>
      <c r="K35" s="428">
        <v>1457.2799999999697</v>
      </c>
      <c r="L35" s="377">
        <f>G35-K35</f>
        <v>1359.7200000000303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'19'!F36</f>
        <v>335688</v>
      </c>
      <c r="F36" s="510">
        <v>336756</v>
      </c>
      <c r="G36" s="1340">
        <f t="shared" si="2"/>
        <v>1068</v>
      </c>
      <c r="H36" s="460">
        <f>G36+'19'!H36</f>
        <v>19320</v>
      </c>
      <c r="I36" s="455"/>
      <c r="J36" s="552">
        <f>H36/DAY(B2)</f>
        <v>966</v>
      </c>
      <c r="K36" s="428">
        <v>483.92999999999302</v>
      </c>
      <c r="L36" s="377">
        <f t="shared" ref="L36:L60" si="3">G36-K36</f>
        <v>584.07000000000698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'19'!F37</f>
        <v>80828</v>
      </c>
      <c r="F37" s="510">
        <v>82196</v>
      </c>
      <c r="G37" s="1340">
        <f>F37-E37</f>
        <v>1368</v>
      </c>
      <c r="H37" s="460">
        <f>G37+'19'!H37</f>
        <v>27399</v>
      </c>
      <c r="I37" s="455"/>
      <c r="J37" s="552">
        <f>H37/DAY(B2)</f>
        <v>1369.95</v>
      </c>
      <c r="K37" s="428">
        <v>1173.9200000000128</v>
      </c>
      <c r="L37" s="377">
        <f>G37-K37</f>
        <v>194.07999999998719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510">
        <f>'19'!F38</f>
        <v>104032</v>
      </c>
      <c r="F38" s="469">
        <v>105520</v>
      </c>
      <c r="G38" s="1340">
        <f t="shared" si="2"/>
        <v>1488</v>
      </c>
      <c r="H38" s="460">
        <f>G38+'19'!H38</f>
        <v>33212</v>
      </c>
      <c r="I38" s="455"/>
      <c r="J38" s="552">
        <f>H38/DAY(B2)</f>
        <v>1660.6</v>
      </c>
      <c r="K38" s="428">
        <v>0</v>
      </c>
      <c r="L38" s="377">
        <f t="shared" si="3"/>
        <v>1488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'19'!F39</f>
        <v>216531</v>
      </c>
      <c r="F39" s="510">
        <v>219378</v>
      </c>
      <c r="G39" s="1340">
        <f t="shared" si="2"/>
        <v>2847</v>
      </c>
      <c r="H39" s="460">
        <f>G39+'19'!H39</f>
        <v>66556</v>
      </c>
      <c r="I39" s="455"/>
      <c r="J39" s="552">
        <f>H39/DAY(B2)</f>
        <v>3327.8</v>
      </c>
      <c r="K39" s="428">
        <v>1987.0400000000373</v>
      </c>
      <c r="L39" s="377">
        <f t="shared" si="3"/>
        <v>859.95999999996275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'19'!F40</f>
        <v>0</v>
      </c>
      <c r="F40" s="510">
        <v>0</v>
      </c>
      <c r="G40" s="1340">
        <f t="shared" si="2"/>
        <v>0</v>
      </c>
      <c r="H40" s="460">
        <f>G40+'19'!H40</f>
        <v>0.17</v>
      </c>
      <c r="I40" s="455"/>
      <c r="J40" s="552">
        <f>H40/DAY(B2)</f>
        <v>8.5000000000000006E-3</v>
      </c>
      <c r="K40" s="429">
        <v>0</v>
      </c>
      <c r="L40" s="377">
        <f t="shared" si="3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'19'!F41</f>
        <v>161910</v>
      </c>
      <c r="F41" s="510">
        <v>161910</v>
      </c>
      <c r="G41" s="1340">
        <f t="shared" si="2"/>
        <v>0</v>
      </c>
      <c r="H41" s="460">
        <f>G41+'19'!H41</f>
        <v>28769</v>
      </c>
      <c r="I41" s="455"/>
      <c r="J41" s="552">
        <f>H41/DAY(B2)</f>
        <v>1438.45</v>
      </c>
      <c r="K41" s="428">
        <v>0</v>
      </c>
      <c r="L41" s="377">
        <f t="shared" si="3"/>
        <v>0</v>
      </c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'19'!F42</f>
        <v>59128</v>
      </c>
      <c r="F42" s="510">
        <v>59128</v>
      </c>
      <c r="G42" s="1340">
        <f t="shared" si="2"/>
        <v>0</v>
      </c>
      <c r="H42" s="460">
        <f>G42+'19'!H42</f>
        <v>-0.16000000000349246</v>
      </c>
      <c r="I42" s="455"/>
      <c r="J42" s="552">
        <f>H42/DAY(B2)</f>
        <v>-8.0000000001746226E-3</v>
      </c>
      <c r="K42" s="428">
        <v>3246.4500000000007</v>
      </c>
      <c r="L42" s="377">
        <f t="shared" si="3"/>
        <v>-3246.4500000000007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'19'!F43</f>
        <v>947907</v>
      </c>
      <c r="F43" s="510">
        <v>950184</v>
      </c>
      <c r="G43" s="1340">
        <f t="shared" si="2"/>
        <v>2277</v>
      </c>
      <c r="H43" s="460">
        <f>G43+'19'!H43</f>
        <v>48136</v>
      </c>
      <c r="I43" s="455"/>
      <c r="J43" s="552">
        <f>H43/DAY(B2)</f>
        <v>2406.8000000000002</v>
      </c>
      <c r="K43" s="428">
        <v>1559.2000000000116</v>
      </c>
      <c r="L43" s="377">
        <f t="shared" si="3"/>
        <v>717.79999999998836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'19'!F44</f>
        <v>0</v>
      </c>
      <c r="F44" s="510">
        <v>0</v>
      </c>
      <c r="G44" s="1340">
        <f t="shared" si="2"/>
        <v>0</v>
      </c>
      <c r="H44" s="460">
        <f>G44+'19'!H44</f>
        <v>0</v>
      </c>
      <c r="I44" s="455"/>
      <c r="J44" s="552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'19'!F45</f>
        <v>0</v>
      </c>
      <c r="F45" s="510">
        <v>0</v>
      </c>
      <c r="G45" s="1340">
        <f t="shared" si="2"/>
        <v>0</v>
      </c>
      <c r="H45" s="460">
        <f>G45+'19'!H45</f>
        <v>0</v>
      </c>
      <c r="I45" s="455"/>
      <c r="J45" s="552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'19'!F46</f>
        <v>0</v>
      </c>
      <c r="F46" s="510">
        <v>0</v>
      </c>
      <c r="G46" s="1340">
        <f t="shared" si="2"/>
        <v>0</v>
      </c>
      <c r="H46" s="460">
        <f>G46+'19'!H46</f>
        <v>-5.0000000000011369E-2</v>
      </c>
      <c r="I46" s="455"/>
      <c r="J46" s="552">
        <f>H46/DAY(B2)</f>
        <v>-2.5000000000005686E-3</v>
      </c>
      <c r="K46" s="428">
        <v>0</v>
      </c>
      <c r="L46" s="377">
        <f t="shared" si="3"/>
        <v>0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2">
        <f>G35+G36+G37+G38+G39+G40+G41+G42+G43+G44+G45+G46</f>
        <v>11865</v>
      </c>
      <c r="H47" s="460">
        <f>G47+'19'!H47</f>
        <v>285583.44999999995</v>
      </c>
      <c r="I47" s="455"/>
      <c r="J47" s="552">
        <f>H47/DAY(B2)</f>
        <v>14279.172499999997</v>
      </c>
      <c r="K47" s="428">
        <v>9907.8200000000252</v>
      </c>
      <c r="L47" s="377">
        <f t="shared" si="3"/>
        <v>1957.1799999999748</v>
      </c>
      <c r="N47" s="382"/>
      <c r="O47" s="382"/>
    </row>
    <row r="48" spans="1:15">
      <c r="A48" s="598" t="s">
        <v>177</v>
      </c>
      <c r="B48" s="1149"/>
      <c r="C48" s="1149"/>
      <c r="D48" s="472"/>
      <c r="E48" s="471"/>
      <c r="F48" s="471"/>
      <c r="G48" s="1350"/>
      <c r="H48" s="472"/>
      <c r="I48" s="472"/>
      <c r="J48" s="551"/>
      <c r="K48" s="428"/>
      <c r="L48" s="377">
        <f t="shared" si="3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'19'!F49</f>
        <v>260732</v>
      </c>
      <c r="F49" s="510">
        <v>260732.13</v>
      </c>
      <c r="G49" s="1340">
        <f t="shared" ref="G49:G58" si="4">F49-E49</f>
        <v>0.13000000000465661</v>
      </c>
      <c r="H49" s="460">
        <f>G49+'19'!H49</f>
        <v>0.13000000000465661</v>
      </c>
      <c r="I49" s="455"/>
      <c r="J49" s="552">
        <f>H49/DAY(B2)</f>
        <v>6.5000000002328308E-3</v>
      </c>
      <c r="K49" s="428">
        <v>0</v>
      </c>
      <c r="L49" s="377">
        <f t="shared" si="3"/>
        <v>0.13000000000465661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'19'!F50</f>
        <v>462537</v>
      </c>
      <c r="F50" s="510">
        <v>463676</v>
      </c>
      <c r="G50" s="1340">
        <f t="shared" si="4"/>
        <v>1139</v>
      </c>
      <c r="H50" s="460">
        <f>G50+'19'!H50</f>
        <v>21401.959999999963</v>
      </c>
      <c r="I50" s="455"/>
      <c r="J50" s="552">
        <f>H50/DAY(B2)</f>
        <v>1070.0979999999981</v>
      </c>
      <c r="K50" s="428">
        <v>631.67000000001281</v>
      </c>
      <c r="L50" s="377">
        <f t="shared" si="3"/>
        <v>507.32999999998719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'19'!F51</f>
        <v>144640</v>
      </c>
      <c r="F51" s="510">
        <v>144640</v>
      </c>
      <c r="G51" s="1340">
        <f t="shared" si="4"/>
        <v>0</v>
      </c>
      <c r="H51" s="460">
        <f>G51+'19'!H51</f>
        <v>0</v>
      </c>
      <c r="I51" s="455"/>
      <c r="J51" s="552">
        <f>H51/DAY(B2)</f>
        <v>0</v>
      </c>
      <c r="K51" s="428">
        <v>0</v>
      </c>
      <c r="L51" s="377">
        <f t="shared" si="3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'19'!F52</f>
        <v>539606</v>
      </c>
      <c r="F52" s="510">
        <v>539606</v>
      </c>
      <c r="G52" s="1340">
        <f t="shared" si="4"/>
        <v>0</v>
      </c>
      <c r="H52" s="460">
        <f>G52+'19'!H52</f>
        <v>0</v>
      </c>
      <c r="I52" s="455"/>
      <c r="J52" s="552">
        <f>H52/DAY(B2)</f>
        <v>0</v>
      </c>
      <c r="K52" s="428">
        <v>1057.5200000000186</v>
      </c>
      <c r="L52" s="377">
        <f t="shared" si="3"/>
        <v>-1057.5200000000186</v>
      </c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f>'19'!F53</f>
        <v>410057</v>
      </c>
      <c r="F53" s="510">
        <v>410620</v>
      </c>
      <c r="G53" s="1340">
        <f t="shared" si="4"/>
        <v>563</v>
      </c>
      <c r="H53" s="460">
        <f>G53+'19'!H53</f>
        <v>6440.2000000000116</v>
      </c>
      <c r="I53" s="455"/>
      <c r="J53" s="552">
        <f>H53/DAY(B2)</f>
        <v>322.01000000000056</v>
      </c>
      <c r="K53" s="428">
        <v>106.48999999999978</v>
      </c>
      <c r="L53" s="377">
        <f t="shared" si="3"/>
        <v>456.51000000000022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'19'!F54</f>
        <v>10559</v>
      </c>
      <c r="F54" s="510">
        <v>10635</v>
      </c>
      <c r="G54" s="1340">
        <f t="shared" si="4"/>
        <v>76</v>
      </c>
      <c r="H54" s="460">
        <f>G54+'19'!H54</f>
        <v>4410.0300000000007</v>
      </c>
      <c r="I54" s="455"/>
      <c r="J54" s="552">
        <f>H54/DAY(B2)</f>
        <v>220.50150000000002</v>
      </c>
      <c r="K54" s="428">
        <v>0</v>
      </c>
      <c r="L54" s="377">
        <f t="shared" si="3"/>
        <v>76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'19'!F55</f>
        <v>302609</v>
      </c>
      <c r="F55" s="510">
        <v>308591</v>
      </c>
      <c r="G55" s="1340">
        <f t="shared" si="4"/>
        <v>5982</v>
      </c>
      <c r="H55" s="460">
        <f>G55+'19'!H55</f>
        <v>87137.799999999988</v>
      </c>
      <c r="I55" s="455"/>
      <c r="J55" s="552">
        <f>H55/DAY(B2)</f>
        <v>4356.8899999999994</v>
      </c>
      <c r="K55" s="428">
        <v>0</v>
      </c>
      <c r="L55" s="377">
        <f t="shared" si="3"/>
        <v>5982</v>
      </c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'19'!F56</f>
        <v>589150</v>
      </c>
      <c r="F56" s="510">
        <v>589159</v>
      </c>
      <c r="G56" s="1340">
        <f t="shared" si="4"/>
        <v>9</v>
      </c>
      <c r="H56" s="460">
        <f>G56+'19'!H56</f>
        <v>182.8399999999674</v>
      </c>
      <c r="I56" s="455"/>
      <c r="J56" s="552">
        <f>H56/DAY(B2)</f>
        <v>9.1419999999983705</v>
      </c>
      <c r="K56" s="427">
        <v>0</v>
      </c>
      <c r="L56" s="377">
        <f t="shared" si="3"/>
        <v>9</v>
      </c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'19'!F57</f>
        <v>7711</v>
      </c>
      <c r="F57" s="510">
        <v>7711</v>
      </c>
      <c r="G57" s="1340">
        <f t="shared" si="4"/>
        <v>0</v>
      </c>
      <c r="H57" s="460">
        <f>G57+'19'!H57</f>
        <v>0</v>
      </c>
      <c r="I57" s="455"/>
      <c r="J57" s="552">
        <f>H57/DAY(B2)</f>
        <v>0</v>
      </c>
      <c r="K57" s="428">
        <v>0</v>
      </c>
      <c r="L57" s="377">
        <f t="shared" si="3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'19'!F58</f>
        <v>45042</v>
      </c>
      <c r="F58" s="510">
        <v>45219</v>
      </c>
      <c r="G58" s="1340">
        <f t="shared" si="4"/>
        <v>177</v>
      </c>
      <c r="H58" s="460">
        <f>G58+'19'!H58</f>
        <v>3517.6599999999962</v>
      </c>
      <c r="I58" s="455"/>
      <c r="J58" s="552">
        <f>H58/DAY(B2)</f>
        <v>175.88299999999981</v>
      </c>
      <c r="K58" s="428">
        <v>0</v>
      </c>
      <c r="L58" s="377">
        <f t="shared" si="3"/>
        <v>177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2">
        <f>G49+G50+G51+G52+G53+G54+G55+G56+G57+G58</f>
        <v>7946.1300000000047</v>
      </c>
      <c r="H59" s="460">
        <f>G59+'19'!H59</f>
        <v>123088.61999999994</v>
      </c>
      <c r="I59" s="455">
        <f>G7-G60</f>
        <v>348.86999999999534</v>
      </c>
      <c r="J59" s="552">
        <f>H59/DAY(B2)</f>
        <v>6154.4309999999969</v>
      </c>
      <c r="K59" s="428">
        <v>1795.6800000000312</v>
      </c>
      <c r="L59" s="377">
        <f t="shared" si="3"/>
        <v>6150.4499999999734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2">
        <f>G47+G59</f>
        <v>19811.130000000005</v>
      </c>
      <c r="H60" s="460">
        <f>G60+'19'!H60</f>
        <v>415871.62</v>
      </c>
      <c r="I60" s="455">
        <f>G13-G60</f>
        <v>-304.13000000000466</v>
      </c>
      <c r="J60" s="552">
        <f>H60/DAY(B2)</f>
        <v>20793.580999999998</v>
      </c>
      <c r="K60" s="428">
        <v>11703.500000000056</v>
      </c>
      <c r="L60" s="377">
        <f t="shared" si="3"/>
        <v>8107.6299999999483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1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'19'!F62</f>
        <v>20419.2</v>
      </c>
      <c r="F62" s="514">
        <v>20419.2</v>
      </c>
      <c r="G62" s="1340">
        <f t="shared" ref="G62:G69" si="5">F62-E62</f>
        <v>0</v>
      </c>
      <c r="H62" s="460">
        <f>G62+'19'!H62</f>
        <v>0.38199999999778811</v>
      </c>
      <c r="I62" s="515"/>
      <c r="J62" s="552">
        <f>H62/DAY(B2)</f>
        <v>1.9099999999889407E-2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'19'!F63</f>
        <v>2302</v>
      </c>
      <c r="F63" s="514">
        <v>2308</v>
      </c>
      <c r="G63" s="1340">
        <f t="shared" si="5"/>
        <v>6</v>
      </c>
      <c r="H63" s="460">
        <f>G63+'19'!H63</f>
        <v>212</v>
      </c>
      <c r="I63" s="515"/>
      <c r="J63" s="552">
        <f>H63/DAY(B2)</f>
        <v>10.6</v>
      </c>
      <c r="K63" s="428"/>
      <c r="L63" s="377"/>
      <c r="N63" s="382"/>
      <c r="O63" s="382"/>
    </row>
    <row r="64" spans="1:15" ht="27.75">
      <c r="A64" s="1499" t="s">
        <v>99</v>
      </c>
      <c r="B64" s="1500"/>
      <c r="C64" s="1501"/>
      <c r="D64" s="523" t="s">
        <v>187</v>
      </c>
      <c r="E64" s="484">
        <f>'19'!F64</f>
        <v>148284</v>
      </c>
      <c r="F64" s="484">
        <v>148801</v>
      </c>
      <c r="G64" s="1340">
        <f t="shared" si="5"/>
        <v>517</v>
      </c>
      <c r="H64" s="460">
        <f>G64+'19'!H64</f>
        <v>9621</v>
      </c>
      <c r="I64" s="480"/>
      <c r="J64" s="552">
        <f>H64/DAY(B2)</f>
        <v>481.05</v>
      </c>
      <c r="K64" s="428"/>
      <c r="L64" s="377"/>
      <c r="N64" s="382"/>
      <c r="O64" s="382"/>
    </row>
    <row r="65" spans="1:15" ht="27.75">
      <c r="A65" s="1499" t="s">
        <v>100</v>
      </c>
      <c r="B65" s="1500"/>
      <c r="C65" s="1501"/>
      <c r="D65" s="523" t="s">
        <v>187</v>
      </c>
      <c r="E65" s="484">
        <f>'19'!F65</f>
        <v>151060</v>
      </c>
      <c r="F65" s="484">
        <v>151419</v>
      </c>
      <c r="G65" s="1340">
        <f t="shared" si="5"/>
        <v>359</v>
      </c>
      <c r="H65" s="460">
        <f>G65+'19'!H65</f>
        <v>7214</v>
      </c>
      <c r="I65" s="489"/>
      <c r="J65" s="552">
        <f>H65/DAY(B2)</f>
        <v>360.7</v>
      </c>
      <c r="K65" s="428"/>
      <c r="L65" s="377"/>
      <c r="N65" s="382"/>
      <c r="O65" s="382"/>
    </row>
    <row r="66" spans="1:15" ht="27.75">
      <c r="A66" s="1499" t="s">
        <v>101</v>
      </c>
      <c r="B66" s="1500"/>
      <c r="C66" s="1501"/>
      <c r="D66" s="523" t="s">
        <v>187</v>
      </c>
      <c r="E66" s="484">
        <f>'19'!F66</f>
        <v>44599</v>
      </c>
      <c r="F66" s="484">
        <v>44994</v>
      </c>
      <c r="G66" s="1340">
        <f t="shared" si="5"/>
        <v>395</v>
      </c>
      <c r="H66" s="460">
        <f>G66+'19'!H66</f>
        <v>7786</v>
      </c>
      <c r="I66" s="480"/>
      <c r="J66" s="552">
        <f>H66/DAY(B2)</f>
        <v>389.3</v>
      </c>
      <c r="K66" s="428"/>
      <c r="L66" s="377"/>
      <c r="N66" s="382"/>
      <c r="O66" s="382"/>
    </row>
    <row r="67" spans="1:15" ht="27.75">
      <c r="A67" s="1499" t="s">
        <v>102</v>
      </c>
      <c r="B67" s="1500"/>
      <c r="C67" s="1501"/>
      <c r="D67" s="523" t="s">
        <v>187</v>
      </c>
      <c r="E67" s="484">
        <f>'19'!F67</f>
        <v>239138</v>
      </c>
      <c r="F67" s="484">
        <v>239527</v>
      </c>
      <c r="G67" s="1340">
        <f t="shared" si="5"/>
        <v>389</v>
      </c>
      <c r="H67" s="460">
        <f>G67+'19'!H67</f>
        <v>10427</v>
      </c>
      <c r="I67" s="489"/>
      <c r="J67" s="552">
        <f>H67/DAY(B2)</f>
        <v>521.35</v>
      </c>
      <c r="K67" s="429"/>
      <c r="L67" s="377"/>
      <c r="N67" s="382"/>
      <c r="O67" s="382"/>
    </row>
    <row r="68" spans="1:15" ht="27.75">
      <c r="A68" s="1499" t="s">
        <v>103</v>
      </c>
      <c r="B68" s="1500"/>
      <c r="C68" s="1501"/>
      <c r="D68" s="523" t="s">
        <v>187</v>
      </c>
      <c r="E68" s="484">
        <f>'19'!F68</f>
        <v>85321</v>
      </c>
      <c r="F68" s="484">
        <v>85321</v>
      </c>
      <c r="G68" s="1340">
        <f t="shared" si="5"/>
        <v>0</v>
      </c>
      <c r="H68" s="460">
        <f>G68+'19'!H68</f>
        <v>2234</v>
      </c>
      <c r="I68" s="516"/>
      <c r="J68" s="552">
        <f>H68/DAY(B2)</f>
        <v>111.7</v>
      </c>
      <c r="K68" s="430"/>
      <c r="L68" s="377"/>
      <c r="N68" s="382"/>
      <c r="O68" s="382"/>
    </row>
    <row r="69" spans="1:15" ht="27.75">
      <c r="A69" s="1499" t="s">
        <v>104</v>
      </c>
      <c r="B69" s="1500"/>
      <c r="C69" s="1501"/>
      <c r="D69" s="523" t="s">
        <v>187</v>
      </c>
      <c r="E69" s="484">
        <f>'19'!F69</f>
        <v>78244</v>
      </c>
      <c r="F69" s="484">
        <v>78291</v>
      </c>
      <c r="G69" s="1340">
        <f t="shared" si="5"/>
        <v>47</v>
      </c>
      <c r="H69" s="460">
        <f>G69+'19'!H69</f>
        <v>3962</v>
      </c>
      <c r="I69" s="516"/>
      <c r="J69" s="552">
        <f>H69/DAY(B2)</f>
        <v>198.1</v>
      </c>
      <c r="K69" s="431"/>
      <c r="L69" s="377"/>
      <c r="N69" s="382"/>
      <c r="O69" s="382"/>
    </row>
    <row r="70" spans="1:15" ht="27.75">
      <c r="A70" s="1505" t="s">
        <v>189</v>
      </c>
      <c r="B70" s="1506"/>
      <c r="C70" s="1507"/>
      <c r="D70" s="523" t="s">
        <v>187</v>
      </c>
      <c r="E70" s="518"/>
      <c r="F70" s="518"/>
      <c r="G70" s="1352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02" t="s">
        <v>190</v>
      </c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  <c r="N71" s="382"/>
      <c r="O71" s="382"/>
    </row>
    <row r="72" spans="1:15" ht="27.75">
      <c r="A72" s="1499" t="s">
        <v>191</v>
      </c>
      <c r="B72" s="1500"/>
      <c r="C72" s="1501"/>
      <c r="D72" s="523" t="s">
        <v>187</v>
      </c>
      <c r="E72" s="519">
        <f>'19'!F72</f>
        <v>854846</v>
      </c>
      <c r="F72" s="519">
        <v>854946</v>
      </c>
      <c r="G72" s="1340">
        <f t="shared" ref="G72:G84" si="6">F72-E72</f>
        <v>100</v>
      </c>
      <c r="H72" s="460">
        <f>G72+'19'!H72</f>
        <v>1683</v>
      </c>
      <c r="I72" s="480"/>
      <c r="J72" s="552">
        <f>H72/DAY(B2)</f>
        <v>84.15</v>
      </c>
      <c r="K72" s="431"/>
      <c r="L72" s="377"/>
      <c r="N72" s="382"/>
      <c r="O72" s="382"/>
    </row>
    <row r="73" spans="1:15" ht="27.75">
      <c r="A73" s="1499" t="s">
        <v>192</v>
      </c>
      <c r="B73" s="1500"/>
      <c r="C73" s="1501"/>
      <c r="D73" s="523" t="s">
        <v>187</v>
      </c>
      <c r="E73" s="519">
        <f>'19'!F73</f>
        <v>885829</v>
      </c>
      <c r="F73" s="520">
        <v>885830</v>
      </c>
      <c r="G73" s="1340">
        <f t="shared" si="6"/>
        <v>1</v>
      </c>
      <c r="H73" s="460">
        <f>G73+'19'!H73</f>
        <v>1251</v>
      </c>
      <c r="I73" s="480"/>
      <c r="J73" s="552">
        <f>H73/DAY(B2)</f>
        <v>62.55</v>
      </c>
      <c r="K73" s="430"/>
      <c r="L73" s="377"/>
      <c r="N73" s="382"/>
      <c r="O73" s="382"/>
    </row>
    <row r="74" spans="1:15" ht="27.75">
      <c r="A74" s="1575" t="s">
        <v>193</v>
      </c>
      <c r="B74" s="1576"/>
      <c r="C74" s="1577"/>
      <c r="D74" s="523" t="s">
        <v>187</v>
      </c>
      <c r="E74" s="519">
        <f>'19'!F74</f>
        <v>1932</v>
      </c>
      <c r="F74" s="521">
        <v>1962</v>
      </c>
      <c r="G74" s="1340">
        <f t="shared" si="6"/>
        <v>30</v>
      </c>
      <c r="H74" s="460">
        <f>G74+'19'!H74</f>
        <v>592</v>
      </c>
      <c r="I74" s="480"/>
      <c r="J74" s="552">
        <f>H74/DAY(B2)</f>
        <v>29.6</v>
      </c>
      <c r="K74" s="431"/>
      <c r="L74" s="377"/>
      <c r="N74" s="382"/>
      <c r="O74" s="382"/>
    </row>
    <row r="75" spans="1:15" ht="27.75">
      <c r="A75" s="1496" t="s">
        <v>194</v>
      </c>
      <c r="B75" s="1497"/>
      <c r="C75" s="1498"/>
      <c r="D75" s="523" t="s">
        <v>187</v>
      </c>
      <c r="E75" s="519">
        <f>'19'!F75</f>
        <v>10309</v>
      </c>
      <c r="F75" s="521">
        <v>10367</v>
      </c>
      <c r="G75" s="1340">
        <f t="shared" si="6"/>
        <v>58</v>
      </c>
      <c r="H75" s="460">
        <f>G75+'19'!H75</f>
        <v>1687</v>
      </c>
      <c r="I75" s="480"/>
      <c r="J75" s="552">
        <f>H75/DAY(B2)</f>
        <v>84.35</v>
      </c>
      <c r="K75" s="430"/>
      <c r="L75" s="377"/>
      <c r="N75" s="382"/>
      <c r="O75" s="382"/>
    </row>
    <row r="76" spans="1:15" ht="27.75">
      <c r="A76" s="1496" t="s">
        <v>195</v>
      </c>
      <c r="B76" s="1497"/>
      <c r="C76" s="1498"/>
      <c r="D76" s="523" t="s">
        <v>187</v>
      </c>
      <c r="E76" s="519">
        <f>'19'!F76</f>
        <v>5230</v>
      </c>
      <c r="F76" s="657">
        <v>5280</v>
      </c>
      <c r="G76" s="1340">
        <f>F76-E76</f>
        <v>50</v>
      </c>
      <c r="H76" s="460">
        <f>G76+'19'!H76</f>
        <v>1654</v>
      </c>
      <c r="I76" s="505"/>
      <c r="J76" s="552">
        <f>H76/DAY(B2)</f>
        <v>82.7</v>
      </c>
      <c r="K76" s="430"/>
      <c r="L76" s="377"/>
      <c r="N76" s="382"/>
      <c r="O76" s="382"/>
    </row>
    <row r="77" spans="1:15" ht="27.75">
      <c r="A77" s="1499" t="s">
        <v>196</v>
      </c>
      <c r="B77" s="1500"/>
      <c r="C77" s="1501"/>
      <c r="D77" s="523" t="s">
        <v>187</v>
      </c>
      <c r="E77" s="519">
        <f>'19'!F77</f>
        <v>701085</v>
      </c>
      <c r="F77" s="521">
        <v>701129</v>
      </c>
      <c r="G77" s="1340">
        <f t="shared" si="6"/>
        <v>44</v>
      </c>
      <c r="H77" s="460">
        <f>G77+'19'!H77</f>
        <v>915</v>
      </c>
      <c r="I77" s="505"/>
      <c r="J77" s="552">
        <f>H77/DAY(B2)</f>
        <v>45.75</v>
      </c>
      <c r="K77" s="430"/>
      <c r="L77" s="377"/>
      <c r="N77" s="382"/>
      <c r="O77" s="382"/>
    </row>
    <row r="78" spans="1:15" ht="27.75">
      <c r="A78" s="1147" t="s">
        <v>197</v>
      </c>
      <c r="B78" s="1120"/>
      <c r="C78" s="1120"/>
      <c r="D78" s="523" t="s">
        <v>187</v>
      </c>
      <c r="E78" s="521">
        <f>'19'!F78</f>
        <v>669229</v>
      </c>
      <c r="F78" s="521">
        <v>669251</v>
      </c>
      <c r="G78" s="1340">
        <f t="shared" si="6"/>
        <v>22</v>
      </c>
      <c r="H78" s="460">
        <f>G78+'19'!H78</f>
        <v>3871</v>
      </c>
      <c r="I78" s="505"/>
      <c r="J78" s="552">
        <f>H78/DAY(B2)</f>
        <v>193.55</v>
      </c>
      <c r="K78" s="430"/>
      <c r="L78" s="377"/>
      <c r="N78" s="382"/>
      <c r="O78" s="382"/>
    </row>
    <row r="79" spans="1:15" ht="27.75">
      <c r="A79" s="1496" t="s">
        <v>92</v>
      </c>
      <c r="B79" s="1497"/>
      <c r="C79" s="1498"/>
      <c r="D79" s="524" t="s">
        <v>187</v>
      </c>
      <c r="E79" s="521">
        <f>'19'!F79</f>
        <v>824746</v>
      </c>
      <c r="F79" s="521">
        <v>824939</v>
      </c>
      <c r="G79" s="1340">
        <f t="shared" si="6"/>
        <v>193</v>
      </c>
      <c r="H79" s="460">
        <f>G79+'19'!H79</f>
        <v>4748</v>
      </c>
      <c r="I79" s="505"/>
      <c r="J79" s="552">
        <f>H79/DAY(B2)</f>
        <v>237.4</v>
      </c>
      <c r="K79" s="430"/>
      <c r="L79" s="377"/>
      <c r="N79" s="382"/>
      <c r="O79" s="382"/>
    </row>
    <row r="80" spans="1:15" ht="27.75">
      <c r="A80" s="1496" t="s">
        <v>198</v>
      </c>
      <c r="B80" s="1497"/>
      <c r="C80" s="1498"/>
      <c r="D80" s="524" t="s">
        <v>187</v>
      </c>
      <c r="E80" s="520">
        <f>'19'!F80</f>
        <v>512636</v>
      </c>
      <c r="F80" s="520">
        <v>513032</v>
      </c>
      <c r="G80" s="1340">
        <f t="shared" si="6"/>
        <v>396</v>
      </c>
      <c r="H80" s="460">
        <f>G80+'19'!H80</f>
        <v>5104</v>
      </c>
      <c r="I80" s="505"/>
      <c r="J80" s="552">
        <f>H80/DAY(B2)</f>
        <v>255.2</v>
      </c>
      <c r="K80" s="430"/>
      <c r="L80" s="377"/>
      <c r="N80" s="382"/>
      <c r="O80" s="382"/>
    </row>
    <row r="81" spans="1:15" ht="27.75">
      <c r="A81" s="1496" t="s">
        <v>199</v>
      </c>
      <c r="B81" s="1497"/>
      <c r="C81" s="1498"/>
      <c r="D81" s="524" t="s">
        <v>187</v>
      </c>
      <c r="E81" s="520">
        <f>'19'!F81</f>
        <v>634896</v>
      </c>
      <c r="F81" s="520">
        <v>635107</v>
      </c>
      <c r="G81" s="1340">
        <f t="shared" si="6"/>
        <v>211</v>
      </c>
      <c r="H81" s="460">
        <f>G81+'19'!H81</f>
        <v>4922</v>
      </c>
      <c r="I81" s="505"/>
      <c r="J81" s="552">
        <f>H81/DAY(B2)</f>
        <v>246.1</v>
      </c>
      <c r="K81" s="430"/>
      <c r="L81" s="377"/>
      <c r="N81" s="382"/>
      <c r="O81" s="382"/>
    </row>
    <row r="82" spans="1:15" ht="27.75">
      <c r="A82" s="1496" t="s">
        <v>93</v>
      </c>
      <c r="B82" s="1497"/>
      <c r="C82" s="1498"/>
      <c r="D82" s="485" t="s">
        <v>132</v>
      </c>
      <c r="E82" s="522">
        <f>'19'!F82</f>
        <v>107357</v>
      </c>
      <c r="F82" s="522">
        <v>107379</v>
      </c>
      <c r="G82" s="1340">
        <f t="shared" si="6"/>
        <v>22</v>
      </c>
      <c r="H82" s="460">
        <f>G82+'19'!H82</f>
        <v>484</v>
      </c>
      <c r="I82" s="486"/>
      <c r="J82" s="552">
        <f>H82/DAY(B2)</f>
        <v>24.2</v>
      </c>
      <c r="K82" s="430"/>
      <c r="L82" s="377"/>
      <c r="N82" s="382"/>
      <c r="O82" s="382"/>
    </row>
    <row r="83" spans="1:15" ht="27.75">
      <c r="A83" s="1496" t="s">
        <v>200</v>
      </c>
      <c r="B83" s="1497"/>
      <c r="C83" s="1498"/>
      <c r="D83" s="620" t="s">
        <v>132</v>
      </c>
      <c r="E83" s="511">
        <f>'19'!F83</f>
        <v>12256</v>
      </c>
      <c r="F83" s="511">
        <v>12547</v>
      </c>
      <c r="G83" s="1340">
        <f t="shared" si="6"/>
        <v>291</v>
      </c>
      <c r="H83" s="460">
        <f>G83+'19'!H83</f>
        <v>5490</v>
      </c>
      <c r="I83" s="481"/>
      <c r="J83" s="552">
        <f>H83/DAY(B2)</f>
        <v>274.5</v>
      </c>
      <c r="K83" s="429"/>
      <c r="L83" s="377"/>
      <c r="N83" s="382"/>
      <c r="O83" s="724"/>
    </row>
    <row r="84" spans="1:15">
      <c r="A84" s="1148" t="s">
        <v>201</v>
      </c>
      <c r="B84" s="571"/>
      <c r="C84" s="571"/>
      <c r="D84" s="478" t="s">
        <v>132</v>
      </c>
      <c r="E84" s="627">
        <f>'19'!F84</f>
        <v>471468</v>
      </c>
      <c r="F84" s="627">
        <v>472273</v>
      </c>
      <c r="G84" s="1340">
        <f t="shared" si="6"/>
        <v>805</v>
      </c>
      <c r="H84" s="460">
        <f>G84+'19'!H84</f>
        <v>17589</v>
      </c>
      <c r="I84" s="481"/>
      <c r="J84" s="552">
        <f>H84/DAY(B2)</f>
        <v>879.45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3">
        <f xml:space="preserve"> SUM(G72:G84)</f>
        <v>2223</v>
      </c>
      <c r="H85" s="460">
        <f>G85+'19'!H85</f>
        <v>49649</v>
      </c>
      <c r="I85" s="481"/>
      <c r="J85" s="552">
        <f>H85/DAY(B2)</f>
        <v>2482.4499999999998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'19'!F86</f>
        <v>458007</v>
      </c>
      <c r="F86" s="650">
        <v>458214</v>
      </c>
      <c r="G86" s="1354">
        <f>F86-E86</f>
        <v>207</v>
      </c>
      <c r="H86" s="460">
        <f>G86+'19'!H86</f>
        <v>455</v>
      </c>
      <c r="I86" s="655"/>
      <c r="J86" s="710">
        <f>H86/DAY(B2)</f>
        <v>22.75</v>
      </c>
      <c r="K86" s="736"/>
      <c r="L86" s="737"/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'19'!F87</f>
        <v>80772</v>
      </c>
      <c r="F87" s="650">
        <v>80789</v>
      </c>
      <c r="G87" s="1354">
        <f t="shared" ref="G87:G90" si="7">F87-E87</f>
        <v>17</v>
      </c>
      <c r="H87" s="460">
        <f>G87+'19'!H87</f>
        <v>78</v>
      </c>
      <c r="I87" s="655"/>
      <c r="J87" s="710">
        <f>H87/DAY(B2)</f>
        <v>3.9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'19'!F88</f>
        <v>151450</v>
      </c>
      <c r="F88" s="650">
        <v>151473</v>
      </c>
      <c r="G88" s="1354">
        <f t="shared" si="7"/>
        <v>23</v>
      </c>
      <c r="H88" s="460">
        <f>G88+'19'!H88</f>
        <v>159</v>
      </c>
      <c r="I88" s="655"/>
      <c r="J88" s="710">
        <f>H88/DAY(B2)</f>
        <v>7.95</v>
      </c>
      <c r="K88" s="736"/>
      <c r="L88" s="737"/>
      <c r="N88" s="781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'19'!F89</f>
        <v>64374</v>
      </c>
      <c r="F89" s="650">
        <v>64418</v>
      </c>
      <c r="G89" s="1354">
        <f t="shared" si="7"/>
        <v>44</v>
      </c>
      <c r="H89" s="460">
        <f>G89+'19'!H89</f>
        <v>129</v>
      </c>
      <c r="I89" s="655"/>
      <c r="J89" s="710">
        <f>H89/DAY(B2)</f>
        <v>6.45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'19'!F90</f>
        <v>3272</v>
      </c>
      <c r="F90" s="650">
        <v>3272</v>
      </c>
      <c r="G90" s="1354">
        <f t="shared" si="7"/>
        <v>0</v>
      </c>
      <c r="H90" s="460">
        <f>G90+'19'!H90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379" customFormat="1">
      <c r="A91" s="606" t="s">
        <v>205</v>
      </c>
      <c r="B91" s="1150"/>
      <c r="C91" s="1150"/>
      <c r="D91" s="472"/>
      <c r="E91" s="472"/>
      <c r="F91" s="472"/>
      <c r="G91" s="1343"/>
      <c r="H91" s="472"/>
      <c r="I91" s="472"/>
      <c r="J91" s="551"/>
      <c r="K91" s="380"/>
      <c r="L91" s="378"/>
      <c r="N91" s="780"/>
      <c r="O91" s="382"/>
    </row>
    <row r="92" spans="1:15" ht="27.75">
      <c r="A92" s="1520" t="s">
        <v>206</v>
      </c>
      <c r="B92" s="1521"/>
      <c r="C92" s="1522"/>
      <c r="D92" s="523" t="s">
        <v>144</v>
      </c>
      <c r="E92" s="484">
        <f>'19'!F92</f>
        <v>243943</v>
      </c>
      <c r="F92" s="484">
        <v>244004</v>
      </c>
      <c r="G92" s="1340">
        <f t="shared" ref="G92:G93" si="8">F92-E92</f>
        <v>61</v>
      </c>
      <c r="H92" s="460">
        <f>G92+'19'!H92</f>
        <v>1358</v>
      </c>
      <c r="I92" s="480"/>
      <c r="J92" s="552">
        <f>H92/DAY(B2)</f>
        <v>67.900000000000006</v>
      </c>
      <c r="K92" s="429"/>
      <c r="L92" s="377"/>
      <c r="N92" s="382"/>
      <c r="O92" s="382"/>
    </row>
    <row r="93" spans="1:15" ht="27.75">
      <c r="A93" s="1520" t="s">
        <v>207</v>
      </c>
      <c r="B93" s="1521"/>
      <c r="C93" s="1522"/>
      <c r="D93" s="523" t="s">
        <v>144</v>
      </c>
      <c r="E93" s="484">
        <f>'19'!F93</f>
        <v>182420</v>
      </c>
      <c r="F93" s="484">
        <v>182581</v>
      </c>
      <c r="G93" s="1340">
        <f t="shared" si="8"/>
        <v>161</v>
      </c>
      <c r="H93" s="460">
        <f>G93+'19'!H93</f>
        <v>2902</v>
      </c>
      <c r="I93" s="480"/>
      <c r="J93" s="552">
        <f>H93/DAY(B2)</f>
        <v>145.1</v>
      </c>
      <c r="K93" s="380"/>
      <c r="L93" s="377"/>
      <c r="N93" s="382"/>
      <c r="O93" s="382"/>
    </row>
    <row r="94" spans="1:15">
      <c r="A94" s="1548" t="s">
        <v>208</v>
      </c>
      <c r="B94" s="1549"/>
      <c r="C94" s="1550"/>
      <c r="D94" s="523"/>
      <c r="E94" s="484">
        <f>'19'!F94</f>
        <v>0</v>
      </c>
      <c r="F94" s="484"/>
      <c r="G94" s="1340">
        <f>G92+G93</f>
        <v>222</v>
      </c>
      <c r="H94" s="460">
        <f>G94+'19'!H94</f>
        <v>4041</v>
      </c>
      <c r="I94" s="480"/>
      <c r="J94" s="552">
        <f>H94/DAY(B2)</f>
        <v>202.05</v>
      </c>
      <c r="K94" s="380"/>
      <c r="L94" s="377"/>
      <c r="N94" s="382"/>
      <c r="O94" s="382"/>
    </row>
    <row r="95" spans="1:15" ht="27.75">
      <c r="A95" s="1520" t="s">
        <v>209</v>
      </c>
      <c r="B95" s="1521"/>
      <c r="C95" s="1522"/>
      <c r="D95" s="523" t="s">
        <v>144</v>
      </c>
      <c r="E95" s="484">
        <f>'19'!F95</f>
        <v>412137</v>
      </c>
      <c r="F95" s="484">
        <v>412214</v>
      </c>
      <c r="G95" s="1340">
        <f t="shared" ref="G95:G100" si="9">F95-E95</f>
        <v>77</v>
      </c>
      <c r="H95" s="460">
        <f>G95+'19'!H95</f>
        <v>1429</v>
      </c>
      <c r="I95" s="480"/>
      <c r="J95" s="552">
        <f>H95/DAY(B2)</f>
        <v>71.45</v>
      </c>
      <c r="K95" s="380"/>
      <c r="L95" s="377"/>
      <c r="N95" s="382"/>
      <c r="O95" s="382"/>
    </row>
    <row r="96" spans="1:15" ht="27.75">
      <c r="A96" s="1144" t="s">
        <v>210</v>
      </c>
      <c r="B96" s="1145"/>
      <c r="C96" s="1145"/>
      <c r="D96" s="523" t="s">
        <v>144</v>
      </c>
      <c r="E96" s="484">
        <f>'19'!F96</f>
        <v>102160</v>
      </c>
      <c r="F96" s="484">
        <v>102179</v>
      </c>
      <c r="G96" s="1340">
        <f t="shared" si="9"/>
        <v>19</v>
      </c>
      <c r="H96" s="460">
        <f>G96+'19'!H96</f>
        <v>348</v>
      </c>
      <c r="I96" s="480"/>
      <c r="J96" s="552">
        <f>H96/DAY(B2)</f>
        <v>17.399999999999999</v>
      </c>
      <c r="K96" s="427"/>
      <c r="L96" s="377"/>
      <c r="N96" s="382"/>
      <c r="O96" s="382"/>
    </row>
    <row r="97" spans="1:15" ht="27.75">
      <c r="A97" s="1144" t="s">
        <v>211</v>
      </c>
      <c r="B97" s="1145"/>
      <c r="C97" s="1145"/>
      <c r="D97" s="523" t="s">
        <v>144</v>
      </c>
      <c r="E97" s="484">
        <f>'19'!F97</f>
        <v>97258</v>
      </c>
      <c r="F97" s="484">
        <v>97278</v>
      </c>
      <c r="G97" s="1340">
        <f t="shared" si="9"/>
        <v>20</v>
      </c>
      <c r="H97" s="460">
        <f>G97+'19'!H97</f>
        <v>350</v>
      </c>
      <c r="I97" s="480"/>
      <c r="J97" s="552">
        <f>H97/DAY(B2)</f>
        <v>17.5</v>
      </c>
      <c r="K97" s="432"/>
      <c r="L97" s="377"/>
      <c r="N97" s="382"/>
      <c r="O97" s="382"/>
    </row>
    <row r="98" spans="1:15" ht="27.75">
      <c r="A98" s="1144" t="s">
        <v>212</v>
      </c>
      <c r="B98" s="1145"/>
      <c r="C98" s="1145"/>
      <c r="D98" s="523" t="s">
        <v>144</v>
      </c>
      <c r="E98" s="484">
        <f>'19'!F98</f>
        <v>149450</v>
      </c>
      <c r="F98" s="484">
        <v>149464</v>
      </c>
      <c r="G98" s="1340">
        <f t="shared" si="9"/>
        <v>14</v>
      </c>
      <c r="H98" s="460">
        <f>G98+'19'!H98</f>
        <v>555</v>
      </c>
      <c r="I98" s="480"/>
      <c r="J98" s="552">
        <f>H98/DAY(B2)</f>
        <v>27.75</v>
      </c>
      <c r="K98" s="380"/>
      <c r="L98" s="377"/>
      <c r="N98" s="382"/>
      <c r="O98" s="382"/>
    </row>
    <row r="99" spans="1:15" ht="27.75">
      <c r="A99" s="1144" t="s">
        <v>213</v>
      </c>
      <c r="B99" s="1145"/>
      <c r="C99" s="1145"/>
      <c r="D99" s="523" t="s">
        <v>144</v>
      </c>
      <c r="E99" s="484">
        <f>'19'!F99</f>
        <v>7099</v>
      </c>
      <c r="F99" s="484">
        <v>7109</v>
      </c>
      <c r="G99" s="1340">
        <f t="shared" si="9"/>
        <v>10</v>
      </c>
      <c r="H99" s="460">
        <f>G99+'19'!H99</f>
        <v>254</v>
      </c>
      <c r="I99" s="480"/>
      <c r="J99" s="552">
        <f>H99/DAY(B2)</f>
        <v>12.7</v>
      </c>
      <c r="K99" s="380"/>
      <c r="L99" s="377"/>
      <c r="N99" s="382"/>
      <c r="O99" s="382"/>
    </row>
    <row r="100" spans="1:15" ht="27.75">
      <c r="A100" s="1144" t="s">
        <v>214</v>
      </c>
      <c r="B100" s="1145"/>
      <c r="C100" s="1145"/>
      <c r="D100" s="523" t="s">
        <v>144</v>
      </c>
      <c r="E100" s="484">
        <f>'19'!F100</f>
        <v>5075</v>
      </c>
      <c r="F100" s="484">
        <v>5083</v>
      </c>
      <c r="G100" s="1340">
        <f t="shared" si="9"/>
        <v>8</v>
      </c>
      <c r="H100" s="460">
        <f>G100+'19'!H100</f>
        <v>140</v>
      </c>
      <c r="I100" s="480"/>
      <c r="J100" s="552">
        <f>H100/DAY(B2)</f>
        <v>7</v>
      </c>
      <c r="K100" s="380"/>
      <c r="L100" s="377"/>
      <c r="N100" s="382"/>
      <c r="O100" s="382"/>
    </row>
    <row r="101" spans="1:15">
      <c r="A101" s="1548" t="s">
        <v>216</v>
      </c>
      <c r="B101" s="1549"/>
      <c r="C101" s="1550"/>
      <c r="D101" s="524"/>
      <c r="E101" s="524"/>
      <c r="F101" s="524"/>
      <c r="G101" s="1355">
        <f>SUM(G95:G100)</f>
        <v>148</v>
      </c>
      <c r="H101" s="460">
        <f>G101+'19'!H101</f>
        <v>3076</v>
      </c>
      <c r="I101" s="526"/>
      <c r="J101" s="552">
        <f>H101/DAY(B2)</f>
        <v>153.80000000000001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1356"/>
      <c r="H102" s="530"/>
      <c r="I102" s="531"/>
      <c r="J102" s="557"/>
      <c r="N102" s="444"/>
      <c r="O102" s="382"/>
    </row>
    <row r="103" spans="1:15" s="442" customFormat="1" ht="27.75">
      <c r="A103" s="1551" t="s">
        <v>218</v>
      </c>
      <c r="B103" s="1552"/>
      <c r="C103" s="573"/>
      <c r="D103" s="622"/>
      <c r="E103" s="532"/>
      <c r="F103" s="532"/>
      <c r="G103" s="1357"/>
      <c r="H103" s="533"/>
      <c r="I103" s="532"/>
      <c r="J103" s="558"/>
      <c r="N103" s="444"/>
      <c r="O103" s="382"/>
    </row>
    <row r="104" spans="1:15" s="442" customFormat="1" ht="27.75">
      <c r="A104" s="1512" t="s">
        <v>219</v>
      </c>
      <c r="B104" s="1513"/>
      <c r="C104" s="1142"/>
      <c r="D104" s="622" t="s">
        <v>144</v>
      </c>
      <c r="E104" s="532">
        <f>'19'!F104</f>
        <v>7391</v>
      </c>
      <c r="F104" s="532">
        <v>7391</v>
      </c>
      <c r="G104" s="1357">
        <f>F104-E104</f>
        <v>0</v>
      </c>
      <c r="H104" s="460">
        <f>G104+'19'!H104</f>
        <v>72</v>
      </c>
      <c r="I104" s="532"/>
      <c r="J104" s="558">
        <f>H104/DAY(B2)</f>
        <v>3.6</v>
      </c>
      <c r="N104" s="444"/>
      <c r="O104" s="382"/>
    </row>
    <row r="105" spans="1:15" s="442" customFormat="1" ht="27.75">
      <c r="A105" s="1512" t="s">
        <v>77</v>
      </c>
      <c r="B105" s="1513"/>
      <c r="C105" s="1142"/>
      <c r="D105" s="622" t="s">
        <v>144</v>
      </c>
      <c r="E105" s="534">
        <f>'19'!F105</f>
        <v>35764</v>
      </c>
      <c r="F105" s="534">
        <v>35770</v>
      </c>
      <c r="G105" s="1357">
        <f t="shared" ref="G105:G106" si="10">F105-E105</f>
        <v>6</v>
      </c>
      <c r="H105" s="460">
        <f>G105+'19'!H105</f>
        <v>69</v>
      </c>
      <c r="I105" s="532"/>
      <c r="J105" s="558">
        <f>H105/DAY(B2)</f>
        <v>3.45</v>
      </c>
      <c r="N105" s="444"/>
      <c r="O105" s="382"/>
    </row>
    <row r="106" spans="1:15" s="442" customFormat="1" ht="27.75">
      <c r="A106" s="1512" t="s">
        <v>78</v>
      </c>
      <c r="B106" s="1553"/>
      <c r="C106" s="1513"/>
      <c r="D106" s="622" t="s">
        <v>144</v>
      </c>
      <c r="E106" s="532">
        <f>'19'!F106</f>
        <v>19547</v>
      </c>
      <c r="F106" s="532">
        <v>19557</v>
      </c>
      <c r="G106" s="1357">
        <f t="shared" si="10"/>
        <v>10</v>
      </c>
      <c r="H106" s="460">
        <f>G106+'19'!H106</f>
        <v>420</v>
      </c>
      <c r="I106" s="532"/>
      <c r="J106" s="558">
        <f>H106/DAY(B2)</f>
        <v>21</v>
      </c>
      <c r="N106" s="444"/>
      <c r="O106" s="382"/>
    </row>
    <row r="107" spans="1:15" s="442" customFormat="1" ht="27.75">
      <c r="A107" s="1514" t="s">
        <v>202</v>
      </c>
      <c r="B107" s="1515"/>
      <c r="C107" s="1142"/>
      <c r="D107" s="622"/>
      <c r="E107" s="532">
        <f>'19'!F107</f>
        <v>0</v>
      </c>
      <c r="F107" s="532"/>
      <c r="G107" s="1357">
        <f>SUM(G104:G106)</f>
        <v>16</v>
      </c>
      <c r="H107" s="460">
        <f>G107+'19'!H107</f>
        <v>251</v>
      </c>
      <c r="I107" s="532"/>
      <c r="J107" s="558">
        <f>H107/DAY(B2)</f>
        <v>12.55</v>
      </c>
      <c r="N107" s="444"/>
      <c r="O107" s="382"/>
    </row>
    <row r="108" spans="1:15" s="442" customFormat="1" ht="27.75">
      <c r="A108" s="1518" t="s">
        <v>79</v>
      </c>
      <c r="B108" s="1519"/>
      <c r="C108" s="1142"/>
      <c r="D108" s="622" t="s">
        <v>144</v>
      </c>
      <c r="E108" s="532">
        <f>'19'!F108</f>
        <v>0</v>
      </c>
      <c r="F108" s="532"/>
      <c r="G108" s="1357"/>
      <c r="H108" s="460"/>
      <c r="I108" s="532"/>
      <c r="J108" s="558"/>
      <c r="N108" s="444"/>
      <c r="O108" s="382"/>
    </row>
    <row r="109" spans="1:15" s="442" customFormat="1" ht="27.75">
      <c r="A109" s="1512" t="s">
        <v>220</v>
      </c>
      <c r="B109" s="1513"/>
      <c r="C109" s="1142"/>
      <c r="D109" s="622" t="s">
        <v>144</v>
      </c>
      <c r="E109" s="532">
        <f>'19'!F109</f>
        <v>60314</v>
      </c>
      <c r="F109" s="532">
        <v>60376</v>
      </c>
      <c r="G109" s="1357">
        <f>F109-E109</f>
        <v>62</v>
      </c>
      <c r="H109" s="460">
        <f>G109+'19'!H109</f>
        <v>404</v>
      </c>
      <c r="I109" s="532"/>
      <c r="J109" s="558">
        <f>H109/DAY(B2)</f>
        <v>20.2</v>
      </c>
      <c r="N109" s="444"/>
      <c r="O109" s="382"/>
    </row>
    <row r="110" spans="1:15" s="442" customFormat="1" ht="27.75">
      <c r="A110" s="1512" t="s">
        <v>221</v>
      </c>
      <c r="B110" s="1513"/>
      <c r="C110" s="1142"/>
      <c r="D110" s="622" t="s">
        <v>144</v>
      </c>
      <c r="E110" s="532">
        <f>'19'!F110</f>
        <v>32110</v>
      </c>
      <c r="F110" s="532">
        <v>32156</v>
      </c>
      <c r="G110" s="1357">
        <f t="shared" ref="G110:G111" si="11">F110-E110</f>
        <v>46</v>
      </c>
      <c r="H110" s="460">
        <f>G110+'19'!H110</f>
        <v>74</v>
      </c>
      <c r="I110" s="532"/>
      <c r="J110" s="558">
        <f>H110/DAY(B2)</f>
        <v>3.7</v>
      </c>
      <c r="N110" s="444"/>
      <c r="O110" s="382"/>
    </row>
    <row r="111" spans="1:15" s="442" customFormat="1" ht="27.75">
      <c r="A111" s="1512" t="s">
        <v>222</v>
      </c>
      <c r="B111" s="1513"/>
      <c r="C111" s="1142"/>
      <c r="D111" s="622" t="s">
        <v>144</v>
      </c>
      <c r="E111" s="532">
        <f>'19'!F111</f>
        <v>4309</v>
      </c>
      <c r="F111" s="532">
        <v>4309</v>
      </c>
      <c r="G111" s="1357">
        <f t="shared" si="11"/>
        <v>0</v>
      </c>
      <c r="H111" s="460">
        <f>G111+'19'!H111</f>
        <v>256</v>
      </c>
      <c r="I111" s="532"/>
      <c r="J111" s="558">
        <f>H111/DAY(B2)</f>
        <v>12.8</v>
      </c>
      <c r="N111" s="444"/>
      <c r="O111" s="382"/>
    </row>
    <row r="112" spans="1:15" s="442" customFormat="1" ht="27.75">
      <c r="A112" s="1516" t="s">
        <v>110</v>
      </c>
      <c r="B112" s="1517"/>
      <c r="C112" s="1142"/>
      <c r="D112" s="622"/>
      <c r="E112" s="532">
        <f>'19'!F112</f>
        <v>0</v>
      </c>
      <c r="F112" s="532"/>
      <c r="G112" s="1357">
        <f>SUM(G109:G111)</f>
        <v>108</v>
      </c>
      <c r="H112" s="460">
        <f>G112+'19'!H112</f>
        <v>1189</v>
      </c>
      <c r="I112" s="532"/>
      <c r="J112" s="558">
        <f>H112/DAY(B2)</f>
        <v>59.45</v>
      </c>
      <c r="N112" s="444"/>
      <c r="O112" s="382"/>
    </row>
    <row r="113" spans="1:15" s="442" customFormat="1" ht="27.75">
      <c r="A113" s="1518" t="s">
        <v>223</v>
      </c>
      <c r="B113" s="1519"/>
      <c r="C113" s="1142"/>
      <c r="D113" s="622"/>
      <c r="E113" s="532">
        <f>'19'!F113</f>
        <v>0</v>
      </c>
      <c r="F113" s="532"/>
      <c r="G113" s="1357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512" t="s">
        <v>224</v>
      </c>
      <c r="B114" s="1513"/>
      <c r="C114" s="574"/>
      <c r="D114" s="622" t="s">
        <v>144</v>
      </c>
      <c r="E114" s="534">
        <f>'19'!F114</f>
        <v>11151</v>
      </c>
      <c r="F114" s="534">
        <v>11165</v>
      </c>
      <c r="G114" s="1358">
        <f>F114-E114</f>
        <v>14</v>
      </c>
      <c r="H114" s="460">
        <f>G114+'19'!H114</f>
        <v>41</v>
      </c>
      <c r="I114" s="532"/>
      <c r="J114" s="558">
        <f>H114/DAY(B2)</f>
        <v>2.0499999999999998</v>
      </c>
      <c r="N114" s="444"/>
      <c r="O114" s="382"/>
    </row>
    <row r="115" spans="1:15" s="442" customFormat="1" ht="27.75">
      <c r="A115" s="1512" t="s">
        <v>225</v>
      </c>
      <c r="B115" s="1513"/>
      <c r="C115" s="574"/>
      <c r="D115" s="622" t="s">
        <v>144</v>
      </c>
      <c r="E115" s="534">
        <f>'19'!F115</f>
        <v>8079</v>
      </c>
      <c r="F115" s="534">
        <v>8085</v>
      </c>
      <c r="G115" s="1358">
        <f t="shared" ref="G115:G116" si="12">F115-E115</f>
        <v>6</v>
      </c>
      <c r="H115" s="460">
        <f>G115+'19'!H115</f>
        <v>106</v>
      </c>
      <c r="I115" s="532"/>
      <c r="J115" s="558">
        <f>H115/DAY(B2)</f>
        <v>5.3</v>
      </c>
      <c r="N115" s="444"/>
      <c r="O115" s="382"/>
    </row>
    <row r="116" spans="1:15" s="442" customFormat="1" ht="27.75">
      <c r="A116" s="1512" t="s">
        <v>226</v>
      </c>
      <c r="B116" s="1513"/>
      <c r="C116" s="574"/>
      <c r="D116" s="622" t="s">
        <v>144</v>
      </c>
      <c r="E116" s="534"/>
      <c r="F116" s="534"/>
      <c r="G116" s="1358">
        <f t="shared" si="12"/>
        <v>0</v>
      </c>
      <c r="H116" s="460">
        <f>G116+'19'!H116</f>
        <v>127</v>
      </c>
      <c r="I116" s="532"/>
      <c r="J116" s="558">
        <f>H116/DAY(B2)</f>
        <v>6.35</v>
      </c>
      <c r="N116" s="444"/>
      <c r="O116" s="382"/>
    </row>
    <row r="117" spans="1:15" s="445" customFormat="1" ht="27.75">
      <c r="A117" s="1514" t="s">
        <v>202</v>
      </c>
      <c r="B117" s="1515"/>
      <c r="C117" s="574"/>
      <c r="D117" s="623"/>
      <c r="E117" s="534"/>
      <c r="F117" s="534"/>
      <c r="G117" s="1358">
        <f>SUM(G114:G116)</f>
        <v>20</v>
      </c>
      <c r="H117" s="460">
        <f>G117+'19'!H117</f>
        <v>132</v>
      </c>
      <c r="I117" s="534"/>
      <c r="J117" s="558">
        <f>H117/DAY(B2)</f>
        <v>6.6</v>
      </c>
      <c r="N117" s="447"/>
      <c r="O117" s="382"/>
    </row>
    <row r="118" spans="1:15" s="446" customFormat="1" ht="27.75">
      <c r="A118" s="1508" t="s">
        <v>227</v>
      </c>
      <c r="B118" s="1509"/>
      <c r="C118" s="1141"/>
      <c r="D118" s="624" t="s">
        <v>144</v>
      </c>
      <c r="E118" s="536"/>
      <c r="F118" s="536">
        <f>SUM(G19+G92)</f>
        <v>122</v>
      </c>
      <c r="G118" s="1358">
        <f>SUM(G19+G92)</f>
        <v>122</v>
      </c>
      <c r="H118" s="460">
        <f>G118+'19'!H118</f>
        <v>397</v>
      </c>
      <c r="I118" s="535"/>
      <c r="J118" s="559">
        <f>H118/DAY(B2)</f>
        <v>19.850000000000001</v>
      </c>
      <c r="N118" s="782"/>
      <c r="O118" s="382"/>
    </row>
    <row r="119" spans="1:15" s="446" customFormat="1" ht="27.75">
      <c r="A119" s="1508" t="s">
        <v>228</v>
      </c>
      <c r="B119" s="1509"/>
      <c r="C119" s="1141"/>
      <c r="D119" s="624" t="s">
        <v>144</v>
      </c>
      <c r="E119" s="536"/>
      <c r="F119" s="536">
        <f>SUM(G95,G96,G97,G99,G100)</f>
        <v>134</v>
      </c>
      <c r="G119" s="1358">
        <f>SUM(G95,G96,G97,G99,G100)</f>
        <v>134</v>
      </c>
      <c r="H119" s="460">
        <f>G119+'19'!H119</f>
        <v>403</v>
      </c>
      <c r="I119" s="535"/>
      <c r="J119" s="559">
        <f>H119/DAY(B2)</f>
        <v>20.149999999999999</v>
      </c>
      <c r="N119" s="782"/>
      <c r="O119" s="382"/>
    </row>
    <row r="120" spans="1:15" s="446" customFormat="1" ht="27.75">
      <c r="A120" s="1508" t="s">
        <v>229</v>
      </c>
      <c r="B120" s="1509"/>
      <c r="C120" s="1141"/>
      <c r="D120" s="624" t="s">
        <v>144</v>
      </c>
      <c r="E120" s="534"/>
      <c r="F120" s="534">
        <f>SUM(G112)</f>
        <v>108</v>
      </c>
      <c r="G120" s="1358">
        <f>SUM(G112)</f>
        <v>108</v>
      </c>
      <c r="H120" s="460">
        <f>G120+'19'!H120</f>
        <v>280</v>
      </c>
      <c r="I120" s="535"/>
      <c r="J120" s="559">
        <f>H120/DAY(B2)</f>
        <v>14</v>
      </c>
      <c r="N120" s="782"/>
      <c r="O120" s="382"/>
    </row>
    <row r="121" spans="1:15" s="442" customFormat="1" ht="27.75">
      <c r="A121" s="1510"/>
      <c r="B121" s="1511"/>
      <c r="C121" s="1142"/>
      <c r="D121" s="560"/>
      <c r="E121" s="560"/>
      <c r="F121" s="560" t="s">
        <v>215</v>
      </c>
      <c r="G121" s="1359"/>
      <c r="H121" s="561"/>
      <c r="I121" s="560"/>
      <c r="J121" s="562"/>
      <c r="N121" s="444"/>
      <c r="O121" s="382"/>
    </row>
    <row r="122" spans="1:15">
      <c r="A122" s="1545" t="s">
        <v>230</v>
      </c>
      <c r="B122" s="1546"/>
      <c r="C122" s="1547"/>
      <c r="D122" s="472"/>
      <c r="E122" s="472"/>
      <c r="F122" s="472"/>
      <c r="G122" s="1343"/>
      <c r="H122" s="483"/>
      <c r="I122" s="483"/>
      <c r="J122" s="563"/>
      <c r="K122" s="380"/>
      <c r="L122" s="377"/>
      <c r="N122" s="382"/>
      <c r="O122" s="382"/>
    </row>
    <row r="123" spans="1:15" ht="27.75">
      <c r="A123" s="1144" t="s">
        <v>231</v>
      </c>
      <c r="B123" s="1145"/>
      <c r="C123" s="1145"/>
      <c r="D123" s="523" t="s">
        <v>141</v>
      </c>
      <c r="E123" s="478">
        <f>'19'!F123</f>
        <v>823557</v>
      </c>
      <c r="F123" s="478">
        <v>823809</v>
      </c>
      <c r="G123" s="1340">
        <f t="shared" ref="G123:G127" si="13">F123-E123</f>
        <v>252</v>
      </c>
      <c r="H123" s="460">
        <f>G123+'19'!H123</f>
        <v>4999</v>
      </c>
      <c r="I123" s="526"/>
      <c r="J123" s="552">
        <f>H123/DAY(B2)</f>
        <v>249.95</v>
      </c>
      <c r="K123" s="380"/>
      <c r="L123" s="377"/>
      <c r="N123" s="382"/>
      <c r="O123" s="382"/>
    </row>
    <row r="124" spans="1:15" ht="27.75">
      <c r="A124" s="1144" t="s">
        <v>232</v>
      </c>
      <c r="B124" s="1145"/>
      <c r="C124" s="1145"/>
      <c r="D124" s="523" t="s">
        <v>141</v>
      </c>
      <c r="E124" s="626">
        <f>'19'!F124</f>
        <v>73583</v>
      </c>
      <c r="F124" s="626">
        <v>73583</v>
      </c>
      <c r="G124" s="1340">
        <f t="shared" si="13"/>
        <v>0</v>
      </c>
      <c r="H124" s="460">
        <f>G124+'19'!H124</f>
        <v>-0.39999999999417923</v>
      </c>
      <c r="I124" s="526"/>
      <c r="J124" s="552">
        <f>H124/DAY(B2)</f>
        <v>-1.9999999999708962E-2</v>
      </c>
      <c r="K124" s="380"/>
      <c r="L124" s="377"/>
      <c r="N124" s="382"/>
      <c r="O124" s="382"/>
    </row>
    <row r="125" spans="1:15" ht="27.75">
      <c r="A125" s="1499" t="s">
        <v>233</v>
      </c>
      <c r="B125" s="1500"/>
      <c r="C125" s="1501"/>
      <c r="D125" s="523" t="s">
        <v>141</v>
      </c>
      <c r="E125" s="478">
        <f>'19'!F125</f>
        <v>143824</v>
      </c>
      <c r="F125" s="478">
        <v>143902</v>
      </c>
      <c r="G125" s="1340">
        <f t="shared" si="13"/>
        <v>78</v>
      </c>
      <c r="H125" s="460">
        <f>G125+'19'!H125</f>
        <v>1766</v>
      </c>
      <c r="I125" s="526"/>
      <c r="J125" s="552">
        <f>H125/DAY(B2)</f>
        <v>88.3</v>
      </c>
      <c r="K125" s="380"/>
      <c r="L125" s="377"/>
      <c r="N125" s="382"/>
      <c r="O125" s="382"/>
    </row>
    <row r="126" spans="1:15" ht="27.75">
      <c r="A126" s="609" t="s">
        <v>234</v>
      </c>
      <c r="B126" s="1145"/>
      <c r="C126" s="1145"/>
      <c r="D126" s="523" t="s">
        <v>141</v>
      </c>
      <c r="E126" s="626">
        <f>'19'!F126</f>
        <v>31404</v>
      </c>
      <c r="F126" s="626">
        <v>31404</v>
      </c>
      <c r="G126" s="1340">
        <f t="shared" si="13"/>
        <v>0</v>
      </c>
      <c r="H126" s="460">
        <f>G126+'19'!H126</f>
        <v>85.299999999999272</v>
      </c>
      <c r="I126" s="526"/>
      <c r="J126" s="552">
        <f>H126/DAY(B2)</f>
        <v>4.2649999999999633</v>
      </c>
      <c r="K126" s="380"/>
      <c r="L126" s="377"/>
      <c r="N126" s="382"/>
      <c r="O126" s="382"/>
    </row>
    <row r="127" spans="1:15" ht="27.75">
      <c r="A127" s="609" t="s">
        <v>235</v>
      </c>
      <c r="B127" s="1145"/>
      <c r="C127" s="1145"/>
      <c r="D127" s="523" t="s">
        <v>141</v>
      </c>
      <c r="E127" s="626">
        <f>'19'!F127</f>
        <v>8968</v>
      </c>
      <c r="F127" s="626">
        <v>8938.4</v>
      </c>
      <c r="G127" s="1340">
        <f t="shared" si="13"/>
        <v>-29.600000000000364</v>
      </c>
      <c r="H127" s="460">
        <f>G127+'19'!H127</f>
        <v>-23.600000000000364</v>
      </c>
      <c r="I127" s="480"/>
      <c r="J127" s="552">
        <f>H127/DAY(B2)</f>
        <v>-1.1800000000000181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145"/>
      <c r="C128" s="1145"/>
      <c r="D128" s="523"/>
      <c r="E128" s="478"/>
      <c r="F128" s="478"/>
      <c r="G128" s="1340">
        <f>G15-SUM(G123:G127)</f>
        <v>471.60000000000036</v>
      </c>
      <c r="H128" s="460">
        <f>G128+'19'!H128</f>
        <v>2304.2499999999945</v>
      </c>
      <c r="I128" s="480"/>
      <c r="J128" s="552">
        <f>H128/DAY(B2)</f>
        <v>115.21249999999972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1360"/>
      <c r="H129" s="540"/>
      <c r="I129" s="540"/>
      <c r="J129" s="564"/>
      <c r="N129" s="382"/>
      <c r="O129" s="382"/>
    </row>
    <row r="130" spans="1:15" ht="27.75">
      <c r="A130" s="1144" t="s">
        <v>238</v>
      </c>
      <c r="B130" s="1145"/>
      <c r="C130" s="1145"/>
      <c r="D130" s="523" t="s">
        <v>239</v>
      </c>
      <c r="E130" s="484">
        <f>'19'!F130</f>
        <v>0</v>
      </c>
      <c r="F130" s="484">
        <v>0</v>
      </c>
      <c r="G130" s="1340">
        <f t="shared" ref="G130:G140" si="14">F130-E130</f>
        <v>0</v>
      </c>
      <c r="H130" s="460">
        <f>G130+'19'!H130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144" t="s">
        <v>240</v>
      </c>
      <c r="B131" s="1145"/>
      <c r="C131" s="1145"/>
      <c r="D131" s="523" t="s">
        <v>239</v>
      </c>
      <c r="E131" s="484">
        <f>'19'!F131</f>
        <v>0</v>
      </c>
      <c r="F131" s="484">
        <v>0</v>
      </c>
      <c r="G131" s="1340">
        <f t="shared" si="14"/>
        <v>0</v>
      </c>
      <c r="H131" s="460">
        <f>G131+'19'!H131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4" t="s">
        <v>241</v>
      </c>
      <c r="B132" s="1145"/>
      <c r="C132" s="1145"/>
      <c r="D132" s="523" t="s">
        <v>239</v>
      </c>
      <c r="E132" s="484">
        <f>'19'!F132</f>
        <v>39659.230000000003</v>
      </c>
      <c r="F132" s="1335">
        <v>39659.230000000003</v>
      </c>
      <c r="G132" s="1361">
        <f t="shared" si="14"/>
        <v>0</v>
      </c>
      <c r="H132" s="460">
        <f>G132+'19'!H132</f>
        <v>126.2300000000032</v>
      </c>
      <c r="I132" s="480"/>
      <c r="J132" s="552">
        <f>H132/DAY(B2)</f>
        <v>6.3115000000001604</v>
      </c>
      <c r="N132" s="382">
        <f>G132-24</f>
        <v>-24</v>
      </c>
      <c r="O132" s="382"/>
    </row>
    <row r="133" spans="1:15" s="441" customFormat="1" ht="27.75">
      <c r="A133" s="1074" t="s">
        <v>242</v>
      </c>
      <c r="B133" s="1075"/>
      <c r="C133" s="1075"/>
      <c r="D133" s="627" t="s">
        <v>239</v>
      </c>
      <c r="E133" s="484">
        <f>'19'!F133</f>
        <v>300</v>
      </c>
      <c r="F133" s="541">
        <v>300</v>
      </c>
      <c r="G133" s="1362">
        <f t="shared" si="14"/>
        <v>0</v>
      </c>
      <c r="H133" s="708">
        <f>G133+'19'!H133</f>
        <v>0</v>
      </c>
      <c r="I133" s="1076">
        <f>G130+G131+G132+G133</f>
        <v>0</v>
      </c>
      <c r="J133" s="710">
        <f>H133/DAY(B2)</f>
        <v>0</v>
      </c>
      <c r="N133" s="716"/>
      <c r="O133" s="716"/>
    </row>
    <row r="134" spans="1:15" ht="27.75">
      <c r="A134" s="1144" t="s">
        <v>243</v>
      </c>
      <c r="B134" s="1145"/>
      <c r="C134" s="1145"/>
      <c r="D134" s="523" t="s">
        <v>239</v>
      </c>
      <c r="E134" s="484">
        <f>'19'!F134</f>
        <v>41199</v>
      </c>
      <c r="F134" s="1335">
        <v>41223</v>
      </c>
      <c r="G134" s="1361">
        <f t="shared" si="14"/>
        <v>24</v>
      </c>
      <c r="H134" s="460">
        <f>G134+'19'!H134</f>
        <v>381.44000000000233</v>
      </c>
      <c r="I134" s="480"/>
      <c r="J134" s="552">
        <f>H134/DAY(B2)</f>
        <v>19.072000000000116</v>
      </c>
      <c r="N134" s="382"/>
      <c r="O134" s="382"/>
    </row>
    <row r="135" spans="1:15" ht="27.75">
      <c r="A135" s="1144" t="s">
        <v>244</v>
      </c>
      <c r="B135" s="1145"/>
      <c r="C135" s="1145"/>
      <c r="D135" s="523" t="s">
        <v>239</v>
      </c>
      <c r="E135" s="484">
        <f>'19'!F135</f>
        <v>32582.92</v>
      </c>
      <c r="F135" s="541">
        <v>32582.92</v>
      </c>
      <c r="G135" s="1340">
        <f t="shared" si="14"/>
        <v>0</v>
      </c>
      <c r="H135" s="460">
        <f>G135+'19'!H135</f>
        <v>-8.000000000174623E-2</v>
      </c>
      <c r="I135" s="480"/>
      <c r="J135" s="552">
        <f>H135/DAY(B2)</f>
        <v>-4.0000000000873113E-3</v>
      </c>
      <c r="N135" s="382"/>
      <c r="O135" s="382"/>
    </row>
    <row r="136" spans="1:15" ht="27.75">
      <c r="A136" s="1144" t="s">
        <v>245</v>
      </c>
      <c r="B136" s="1145"/>
      <c r="C136" s="1145"/>
      <c r="D136" s="523" t="s">
        <v>239</v>
      </c>
      <c r="E136" s="484">
        <f>'19'!F136</f>
        <v>22672</v>
      </c>
      <c r="F136" s="541">
        <v>22677.38</v>
      </c>
      <c r="G136" s="1340">
        <f t="shared" si="14"/>
        <v>5.3800000000010186</v>
      </c>
      <c r="H136" s="460">
        <f>G136+'19'!H136</f>
        <v>188.72999999999956</v>
      </c>
      <c r="I136" s="480">
        <f>G134+G135+G136</f>
        <v>29.380000000001019</v>
      </c>
      <c r="J136" s="552">
        <f>H136/DAY(B2)</f>
        <v>9.4364999999999775</v>
      </c>
      <c r="N136" s="382"/>
      <c r="O136" s="382"/>
    </row>
    <row r="137" spans="1:15" ht="27.75">
      <c r="A137" s="1144" t="s">
        <v>246</v>
      </c>
      <c r="B137" s="1145"/>
      <c r="C137" s="1145"/>
      <c r="D137" s="523" t="s">
        <v>239</v>
      </c>
      <c r="E137" s="484">
        <f>'19'!F137</f>
        <v>25050</v>
      </c>
      <c r="F137" s="541">
        <v>25050</v>
      </c>
      <c r="G137" s="1340">
        <f t="shared" si="14"/>
        <v>0</v>
      </c>
      <c r="H137" s="460">
        <f>G137+'19'!H137</f>
        <v>1.2099999999991269</v>
      </c>
      <c r="I137" s="480"/>
      <c r="J137" s="552">
        <f>H137/DAY(B2)</f>
        <v>6.0499999999956346E-2</v>
      </c>
      <c r="N137" s="382"/>
      <c r="O137" s="382"/>
    </row>
    <row r="138" spans="1:15" ht="27.75">
      <c r="A138" s="1144" t="s">
        <v>247</v>
      </c>
      <c r="B138" s="1145"/>
      <c r="C138" s="1145"/>
      <c r="D138" s="523" t="s">
        <v>239</v>
      </c>
      <c r="E138" s="484">
        <f>'19'!F138</f>
        <v>70286.720000000001</v>
      </c>
      <c r="F138" s="541">
        <v>70291.039999999994</v>
      </c>
      <c r="G138" s="1340">
        <f t="shared" si="14"/>
        <v>4.319999999992433</v>
      </c>
      <c r="H138" s="460">
        <f>G138+'19'!H138</f>
        <v>37.009999999994761</v>
      </c>
      <c r="I138" s="480">
        <f>G137+G138</f>
        <v>4.319999999992433</v>
      </c>
      <c r="J138" s="552">
        <f>H138/DAY(B2)</f>
        <v>1.850499999999738</v>
      </c>
      <c r="N138" s="382"/>
      <c r="O138" s="382"/>
    </row>
    <row r="139" spans="1:15" ht="27.75">
      <c r="A139" s="1144" t="s">
        <v>248</v>
      </c>
      <c r="B139" s="1145"/>
      <c r="C139" s="1145"/>
      <c r="D139" s="523" t="s">
        <v>239</v>
      </c>
      <c r="E139" s="484">
        <f>'19'!F139</f>
        <v>1536.52</v>
      </c>
      <c r="F139" s="484">
        <v>1536.52</v>
      </c>
      <c r="G139" s="1340">
        <f t="shared" si="14"/>
        <v>0</v>
      </c>
      <c r="H139" s="460">
        <f>G139+'19'!H139</f>
        <v>0</v>
      </c>
      <c r="I139" s="542"/>
      <c r="J139" s="552">
        <f>H139/DAY(B2)</f>
        <v>0</v>
      </c>
      <c r="N139" s="382"/>
      <c r="O139" s="382"/>
    </row>
    <row r="140" spans="1:15" ht="27.75">
      <c r="A140" s="1144" t="s">
        <v>249</v>
      </c>
      <c r="B140" s="1145"/>
      <c r="C140" s="1145"/>
      <c r="D140" s="523" t="s">
        <v>239</v>
      </c>
      <c r="E140" s="484">
        <f>'19'!F140</f>
        <v>4624.26</v>
      </c>
      <c r="F140" s="484">
        <v>4632.6000000000004</v>
      </c>
      <c r="G140" s="1340">
        <f t="shared" si="14"/>
        <v>8.3400000000001455</v>
      </c>
      <c r="H140" s="460">
        <f>G140+'19'!H140</f>
        <v>164.0600000000004</v>
      </c>
      <c r="I140" s="542"/>
      <c r="J140" s="552">
        <f>H140/DAY(B2)</f>
        <v>8.2030000000000207</v>
      </c>
      <c r="N140" s="382"/>
      <c r="O140" s="382"/>
    </row>
    <row r="141" spans="1:15">
      <c r="A141" s="1526" t="s">
        <v>250</v>
      </c>
      <c r="B141" s="1527"/>
      <c r="C141" s="1150"/>
      <c r="D141" s="472"/>
      <c r="E141" s="472"/>
      <c r="F141" s="472"/>
      <c r="G141" s="1343"/>
      <c r="H141" s="483"/>
      <c r="I141" s="483"/>
      <c r="J141" s="563"/>
      <c r="K141" s="380"/>
      <c r="L141" s="377"/>
      <c r="N141" s="382"/>
      <c r="O141" s="382"/>
    </row>
    <row r="142" spans="1:15" ht="27.75">
      <c r="A142" s="1520" t="s">
        <v>251</v>
      </c>
      <c r="B142" s="1521"/>
      <c r="C142" s="1522"/>
      <c r="D142" s="523" t="s">
        <v>132</v>
      </c>
      <c r="E142" s="523"/>
      <c r="F142" s="523"/>
      <c r="G142" s="1353">
        <f>G35+G43+G49+G57</f>
        <v>5094.1300000000047</v>
      </c>
      <c r="H142" s="460">
        <f>G142+'19'!H142</f>
        <v>107916.13</v>
      </c>
      <c r="I142" s="480"/>
      <c r="J142" s="552">
        <f>H142/DAY(B2)</f>
        <v>5395.8065000000006</v>
      </c>
      <c r="K142" s="380"/>
      <c r="L142" s="377"/>
      <c r="N142" s="382"/>
      <c r="O142" s="382"/>
    </row>
    <row r="143" spans="1:15" ht="27.75">
      <c r="A143" s="1520" t="s">
        <v>252</v>
      </c>
      <c r="B143" s="1521"/>
      <c r="C143" s="1522"/>
      <c r="D143" s="523" t="s">
        <v>24</v>
      </c>
      <c r="E143" s="511"/>
      <c r="F143" s="511"/>
      <c r="G143" s="1363">
        <f>G142/G7</f>
        <v>0.25268501984127006</v>
      </c>
      <c r="H143" s="460">
        <f>G143+'19'!H143</f>
        <v>5.1220826920161748</v>
      </c>
      <c r="I143" s="544"/>
      <c r="J143" s="552">
        <f>H143/DAY(B2)</f>
        <v>0.25610413460080872</v>
      </c>
      <c r="K143" s="380"/>
      <c r="L143" s="377"/>
      <c r="N143" s="382"/>
      <c r="O143" s="382"/>
    </row>
    <row r="144" spans="1:15" ht="27.75">
      <c r="A144" s="1520" t="s">
        <v>253</v>
      </c>
      <c r="B144" s="1521"/>
      <c r="C144" s="1522"/>
      <c r="D144" s="523" t="s">
        <v>132</v>
      </c>
      <c r="E144" s="455"/>
      <c r="F144" s="455"/>
      <c r="G144" s="1353">
        <f>G41+G42+G55+G56</f>
        <v>5991</v>
      </c>
      <c r="H144" s="460">
        <f>G144+'19'!H144</f>
        <v>121454.84</v>
      </c>
      <c r="I144" s="480"/>
      <c r="J144" s="552">
        <f>H144/DAY(B2)</f>
        <v>6072.7420000000002</v>
      </c>
      <c r="K144" s="380"/>
      <c r="L144" s="377"/>
      <c r="N144" s="382"/>
      <c r="O144" s="382"/>
    </row>
    <row r="145" spans="1:15" ht="27.75">
      <c r="A145" s="1520" t="s">
        <v>254</v>
      </c>
      <c r="B145" s="1521"/>
      <c r="C145" s="1522"/>
      <c r="D145" s="523" t="s">
        <v>24</v>
      </c>
      <c r="E145" s="455"/>
      <c r="F145" s="455"/>
      <c r="G145" s="1363">
        <f>G144/G7</f>
        <v>0.29717261904761905</v>
      </c>
      <c r="H145" s="460">
        <f>G145+'19'!H145</f>
        <v>5.7766845475963251</v>
      </c>
      <c r="I145" s="544"/>
      <c r="J145" s="552">
        <f>H145/DAY(B2)</f>
        <v>0.28883422737981623</v>
      </c>
      <c r="K145" s="380"/>
      <c r="L145" s="377"/>
      <c r="N145" s="382"/>
      <c r="O145" s="382"/>
    </row>
    <row r="146" spans="1:15" ht="27.75">
      <c r="A146" s="1520" t="s">
        <v>255</v>
      </c>
      <c r="B146" s="1521"/>
      <c r="C146" s="1522"/>
      <c r="D146" s="523" t="s">
        <v>132</v>
      </c>
      <c r="E146" s="455"/>
      <c r="F146" s="455"/>
      <c r="G146" s="1353">
        <f>G39+G53</f>
        <v>3410</v>
      </c>
      <c r="H146" s="460">
        <f>G146+'19'!H146</f>
        <v>73566</v>
      </c>
      <c r="I146" s="545"/>
      <c r="J146" s="552">
        <f>H146/DAY(B2)</f>
        <v>3678.3</v>
      </c>
      <c r="K146" s="380"/>
      <c r="L146" s="377"/>
      <c r="N146" s="382"/>
      <c r="O146" s="382"/>
    </row>
    <row r="147" spans="1:15" ht="27.75">
      <c r="A147" s="1520" t="s">
        <v>256</v>
      </c>
      <c r="B147" s="1521"/>
      <c r="C147" s="1522"/>
      <c r="D147" s="523" t="s">
        <v>24</v>
      </c>
      <c r="E147" s="455"/>
      <c r="F147" s="455"/>
      <c r="G147" s="1363">
        <f>G146/G7</f>
        <v>0.16914682539682541</v>
      </c>
      <c r="H147" s="460">
        <f>G147+'19'!H147</f>
        <v>3.4865351935858295</v>
      </c>
      <c r="I147" s="545"/>
      <c r="J147" s="552">
        <f>H147/DAY(B2)</f>
        <v>0.17432675967929148</v>
      </c>
      <c r="N147" s="382"/>
      <c r="O147" s="382"/>
    </row>
    <row r="148" spans="1:15" ht="27.75">
      <c r="A148" s="1520" t="s">
        <v>257</v>
      </c>
      <c r="B148" s="1521"/>
      <c r="C148" s="1522"/>
      <c r="D148" s="523" t="s">
        <v>183</v>
      </c>
      <c r="E148" s="455"/>
      <c r="F148" s="455"/>
      <c r="G148" s="1353">
        <f>G38+G52</f>
        <v>1488</v>
      </c>
      <c r="H148" s="460">
        <f>G148+'19'!H148</f>
        <v>33210</v>
      </c>
      <c r="I148" s="480"/>
      <c r="J148" s="552">
        <f>H148/DAY(B2)</f>
        <v>1660.5</v>
      </c>
      <c r="K148" s="381"/>
      <c r="N148" s="382"/>
      <c r="O148" s="382"/>
    </row>
    <row r="149" spans="1:15" ht="27.75">
      <c r="A149" s="1520" t="s">
        <v>258</v>
      </c>
      <c r="B149" s="1521"/>
      <c r="C149" s="1522"/>
      <c r="D149" s="523" t="s">
        <v>24</v>
      </c>
      <c r="E149" s="455"/>
      <c r="F149" s="455"/>
      <c r="G149" s="1363">
        <f>G148/G7</f>
        <v>7.3809523809523811E-2</v>
      </c>
      <c r="H149" s="460">
        <f>G149+'19'!H149</f>
        <v>1.5793898144237248</v>
      </c>
      <c r="I149" s="545"/>
      <c r="J149" s="552">
        <f>H149/DAY(B2)</f>
        <v>7.8969490721186239E-2</v>
      </c>
      <c r="N149" s="382"/>
      <c r="O149" s="382"/>
    </row>
    <row r="150" spans="1:15" ht="27.75">
      <c r="A150" s="1520" t="s">
        <v>259</v>
      </c>
      <c r="B150" s="1521"/>
      <c r="C150" s="1522"/>
      <c r="D150" s="523" t="s">
        <v>183</v>
      </c>
      <c r="E150" s="455"/>
      <c r="F150" s="455"/>
      <c r="G150" s="1353">
        <f>G36+G50</f>
        <v>2207</v>
      </c>
      <c r="H150" s="460">
        <f>G150+'19'!H150</f>
        <v>41764</v>
      </c>
      <c r="I150" s="545"/>
      <c r="J150" s="552">
        <f>H150/DAY(B2)</f>
        <v>2088.1999999999998</v>
      </c>
      <c r="N150" s="382"/>
      <c r="O150" s="382"/>
    </row>
    <row r="151" spans="1:15" ht="27.75">
      <c r="A151" s="1520" t="s">
        <v>260</v>
      </c>
      <c r="B151" s="1521"/>
      <c r="C151" s="1522"/>
      <c r="D151" s="523" t="s">
        <v>24</v>
      </c>
      <c r="E151" s="455"/>
      <c r="F151" s="455"/>
      <c r="G151" s="1363">
        <f>G150/G7</f>
        <v>0.10947420634920635</v>
      </c>
      <c r="H151" s="460">
        <f>G151+'19'!H151</f>
        <v>1.9887311022463159</v>
      </c>
      <c r="I151" s="480"/>
      <c r="J151" s="552">
        <f>H151/DAY(B2)</f>
        <v>9.9436555112315791E-2</v>
      </c>
      <c r="N151" s="382"/>
      <c r="O151" s="382"/>
    </row>
    <row r="152" spans="1:15" ht="27.75">
      <c r="A152" s="1520" t="s">
        <v>261</v>
      </c>
      <c r="B152" s="1521"/>
      <c r="C152" s="1522"/>
      <c r="D152" s="523" t="s">
        <v>183</v>
      </c>
      <c r="E152" s="455"/>
      <c r="F152" s="455"/>
      <c r="G152" s="1353">
        <f>G37+G51</f>
        <v>1368</v>
      </c>
      <c r="H152" s="460">
        <f>G152+'19'!H152</f>
        <v>27399</v>
      </c>
      <c r="I152" s="480"/>
      <c r="J152" s="552">
        <f>H152/DAY(B2)</f>
        <v>1369.95</v>
      </c>
      <c r="L152" s="376" t="s">
        <v>274</v>
      </c>
      <c r="M152" s="376">
        <v>0.5</v>
      </c>
      <c r="N152" s="382">
        <v>50</v>
      </c>
      <c r="O152" s="382"/>
    </row>
    <row r="153" spans="1:15" ht="28.5" thickBot="1">
      <c r="A153" s="1523" t="s">
        <v>262</v>
      </c>
      <c r="B153" s="1524"/>
      <c r="C153" s="1525"/>
      <c r="D153" s="625" t="s">
        <v>24</v>
      </c>
      <c r="E153" s="565"/>
      <c r="F153" s="565"/>
      <c r="G153" s="1364">
        <f>G152/G7</f>
        <v>6.7857142857142852E-2</v>
      </c>
      <c r="H153" s="460">
        <f>G153+'19'!H153</f>
        <v>1.303710778226207</v>
      </c>
      <c r="I153" s="568"/>
      <c r="J153" s="569">
        <f>H153/DAY(B2)</f>
        <v>6.5185538911310348E-2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1365"/>
      <c r="H154" s="547"/>
      <c r="I154" s="546"/>
      <c r="J154" s="548"/>
      <c r="O154" s="382"/>
    </row>
    <row r="160" spans="1:15">
      <c r="A160" s="788" t="s">
        <v>263</v>
      </c>
      <c r="B160" s="789"/>
      <c r="C160" s="789"/>
      <c r="D160" s="511" t="s">
        <v>187</v>
      </c>
      <c r="E160" s="661">
        <f>'19'!F160</f>
        <v>35023</v>
      </c>
      <c r="F160" s="661">
        <v>35108</v>
      </c>
      <c r="G160" s="1340">
        <f t="shared" ref="G160:G163" si="15">F160-E160</f>
        <v>85</v>
      </c>
      <c r="K160" s="376">
        <v>70.399999999999636</v>
      </c>
      <c r="L160" s="376">
        <f t="shared" ref="L160:L171" si="16">G160-K160</f>
        <v>14.600000000000364</v>
      </c>
    </row>
    <row r="161" spans="1:12">
      <c r="A161" s="788" t="s">
        <v>264</v>
      </c>
      <c r="B161" s="789"/>
      <c r="C161" s="789"/>
      <c r="D161" s="511" t="s">
        <v>187</v>
      </c>
      <c r="E161" s="661">
        <f>'19'!F161</f>
        <v>77322</v>
      </c>
      <c r="F161" s="661">
        <v>77768</v>
      </c>
      <c r="G161" s="1340">
        <f t="shared" si="15"/>
        <v>446</v>
      </c>
      <c r="K161" s="376">
        <v>124.25999999999999</v>
      </c>
      <c r="L161" s="376">
        <f t="shared" si="16"/>
        <v>321.74</v>
      </c>
    </row>
    <row r="162" spans="1:12">
      <c r="A162" s="788" t="s">
        <v>265</v>
      </c>
      <c r="B162" s="789"/>
      <c r="C162" s="789"/>
      <c r="D162" s="511" t="s">
        <v>187</v>
      </c>
      <c r="E162" s="661">
        <f>'19'!F162</f>
        <v>34583</v>
      </c>
      <c r="F162" s="661">
        <v>34855</v>
      </c>
      <c r="G162" s="1340">
        <f t="shared" si="15"/>
        <v>272</v>
      </c>
      <c r="K162" s="376">
        <v>138.98000000000002</v>
      </c>
      <c r="L162" s="376">
        <f t="shared" si="16"/>
        <v>133.01999999999998</v>
      </c>
    </row>
    <row r="163" spans="1:12">
      <c r="A163" s="788" t="s">
        <v>266</v>
      </c>
      <c r="B163" s="789"/>
      <c r="C163" s="789"/>
      <c r="D163" s="511" t="s">
        <v>187</v>
      </c>
      <c r="E163" s="661">
        <f>'19'!F163</f>
        <v>6027</v>
      </c>
      <c r="F163" s="661">
        <v>6046</v>
      </c>
      <c r="G163" s="1340">
        <f t="shared" si="15"/>
        <v>19</v>
      </c>
      <c r="K163" s="376">
        <v>45.830000000000041</v>
      </c>
      <c r="L163" s="376">
        <f t="shared" si="16"/>
        <v>-26.830000000000041</v>
      </c>
    </row>
    <row r="164" spans="1:12">
      <c r="A164" s="790" t="s">
        <v>98</v>
      </c>
      <c r="B164" s="604"/>
      <c r="C164" s="604"/>
      <c r="D164" s="511" t="s">
        <v>187</v>
      </c>
      <c r="E164" s="514">
        <f>E62</f>
        <v>20419.2</v>
      </c>
      <c r="F164" s="514">
        <f>F62</f>
        <v>20419.2</v>
      </c>
      <c r="G164" s="1340">
        <f t="shared" ref="G164:G171" si="17">F164-E164</f>
        <v>0</v>
      </c>
      <c r="K164" s="376">
        <v>-0.18000000000029104</v>
      </c>
      <c r="L164" s="376">
        <f t="shared" si="16"/>
        <v>0.18000000000029104</v>
      </c>
    </row>
    <row r="165" spans="1:12">
      <c r="A165" s="790" t="s">
        <v>188</v>
      </c>
      <c r="B165" s="604"/>
      <c r="C165" s="604"/>
      <c r="D165" s="511" t="s">
        <v>187</v>
      </c>
      <c r="E165" s="514">
        <f t="shared" ref="E165:E171" si="18">E63</f>
        <v>2302</v>
      </c>
      <c r="F165" s="514">
        <f t="shared" ref="F165:F171" si="19">F63</f>
        <v>2308</v>
      </c>
      <c r="G165" s="1340">
        <f t="shared" si="17"/>
        <v>6</v>
      </c>
      <c r="K165" s="376">
        <v>0</v>
      </c>
      <c r="L165" s="376">
        <f t="shared" si="16"/>
        <v>6</v>
      </c>
    </row>
    <row r="166" spans="1:12" ht="27.75">
      <c r="A166" s="1495" t="s">
        <v>99</v>
      </c>
      <c r="B166" s="1495"/>
      <c r="C166" s="1495"/>
      <c r="D166" s="523" t="s">
        <v>187</v>
      </c>
      <c r="E166" s="514">
        <f t="shared" si="18"/>
        <v>148284</v>
      </c>
      <c r="F166" s="514">
        <f t="shared" si="19"/>
        <v>148801</v>
      </c>
      <c r="G166" s="1340">
        <f t="shared" si="17"/>
        <v>517</v>
      </c>
      <c r="K166" s="376">
        <v>193.55000000000291</v>
      </c>
      <c r="L166" s="376">
        <f t="shared" si="16"/>
        <v>323.44999999999709</v>
      </c>
    </row>
    <row r="167" spans="1:12" ht="27.75">
      <c r="A167" s="1495" t="s">
        <v>100</v>
      </c>
      <c r="B167" s="1495"/>
      <c r="C167" s="1495"/>
      <c r="D167" s="523" t="s">
        <v>187</v>
      </c>
      <c r="E167" s="514">
        <f t="shared" si="18"/>
        <v>151060</v>
      </c>
      <c r="F167" s="514">
        <f t="shared" si="19"/>
        <v>151419</v>
      </c>
      <c r="G167" s="1340">
        <f t="shared" si="17"/>
        <v>359</v>
      </c>
      <c r="K167" s="376">
        <v>168.39999999999418</v>
      </c>
      <c r="L167" s="376">
        <f t="shared" si="16"/>
        <v>190.60000000000582</v>
      </c>
    </row>
    <row r="168" spans="1:12" ht="27.75">
      <c r="A168" s="1495" t="s">
        <v>101</v>
      </c>
      <c r="B168" s="1495"/>
      <c r="C168" s="1495"/>
      <c r="D168" s="523" t="s">
        <v>187</v>
      </c>
      <c r="E168" s="514">
        <f t="shared" si="18"/>
        <v>44599</v>
      </c>
      <c r="F168" s="514">
        <f t="shared" si="19"/>
        <v>44994</v>
      </c>
      <c r="G168" s="1340">
        <f t="shared" si="17"/>
        <v>395</v>
      </c>
      <c r="K168" s="376">
        <v>221.18999999999505</v>
      </c>
      <c r="L168" s="376">
        <f t="shared" si="16"/>
        <v>173.81000000000495</v>
      </c>
    </row>
    <row r="169" spans="1:12" ht="27.75">
      <c r="A169" s="1495" t="s">
        <v>102</v>
      </c>
      <c r="B169" s="1495"/>
      <c r="C169" s="1495"/>
      <c r="D169" s="523" t="s">
        <v>187</v>
      </c>
      <c r="E169" s="514">
        <f t="shared" si="18"/>
        <v>239138</v>
      </c>
      <c r="F169" s="514">
        <f t="shared" si="19"/>
        <v>239527</v>
      </c>
      <c r="G169" s="1340">
        <f t="shared" si="17"/>
        <v>389</v>
      </c>
      <c r="K169" s="376">
        <v>337.19000000000233</v>
      </c>
      <c r="L169" s="376">
        <f t="shared" si="16"/>
        <v>51.809999999997672</v>
      </c>
    </row>
    <row r="170" spans="1:12" ht="27.75">
      <c r="A170" s="1495" t="s">
        <v>103</v>
      </c>
      <c r="B170" s="1495"/>
      <c r="C170" s="1495"/>
      <c r="D170" s="523" t="s">
        <v>187</v>
      </c>
      <c r="E170" s="514">
        <f t="shared" si="18"/>
        <v>85321</v>
      </c>
      <c r="F170" s="514">
        <f t="shared" si="19"/>
        <v>85321</v>
      </c>
      <c r="G170" s="1340">
        <f t="shared" si="17"/>
        <v>0</v>
      </c>
      <c r="K170" s="376">
        <v>115.09000000000015</v>
      </c>
      <c r="L170" s="376">
        <f t="shared" si="16"/>
        <v>-115.09000000000015</v>
      </c>
    </row>
    <row r="171" spans="1:12" ht="27.75">
      <c r="A171" s="1495" t="s">
        <v>104</v>
      </c>
      <c r="B171" s="1495"/>
      <c r="C171" s="1495"/>
      <c r="D171" s="523" t="s">
        <v>187</v>
      </c>
      <c r="E171" s="514">
        <f t="shared" si="18"/>
        <v>78244</v>
      </c>
      <c r="F171" s="514">
        <f t="shared" si="19"/>
        <v>78291</v>
      </c>
      <c r="G171" s="1340">
        <f t="shared" si="17"/>
        <v>47</v>
      </c>
      <c r="K171" s="376">
        <v>11.799999999999272</v>
      </c>
      <c r="L171" s="376">
        <f t="shared" si="16"/>
        <v>35.200000000000728</v>
      </c>
    </row>
    <row r="172" spans="1:12" ht="24.75" customHeight="1">
      <c r="G172" s="1366">
        <f>SUM(G160:G171)</f>
        <v>2535</v>
      </c>
      <c r="L172" s="376">
        <f>SUM(L160:L171)</f>
        <v>1108.4900000000066</v>
      </c>
    </row>
    <row r="173" spans="1:12" ht="24.75" customHeight="1">
      <c r="A173" s="1495" t="s">
        <v>360</v>
      </c>
      <c r="B173" s="1495"/>
      <c r="C173" s="1495"/>
      <c r="D173" s="523" t="s">
        <v>187</v>
      </c>
      <c r="E173" s="514">
        <v>27873</v>
      </c>
      <c r="F173" s="514">
        <v>27879</v>
      </c>
      <c r="G173" s="473">
        <f t="shared" ref="G173" si="20">F173-E173</f>
        <v>6</v>
      </c>
    </row>
    <row r="174" spans="1:12" ht="24.75" customHeight="1"/>
    <row r="175" spans="1:12" ht="24.75" customHeight="1"/>
    <row r="176" spans="1:12" ht="24.75" customHeight="1"/>
    <row r="301" spans="6:6">
      <c r="F301" s="537" t="s">
        <v>268</v>
      </c>
    </row>
    <row r="302" spans="6:6">
      <c r="F302" s="537">
        <v>0</v>
      </c>
    </row>
    <row r="303" spans="6:6">
      <c r="F303" s="537">
        <v>0</v>
      </c>
    </row>
    <row r="304" spans="6:6">
      <c r="F304" s="537">
        <v>0</v>
      </c>
    </row>
    <row r="305" spans="6:6">
      <c r="F305" s="537">
        <v>0</v>
      </c>
    </row>
    <row r="306" spans="6:6">
      <c r="F306" s="537">
        <v>0</v>
      </c>
    </row>
    <row r="307" spans="6:6">
      <c r="F307" s="537">
        <v>0</v>
      </c>
    </row>
    <row r="308" spans="6:6">
      <c r="F308" s="537">
        <v>0</v>
      </c>
    </row>
    <row r="309" spans="6:6">
      <c r="F309" s="537">
        <v>0</v>
      </c>
    </row>
    <row r="310" spans="6:6">
      <c r="F310" s="537">
        <v>0</v>
      </c>
    </row>
    <row r="311" spans="6:6">
      <c r="F311" s="537">
        <v>0</v>
      </c>
    </row>
    <row r="312" spans="6:6">
      <c r="F312" s="537">
        <v>0</v>
      </c>
    </row>
    <row r="313" spans="6:6">
      <c r="F313" s="537">
        <v>0</v>
      </c>
    </row>
    <row r="314" spans="6:6">
      <c r="F314" s="537">
        <v>0</v>
      </c>
    </row>
    <row r="315" spans="6:6">
      <c r="F315" s="537">
        <v>0</v>
      </c>
    </row>
    <row r="316" spans="6:6">
      <c r="F316" s="537">
        <v>0</v>
      </c>
    </row>
    <row r="317" spans="6:6">
      <c r="F317" s="537">
        <v>0</v>
      </c>
    </row>
    <row r="318" spans="6:6">
      <c r="F318" s="537">
        <v>0</v>
      </c>
    </row>
    <row r="319" spans="6:6">
      <c r="F319" s="537">
        <v>0</v>
      </c>
    </row>
    <row r="320" spans="6:6">
      <c r="F320" s="537">
        <v>0</v>
      </c>
    </row>
    <row r="321" spans="6:6">
      <c r="F321" s="537">
        <v>0</v>
      </c>
    </row>
    <row r="322" spans="6:6">
      <c r="F322" s="537">
        <v>0</v>
      </c>
    </row>
    <row r="323" spans="6:6">
      <c r="F323" s="537">
        <v>0</v>
      </c>
    </row>
    <row r="324" spans="6:6">
      <c r="F324" s="537">
        <v>0</v>
      </c>
    </row>
    <row r="325" spans="6:6">
      <c r="F325" s="537">
        <v>0</v>
      </c>
    </row>
    <row r="326" spans="6:6">
      <c r="F326" s="537">
        <v>0</v>
      </c>
    </row>
    <row r="327" spans="6:6">
      <c r="F327" s="537">
        <v>0</v>
      </c>
    </row>
    <row r="328" spans="6:6">
      <c r="F328" s="537">
        <v>0</v>
      </c>
    </row>
    <row r="329" spans="6:6">
      <c r="F329" s="537">
        <v>0</v>
      </c>
    </row>
    <row r="330" spans="6:6">
      <c r="F330" s="537">
        <v>0</v>
      </c>
    </row>
    <row r="331" spans="6:6">
      <c r="F331" s="537">
        <v>0</v>
      </c>
    </row>
    <row r="332" spans="6:6">
      <c r="F332" s="537">
        <v>0</v>
      </c>
    </row>
    <row r="333" spans="6:6">
      <c r="F333" s="537">
        <v>0</v>
      </c>
    </row>
    <row r="334" spans="6:6">
      <c r="F334" s="537">
        <v>0</v>
      </c>
    </row>
    <row r="335" spans="6:6">
      <c r="F335" s="537">
        <v>0</v>
      </c>
    </row>
    <row r="336" spans="6:6">
      <c r="F336" s="537">
        <v>0</v>
      </c>
    </row>
    <row r="337" spans="6:6">
      <c r="F337" s="537">
        <v>0</v>
      </c>
    </row>
    <row r="338" spans="6:6">
      <c r="F338" s="537">
        <v>0</v>
      </c>
    </row>
    <row r="339" spans="6:6">
      <c r="F339" s="537">
        <v>0</v>
      </c>
    </row>
    <row r="340" spans="6:6">
      <c r="F340" s="537">
        <v>0</v>
      </c>
    </row>
    <row r="341" spans="6:6">
      <c r="F341" s="537">
        <v>0</v>
      </c>
    </row>
    <row r="342" spans="6:6">
      <c r="F342" s="537">
        <v>0</v>
      </c>
    </row>
    <row r="343" spans="6:6">
      <c r="F343" s="537">
        <v>0</v>
      </c>
    </row>
    <row r="344" spans="6:6">
      <c r="F344" s="537">
        <v>0</v>
      </c>
    </row>
    <row r="345" spans="6:6">
      <c r="F345" s="537">
        <v>0</v>
      </c>
    </row>
    <row r="346" spans="6:6">
      <c r="F346" s="537">
        <v>0</v>
      </c>
    </row>
    <row r="347" spans="6:6">
      <c r="F347" s="537">
        <v>0</v>
      </c>
    </row>
    <row r="348" spans="6:6">
      <c r="F348" s="537">
        <v>0</v>
      </c>
    </row>
    <row r="349" spans="6:6">
      <c r="F349" s="537">
        <v>0</v>
      </c>
    </row>
    <row r="350" spans="6:6">
      <c r="F350" s="537">
        <v>0</v>
      </c>
    </row>
    <row r="351" spans="6:6">
      <c r="F351" s="537">
        <v>0</v>
      </c>
    </row>
    <row r="352" spans="6:6">
      <c r="F352" s="537">
        <v>0</v>
      </c>
    </row>
    <row r="353" spans="6:6">
      <c r="F353" s="537">
        <v>0</v>
      </c>
    </row>
    <row r="354" spans="6:6">
      <c r="F354" s="537">
        <v>0</v>
      </c>
    </row>
    <row r="355" spans="6:6">
      <c r="F355" s="537">
        <v>0</v>
      </c>
    </row>
    <row r="356" spans="6:6">
      <c r="F356" s="537">
        <v>0</v>
      </c>
    </row>
    <row r="357" spans="6:6">
      <c r="F357" s="537">
        <v>0</v>
      </c>
    </row>
    <row r="358" spans="6:6">
      <c r="F358" s="537">
        <v>0</v>
      </c>
    </row>
    <row r="359" spans="6:6">
      <c r="F359" s="537">
        <v>0</v>
      </c>
    </row>
    <row r="360" spans="6:6">
      <c r="F360" s="537">
        <v>0</v>
      </c>
    </row>
    <row r="361" spans="6:6">
      <c r="F361" s="537">
        <v>0</v>
      </c>
    </row>
    <row r="362" spans="6:6">
      <c r="F362" s="537">
        <v>0</v>
      </c>
    </row>
    <row r="363" spans="6:6">
      <c r="F363" s="537">
        <v>0</v>
      </c>
    </row>
    <row r="364" spans="6:6">
      <c r="F364" s="537">
        <v>0</v>
      </c>
    </row>
    <row r="365" spans="6:6">
      <c r="F365" s="537">
        <v>0</v>
      </c>
    </row>
    <row r="366" spans="6:6">
      <c r="F366" s="537">
        <v>0</v>
      </c>
    </row>
    <row r="367" spans="6:6">
      <c r="F367" s="537">
        <v>0</v>
      </c>
    </row>
    <row r="368" spans="6:6">
      <c r="F368" s="537">
        <v>0</v>
      </c>
    </row>
    <row r="369" spans="6:6">
      <c r="F369" s="537">
        <v>0</v>
      </c>
    </row>
    <row r="370" spans="6:6">
      <c r="F370" s="537">
        <v>0</v>
      </c>
    </row>
    <row r="371" spans="6:6">
      <c r="F371" s="537">
        <v>0</v>
      </c>
    </row>
    <row r="372" spans="6:6">
      <c r="F372" s="537">
        <v>0</v>
      </c>
    </row>
    <row r="373" spans="6:6">
      <c r="F373" s="537">
        <v>0</v>
      </c>
    </row>
    <row r="374" spans="6:6">
      <c r="F374" s="537">
        <v>0</v>
      </c>
    </row>
    <row r="375" spans="6:6">
      <c r="F375" s="537">
        <v>0</v>
      </c>
    </row>
    <row r="376" spans="6:6">
      <c r="F376" s="537">
        <v>0</v>
      </c>
    </row>
    <row r="377" spans="6:6">
      <c r="F377" s="537">
        <v>0</v>
      </c>
    </row>
    <row r="378" spans="6:6">
      <c r="F378" s="537">
        <v>0</v>
      </c>
    </row>
    <row r="379" spans="6:6">
      <c r="F379" s="537">
        <v>0</v>
      </c>
    </row>
    <row r="380" spans="6:6">
      <c r="F380" s="537">
        <v>0</v>
      </c>
    </row>
    <row r="381" spans="6:6">
      <c r="F381" s="537">
        <v>0</v>
      </c>
    </row>
    <row r="382" spans="6:6">
      <c r="F382" s="537">
        <v>0</v>
      </c>
    </row>
    <row r="383" spans="6:6">
      <c r="F383" s="537">
        <v>0</v>
      </c>
    </row>
    <row r="384" spans="6:6">
      <c r="F384" s="537">
        <v>0</v>
      </c>
    </row>
    <row r="385" spans="6:6">
      <c r="F385" s="537">
        <v>0</v>
      </c>
    </row>
    <row r="386" spans="6:6">
      <c r="F386" s="537">
        <v>0</v>
      </c>
    </row>
    <row r="387" spans="6:6">
      <c r="F387" s="537">
        <v>0</v>
      </c>
    </row>
    <row r="388" spans="6:6">
      <c r="F388" s="537">
        <v>0</v>
      </c>
    </row>
    <row r="389" spans="6:6">
      <c r="F389" s="537">
        <v>0</v>
      </c>
    </row>
    <row r="390" spans="6:6">
      <c r="F390" s="537">
        <v>0</v>
      </c>
    </row>
    <row r="391" spans="6:6">
      <c r="F391" s="537">
        <v>0</v>
      </c>
    </row>
    <row r="392" spans="6:6">
      <c r="F392" s="537">
        <v>0</v>
      </c>
    </row>
    <row r="393" spans="6:6">
      <c r="F393" s="537">
        <v>0</v>
      </c>
    </row>
    <row r="394" spans="6:6">
      <c r="F394" s="537">
        <v>0</v>
      </c>
    </row>
    <row r="395" spans="6:6">
      <c r="F395" s="537">
        <v>0</v>
      </c>
    </row>
    <row r="396" spans="6:6">
      <c r="F396" s="537">
        <v>0</v>
      </c>
    </row>
    <row r="397" spans="6:6">
      <c r="F397" s="537">
        <v>0</v>
      </c>
    </row>
    <row r="398" spans="6:6">
      <c r="F398" s="537">
        <v>0</v>
      </c>
    </row>
    <row r="399" spans="6:6">
      <c r="F399" s="537">
        <v>0</v>
      </c>
    </row>
    <row r="400" spans="6:6">
      <c r="F400" s="537">
        <v>0</v>
      </c>
    </row>
    <row r="401" spans="6:6">
      <c r="F401" s="537">
        <v>0</v>
      </c>
    </row>
    <row r="402" spans="6:6">
      <c r="F402" s="537">
        <v>0</v>
      </c>
    </row>
    <row r="403" spans="6:6">
      <c r="F403" s="537">
        <v>0</v>
      </c>
    </row>
    <row r="404" spans="6:6">
      <c r="F404" s="537">
        <v>0</v>
      </c>
    </row>
    <row r="405" spans="6:6">
      <c r="F405" s="537">
        <v>0</v>
      </c>
    </row>
    <row r="406" spans="6:6">
      <c r="F406" s="537">
        <v>0</v>
      </c>
    </row>
    <row r="407" spans="6:6">
      <c r="F407" s="537">
        <v>0</v>
      </c>
    </row>
    <row r="408" spans="6:6">
      <c r="F408" s="537">
        <v>0</v>
      </c>
    </row>
    <row r="409" spans="6:6">
      <c r="F409" s="537">
        <v>0</v>
      </c>
    </row>
    <row r="410" spans="6:6">
      <c r="F410" s="537">
        <v>0</v>
      </c>
    </row>
    <row r="411" spans="6:6">
      <c r="F411" s="537">
        <v>0</v>
      </c>
    </row>
    <row r="412" spans="6:6">
      <c r="F412" s="537">
        <v>0</v>
      </c>
    </row>
    <row r="413" spans="6:6">
      <c r="F413" s="537">
        <v>0</v>
      </c>
    </row>
    <row r="414" spans="6:6">
      <c r="F414" s="537">
        <v>0</v>
      </c>
    </row>
    <row r="415" spans="6:6">
      <c r="F415" s="537">
        <v>0</v>
      </c>
    </row>
    <row r="416" spans="6:6">
      <c r="F416" s="537">
        <v>0</v>
      </c>
    </row>
    <row r="417" spans="6:6">
      <c r="F417" s="537">
        <v>0</v>
      </c>
    </row>
    <row r="418" spans="6:6">
      <c r="F418" s="537">
        <v>0</v>
      </c>
    </row>
    <row r="419" spans="6:6">
      <c r="F419" s="537">
        <v>0</v>
      </c>
    </row>
    <row r="420" spans="6:6">
      <c r="F420" s="537">
        <v>0</v>
      </c>
    </row>
    <row r="421" spans="6:6">
      <c r="F421" s="537">
        <v>0</v>
      </c>
    </row>
    <row r="422" spans="6:6">
      <c r="F422" s="537">
        <v>0</v>
      </c>
    </row>
    <row r="423" spans="6:6">
      <c r="F423" s="537">
        <v>0</v>
      </c>
    </row>
    <row r="424" spans="6:6">
      <c r="F424" s="537">
        <v>0</v>
      </c>
    </row>
    <row r="425" spans="6:6">
      <c r="F425" s="537">
        <v>0</v>
      </c>
    </row>
    <row r="426" spans="6:6">
      <c r="F426" s="537">
        <v>0</v>
      </c>
    </row>
    <row r="427" spans="6:6">
      <c r="F427" s="537">
        <v>0</v>
      </c>
    </row>
    <row r="428" spans="6:6">
      <c r="F428" s="537">
        <v>0</v>
      </c>
    </row>
    <row r="429" spans="6:6">
      <c r="F429" s="537">
        <v>0</v>
      </c>
    </row>
    <row r="430" spans="6:6">
      <c r="F430" s="537">
        <v>0</v>
      </c>
    </row>
    <row r="431" spans="6:6">
      <c r="F431" s="537">
        <v>0</v>
      </c>
    </row>
    <row r="432" spans="6:6">
      <c r="F432" s="537">
        <v>0</v>
      </c>
    </row>
    <row r="433" spans="6:6">
      <c r="F433" s="537">
        <v>0</v>
      </c>
    </row>
    <row r="434" spans="6:6">
      <c r="F434" s="537">
        <v>0</v>
      </c>
    </row>
    <row r="435" spans="6:6">
      <c r="F435" s="537">
        <v>0</v>
      </c>
    </row>
    <row r="436" spans="6:6">
      <c r="F436" s="537">
        <v>0</v>
      </c>
    </row>
    <row r="437" spans="6:6">
      <c r="F437" s="537">
        <v>0</v>
      </c>
    </row>
    <row r="438" spans="6:6">
      <c r="F438" s="537">
        <v>0</v>
      </c>
    </row>
    <row r="439" spans="6:6">
      <c r="F439" s="537">
        <v>0</v>
      </c>
    </row>
    <row r="440" spans="6:6">
      <c r="F440" s="537">
        <v>0</v>
      </c>
    </row>
    <row r="441" spans="6:6">
      <c r="F441" s="537">
        <v>0</v>
      </c>
    </row>
    <row r="442" spans="6:6">
      <c r="F442" s="537">
        <v>0</v>
      </c>
    </row>
    <row r="443" spans="6:6">
      <c r="F443" s="537">
        <v>0</v>
      </c>
    </row>
    <row r="444" spans="6:6">
      <c r="F444" s="537">
        <v>0</v>
      </c>
    </row>
    <row r="445" spans="6:6">
      <c r="F445" s="537">
        <v>0</v>
      </c>
    </row>
    <row r="446" spans="6:6">
      <c r="F446" s="537">
        <v>0</v>
      </c>
    </row>
    <row r="447" spans="6:6">
      <c r="F447" s="537">
        <v>0</v>
      </c>
    </row>
    <row r="448" spans="6:6">
      <c r="F448" s="537">
        <v>0</v>
      </c>
    </row>
    <row r="449" spans="6:6">
      <c r="F449" s="537">
        <v>0</v>
      </c>
    </row>
    <row r="450" spans="6:6">
      <c r="F450" s="537">
        <v>0</v>
      </c>
    </row>
    <row r="451" spans="6:6">
      <c r="F451" s="537">
        <v>0</v>
      </c>
    </row>
    <row r="452" spans="6:6">
      <c r="F452" s="537">
        <v>0</v>
      </c>
    </row>
    <row r="453" spans="6:6">
      <c r="F453" s="537">
        <v>0</v>
      </c>
    </row>
    <row r="454" spans="6:6">
      <c r="F454" s="537">
        <v>0</v>
      </c>
    </row>
    <row r="455" spans="6:6">
      <c r="F455" s="537">
        <v>0</v>
      </c>
    </row>
    <row r="456" spans="6:6">
      <c r="F456" s="537">
        <v>0</v>
      </c>
    </row>
    <row r="457" spans="6:6">
      <c r="F457" s="537">
        <v>0</v>
      </c>
    </row>
    <row r="458" spans="6:6">
      <c r="F458" s="537">
        <v>0</v>
      </c>
    </row>
    <row r="459" spans="6:6">
      <c r="F459" s="537">
        <v>0</v>
      </c>
    </row>
    <row r="460" spans="6:6">
      <c r="F460" s="537">
        <v>0</v>
      </c>
    </row>
    <row r="461" spans="6:6">
      <c r="F461" s="537">
        <v>0</v>
      </c>
    </row>
    <row r="462" spans="6:6">
      <c r="F462" s="537">
        <v>0</v>
      </c>
    </row>
    <row r="463" spans="6:6">
      <c r="F463" s="537">
        <v>0</v>
      </c>
    </row>
    <row r="464" spans="6:6">
      <c r="F464" s="537">
        <v>0</v>
      </c>
    </row>
    <row r="465" spans="6:6">
      <c r="F465" s="537">
        <v>0</v>
      </c>
    </row>
    <row r="466" spans="6:6">
      <c r="F466" s="537">
        <v>0</v>
      </c>
    </row>
    <row r="467" spans="6:6">
      <c r="F467" s="537">
        <v>0</v>
      </c>
    </row>
    <row r="468" spans="6:6">
      <c r="F468" s="537">
        <v>0</v>
      </c>
    </row>
    <row r="469" spans="6:6">
      <c r="F469" s="537">
        <v>0</v>
      </c>
    </row>
    <row r="470" spans="6:6">
      <c r="F470" s="537">
        <v>0</v>
      </c>
    </row>
    <row r="471" spans="6:6">
      <c r="F471" s="537">
        <v>0</v>
      </c>
    </row>
    <row r="472" spans="6:6">
      <c r="F472" s="537">
        <v>0</v>
      </c>
    </row>
    <row r="473" spans="6:6">
      <c r="F473" s="537">
        <v>0</v>
      </c>
    </row>
    <row r="474" spans="6:6">
      <c r="F474" s="537">
        <v>0</v>
      </c>
    </row>
    <row r="475" spans="6:6">
      <c r="F475" s="537">
        <v>0</v>
      </c>
    </row>
    <row r="476" spans="6:6">
      <c r="F476" s="537">
        <v>0</v>
      </c>
    </row>
    <row r="477" spans="6:6">
      <c r="F477" s="537">
        <v>0</v>
      </c>
    </row>
    <row r="478" spans="6:6">
      <c r="F478" s="537">
        <v>0</v>
      </c>
    </row>
    <row r="479" spans="6:6">
      <c r="F479" s="537">
        <v>0</v>
      </c>
    </row>
    <row r="480" spans="6:6">
      <c r="F480" s="537">
        <v>0</v>
      </c>
    </row>
    <row r="481" spans="6:6">
      <c r="F481" s="537">
        <v>0</v>
      </c>
    </row>
    <row r="482" spans="6:6">
      <c r="F482" s="537">
        <v>0</v>
      </c>
    </row>
    <row r="483" spans="6:6">
      <c r="F483" s="537">
        <v>0</v>
      </c>
    </row>
    <row r="484" spans="6:6">
      <c r="F484" s="537">
        <v>0</v>
      </c>
    </row>
    <row r="485" spans="6:6">
      <c r="F485" s="537">
        <v>0</v>
      </c>
    </row>
    <row r="486" spans="6:6">
      <c r="F486" s="537">
        <v>0</v>
      </c>
    </row>
    <row r="487" spans="6:6">
      <c r="F487" s="537">
        <v>0</v>
      </c>
    </row>
    <row r="488" spans="6:6">
      <c r="F488" s="537">
        <v>0</v>
      </c>
    </row>
    <row r="489" spans="6:6">
      <c r="F489" s="537">
        <v>0</v>
      </c>
    </row>
    <row r="490" spans="6:6">
      <c r="F490" s="537">
        <v>0</v>
      </c>
    </row>
    <row r="491" spans="6:6">
      <c r="F491" s="537">
        <v>0</v>
      </c>
    </row>
    <row r="492" spans="6:6">
      <c r="F492" s="537">
        <v>0</v>
      </c>
    </row>
    <row r="493" spans="6:6">
      <c r="F493" s="537">
        <v>0</v>
      </c>
    </row>
    <row r="494" spans="6:6">
      <c r="F494" s="537">
        <v>0</v>
      </c>
    </row>
    <row r="495" spans="6:6">
      <c r="F495" s="537">
        <v>0</v>
      </c>
    </row>
    <row r="496" spans="6:6">
      <c r="F496" s="537">
        <v>0</v>
      </c>
    </row>
    <row r="497" spans="6:6">
      <c r="F497" s="537">
        <v>0</v>
      </c>
    </row>
    <row r="498" spans="6:6">
      <c r="F498" s="537">
        <v>0</v>
      </c>
    </row>
    <row r="499" spans="6:6">
      <c r="F499" s="537">
        <v>0</v>
      </c>
    </row>
    <row r="500" spans="6:6">
      <c r="F500" s="537">
        <v>0</v>
      </c>
    </row>
    <row r="501" spans="6:6">
      <c r="F501" s="537">
        <v>0</v>
      </c>
    </row>
    <row r="502" spans="6:6">
      <c r="F502" s="537">
        <v>0</v>
      </c>
    </row>
    <row r="503" spans="6:6">
      <c r="F503" s="537">
        <v>0</v>
      </c>
    </row>
    <row r="504" spans="6:6">
      <c r="F504" s="537">
        <v>0</v>
      </c>
    </row>
    <row r="505" spans="6:6">
      <c r="F505" s="537">
        <v>0</v>
      </c>
    </row>
    <row r="506" spans="6:6">
      <c r="F506" s="537">
        <v>0</v>
      </c>
    </row>
    <row r="507" spans="6:6">
      <c r="F507" s="537">
        <v>0</v>
      </c>
    </row>
    <row r="508" spans="6:6">
      <c r="F508" s="537">
        <v>0</v>
      </c>
    </row>
    <row r="509" spans="6:6">
      <c r="F509" s="537">
        <v>0</v>
      </c>
    </row>
    <row r="510" spans="6:6">
      <c r="F510" s="537">
        <v>0</v>
      </c>
    </row>
    <row r="511" spans="6:6">
      <c r="F511" s="537">
        <v>0</v>
      </c>
    </row>
    <row r="512" spans="6:6">
      <c r="F512" s="537">
        <v>0</v>
      </c>
    </row>
    <row r="513" spans="6:6">
      <c r="F513" s="537">
        <v>0</v>
      </c>
    </row>
    <row r="514" spans="6:6">
      <c r="F514" s="537">
        <v>0</v>
      </c>
    </row>
    <row r="515" spans="6:6">
      <c r="F515" s="537">
        <v>0</v>
      </c>
    </row>
    <row r="516" spans="6:6">
      <c r="F516" s="537">
        <v>0</v>
      </c>
    </row>
    <row r="517" spans="6:6">
      <c r="F517" s="537">
        <v>0</v>
      </c>
    </row>
    <row r="518" spans="6:6">
      <c r="F518" s="537">
        <v>0</v>
      </c>
    </row>
    <row r="519" spans="6:6">
      <c r="F519" s="537">
        <v>0</v>
      </c>
    </row>
    <row r="520" spans="6:6">
      <c r="F520" s="537">
        <v>0</v>
      </c>
    </row>
    <row r="521" spans="6:6">
      <c r="F521" s="537">
        <v>0</v>
      </c>
    </row>
    <row r="522" spans="6:6">
      <c r="F522" s="537">
        <v>0</v>
      </c>
    </row>
    <row r="523" spans="6:6">
      <c r="F523" s="537">
        <v>0</v>
      </c>
    </row>
    <row r="524" spans="6:6">
      <c r="F524" s="537">
        <v>0</v>
      </c>
    </row>
    <row r="525" spans="6:6">
      <c r="F525" s="537">
        <v>0</v>
      </c>
    </row>
    <row r="526" spans="6:6">
      <c r="F526" s="537">
        <v>0</v>
      </c>
    </row>
    <row r="527" spans="6:6">
      <c r="F527" s="537">
        <v>0</v>
      </c>
    </row>
    <row r="528" spans="6:6">
      <c r="F528" s="537">
        <v>0</v>
      </c>
    </row>
    <row r="529" spans="6:6">
      <c r="F529" s="537">
        <v>0</v>
      </c>
    </row>
    <row r="530" spans="6:6">
      <c r="F530" s="537">
        <v>0</v>
      </c>
    </row>
    <row r="531" spans="6:6">
      <c r="F531" s="537">
        <v>0</v>
      </c>
    </row>
    <row r="532" spans="6:6">
      <c r="F532" s="537">
        <v>0</v>
      </c>
    </row>
    <row r="533" spans="6:6">
      <c r="F533" s="537">
        <v>0</v>
      </c>
    </row>
    <row r="534" spans="6:6">
      <c r="F534" s="537">
        <v>0</v>
      </c>
    </row>
    <row r="535" spans="6:6">
      <c r="F535" s="537">
        <v>0</v>
      </c>
    </row>
    <row r="536" spans="6:6">
      <c r="F536" s="537">
        <v>0</v>
      </c>
    </row>
    <row r="537" spans="6:6">
      <c r="F537" s="537">
        <v>0</v>
      </c>
    </row>
    <row r="538" spans="6:6">
      <c r="F538" s="537">
        <v>0</v>
      </c>
    </row>
    <row r="539" spans="6:6">
      <c r="F539" s="537">
        <v>0</v>
      </c>
    </row>
    <row r="540" spans="6:6">
      <c r="F540" s="537">
        <v>0</v>
      </c>
    </row>
    <row r="541" spans="6:6">
      <c r="F541" s="537">
        <v>0</v>
      </c>
    </row>
    <row r="542" spans="6:6">
      <c r="F542" s="537">
        <v>0</v>
      </c>
    </row>
    <row r="543" spans="6:6">
      <c r="F543" s="537">
        <v>0</v>
      </c>
    </row>
    <row r="544" spans="6:6">
      <c r="F544" s="537">
        <v>0</v>
      </c>
    </row>
    <row r="545" spans="6:6">
      <c r="F545" s="537">
        <v>0</v>
      </c>
    </row>
    <row r="546" spans="6:6">
      <c r="F546" s="537">
        <v>0</v>
      </c>
    </row>
    <row r="547" spans="6:6">
      <c r="F547" s="537">
        <v>0</v>
      </c>
    </row>
    <row r="548" spans="6:6">
      <c r="F548" s="537">
        <v>0</v>
      </c>
    </row>
    <row r="549" spans="6:6">
      <c r="F549" s="537">
        <v>0</v>
      </c>
    </row>
    <row r="550" spans="6:6">
      <c r="F550" s="537">
        <v>0</v>
      </c>
    </row>
    <row r="551" spans="6:6">
      <c r="F551" s="537">
        <v>0</v>
      </c>
    </row>
    <row r="552" spans="6:6">
      <c r="F552" s="537">
        <v>0</v>
      </c>
    </row>
    <row r="553" spans="6:6">
      <c r="F553" s="537">
        <v>0</v>
      </c>
    </row>
    <row r="554" spans="6:6">
      <c r="F554" s="537">
        <v>0</v>
      </c>
    </row>
    <row r="555" spans="6:6">
      <c r="F555" s="537">
        <v>0</v>
      </c>
    </row>
    <row r="556" spans="6:6">
      <c r="F556" s="537">
        <v>0</v>
      </c>
    </row>
    <row r="557" spans="6:6">
      <c r="F557" s="537">
        <v>0</v>
      </c>
    </row>
    <row r="558" spans="6:6">
      <c r="F558" s="537">
        <v>0</v>
      </c>
    </row>
    <row r="559" spans="6:6">
      <c r="F559" s="537">
        <v>0</v>
      </c>
    </row>
    <row r="560" spans="6:6">
      <c r="F560" s="537">
        <v>0</v>
      </c>
    </row>
    <row r="561" spans="6:6">
      <c r="F561" s="537">
        <v>0</v>
      </c>
    </row>
    <row r="562" spans="6:6">
      <c r="F562" s="537">
        <v>0</v>
      </c>
    </row>
    <row r="563" spans="6:6">
      <c r="F563" s="537">
        <v>0</v>
      </c>
    </row>
    <row r="564" spans="6:6">
      <c r="F564" s="537">
        <v>0</v>
      </c>
    </row>
    <row r="565" spans="6:6">
      <c r="F565" s="537">
        <v>0</v>
      </c>
    </row>
    <row r="566" spans="6:6">
      <c r="F566" s="537">
        <v>0</v>
      </c>
    </row>
    <row r="567" spans="6:6">
      <c r="F567" s="537">
        <v>0</v>
      </c>
    </row>
    <row r="568" spans="6:6">
      <c r="F568" s="537">
        <v>0</v>
      </c>
    </row>
    <row r="569" spans="6:6">
      <c r="F569" s="537">
        <v>0</v>
      </c>
    </row>
    <row r="570" spans="6:6">
      <c r="F570" s="537">
        <v>0</v>
      </c>
    </row>
    <row r="571" spans="6:6">
      <c r="F571" s="537">
        <v>0</v>
      </c>
    </row>
    <row r="572" spans="6:6">
      <c r="F572" s="537">
        <v>0</v>
      </c>
    </row>
    <row r="573" spans="6:6">
      <c r="F573" s="537">
        <v>0</v>
      </c>
    </row>
    <row r="574" spans="6:6">
      <c r="F574" s="537">
        <v>0</v>
      </c>
    </row>
    <row r="575" spans="6:6">
      <c r="F575" s="537">
        <v>0</v>
      </c>
    </row>
    <row r="576" spans="6:6">
      <c r="F576" s="537">
        <v>0</v>
      </c>
    </row>
    <row r="577" spans="6:6">
      <c r="F577" s="537">
        <v>0</v>
      </c>
    </row>
    <row r="578" spans="6:6">
      <c r="F578" s="537">
        <v>0</v>
      </c>
    </row>
    <row r="579" spans="6:6">
      <c r="F579" s="537">
        <v>0</v>
      </c>
    </row>
    <row r="580" spans="6:6">
      <c r="F580" s="537">
        <v>0</v>
      </c>
    </row>
    <row r="581" spans="6:6">
      <c r="F581" s="537">
        <v>0</v>
      </c>
    </row>
    <row r="582" spans="6:6">
      <c r="F582" s="537">
        <v>0</v>
      </c>
    </row>
    <row r="583" spans="6:6">
      <c r="F583" s="537">
        <v>0</v>
      </c>
    </row>
    <row r="584" spans="6:6">
      <c r="F584" s="537">
        <v>0</v>
      </c>
    </row>
    <row r="585" spans="6:6">
      <c r="F585" s="537">
        <v>0</v>
      </c>
    </row>
    <row r="586" spans="6:6">
      <c r="F586" s="537">
        <v>0</v>
      </c>
    </row>
    <row r="587" spans="6:6">
      <c r="F587" s="537">
        <v>0</v>
      </c>
    </row>
    <row r="588" spans="6:6">
      <c r="F588" s="537">
        <v>0</v>
      </c>
    </row>
    <row r="589" spans="6:6">
      <c r="F589" s="537">
        <v>0</v>
      </c>
    </row>
    <row r="590" spans="6:6">
      <c r="F590" s="537">
        <v>0</v>
      </c>
    </row>
    <row r="591" spans="6:6">
      <c r="F591" s="537">
        <v>0</v>
      </c>
    </row>
    <row r="592" spans="6:6">
      <c r="F592" s="537">
        <v>0</v>
      </c>
    </row>
    <row r="593" spans="6:6">
      <c r="F593" s="537">
        <v>0</v>
      </c>
    </row>
    <row r="594" spans="6:6">
      <c r="F594" s="537">
        <v>0</v>
      </c>
    </row>
    <row r="595" spans="6:6">
      <c r="F595" s="537">
        <v>0</v>
      </c>
    </row>
    <row r="596" spans="6:6">
      <c r="F596" s="537">
        <v>0</v>
      </c>
    </row>
    <row r="597" spans="6:6">
      <c r="F597" s="537">
        <v>0</v>
      </c>
    </row>
    <row r="598" spans="6:6">
      <c r="F598" s="537">
        <v>0</v>
      </c>
    </row>
    <row r="599" spans="6:6">
      <c r="F599" s="537">
        <v>0</v>
      </c>
    </row>
    <row r="600" spans="6:6">
      <c r="F600" s="537">
        <v>0</v>
      </c>
    </row>
    <row r="601" spans="6:6">
      <c r="F601" s="537">
        <v>0</v>
      </c>
    </row>
    <row r="602" spans="6:6">
      <c r="F602" s="537">
        <v>0</v>
      </c>
    </row>
    <row r="603" spans="6:6">
      <c r="F603" s="537">
        <v>0</v>
      </c>
    </row>
    <row r="604" spans="6:6">
      <c r="F604" s="537">
        <v>0</v>
      </c>
    </row>
    <row r="605" spans="6:6">
      <c r="F605" s="537">
        <v>0</v>
      </c>
    </row>
    <row r="606" spans="6:6">
      <c r="F606" s="537">
        <v>0</v>
      </c>
    </row>
    <row r="607" spans="6:6">
      <c r="F607" s="537">
        <v>0</v>
      </c>
    </row>
    <row r="608" spans="6:6">
      <c r="F608" s="537">
        <v>0</v>
      </c>
    </row>
    <row r="609" spans="6:6">
      <c r="F609" s="537">
        <v>0</v>
      </c>
    </row>
    <row r="610" spans="6:6">
      <c r="F610" s="537">
        <v>0</v>
      </c>
    </row>
    <row r="611" spans="6:6">
      <c r="F611" s="537">
        <v>0</v>
      </c>
    </row>
    <row r="612" spans="6:6">
      <c r="F612" s="537">
        <v>0</v>
      </c>
    </row>
    <row r="613" spans="6:6">
      <c r="F613" s="537">
        <v>0</v>
      </c>
    </row>
    <row r="614" spans="6:6">
      <c r="F614" s="537">
        <v>0</v>
      </c>
    </row>
    <row r="615" spans="6:6">
      <c r="F615" s="537">
        <v>0</v>
      </c>
    </row>
    <row r="616" spans="6:6">
      <c r="F616" s="537">
        <v>0</v>
      </c>
    </row>
    <row r="617" spans="6:6">
      <c r="F617" s="537">
        <v>0</v>
      </c>
    </row>
    <row r="618" spans="6:6">
      <c r="F618" s="537">
        <v>0</v>
      </c>
    </row>
    <row r="619" spans="6:6">
      <c r="F619" s="537">
        <v>0</v>
      </c>
    </row>
    <row r="620" spans="6:6">
      <c r="F620" s="537">
        <v>0</v>
      </c>
    </row>
    <row r="621" spans="6:6">
      <c r="F621" s="537">
        <v>0</v>
      </c>
    </row>
    <row r="622" spans="6:6">
      <c r="F622" s="537">
        <v>0</v>
      </c>
    </row>
    <row r="623" spans="6:6">
      <c r="F623" s="537">
        <v>0</v>
      </c>
    </row>
    <row r="624" spans="6:6">
      <c r="F624" s="537">
        <v>0</v>
      </c>
    </row>
    <row r="625" spans="6:6">
      <c r="F625" s="537">
        <v>0</v>
      </c>
    </row>
    <row r="626" spans="6:6">
      <c r="F626" s="537">
        <v>0</v>
      </c>
    </row>
    <row r="627" spans="6:6">
      <c r="F627" s="537">
        <v>0</v>
      </c>
    </row>
    <row r="628" spans="6:6">
      <c r="F628" s="537">
        <v>0</v>
      </c>
    </row>
    <row r="629" spans="6:6">
      <c r="F629" s="537">
        <v>0</v>
      </c>
    </row>
    <row r="630" spans="6:6">
      <c r="F630" s="537">
        <v>0</v>
      </c>
    </row>
    <row r="631" spans="6:6">
      <c r="F631" s="537">
        <v>0</v>
      </c>
    </row>
    <row r="632" spans="6:6">
      <c r="F632" s="537">
        <v>0</v>
      </c>
    </row>
    <row r="633" spans="6:6">
      <c r="F633" s="537">
        <v>0</v>
      </c>
    </row>
    <row r="634" spans="6:6">
      <c r="F634" s="537">
        <v>0</v>
      </c>
    </row>
    <row r="635" spans="6:6">
      <c r="F635" s="537">
        <v>0</v>
      </c>
    </row>
    <row r="636" spans="6:6">
      <c r="F636" s="537">
        <v>0</v>
      </c>
    </row>
    <row r="637" spans="6:6">
      <c r="F637" s="537">
        <v>0</v>
      </c>
    </row>
    <row r="638" spans="6:6">
      <c r="F638" s="537">
        <v>0</v>
      </c>
    </row>
    <row r="639" spans="6:6">
      <c r="F639" s="537">
        <v>0</v>
      </c>
    </row>
    <row r="640" spans="6:6">
      <c r="F640" s="537">
        <v>0</v>
      </c>
    </row>
    <row r="641" spans="6:6">
      <c r="F641" s="537">
        <v>0</v>
      </c>
    </row>
    <row r="642" spans="6:6">
      <c r="F642" s="537">
        <v>0</v>
      </c>
    </row>
    <row r="643" spans="6:6">
      <c r="F643" s="537">
        <v>0</v>
      </c>
    </row>
    <row r="644" spans="6:6">
      <c r="F644" s="537">
        <v>0</v>
      </c>
    </row>
    <row r="645" spans="6:6">
      <c r="F645" s="537">
        <v>0</v>
      </c>
    </row>
    <row r="646" spans="6:6">
      <c r="F646" s="537">
        <v>0</v>
      </c>
    </row>
    <row r="647" spans="6:6">
      <c r="F647" s="537">
        <v>0</v>
      </c>
    </row>
    <row r="648" spans="6:6">
      <c r="F648" s="537">
        <v>0</v>
      </c>
    </row>
    <row r="649" spans="6:6">
      <c r="F649" s="537">
        <v>0</v>
      </c>
    </row>
    <row r="650" spans="6:6">
      <c r="F650" s="537">
        <v>0</v>
      </c>
    </row>
    <row r="651" spans="6:6">
      <c r="F651" s="537">
        <v>0</v>
      </c>
    </row>
    <row r="652" spans="6:6">
      <c r="F652" s="537">
        <v>0</v>
      </c>
    </row>
    <row r="653" spans="6:6">
      <c r="F653" s="537">
        <v>0</v>
      </c>
    </row>
    <row r="654" spans="6:6">
      <c r="F654" s="537">
        <v>0</v>
      </c>
    </row>
    <row r="655" spans="6:6">
      <c r="F655" s="537">
        <v>0</v>
      </c>
    </row>
    <row r="656" spans="6:6">
      <c r="F656" s="537">
        <v>0</v>
      </c>
    </row>
    <row r="657" spans="6:6">
      <c r="F657" s="537">
        <v>0</v>
      </c>
    </row>
    <row r="658" spans="6:6">
      <c r="F658" s="537">
        <v>0</v>
      </c>
    </row>
    <row r="659" spans="6:6">
      <c r="F659" s="537">
        <v>0</v>
      </c>
    </row>
    <row r="660" spans="6:6">
      <c r="F660" s="537">
        <v>0</v>
      </c>
    </row>
    <row r="661" spans="6:6">
      <c r="F661" s="537">
        <v>0</v>
      </c>
    </row>
    <row r="662" spans="6:6">
      <c r="F662" s="537">
        <v>0</v>
      </c>
    </row>
    <row r="663" spans="6:6">
      <c r="F663" s="537">
        <v>0</v>
      </c>
    </row>
    <row r="664" spans="6:6">
      <c r="F664" s="537">
        <v>0</v>
      </c>
    </row>
    <row r="665" spans="6:6">
      <c r="F665" s="537">
        <v>0</v>
      </c>
    </row>
    <row r="666" spans="6:6">
      <c r="F666" s="537">
        <v>0</v>
      </c>
    </row>
    <row r="667" spans="6:6">
      <c r="F667" s="537">
        <v>0</v>
      </c>
    </row>
    <row r="668" spans="6:6">
      <c r="F668" s="537">
        <v>0</v>
      </c>
    </row>
    <row r="669" spans="6:6">
      <c r="F669" s="537">
        <v>0</v>
      </c>
    </row>
    <row r="670" spans="6:6">
      <c r="F670" s="537">
        <v>0</v>
      </c>
    </row>
    <row r="671" spans="6:6">
      <c r="F671" s="537">
        <v>0</v>
      </c>
    </row>
    <row r="672" spans="6:6">
      <c r="F672" s="537">
        <v>0</v>
      </c>
    </row>
    <row r="673" spans="6:6">
      <c r="F673" s="537">
        <v>0</v>
      </c>
    </row>
    <row r="674" spans="6:6">
      <c r="F674" s="537">
        <v>0</v>
      </c>
    </row>
    <row r="675" spans="6:6">
      <c r="F675" s="537">
        <v>0</v>
      </c>
    </row>
    <row r="676" spans="6:6">
      <c r="F676" s="537">
        <v>0</v>
      </c>
    </row>
    <row r="677" spans="6:6">
      <c r="F677" s="537">
        <v>0</v>
      </c>
    </row>
    <row r="678" spans="6:6">
      <c r="F678" s="537">
        <v>0</v>
      </c>
    </row>
    <row r="679" spans="6:6">
      <c r="F679" s="537">
        <v>0</v>
      </c>
    </row>
    <row r="680" spans="6:6">
      <c r="F680" s="537">
        <v>0</v>
      </c>
    </row>
    <row r="681" spans="6:6">
      <c r="F681" s="537">
        <v>0</v>
      </c>
    </row>
    <row r="682" spans="6:6">
      <c r="F682" s="537">
        <v>0</v>
      </c>
    </row>
    <row r="683" spans="6:6">
      <c r="F683" s="537">
        <v>0</v>
      </c>
    </row>
    <row r="684" spans="6:6">
      <c r="F684" s="537">
        <v>0</v>
      </c>
    </row>
    <row r="685" spans="6:6">
      <c r="F685" s="537">
        <v>0</v>
      </c>
    </row>
    <row r="686" spans="6:6">
      <c r="F686" s="537">
        <v>0</v>
      </c>
    </row>
    <row r="687" spans="6:6">
      <c r="F687" s="537">
        <v>0</v>
      </c>
    </row>
    <row r="688" spans="6:6">
      <c r="F688" s="537">
        <v>0</v>
      </c>
    </row>
    <row r="689" spans="6:6">
      <c r="F689" s="537">
        <v>0</v>
      </c>
    </row>
    <row r="690" spans="6:6">
      <c r="F690" s="537">
        <v>0</v>
      </c>
    </row>
    <row r="691" spans="6:6">
      <c r="F691" s="537">
        <v>0</v>
      </c>
    </row>
    <row r="692" spans="6:6">
      <c r="F692" s="537">
        <v>0</v>
      </c>
    </row>
    <row r="693" spans="6:6">
      <c r="F693" s="537">
        <v>0</v>
      </c>
    </row>
    <row r="694" spans="6:6">
      <c r="F694" s="537">
        <v>0</v>
      </c>
    </row>
    <row r="695" spans="6:6">
      <c r="F695" s="537">
        <v>0</v>
      </c>
    </row>
    <row r="696" spans="6:6">
      <c r="F696" s="537">
        <v>0</v>
      </c>
    </row>
    <row r="697" spans="6:6">
      <c r="F697" s="537">
        <v>0</v>
      </c>
    </row>
    <row r="698" spans="6:6">
      <c r="F698" s="537">
        <v>0</v>
      </c>
    </row>
    <row r="699" spans="6:6">
      <c r="F699" s="537">
        <v>0</v>
      </c>
    </row>
    <row r="700" spans="6:6">
      <c r="F700" s="537">
        <v>0</v>
      </c>
    </row>
    <row r="701" spans="6:6">
      <c r="F701" s="537">
        <v>0</v>
      </c>
    </row>
    <row r="702" spans="6:6">
      <c r="F702" s="537">
        <v>0</v>
      </c>
    </row>
    <row r="703" spans="6:6">
      <c r="F703" s="537">
        <v>0</v>
      </c>
    </row>
    <row r="704" spans="6:6">
      <c r="F704" s="537">
        <v>0</v>
      </c>
    </row>
    <row r="705" spans="6:6">
      <c r="F705" s="537">
        <v>0</v>
      </c>
    </row>
    <row r="706" spans="6:6">
      <c r="F706" s="537">
        <v>0</v>
      </c>
    </row>
    <row r="707" spans="6:6">
      <c r="F707" s="537">
        <v>0</v>
      </c>
    </row>
    <row r="708" spans="6:6">
      <c r="F708" s="537">
        <v>0</v>
      </c>
    </row>
    <row r="709" spans="6:6">
      <c r="F709" s="537">
        <v>0</v>
      </c>
    </row>
    <row r="710" spans="6:6">
      <c r="F710" s="537">
        <v>0</v>
      </c>
    </row>
    <row r="711" spans="6:6">
      <c r="F711" s="537">
        <v>0</v>
      </c>
    </row>
    <row r="712" spans="6:6">
      <c r="F712" s="537">
        <v>0</v>
      </c>
    </row>
    <row r="713" spans="6:6">
      <c r="F713" s="537">
        <v>0</v>
      </c>
    </row>
    <row r="714" spans="6:6">
      <c r="F714" s="537">
        <v>0</v>
      </c>
    </row>
    <row r="715" spans="6:6">
      <c r="F715" s="537">
        <v>0</v>
      </c>
    </row>
    <row r="716" spans="6:6">
      <c r="F716" s="537">
        <v>0</v>
      </c>
    </row>
    <row r="717" spans="6:6">
      <c r="F717" s="537">
        <v>0</v>
      </c>
    </row>
    <row r="718" spans="6:6">
      <c r="F718" s="537">
        <v>0</v>
      </c>
    </row>
    <row r="719" spans="6:6">
      <c r="F719" s="537">
        <v>0</v>
      </c>
    </row>
    <row r="720" spans="6:6">
      <c r="F720" s="537">
        <v>0</v>
      </c>
    </row>
    <row r="721" spans="6:6">
      <c r="F721" s="537">
        <v>0</v>
      </c>
    </row>
    <row r="722" spans="6:6">
      <c r="F722" s="537">
        <v>0</v>
      </c>
    </row>
    <row r="723" spans="6:6">
      <c r="F723" s="537">
        <v>0</v>
      </c>
    </row>
    <row r="724" spans="6:6">
      <c r="F724" s="537">
        <v>0</v>
      </c>
    </row>
    <row r="725" spans="6:6">
      <c r="F725" s="537">
        <v>0</v>
      </c>
    </row>
    <row r="726" spans="6:6">
      <c r="F726" s="537">
        <v>0</v>
      </c>
    </row>
    <row r="727" spans="6:6">
      <c r="F727" s="537">
        <v>0</v>
      </c>
    </row>
    <row r="728" spans="6:6">
      <c r="F728" s="537">
        <v>0</v>
      </c>
    </row>
    <row r="729" spans="6:6">
      <c r="F729" s="537">
        <v>0</v>
      </c>
    </row>
    <row r="730" spans="6:6">
      <c r="F730" s="537">
        <v>0</v>
      </c>
    </row>
    <row r="731" spans="6:6">
      <c r="F731" s="537">
        <v>0</v>
      </c>
    </row>
    <row r="732" spans="6:6">
      <c r="F732" s="537">
        <v>0</v>
      </c>
    </row>
    <row r="733" spans="6:6">
      <c r="F733" s="537">
        <v>0</v>
      </c>
    </row>
    <row r="734" spans="6:6">
      <c r="F734" s="537">
        <v>0</v>
      </c>
    </row>
    <row r="735" spans="6:6">
      <c r="F735" s="537">
        <v>0</v>
      </c>
    </row>
    <row r="736" spans="6:6">
      <c r="F736" s="537">
        <v>0</v>
      </c>
    </row>
    <row r="737" spans="6:6">
      <c r="F737" s="537">
        <v>0</v>
      </c>
    </row>
    <row r="738" spans="6:6">
      <c r="F738" s="537">
        <v>0</v>
      </c>
    </row>
    <row r="739" spans="6:6">
      <c r="F739" s="537">
        <v>0</v>
      </c>
    </row>
    <row r="740" spans="6:6">
      <c r="F740" s="537">
        <v>0</v>
      </c>
    </row>
    <row r="741" spans="6:6">
      <c r="F741" s="537">
        <v>0</v>
      </c>
    </row>
    <row r="742" spans="6:6">
      <c r="F742" s="537">
        <v>0</v>
      </c>
    </row>
    <row r="743" spans="6:6">
      <c r="F743" s="537">
        <v>0</v>
      </c>
    </row>
    <row r="744" spans="6:6">
      <c r="F744" s="537">
        <v>0</v>
      </c>
    </row>
    <row r="745" spans="6:6">
      <c r="F745" s="537">
        <v>0</v>
      </c>
    </row>
    <row r="746" spans="6:6">
      <c r="F746" s="537">
        <v>0</v>
      </c>
    </row>
    <row r="747" spans="6:6">
      <c r="F747" s="537">
        <v>0</v>
      </c>
    </row>
    <row r="748" spans="6:6">
      <c r="F748" s="537">
        <v>0</v>
      </c>
    </row>
    <row r="749" spans="6:6">
      <c r="F749" s="537">
        <v>0</v>
      </c>
    </row>
    <row r="750" spans="6:6">
      <c r="F750" s="537">
        <v>0</v>
      </c>
    </row>
    <row r="751" spans="6:6">
      <c r="F751" s="537">
        <v>0</v>
      </c>
    </row>
    <row r="752" spans="6:6">
      <c r="F752" s="537">
        <v>0</v>
      </c>
    </row>
    <row r="753" spans="6:6">
      <c r="F753" s="537">
        <v>0</v>
      </c>
    </row>
    <row r="754" spans="6:6">
      <c r="F754" s="537">
        <v>0</v>
      </c>
    </row>
    <row r="755" spans="6:6">
      <c r="F755" s="537">
        <v>0</v>
      </c>
    </row>
    <row r="756" spans="6:6">
      <c r="F756" s="537">
        <v>0</v>
      </c>
    </row>
    <row r="757" spans="6:6">
      <c r="F757" s="537">
        <v>0</v>
      </c>
    </row>
    <row r="758" spans="6:6">
      <c r="F758" s="537">
        <v>0</v>
      </c>
    </row>
    <row r="759" spans="6:6">
      <c r="F759" s="537">
        <v>0</v>
      </c>
    </row>
    <row r="760" spans="6:6">
      <c r="F760" s="537">
        <v>0</v>
      </c>
    </row>
    <row r="761" spans="6:6">
      <c r="F761" s="537">
        <v>0</v>
      </c>
    </row>
    <row r="762" spans="6:6">
      <c r="F762" s="537">
        <v>0</v>
      </c>
    </row>
    <row r="763" spans="6:6">
      <c r="F763" s="537">
        <v>0</v>
      </c>
    </row>
    <row r="764" spans="6:6">
      <c r="F764" s="537">
        <v>0</v>
      </c>
    </row>
    <row r="765" spans="6:6">
      <c r="F765" s="537">
        <v>0</v>
      </c>
    </row>
    <row r="766" spans="6:6">
      <c r="F766" s="537">
        <v>0</v>
      </c>
    </row>
    <row r="767" spans="6:6">
      <c r="F767" s="537">
        <v>0</v>
      </c>
    </row>
    <row r="768" spans="6:6">
      <c r="F768" s="537">
        <v>0</v>
      </c>
    </row>
    <row r="769" spans="6:6">
      <c r="F769" s="537">
        <v>0</v>
      </c>
    </row>
    <row r="770" spans="6:6">
      <c r="F770" s="537">
        <v>0</v>
      </c>
    </row>
    <row r="771" spans="6:6">
      <c r="F771" s="537">
        <v>0</v>
      </c>
    </row>
    <row r="772" spans="6:6">
      <c r="F772" s="537">
        <v>0</v>
      </c>
    </row>
    <row r="773" spans="6:6">
      <c r="F773" s="537">
        <v>0</v>
      </c>
    </row>
    <row r="774" spans="6:6">
      <c r="F774" s="537">
        <v>0</v>
      </c>
    </row>
    <row r="775" spans="6:6">
      <c r="F775" s="537">
        <v>0</v>
      </c>
    </row>
    <row r="776" spans="6:6">
      <c r="F776" s="537">
        <v>0</v>
      </c>
    </row>
    <row r="777" spans="6:6">
      <c r="F777" s="537">
        <v>0</v>
      </c>
    </row>
    <row r="778" spans="6:6">
      <c r="F778" s="537">
        <v>0</v>
      </c>
    </row>
    <row r="779" spans="6:6">
      <c r="F779" s="537">
        <v>0</v>
      </c>
    </row>
    <row r="780" spans="6:6">
      <c r="F780" s="537">
        <v>0</v>
      </c>
    </row>
    <row r="781" spans="6:6">
      <c r="F781" s="537">
        <v>0</v>
      </c>
    </row>
    <row r="782" spans="6:6">
      <c r="F782" s="537">
        <v>0</v>
      </c>
    </row>
    <row r="783" spans="6:6">
      <c r="F783" s="537">
        <v>0</v>
      </c>
    </row>
    <row r="784" spans="6:6">
      <c r="F784" s="537">
        <v>0</v>
      </c>
    </row>
    <row r="785" spans="6:6">
      <c r="F785" s="537">
        <v>0</v>
      </c>
    </row>
    <row r="786" spans="6:6">
      <c r="F786" s="537">
        <v>0</v>
      </c>
    </row>
    <row r="787" spans="6:6">
      <c r="F787" s="537">
        <v>0</v>
      </c>
    </row>
    <row r="788" spans="6:6">
      <c r="F788" s="537">
        <v>0</v>
      </c>
    </row>
    <row r="789" spans="6:6">
      <c r="F789" s="537">
        <v>0</v>
      </c>
    </row>
    <row r="790" spans="6:6">
      <c r="F790" s="537">
        <v>0</v>
      </c>
    </row>
    <row r="791" spans="6:6">
      <c r="F791" s="537">
        <v>0</v>
      </c>
    </row>
    <row r="792" spans="6:6">
      <c r="F792" s="537">
        <v>0</v>
      </c>
    </row>
    <row r="793" spans="6:6">
      <c r="F793" s="537">
        <v>0</v>
      </c>
    </row>
    <row r="794" spans="6:6">
      <c r="F794" s="537">
        <v>0</v>
      </c>
    </row>
    <row r="795" spans="6:6">
      <c r="F795" s="537">
        <v>0</v>
      </c>
    </row>
    <row r="796" spans="6:6">
      <c r="F796" s="537">
        <v>0</v>
      </c>
    </row>
    <row r="797" spans="6:6">
      <c r="F797" s="537">
        <v>0</v>
      </c>
    </row>
    <row r="798" spans="6:6">
      <c r="F798" s="537">
        <v>0</v>
      </c>
    </row>
    <row r="799" spans="6:6">
      <c r="F799" s="537">
        <v>0</v>
      </c>
    </row>
    <row r="800" spans="6:6">
      <c r="F800" s="537">
        <v>0</v>
      </c>
    </row>
    <row r="801" spans="6:6">
      <c r="F801" s="537">
        <v>0</v>
      </c>
    </row>
    <row r="802" spans="6:6">
      <c r="F802" s="537">
        <v>0</v>
      </c>
    </row>
    <row r="803" spans="6:6">
      <c r="F803" s="537">
        <v>0</v>
      </c>
    </row>
    <row r="804" spans="6:6">
      <c r="F804" s="537">
        <v>0</v>
      </c>
    </row>
    <row r="805" spans="6:6">
      <c r="F805" s="537">
        <v>0</v>
      </c>
    </row>
    <row r="806" spans="6:6">
      <c r="F806" s="537">
        <v>0</v>
      </c>
    </row>
    <row r="807" spans="6:6">
      <c r="F807" s="537">
        <v>0</v>
      </c>
    </row>
    <row r="808" spans="6:6">
      <c r="F808" s="537">
        <v>0</v>
      </c>
    </row>
    <row r="809" spans="6:6">
      <c r="F809" s="537">
        <v>0</v>
      </c>
    </row>
    <row r="810" spans="6:6">
      <c r="F810" s="537">
        <v>0</v>
      </c>
    </row>
    <row r="811" spans="6:6">
      <c r="F811" s="537">
        <v>0</v>
      </c>
    </row>
    <row r="812" spans="6:6">
      <c r="F812" s="537">
        <v>0</v>
      </c>
    </row>
    <row r="813" spans="6:6">
      <c r="F813" s="537">
        <v>0</v>
      </c>
    </row>
    <row r="814" spans="6:6">
      <c r="F814" s="537">
        <v>0</v>
      </c>
    </row>
    <row r="815" spans="6:6">
      <c r="F815" s="537">
        <v>0</v>
      </c>
    </row>
    <row r="816" spans="6:6">
      <c r="F816" s="537">
        <v>0</v>
      </c>
    </row>
    <row r="817" spans="6:6">
      <c r="F817" s="537">
        <v>0</v>
      </c>
    </row>
    <row r="818" spans="6:6">
      <c r="F818" s="537">
        <v>0</v>
      </c>
    </row>
    <row r="819" spans="6:6">
      <c r="F819" s="537">
        <v>0</v>
      </c>
    </row>
    <row r="820" spans="6:6">
      <c r="F820" s="537">
        <v>0</v>
      </c>
    </row>
    <row r="821" spans="6:6">
      <c r="F821" s="537">
        <v>0</v>
      </c>
    </row>
    <row r="822" spans="6:6">
      <c r="F822" s="537">
        <v>0</v>
      </c>
    </row>
    <row r="823" spans="6:6">
      <c r="F823" s="537">
        <v>0</v>
      </c>
    </row>
    <row r="824" spans="6:6">
      <c r="F824" s="537">
        <v>0</v>
      </c>
    </row>
    <row r="825" spans="6:6">
      <c r="F825" s="537">
        <v>0</v>
      </c>
    </row>
    <row r="826" spans="6:6">
      <c r="F826" s="537">
        <v>0</v>
      </c>
    </row>
    <row r="827" spans="6:6">
      <c r="F827" s="537">
        <v>0</v>
      </c>
    </row>
    <row r="828" spans="6:6">
      <c r="F828" s="537">
        <v>0</v>
      </c>
    </row>
    <row r="829" spans="6:6">
      <c r="F829" s="537">
        <v>0</v>
      </c>
    </row>
    <row r="830" spans="6:6">
      <c r="F830" s="537">
        <v>0</v>
      </c>
    </row>
    <row r="831" spans="6:6">
      <c r="F831" s="537">
        <v>0</v>
      </c>
    </row>
    <row r="832" spans="6:6">
      <c r="F832" s="537">
        <v>0</v>
      </c>
    </row>
    <row r="833" spans="6:6">
      <c r="F833" s="537">
        <v>0</v>
      </c>
    </row>
    <row r="834" spans="6:6">
      <c r="F834" s="537">
        <v>0</v>
      </c>
    </row>
    <row r="835" spans="6:6">
      <c r="F835" s="537">
        <v>0</v>
      </c>
    </row>
    <row r="836" spans="6:6">
      <c r="F836" s="537">
        <v>0</v>
      </c>
    </row>
    <row r="837" spans="6:6">
      <c r="F837" s="537">
        <v>0</v>
      </c>
    </row>
    <row r="838" spans="6:6">
      <c r="F838" s="537">
        <v>0</v>
      </c>
    </row>
    <row r="839" spans="6:6">
      <c r="F839" s="537">
        <v>0</v>
      </c>
    </row>
    <row r="840" spans="6:6">
      <c r="F840" s="537">
        <v>0</v>
      </c>
    </row>
    <row r="841" spans="6:6">
      <c r="F841" s="537">
        <v>0</v>
      </c>
    </row>
    <row r="842" spans="6:6">
      <c r="F842" s="537">
        <v>0</v>
      </c>
    </row>
    <row r="843" spans="6:6">
      <c r="F843" s="537">
        <v>0</v>
      </c>
    </row>
    <row r="844" spans="6:6">
      <c r="F844" s="537">
        <v>0</v>
      </c>
    </row>
    <row r="845" spans="6:6">
      <c r="F845" s="537">
        <v>0</v>
      </c>
    </row>
    <row r="846" spans="6:6">
      <c r="F846" s="537">
        <v>0</v>
      </c>
    </row>
    <row r="847" spans="6:6">
      <c r="F847" s="537">
        <v>0</v>
      </c>
    </row>
    <row r="848" spans="6:6">
      <c r="F848" s="537">
        <v>0</v>
      </c>
    </row>
    <row r="849" spans="6:6">
      <c r="F849" s="537">
        <v>0</v>
      </c>
    </row>
    <row r="850" spans="6:6">
      <c r="F850" s="537">
        <v>0</v>
      </c>
    </row>
    <row r="851" spans="6:6">
      <c r="F851" s="537">
        <v>0</v>
      </c>
    </row>
    <row r="852" spans="6:6">
      <c r="F852" s="537">
        <v>0</v>
      </c>
    </row>
    <row r="853" spans="6:6">
      <c r="F853" s="537">
        <v>0</v>
      </c>
    </row>
    <row r="854" spans="6:6">
      <c r="F854" s="537">
        <v>0</v>
      </c>
    </row>
    <row r="855" spans="6:6">
      <c r="F855" s="537">
        <v>0</v>
      </c>
    </row>
    <row r="856" spans="6:6">
      <c r="F856" s="537">
        <v>0</v>
      </c>
    </row>
    <row r="857" spans="6:6">
      <c r="F857" s="537">
        <v>0</v>
      </c>
    </row>
    <row r="858" spans="6:6">
      <c r="F858" s="537">
        <v>0</v>
      </c>
    </row>
    <row r="859" spans="6:6">
      <c r="F859" s="537">
        <v>0</v>
      </c>
    </row>
    <row r="860" spans="6:6">
      <c r="F860" s="537">
        <v>0</v>
      </c>
    </row>
    <row r="861" spans="6:6">
      <c r="F861" s="537">
        <v>0</v>
      </c>
    </row>
    <row r="862" spans="6:6">
      <c r="F862" s="537">
        <v>0</v>
      </c>
    </row>
    <row r="863" spans="6:6">
      <c r="F863" s="537">
        <v>0</v>
      </c>
    </row>
    <row r="864" spans="6:6">
      <c r="F864" s="537">
        <v>0</v>
      </c>
    </row>
    <row r="865" spans="6:6">
      <c r="F865" s="537">
        <v>0</v>
      </c>
    </row>
    <row r="866" spans="6:6">
      <c r="F866" s="537">
        <v>0</v>
      </c>
    </row>
    <row r="867" spans="6:6">
      <c r="F867" s="537">
        <v>0</v>
      </c>
    </row>
    <row r="868" spans="6:6">
      <c r="F868" s="537">
        <v>0</v>
      </c>
    </row>
    <row r="869" spans="6:6">
      <c r="F869" s="537">
        <v>0</v>
      </c>
    </row>
    <row r="870" spans="6:6">
      <c r="F870" s="537">
        <v>0</v>
      </c>
    </row>
    <row r="871" spans="6:6">
      <c r="F871" s="537">
        <v>0</v>
      </c>
    </row>
    <row r="872" spans="6:6">
      <c r="F872" s="537">
        <v>0</v>
      </c>
    </row>
    <row r="873" spans="6:6">
      <c r="F873" s="537">
        <v>0</v>
      </c>
    </row>
    <row r="874" spans="6:6">
      <c r="F874" s="537">
        <v>0</v>
      </c>
    </row>
    <row r="875" spans="6:6">
      <c r="F875" s="537">
        <v>0</v>
      </c>
    </row>
    <row r="876" spans="6:6">
      <c r="F876" s="537">
        <v>0</v>
      </c>
    </row>
    <row r="877" spans="6:6">
      <c r="F877" s="537">
        <v>0</v>
      </c>
    </row>
    <row r="878" spans="6:6">
      <c r="F878" s="537">
        <v>0</v>
      </c>
    </row>
    <row r="879" spans="6:6">
      <c r="F879" s="537">
        <v>0</v>
      </c>
    </row>
    <row r="880" spans="6:6">
      <c r="F880" s="537">
        <v>0</v>
      </c>
    </row>
    <row r="881" spans="6:6">
      <c r="F881" s="537">
        <v>0</v>
      </c>
    </row>
    <row r="882" spans="6:6">
      <c r="F882" s="537">
        <v>0</v>
      </c>
    </row>
    <row r="883" spans="6:6">
      <c r="F883" s="537">
        <v>0</v>
      </c>
    </row>
    <row r="884" spans="6:6">
      <c r="F884" s="537">
        <v>0</v>
      </c>
    </row>
    <row r="885" spans="6:6">
      <c r="F885" s="537">
        <v>0</v>
      </c>
    </row>
    <row r="886" spans="6:6">
      <c r="F886" s="537">
        <v>0</v>
      </c>
    </row>
    <row r="887" spans="6:6">
      <c r="F887" s="537">
        <v>0</v>
      </c>
    </row>
    <row r="888" spans="6:6">
      <c r="F888" s="537">
        <v>0</v>
      </c>
    </row>
    <row r="889" spans="6:6">
      <c r="F889" s="537">
        <v>0</v>
      </c>
    </row>
    <row r="890" spans="6:6">
      <c r="F890" s="537">
        <v>0</v>
      </c>
    </row>
    <row r="891" spans="6:6">
      <c r="F891" s="537">
        <v>0</v>
      </c>
    </row>
    <row r="892" spans="6:6">
      <c r="F892" s="537">
        <v>0</v>
      </c>
    </row>
    <row r="893" spans="6:6">
      <c r="F893" s="537">
        <v>0</v>
      </c>
    </row>
    <row r="894" spans="6:6">
      <c r="F894" s="537">
        <v>0</v>
      </c>
    </row>
    <row r="895" spans="6:6">
      <c r="F895" s="537">
        <v>0</v>
      </c>
    </row>
    <row r="896" spans="6:6">
      <c r="F896" s="537">
        <v>0</v>
      </c>
    </row>
    <row r="897" spans="6:6">
      <c r="F897" s="537">
        <v>0</v>
      </c>
    </row>
    <row r="898" spans="6:6">
      <c r="F898" s="537">
        <v>0</v>
      </c>
    </row>
    <row r="899" spans="6:6">
      <c r="F899" s="537">
        <v>0</v>
      </c>
    </row>
    <row r="900" spans="6:6">
      <c r="F900" s="537">
        <v>0</v>
      </c>
    </row>
    <row r="901" spans="6:6">
      <c r="F901" s="537">
        <v>0</v>
      </c>
    </row>
    <row r="902" spans="6:6">
      <c r="F902" s="537">
        <v>0</v>
      </c>
    </row>
    <row r="903" spans="6:6">
      <c r="F903" s="537">
        <v>0</v>
      </c>
    </row>
    <row r="904" spans="6:6">
      <c r="F904" s="537">
        <v>0</v>
      </c>
    </row>
    <row r="905" spans="6:6">
      <c r="F905" s="537">
        <v>0</v>
      </c>
    </row>
    <row r="906" spans="6:6">
      <c r="F906" s="537">
        <v>0</v>
      </c>
    </row>
    <row r="907" spans="6:6">
      <c r="F907" s="537">
        <v>0</v>
      </c>
    </row>
    <row r="908" spans="6:6">
      <c r="F908" s="537">
        <v>0</v>
      </c>
    </row>
    <row r="909" spans="6:6">
      <c r="F909" s="537">
        <v>0</v>
      </c>
    </row>
    <row r="910" spans="6:6">
      <c r="F910" s="537">
        <v>0</v>
      </c>
    </row>
    <row r="911" spans="6:6">
      <c r="F911" s="537">
        <v>0</v>
      </c>
    </row>
    <row r="912" spans="6:6">
      <c r="F912" s="537">
        <v>0</v>
      </c>
    </row>
    <row r="913" spans="6:6">
      <c r="F913" s="537">
        <v>0</v>
      </c>
    </row>
    <row r="914" spans="6:6">
      <c r="F914" s="537">
        <v>0</v>
      </c>
    </row>
    <row r="915" spans="6:6">
      <c r="F915" s="537">
        <v>0</v>
      </c>
    </row>
    <row r="916" spans="6:6">
      <c r="F916" s="537">
        <v>0</v>
      </c>
    </row>
    <row r="917" spans="6:6">
      <c r="F917" s="537">
        <v>0</v>
      </c>
    </row>
    <row r="918" spans="6:6">
      <c r="F918" s="537">
        <v>0</v>
      </c>
    </row>
    <row r="919" spans="6:6">
      <c r="F919" s="537">
        <v>0</v>
      </c>
    </row>
    <row r="920" spans="6:6">
      <c r="F920" s="537">
        <v>0</v>
      </c>
    </row>
    <row r="921" spans="6:6">
      <c r="F921" s="537">
        <v>0</v>
      </c>
    </row>
    <row r="922" spans="6:6">
      <c r="F922" s="537">
        <v>0</v>
      </c>
    </row>
    <row r="923" spans="6:6">
      <c r="F923" s="537">
        <v>0</v>
      </c>
    </row>
    <row r="924" spans="6:6">
      <c r="F924" s="537">
        <v>0</v>
      </c>
    </row>
    <row r="925" spans="6:6">
      <c r="F925" s="537">
        <v>0</v>
      </c>
    </row>
    <row r="926" spans="6:6">
      <c r="F926" s="537">
        <v>0</v>
      </c>
    </row>
    <row r="927" spans="6:6">
      <c r="F927" s="537">
        <v>0</v>
      </c>
    </row>
    <row r="928" spans="6:6">
      <c r="F928" s="537">
        <v>0</v>
      </c>
    </row>
    <row r="929" spans="6:6">
      <c r="F929" s="537">
        <v>0</v>
      </c>
    </row>
    <row r="930" spans="6:6">
      <c r="F930" s="537">
        <v>0</v>
      </c>
    </row>
    <row r="931" spans="6:6">
      <c r="F931" s="537">
        <v>0</v>
      </c>
    </row>
    <row r="932" spans="6:6">
      <c r="F932" s="537">
        <v>0</v>
      </c>
    </row>
    <row r="933" spans="6:6">
      <c r="F933" s="537">
        <v>0</v>
      </c>
    </row>
    <row r="934" spans="6:6">
      <c r="F934" s="537">
        <v>0</v>
      </c>
    </row>
    <row r="935" spans="6:6">
      <c r="F935" s="537">
        <v>0</v>
      </c>
    </row>
    <row r="936" spans="6:6">
      <c r="F936" s="537">
        <v>0</v>
      </c>
    </row>
    <row r="937" spans="6:6">
      <c r="F937" s="537">
        <v>0</v>
      </c>
    </row>
    <row r="938" spans="6:6">
      <c r="F938" s="537">
        <v>0</v>
      </c>
    </row>
    <row r="939" spans="6:6">
      <c r="F939" s="537">
        <v>0</v>
      </c>
    </row>
    <row r="940" spans="6:6">
      <c r="F940" s="537">
        <v>0</v>
      </c>
    </row>
    <row r="941" spans="6:6">
      <c r="F941" s="537">
        <v>0</v>
      </c>
    </row>
    <row r="942" spans="6:6">
      <c r="F942" s="537">
        <v>0</v>
      </c>
    </row>
    <row r="943" spans="6:6">
      <c r="F943" s="537">
        <v>0</v>
      </c>
    </row>
    <row r="944" spans="6:6">
      <c r="F944" s="537">
        <v>0</v>
      </c>
    </row>
    <row r="945" spans="6:6">
      <c r="F945" s="537">
        <v>0</v>
      </c>
    </row>
    <row r="946" spans="6:6">
      <c r="F946" s="537">
        <v>0</v>
      </c>
    </row>
    <row r="947" spans="6:6">
      <c r="F947" s="537">
        <v>0</v>
      </c>
    </row>
    <row r="948" spans="6:6">
      <c r="F948" s="537">
        <v>0</v>
      </c>
    </row>
    <row r="949" spans="6:6">
      <c r="F949" s="537">
        <v>0</v>
      </c>
    </row>
    <row r="950" spans="6:6">
      <c r="F950" s="537">
        <v>0</v>
      </c>
    </row>
    <row r="951" spans="6:6">
      <c r="F951" s="537">
        <v>0</v>
      </c>
    </row>
    <row r="952" spans="6:6">
      <c r="F952" s="537">
        <v>0</v>
      </c>
    </row>
    <row r="953" spans="6:6">
      <c r="F953" s="537">
        <v>0</v>
      </c>
    </row>
    <row r="954" spans="6:6">
      <c r="F954" s="537">
        <v>0</v>
      </c>
    </row>
    <row r="955" spans="6:6">
      <c r="F955" s="537">
        <v>0</v>
      </c>
    </row>
    <row r="956" spans="6:6">
      <c r="F956" s="537">
        <v>0</v>
      </c>
    </row>
    <row r="957" spans="6:6">
      <c r="F957" s="537">
        <v>0</v>
      </c>
    </row>
    <row r="958" spans="6:6">
      <c r="F958" s="537">
        <v>0</v>
      </c>
    </row>
    <row r="959" spans="6:6">
      <c r="F959" s="537">
        <v>0</v>
      </c>
    </row>
    <row r="960" spans="6:6">
      <c r="F960" s="537">
        <v>0</v>
      </c>
    </row>
    <row r="961" spans="6:6">
      <c r="F961" s="537">
        <v>0</v>
      </c>
    </row>
    <row r="962" spans="6:6">
      <c r="F962" s="537">
        <v>0</v>
      </c>
    </row>
    <row r="963" spans="6:6">
      <c r="F963" s="537">
        <v>0</v>
      </c>
    </row>
    <row r="964" spans="6:6">
      <c r="F964" s="537">
        <v>0</v>
      </c>
    </row>
    <row r="965" spans="6:6">
      <c r="F965" s="537">
        <v>0</v>
      </c>
    </row>
    <row r="966" spans="6:6">
      <c r="F966" s="537">
        <v>0</v>
      </c>
    </row>
    <row r="967" spans="6:6">
      <c r="F967" s="537">
        <v>0</v>
      </c>
    </row>
    <row r="968" spans="6:6">
      <c r="F968" s="537">
        <v>0</v>
      </c>
    </row>
    <row r="969" spans="6:6">
      <c r="F969" s="537">
        <v>0</v>
      </c>
    </row>
    <row r="970" spans="6:6">
      <c r="F970" s="537">
        <v>0</v>
      </c>
    </row>
    <row r="971" spans="6:6">
      <c r="F971" s="537">
        <v>0</v>
      </c>
    </row>
    <row r="972" spans="6:6">
      <c r="F972" s="537">
        <v>0</v>
      </c>
    </row>
    <row r="973" spans="6:6">
      <c r="F973" s="537">
        <v>0</v>
      </c>
    </row>
    <row r="974" spans="6:6">
      <c r="F974" s="537">
        <v>0</v>
      </c>
    </row>
    <row r="975" spans="6:6">
      <c r="F975" s="537">
        <v>0</v>
      </c>
    </row>
    <row r="976" spans="6:6">
      <c r="F976" s="537">
        <v>0</v>
      </c>
    </row>
    <row r="977" spans="6:6">
      <c r="F977" s="537">
        <v>0</v>
      </c>
    </row>
    <row r="978" spans="6:6">
      <c r="F978" s="537">
        <v>0</v>
      </c>
    </row>
    <row r="979" spans="6:6">
      <c r="F979" s="537">
        <v>0</v>
      </c>
    </row>
    <row r="980" spans="6:6">
      <c r="F980" s="537">
        <v>0</v>
      </c>
    </row>
    <row r="981" spans="6:6">
      <c r="F981" s="537">
        <v>0</v>
      </c>
    </row>
    <row r="982" spans="6:6">
      <c r="F982" s="537">
        <v>0</v>
      </c>
    </row>
    <row r="983" spans="6:6">
      <c r="F983" s="537">
        <v>0</v>
      </c>
    </row>
    <row r="984" spans="6:6">
      <c r="F984" s="537">
        <v>0</v>
      </c>
    </row>
    <row r="985" spans="6:6">
      <c r="F985" s="537">
        <v>0</v>
      </c>
    </row>
    <row r="986" spans="6:6">
      <c r="F986" s="537">
        <v>0</v>
      </c>
    </row>
    <row r="987" spans="6:6">
      <c r="F987" s="537">
        <v>0</v>
      </c>
    </row>
    <row r="988" spans="6:6">
      <c r="F988" s="537">
        <v>0</v>
      </c>
    </row>
    <row r="989" spans="6:6">
      <c r="F989" s="537">
        <v>0</v>
      </c>
    </row>
    <row r="990" spans="6:6">
      <c r="F990" s="537">
        <v>0</v>
      </c>
    </row>
    <row r="991" spans="6:6">
      <c r="F991" s="537">
        <v>0</v>
      </c>
    </row>
    <row r="992" spans="6:6">
      <c r="F992" s="537">
        <v>0</v>
      </c>
    </row>
    <row r="993" spans="6:6">
      <c r="F993" s="537">
        <v>0</v>
      </c>
    </row>
    <row r="994" spans="6:6">
      <c r="F994" s="537">
        <v>0</v>
      </c>
    </row>
    <row r="995" spans="6:6">
      <c r="F995" s="537">
        <v>0</v>
      </c>
    </row>
    <row r="996" spans="6:6">
      <c r="F996" s="537">
        <v>0</v>
      </c>
    </row>
    <row r="997" spans="6:6">
      <c r="F997" s="537">
        <v>0</v>
      </c>
    </row>
    <row r="998" spans="6:6">
      <c r="F998" s="537">
        <v>0</v>
      </c>
    </row>
    <row r="999" spans="6:6">
      <c r="F999" s="537">
        <v>0</v>
      </c>
    </row>
    <row r="1000" spans="6:6">
      <c r="F1000" s="537">
        <v>0</v>
      </c>
    </row>
    <row r="1001" spans="6:6">
      <c r="F1001" s="537">
        <v>0</v>
      </c>
    </row>
    <row r="1002" spans="6:6">
      <c r="F1002" s="537">
        <v>0</v>
      </c>
    </row>
    <row r="1003" spans="6:6">
      <c r="F1003" s="537">
        <v>0</v>
      </c>
    </row>
    <row r="1004" spans="6:6">
      <c r="F1004" s="537">
        <v>0</v>
      </c>
    </row>
    <row r="1005" spans="6:6">
      <c r="F1005" s="537">
        <v>0</v>
      </c>
    </row>
    <row r="1006" spans="6:6">
      <c r="F1006" s="537">
        <v>0</v>
      </c>
    </row>
    <row r="1007" spans="6:6">
      <c r="F1007" s="537">
        <v>0</v>
      </c>
    </row>
    <row r="1008" spans="6:6">
      <c r="F1008" s="537">
        <v>0</v>
      </c>
    </row>
    <row r="1009" spans="6:6">
      <c r="F1009" s="537">
        <v>0</v>
      </c>
    </row>
    <row r="1010" spans="6:6">
      <c r="F1010" s="537">
        <v>0</v>
      </c>
    </row>
    <row r="1011" spans="6:6">
      <c r="F1011" s="537">
        <v>0</v>
      </c>
    </row>
    <row r="1012" spans="6:6">
      <c r="F1012" s="537">
        <v>0</v>
      </c>
    </row>
    <row r="1013" spans="6:6">
      <c r="F1013" s="537">
        <v>0</v>
      </c>
    </row>
    <row r="1014" spans="6:6">
      <c r="F1014" s="537">
        <v>0</v>
      </c>
    </row>
    <row r="1015" spans="6:6">
      <c r="F1015" s="537">
        <v>0</v>
      </c>
    </row>
    <row r="1016" spans="6:6">
      <c r="F1016" s="537">
        <v>0</v>
      </c>
    </row>
    <row r="1017" spans="6:6">
      <c r="F1017" s="537">
        <v>0</v>
      </c>
    </row>
    <row r="1018" spans="6:6">
      <c r="F1018" s="537">
        <v>0</v>
      </c>
    </row>
    <row r="1019" spans="6:6">
      <c r="F1019" s="537">
        <v>0</v>
      </c>
    </row>
    <row r="1020" spans="6:6">
      <c r="F1020" s="537">
        <v>0</v>
      </c>
    </row>
    <row r="1021" spans="6:6">
      <c r="F1021" s="537">
        <v>0</v>
      </c>
    </row>
    <row r="1022" spans="6:6">
      <c r="F1022" s="537">
        <v>0</v>
      </c>
    </row>
    <row r="1023" spans="6:6">
      <c r="F1023" s="537">
        <v>0</v>
      </c>
    </row>
    <row r="1024" spans="6:6">
      <c r="F1024" s="537">
        <v>0</v>
      </c>
    </row>
    <row r="1025" spans="6:6">
      <c r="F1025" s="537">
        <v>0</v>
      </c>
    </row>
    <row r="1026" spans="6:6">
      <c r="F1026" s="537">
        <v>0</v>
      </c>
    </row>
    <row r="1027" spans="6:6">
      <c r="F1027" s="537">
        <v>0</v>
      </c>
    </row>
    <row r="1028" spans="6:6">
      <c r="F1028" s="537">
        <v>0</v>
      </c>
    </row>
    <row r="1029" spans="6:6">
      <c r="F1029" s="537">
        <v>0</v>
      </c>
    </row>
    <row r="1030" spans="6:6">
      <c r="F1030" s="537">
        <v>0</v>
      </c>
    </row>
    <row r="1031" spans="6:6">
      <c r="F1031" s="537">
        <v>0</v>
      </c>
    </row>
    <row r="1032" spans="6:6">
      <c r="F1032" s="537">
        <v>0</v>
      </c>
    </row>
    <row r="1033" spans="6:6">
      <c r="F1033" s="537">
        <v>0</v>
      </c>
    </row>
    <row r="1034" spans="6:6">
      <c r="F1034" s="537">
        <v>0</v>
      </c>
    </row>
    <row r="1035" spans="6:6">
      <c r="F1035" s="537">
        <v>0</v>
      </c>
    </row>
    <row r="1036" spans="6:6">
      <c r="F1036" s="537">
        <v>0</v>
      </c>
    </row>
    <row r="1037" spans="6:6">
      <c r="F1037" s="537">
        <v>0</v>
      </c>
    </row>
    <row r="1038" spans="6:6">
      <c r="F1038" s="537">
        <v>0</v>
      </c>
    </row>
    <row r="1039" spans="6:6">
      <c r="F1039" s="537">
        <v>0</v>
      </c>
    </row>
    <row r="1040" spans="6:6">
      <c r="F1040" s="537">
        <v>0</v>
      </c>
    </row>
    <row r="1041" spans="6:6">
      <c r="F1041" s="537">
        <v>0</v>
      </c>
    </row>
    <row r="1042" spans="6:6">
      <c r="F1042" s="537">
        <v>0</v>
      </c>
    </row>
    <row r="1043" spans="6:6">
      <c r="F1043" s="537">
        <v>0</v>
      </c>
    </row>
    <row r="1044" spans="6:6">
      <c r="F1044" s="537">
        <v>0</v>
      </c>
    </row>
    <row r="1045" spans="6:6">
      <c r="F1045" s="537">
        <v>0</v>
      </c>
    </row>
    <row r="1046" spans="6:6">
      <c r="F1046" s="537">
        <v>0</v>
      </c>
    </row>
    <row r="1047" spans="6:6">
      <c r="F1047" s="537">
        <v>0</v>
      </c>
    </row>
    <row r="1048" spans="6:6">
      <c r="F1048" s="537">
        <v>0</v>
      </c>
    </row>
    <row r="1049" spans="6:6">
      <c r="F1049" s="537">
        <v>0</v>
      </c>
    </row>
    <row r="1050" spans="6:6">
      <c r="F1050" s="537">
        <v>0</v>
      </c>
    </row>
    <row r="1051" spans="6:6">
      <c r="F1051" s="537">
        <v>0</v>
      </c>
    </row>
    <row r="1052" spans="6:6">
      <c r="F1052" s="537">
        <v>0</v>
      </c>
    </row>
    <row r="1053" spans="6:6">
      <c r="F1053" s="537">
        <v>0</v>
      </c>
    </row>
    <row r="1054" spans="6:6">
      <c r="F1054" s="537">
        <v>0</v>
      </c>
    </row>
    <row r="1055" spans="6:6">
      <c r="F1055" s="537">
        <v>0</v>
      </c>
    </row>
    <row r="1056" spans="6:6">
      <c r="F1056" s="537">
        <v>0</v>
      </c>
    </row>
    <row r="1057" spans="6:6">
      <c r="F1057" s="537">
        <v>0</v>
      </c>
    </row>
    <row r="1058" spans="6:6">
      <c r="F1058" s="537">
        <v>0</v>
      </c>
    </row>
    <row r="1059" spans="6:6">
      <c r="F1059" s="537">
        <v>0</v>
      </c>
    </row>
    <row r="1060" spans="6:6">
      <c r="F1060" s="537">
        <v>0</v>
      </c>
    </row>
    <row r="1061" spans="6:6">
      <c r="F1061" s="537">
        <v>0</v>
      </c>
    </row>
    <row r="1062" spans="6:6">
      <c r="F1062" s="537">
        <v>0</v>
      </c>
    </row>
    <row r="1063" spans="6:6">
      <c r="F1063" s="537">
        <v>0</v>
      </c>
    </row>
    <row r="1064" spans="6:6">
      <c r="F1064" s="537">
        <v>0</v>
      </c>
    </row>
    <row r="1065" spans="6:6">
      <c r="F1065" s="537">
        <v>0</v>
      </c>
    </row>
    <row r="1066" spans="6:6">
      <c r="F1066" s="537">
        <v>0</v>
      </c>
    </row>
    <row r="1067" spans="6:6">
      <c r="F1067" s="537">
        <v>0</v>
      </c>
    </row>
    <row r="1068" spans="6:6">
      <c r="F1068" s="537">
        <v>0</v>
      </c>
    </row>
    <row r="1069" spans="6:6">
      <c r="F1069" s="537">
        <v>0</v>
      </c>
    </row>
    <row r="1070" spans="6:6">
      <c r="F1070" s="537">
        <v>0</v>
      </c>
    </row>
    <row r="1071" spans="6:6">
      <c r="F1071" s="537">
        <v>0</v>
      </c>
    </row>
    <row r="1072" spans="6:6">
      <c r="F1072" s="537">
        <v>0</v>
      </c>
    </row>
    <row r="1073" spans="6:6">
      <c r="F1073" s="537">
        <v>0</v>
      </c>
    </row>
    <row r="1074" spans="6:6">
      <c r="F1074" s="537">
        <v>0</v>
      </c>
    </row>
    <row r="1075" spans="6:6">
      <c r="F1075" s="537">
        <v>0</v>
      </c>
    </row>
    <row r="1076" spans="6:6">
      <c r="F1076" s="537">
        <v>0</v>
      </c>
    </row>
    <row r="1077" spans="6:6">
      <c r="F1077" s="537">
        <v>0</v>
      </c>
    </row>
    <row r="1078" spans="6:6">
      <c r="F1078" s="537">
        <v>0</v>
      </c>
    </row>
    <row r="1079" spans="6:6">
      <c r="F1079" s="537">
        <v>0</v>
      </c>
    </row>
    <row r="1080" spans="6:6">
      <c r="F1080" s="537">
        <v>0</v>
      </c>
    </row>
    <row r="1081" spans="6:6">
      <c r="F1081" s="537">
        <v>0</v>
      </c>
    </row>
    <row r="1082" spans="6:6">
      <c r="F1082" s="537">
        <v>0</v>
      </c>
    </row>
    <row r="1083" spans="6:6">
      <c r="F1083" s="537">
        <v>0</v>
      </c>
    </row>
    <row r="1084" spans="6:6">
      <c r="F1084" s="537">
        <v>0</v>
      </c>
    </row>
    <row r="1085" spans="6:6">
      <c r="F1085" s="537">
        <v>0</v>
      </c>
    </row>
    <row r="1086" spans="6:6">
      <c r="F1086" s="537">
        <v>0</v>
      </c>
    </row>
    <row r="1087" spans="6:6">
      <c r="F1087" s="537">
        <v>0</v>
      </c>
    </row>
    <row r="1088" spans="6:6">
      <c r="F1088" s="537">
        <v>0</v>
      </c>
    </row>
    <row r="1089" spans="6:6">
      <c r="F1089" s="537">
        <v>0</v>
      </c>
    </row>
    <row r="1090" spans="6:6">
      <c r="F1090" s="537">
        <v>0</v>
      </c>
    </row>
    <row r="1091" spans="6:6">
      <c r="F1091" s="537">
        <v>0</v>
      </c>
    </row>
    <row r="1092" spans="6:6">
      <c r="F1092" s="537">
        <v>0</v>
      </c>
    </row>
    <row r="1093" spans="6:6">
      <c r="F1093" s="537">
        <v>0</v>
      </c>
    </row>
    <row r="1094" spans="6:6">
      <c r="F1094" s="537">
        <v>0</v>
      </c>
    </row>
    <row r="1095" spans="6:6">
      <c r="F1095" s="537">
        <v>0</v>
      </c>
    </row>
    <row r="1096" spans="6:6">
      <c r="F1096" s="537">
        <v>0</v>
      </c>
    </row>
    <row r="1097" spans="6:6">
      <c r="F1097" s="537">
        <v>0</v>
      </c>
    </row>
    <row r="1098" spans="6:6">
      <c r="F1098" s="537">
        <v>0</v>
      </c>
    </row>
    <row r="1099" spans="6:6">
      <c r="F1099" s="537">
        <v>0</v>
      </c>
    </row>
    <row r="1100" spans="6:6">
      <c r="F1100" s="537">
        <v>0</v>
      </c>
    </row>
    <row r="1101" spans="6:6">
      <c r="F1101" s="537">
        <v>0</v>
      </c>
    </row>
    <row r="1102" spans="6:6">
      <c r="F1102" s="537">
        <v>0</v>
      </c>
    </row>
    <row r="1103" spans="6:6">
      <c r="F1103" s="537">
        <v>0</v>
      </c>
    </row>
    <row r="1104" spans="6:6">
      <c r="F1104" s="537">
        <v>0</v>
      </c>
    </row>
    <row r="1105" spans="6:6">
      <c r="F1105" s="537">
        <v>0</v>
      </c>
    </row>
    <row r="1106" spans="6:6">
      <c r="F1106" s="537">
        <v>0</v>
      </c>
    </row>
    <row r="1107" spans="6:6">
      <c r="F1107" s="537">
        <v>0</v>
      </c>
    </row>
    <row r="1108" spans="6:6">
      <c r="F1108" s="537">
        <v>0</v>
      </c>
    </row>
    <row r="1109" spans="6:6">
      <c r="F1109" s="537">
        <v>0</v>
      </c>
    </row>
    <row r="1110" spans="6:6">
      <c r="F1110" s="537">
        <v>0</v>
      </c>
    </row>
    <row r="1111" spans="6:6">
      <c r="F1111" s="537">
        <v>0</v>
      </c>
    </row>
    <row r="1112" spans="6:6">
      <c r="F1112" s="537">
        <v>0</v>
      </c>
    </row>
    <row r="1113" spans="6:6">
      <c r="F1113" s="537">
        <v>0</v>
      </c>
    </row>
    <row r="1114" spans="6:6">
      <c r="F1114" s="537">
        <v>0</v>
      </c>
    </row>
    <row r="1115" spans="6:6">
      <c r="F1115" s="537">
        <v>0</v>
      </c>
    </row>
    <row r="1116" spans="6:6">
      <c r="F1116" s="537">
        <v>0</v>
      </c>
    </row>
    <row r="1117" spans="6:6">
      <c r="F1117" s="537">
        <v>0</v>
      </c>
    </row>
    <row r="1118" spans="6:6">
      <c r="F1118" s="537">
        <v>0</v>
      </c>
    </row>
    <row r="1119" spans="6:6">
      <c r="F1119" s="537">
        <v>0</v>
      </c>
    </row>
    <row r="1120" spans="6:6">
      <c r="F1120" s="537">
        <v>0</v>
      </c>
    </row>
    <row r="1121" spans="6:6">
      <c r="F1121" s="537">
        <v>0</v>
      </c>
    </row>
    <row r="1122" spans="6:6">
      <c r="F1122" s="537">
        <v>0</v>
      </c>
    </row>
    <row r="1123" spans="6:6">
      <c r="F1123" s="537">
        <v>0</v>
      </c>
    </row>
    <row r="1124" spans="6:6">
      <c r="F1124" s="537">
        <v>0</v>
      </c>
    </row>
    <row r="1125" spans="6:6">
      <c r="F1125" s="537">
        <v>0</v>
      </c>
    </row>
    <row r="1126" spans="6:6">
      <c r="F1126" s="537">
        <v>0</v>
      </c>
    </row>
    <row r="1127" spans="6:6">
      <c r="F1127" s="537">
        <v>0</v>
      </c>
    </row>
    <row r="1128" spans="6:6">
      <c r="F1128" s="537">
        <v>0</v>
      </c>
    </row>
    <row r="1129" spans="6:6">
      <c r="F1129" s="537">
        <v>0</v>
      </c>
    </row>
    <row r="1130" spans="6:6">
      <c r="F1130" s="537">
        <v>0</v>
      </c>
    </row>
    <row r="1131" spans="6:6">
      <c r="F1131" s="537">
        <v>0</v>
      </c>
    </row>
    <row r="1132" spans="6:6">
      <c r="F1132" s="537">
        <v>0</v>
      </c>
    </row>
    <row r="1133" spans="6:6">
      <c r="F1133" s="537">
        <v>0</v>
      </c>
    </row>
    <row r="1134" spans="6:6">
      <c r="F1134" s="537">
        <v>0</v>
      </c>
    </row>
    <row r="1135" spans="6:6">
      <c r="F1135" s="537">
        <v>0</v>
      </c>
    </row>
    <row r="1136" spans="6:6">
      <c r="F1136" s="537">
        <v>0</v>
      </c>
    </row>
    <row r="1137" spans="6:6">
      <c r="F1137" s="537">
        <v>0</v>
      </c>
    </row>
    <row r="1138" spans="6:6">
      <c r="F1138" s="537">
        <v>0</v>
      </c>
    </row>
    <row r="1139" spans="6:6">
      <c r="F1139" s="537">
        <v>0</v>
      </c>
    </row>
    <row r="1140" spans="6:6">
      <c r="F1140" s="537">
        <v>0</v>
      </c>
    </row>
    <row r="1141" spans="6:6">
      <c r="F1141" s="537">
        <v>0</v>
      </c>
    </row>
    <row r="1142" spans="6:6">
      <c r="F1142" s="537">
        <v>0</v>
      </c>
    </row>
    <row r="1143" spans="6:6">
      <c r="F1143" s="537">
        <v>0</v>
      </c>
    </row>
    <row r="1144" spans="6:6">
      <c r="F1144" s="537">
        <v>0</v>
      </c>
    </row>
    <row r="1145" spans="6:6">
      <c r="F1145" s="537">
        <v>0</v>
      </c>
    </row>
    <row r="1146" spans="6:6">
      <c r="F1146" s="537">
        <v>0</v>
      </c>
    </row>
    <row r="1147" spans="6:6">
      <c r="F1147" s="537">
        <v>0</v>
      </c>
    </row>
    <row r="1148" spans="6:6">
      <c r="F1148" s="537">
        <v>0</v>
      </c>
    </row>
    <row r="1149" spans="6:6">
      <c r="F1149" s="537">
        <v>0</v>
      </c>
    </row>
    <row r="1150" spans="6:6">
      <c r="F1150" s="537">
        <v>0</v>
      </c>
    </row>
    <row r="1151" spans="6:6">
      <c r="F1151" s="537">
        <v>0</v>
      </c>
    </row>
    <row r="1152" spans="6:6">
      <c r="F1152" s="537">
        <v>0</v>
      </c>
    </row>
    <row r="1153" spans="6:6">
      <c r="F1153" s="537">
        <v>0</v>
      </c>
    </row>
    <row r="1154" spans="6:6">
      <c r="F1154" s="537">
        <v>0</v>
      </c>
    </row>
    <row r="1155" spans="6:6">
      <c r="F1155" s="537">
        <v>0</v>
      </c>
    </row>
    <row r="1156" spans="6:6">
      <c r="F1156" s="537">
        <v>0</v>
      </c>
    </row>
    <row r="1157" spans="6:6">
      <c r="F1157" s="537">
        <v>0</v>
      </c>
    </row>
    <row r="1158" spans="6:6">
      <c r="F1158" s="537">
        <v>0</v>
      </c>
    </row>
    <row r="1159" spans="6:6">
      <c r="F1159" s="537">
        <v>0</v>
      </c>
    </row>
    <row r="1160" spans="6:6">
      <c r="F1160" s="537">
        <v>0</v>
      </c>
    </row>
    <row r="1161" spans="6:6">
      <c r="F1161" s="537">
        <v>0</v>
      </c>
    </row>
    <row r="1162" spans="6:6">
      <c r="F1162" s="537">
        <v>0</v>
      </c>
    </row>
    <row r="1163" spans="6:6">
      <c r="F1163" s="537">
        <v>0</v>
      </c>
    </row>
    <row r="1164" spans="6:6">
      <c r="F1164" s="537">
        <v>0</v>
      </c>
    </row>
    <row r="1165" spans="6:6">
      <c r="F1165" s="537">
        <v>0</v>
      </c>
    </row>
    <row r="1166" spans="6:6">
      <c r="F1166" s="537">
        <v>0</v>
      </c>
    </row>
    <row r="1167" spans="6:6">
      <c r="F1167" s="537">
        <v>0</v>
      </c>
    </row>
    <row r="1168" spans="6:6">
      <c r="F1168" s="537">
        <v>0</v>
      </c>
    </row>
    <row r="1169" spans="6:6">
      <c r="F1169" s="537">
        <v>0</v>
      </c>
    </row>
    <row r="1170" spans="6:6">
      <c r="F1170" s="537">
        <v>0</v>
      </c>
    </row>
    <row r="1171" spans="6:6">
      <c r="F1171" s="537">
        <v>0</v>
      </c>
    </row>
    <row r="1172" spans="6:6">
      <c r="F1172" s="537">
        <v>0</v>
      </c>
    </row>
    <row r="1173" spans="6:6">
      <c r="F1173" s="537">
        <v>0</v>
      </c>
    </row>
    <row r="1174" spans="6:6">
      <c r="F1174" s="537">
        <v>0</v>
      </c>
    </row>
    <row r="1175" spans="6:6">
      <c r="F1175" s="537">
        <v>0</v>
      </c>
    </row>
    <row r="1176" spans="6:6">
      <c r="F1176" s="537">
        <v>0</v>
      </c>
    </row>
    <row r="1177" spans="6:6">
      <c r="F1177" s="537">
        <v>0</v>
      </c>
    </row>
    <row r="1178" spans="6:6">
      <c r="F1178" s="537">
        <v>0</v>
      </c>
    </row>
    <row r="1179" spans="6:6">
      <c r="F1179" s="537">
        <v>0</v>
      </c>
    </row>
    <row r="1180" spans="6:6">
      <c r="F1180" s="537">
        <v>0</v>
      </c>
    </row>
    <row r="1181" spans="6:6">
      <c r="F1181" s="537">
        <v>0</v>
      </c>
    </row>
    <row r="1182" spans="6:6">
      <c r="F1182" s="537">
        <v>0</v>
      </c>
    </row>
    <row r="1183" spans="6:6">
      <c r="F1183" s="537">
        <v>0</v>
      </c>
    </row>
    <row r="1184" spans="6:6">
      <c r="F1184" s="537">
        <v>0</v>
      </c>
    </row>
    <row r="1185" spans="6:6">
      <c r="F1185" s="537">
        <v>0</v>
      </c>
    </row>
    <row r="1186" spans="6:6">
      <c r="F1186" s="537">
        <v>0</v>
      </c>
    </row>
    <row r="1187" spans="6:6">
      <c r="F1187" s="537">
        <v>0</v>
      </c>
    </row>
    <row r="1188" spans="6:6">
      <c r="F1188" s="537">
        <v>0</v>
      </c>
    </row>
    <row r="1189" spans="6:6">
      <c r="F1189" s="537">
        <v>0</v>
      </c>
    </row>
    <row r="1190" spans="6:6">
      <c r="F1190" s="537">
        <v>0</v>
      </c>
    </row>
    <row r="1191" spans="6:6">
      <c r="F1191" s="537">
        <v>0</v>
      </c>
    </row>
    <row r="1192" spans="6:6">
      <c r="F1192" s="537">
        <v>0</v>
      </c>
    </row>
    <row r="1193" spans="6:6">
      <c r="F1193" s="537">
        <v>0</v>
      </c>
    </row>
    <row r="1194" spans="6:6">
      <c r="F1194" s="537">
        <v>0</v>
      </c>
    </row>
    <row r="1195" spans="6:6">
      <c r="F1195" s="537">
        <v>0</v>
      </c>
    </row>
    <row r="1196" spans="6:6">
      <c r="F1196" s="537">
        <v>0</v>
      </c>
    </row>
    <row r="1197" spans="6:6">
      <c r="F1197" s="537">
        <v>0</v>
      </c>
    </row>
    <row r="1198" spans="6:6">
      <c r="F1198" s="537">
        <v>0</v>
      </c>
    </row>
    <row r="1199" spans="6:6">
      <c r="F1199" s="537">
        <v>0</v>
      </c>
    </row>
    <row r="1200" spans="6:6">
      <c r="F1200" s="537">
        <v>0</v>
      </c>
    </row>
    <row r="1201" spans="6:6">
      <c r="F1201" s="537">
        <v>0</v>
      </c>
    </row>
    <row r="1202" spans="6:6">
      <c r="F1202" s="537">
        <v>0</v>
      </c>
    </row>
    <row r="1203" spans="6:6">
      <c r="F1203" s="537">
        <v>0</v>
      </c>
    </row>
    <row r="1204" spans="6:6">
      <c r="F1204" s="537">
        <v>0</v>
      </c>
    </row>
    <row r="1205" spans="6:6">
      <c r="F1205" s="537">
        <v>0</v>
      </c>
    </row>
    <row r="1206" spans="6:6">
      <c r="F1206" s="537">
        <v>0</v>
      </c>
    </row>
    <row r="1207" spans="6:6">
      <c r="F1207" s="537">
        <v>0</v>
      </c>
    </row>
    <row r="1208" spans="6:6">
      <c r="F1208" s="537">
        <v>0</v>
      </c>
    </row>
    <row r="1209" spans="6:6">
      <c r="F1209" s="537">
        <v>0</v>
      </c>
    </row>
    <row r="1210" spans="6:6">
      <c r="F1210" s="537">
        <v>0</v>
      </c>
    </row>
    <row r="1211" spans="6:6">
      <c r="F1211" s="537">
        <v>0</v>
      </c>
    </row>
    <row r="1212" spans="6:6">
      <c r="F1212" s="537">
        <v>0</v>
      </c>
    </row>
    <row r="1213" spans="6:6">
      <c r="F1213" s="537">
        <v>0</v>
      </c>
    </row>
    <row r="1214" spans="6:6">
      <c r="F1214" s="537">
        <v>0</v>
      </c>
    </row>
    <row r="1215" spans="6:6">
      <c r="F1215" s="537">
        <v>0</v>
      </c>
    </row>
    <row r="1216" spans="6:6">
      <c r="F1216" s="537">
        <v>0</v>
      </c>
    </row>
    <row r="1217" spans="6:6">
      <c r="F1217" s="537">
        <v>0</v>
      </c>
    </row>
    <row r="1218" spans="6:6">
      <c r="F1218" s="537">
        <v>0</v>
      </c>
    </row>
    <row r="1219" spans="6:6">
      <c r="F1219" s="537">
        <v>0</v>
      </c>
    </row>
    <row r="1220" spans="6:6">
      <c r="F1220" s="537">
        <v>0</v>
      </c>
    </row>
    <row r="1221" spans="6:6">
      <c r="F1221" s="537">
        <v>0</v>
      </c>
    </row>
    <row r="1222" spans="6:6">
      <c r="F1222" s="537">
        <v>0</v>
      </c>
    </row>
    <row r="1223" spans="6:6">
      <c r="F1223" s="537">
        <v>0</v>
      </c>
    </row>
    <row r="1224" spans="6:6">
      <c r="F1224" s="537">
        <v>0</v>
      </c>
    </row>
    <row r="1225" spans="6:6">
      <c r="F1225" s="537">
        <v>0</v>
      </c>
    </row>
    <row r="1226" spans="6:6">
      <c r="F1226" s="537">
        <v>0</v>
      </c>
    </row>
    <row r="1227" spans="6:6">
      <c r="F1227" s="537">
        <v>0</v>
      </c>
    </row>
    <row r="1228" spans="6:6">
      <c r="F1228" s="537">
        <v>0</v>
      </c>
    </row>
    <row r="1229" spans="6:6">
      <c r="F1229" s="537">
        <v>0</v>
      </c>
    </row>
    <row r="1230" spans="6:6">
      <c r="F1230" s="537">
        <v>0</v>
      </c>
    </row>
    <row r="1231" spans="6:6">
      <c r="F1231" s="537">
        <v>0</v>
      </c>
    </row>
    <row r="1232" spans="6:6">
      <c r="F1232" s="537">
        <v>0</v>
      </c>
    </row>
    <row r="1233" spans="6:6">
      <c r="F1233" s="537">
        <v>0</v>
      </c>
    </row>
    <row r="1234" spans="6:6">
      <c r="F1234" s="537">
        <v>0</v>
      </c>
    </row>
    <row r="1235" spans="6:6">
      <c r="F1235" s="537">
        <v>0</v>
      </c>
    </row>
    <row r="1236" spans="6:6">
      <c r="F1236" s="537">
        <v>0</v>
      </c>
    </row>
    <row r="1237" spans="6:6">
      <c r="F1237" s="537">
        <v>0</v>
      </c>
    </row>
    <row r="1238" spans="6:6">
      <c r="F1238" s="537">
        <v>0</v>
      </c>
    </row>
    <row r="1239" spans="6:6">
      <c r="F1239" s="537">
        <v>0</v>
      </c>
    </row>
    <row r="1240" spans="6:6">
      <c r="F1240" s="537">
        <v>0</v>
      </c>
    </row>
    <row r="1241" spans="6:6">
      <c r="F1241" s="537">
        <v>0</v>
      </c>
    </row>
    <row r="1242" spans="6:6">
      <c r="F1242" s="537">
        <v>0</v>
      </c>
    </row>
    <row r="1243" spans="6:6">
      <c r="F1243" s="537">
        <v>0</v>
      </c>
    </row>
    <row r="1244" spans="6:6">
      <c r="F1244" s="537">
        <v>0</v>
      </c>
    </row>
    <row r="1245" spans="6:6">
      <c r="F1245" s="537">
        <v>0</v>
      </c>
    </row>
    <row r="1246" spans="6:6">
      <c r="F1246" s="537">
        <v>0</v>
      </c>
    </row>
    <row r="1247" spans="6:6">
      <c r="F1247" s="537">
        <v>0</v>
      </c>
    </row>
    <row r="1248" spans="6:6">
      <c r="F1248" s="537">
        <v>0</v>
      </c>
    </row>
    <row r="1249" spans="6:6">
      <c r="F1249" s="537">
        <v>0</v>
      </c>
    </row>
    <row r="1250" spans="6:6">
      <c r="F1250" s="537">
        <v>0</v>
      </c>
    </row>
    <row r="1251" spans="6:6">
      <c r="F1251" s="537">
        <v>0</v>
      </c>
    </row>
    <row r="1252" spans="6:6">
      <c r="F1252" s="537">
        <v>0</v>
      </c>
    </row>
    <row r="1253" spans="6:6">
      <c r="F1253" s="537">
        <v>0</v>
      </c>
    </row>
    <row r="1254" spans="6:6">
      <c r="F1254" s="537">
        <v>0</v>
      </c>
    </row>
    <row r="1255" spans="6:6">
      <c r="F1255" s="537">
        <v>0</v>
      </c>
    </row>
    <row r="1256" spans="6:6">
      <c r="F1256" s="537">
        <v>0</v>
      </c>
    </row>
    <row r="1257" spans="6:6">
      <c r="F1257" s="537">
        <v>0</v>
      </c>
    </row>
    <row r="1258" spans="6:6">
      <c r="F1258" s="537">
        <v>0</v>
      </c>
    </row>
    <row r="1259" spans="6:6">
      <c r="F1259" s="537">
        <v>0</v>
      </c>
    </row>
    <row r="1260" spans="6:6">
      <c r="F1260" s="537">
        <v>0</v>
      </c>
    </row>
    <row r="1261" spans="6:6">
      <c r="F1261" s="537">
        <v>0</v>
      </c>
    </row>
    <row r="1262" spans="6:6">
      <c r="F1262" s="537">
        <v>0</v>
      </c>
    </row>
    <row r="1263" spans="6:6">
      <c r="F1263" s="537">
        <v>0</v>
      </c>
    </row>
    <row r="1264" spans="6:6">
      <c r="F1264" s="537">
        <v>0</v>
      </c>
    </row>
    <row r="1265" spans="6:6">
      <c r="F1265" s="537">
        <v>0</v>
      </c>
    </row>
    <row r="1266" spans="6:6">
      <c r="F1266" s="537">
        <v>0</v>
      </c>
    </row>
    <row r="1267" spans="6:6">
      <c r="F1267" s="537">
        <v>0</v>
      </c>
    </row>
    <row r="1268" spans="6:6">
      <c r="F1268" s="537">
        <v>0</v>
      </c>
    </row>
    <row r="1269" spans="6:6">
      <c r="F1269" s="537">
        <v>0</v>
      </c>
    </row>
    <row r="1270" spans="6:6">
      <c r="F1270" s="537">
        <v>0</v>
      </c>
    </row>
    <row r="1271" spans="6:6">
      <c r="F1271" s="537">
        <v>0</v>
      </c>
    </row>
    <row r="1272" spans="6:6">
      <c r="F1272" s="537">
        <v>0</v>
      </c>
    </row>
    <row r="1273" spans="6:6">
      <c r="F1273" s="537">
        <v>0</v>
      </c>
    </row>
    <row r="1274" spans="6:6">
      <c r="F1274" s="537">
        <v>0</v>
      </c>
    </row>
    <row r="1275" spans="6:6">
      <c r="F1275" s="537">
        <v>0</v>
      </c>
    </row>
    <row r="1276" spans="6:6">
      <c r="F1276" s="537">
        <v>0</v>
      </c>
    </row>
    <row r="1277" spans="6:6">
      <c r="F1277" s="537">
        <v>0</v>
      </c>
    </row>
    <row r="1278" spans="6:6">
      <c r="F1278" s="537">
        <v>0</v>
      </c>
    </row>
    <row r="1279" spans="6:6">
      <c r="F1279" s="537">
        <v>0</v>
      </c>
    </row>
    <row r="1280" spans="6:6">
      <c r="F1280" s="537">
        <v>0</v>
      </c>
    </row>
    <row r="1281" spans="6:6">
      <c r="F1281" s="537">
        <v>0</v>
      </c>
    </row>
    <row r="1282" spans="6:6">
      <c r="F1282" s="537">
        <v>0</v>
      </c>
    </row>
    <row r="1283" spans="6:6">
      <c r="F1283" s="537">
        <v>0</v>
      </c>
    </row>
    <row r="1284" spans="6:6">
      <c r="F1284" s="537">
        <v>0</v>
      </c>
    </row>
    <row r="1285" spans="6:6">
      <c r="F1285" s="537">
        <v>0</v>
      </c>
    </row>
    <row r="1286" spans="6:6">
      <c r="F1286" s="537">
        <v>0</v>
      </c>
    </row>
    <row r="1287" spans="6:6">
      <c r="F1287" s="537">
        <v>0</v>
      </c>
    </row>
    <row r="1288" spans="6:6">
      <c r="F1288" s="537">
        <v>0</v>
      </c>
    </row>
    <row r="1289" spans="6:6">
      <c r="F1289" s="537">
        <v>0</v>
      </c>
    </row>
    <row r="1290" spans="6:6">
      <c r="F1290" s="537">
        <v>0</v>
      </c>
    </row>
    <row r="1291" spans="6:6">
      <c r="F1291" s="537">
        <v>0</v>
      </c>
    </row>
    <row r="1292" spans="6:6">
      <c r="F1292" s="537">
        <v>0</v>
      </c>
    </row>
    <row r="1293" spans="6:6">
      <c r="F1293" s="537">
        <v>0</v>
      </c>
    </row>
    <row r="1294" spans="6:6">
      <c r="F1294" s="537">
        <v>0</v>
      </c>
    </row>
    <row r="1295" spans="6:6">
      <c r="F1295" s="537">
        <v>0</v>
      </c>
    </row>
    <row r="1296" spans="6:6">
      <c r="F1296" s="537">
        <v>0</v>
      </c>
    </row>
    <row r="1297" spans="6:6">
      <c r="F1297" s="537">
        <v>0</v>
      </c>
    </row>
    <row r="1298" spans="6:6">
      <c r="F1298" s="537">
        <v>0</v>
      </c>
    </row>
    <row r="1299" spans="6:6">
      <c r="F1299" s="537">
        <v>0</v>
      </c>
    </row>
    <row r="1300" spans="6:6">
      <c r="F1300" s="537">
        <v>0</v>
      </c>
    </row>
    <row r="1301" spans="6:6">
      <c r="F1301" s="537">
        <v>0</v>
      </c>
    </row>
    <row r="1302" spans="6:6">
      <c r="F1302" s="537">
        <v>0</v>
      </c>
    </row>
    <row r="1303" spans="6:6">
      <c r="F1303" s="537">
        <v>0</v>
      </c>
    </row>
    <row r="1304" spans="6:6">
      <c r="F1304" s="537">
        <v>0</v>
      </c>
    </row>
    <row r="1305" spans="6:6">
      <c r="F1305" s="537">
        <v>0</v>
      </c>
    </row>
    <row r="1306" spans="6:6">
      <c r="F1306" s="537">
        <v>0</v>
      </c>
    </row>
    <row r="1307" spans="6:6">
      <c r="F1307" s="537">
        <v>0</v>
      </c>
    </row>
    <row r="1308" spans="6:6">
      <c r="F1308" s="537">
        <v>0</v>
      </c>
    </row>
    <row r="1309" spans="6:6">
      <c r="F1309" s="537">
        <v>0</v>
      </c>
    </row>
    <row r="1310" spans="6:6">
      <c r="F1310" s="537">
        <v>0</v>
      </c>
    </row>
    <row r="1311" spans="6:6">
      <c r="F1311" s="537">
        <v>0</v>
      </c>
    </row>
    <row r="1312" spans="6:6">
      <c r="F1312" s="537">
        <v>0</v>
      </c>
    </row>
    <row r="1313" spans="6:6">
      <c r="F1313" s="537">
        <v>0</v>
      </c>
    </row>
    <row r="1314" spans="6:6">
      <c r="F1314" s="537">
        <v>0</v>
      </c>
    </row>
    <row r="1315" spans="6:6">
      <c r="F1315" s="537">
        <v>0</v>
      </c>
    </row>
    <row r="1316" spans="6:6">
      <c r="F1316" s="537">
        <v>0</v>
      </c>
    </row>
    <row r="1317" spans="6:6">
      <c r="F1317" s="537">
        <v>0</v>
      </c>
    </row>
    <row r="1318" spans="6:6">
      <c r="F1318" s="537">
        <v>0</v>
      </c>
    </row>
    <row r="1319" spans="6:6">
      <c r="F1319" s="537">
        <v>0</v>
      </c>
    </row>
    <row r="1320" spans="6:6">
      <c r="F1320" s="537">
        <v>0</v>
      </c>
    </row>
    <row r="1321" spans="6:6">
      <c r="F1321" s="537">
        <v>0</v>
      </c>
    </row>
    <row r="1322" spans="6:6">
      <c r="F1322" s="537">
        <v>0</v>
      </c>
    </row>
    <row r="1323" spans="6:6">
      <c r="F1323" s="537">
        <v>0</v>
      </c>
    </row>
    <row r="1324" spans="6:6">
      <c r="F1324" s="537">
        <v>0</v>
      </c>
    </row>
    <row r="1325" spans="6:6">
      <c r="F1325" s="537">
        <v>0</v>
      </c>
    </row>
    <row r="1326" spans="6:6">
      <c r="F1326" s="537">
        <v>0</v>
      </c>
    </row>
    <row r="1327" spans="6:6">
      <c r="F1327" s="537">
        <v>0</v>
      </c>
    </row>
    <row r="1328" spans="6:6">
      <c r="F1328" s="537">
        <v>0</v>
      </c>
    </row>
    <row r="1329" spans="6:6">
      <c r="F1329" s="537">
        <v>0</v>
      </c>
    </row>
    <row r="1330" spans="6:6">
      <c r="F1330" s="537">
        <v>0</v>
      </c>
    </row>
    <row r="1331" spans="6:6">
      <c r="F1331" s="537">
        <v>0</v>
      </c>
    </row>
    <row r="1332" spans="6:6">
      <c r="F1332" s="537">
        <v>0</v>
      </c>
    </row>
    <row r="1333" spans="6:6">
      <c r="F1333" s="537">
        <v>0</v>
      </c>
    </row>
    <row r="1334" spans="6:6">
      <c r="F1334" s="537">
        <v>0</v>
      </c>
    </row>
    <row r="1335" spans="6:6">
      <c r="F1335" s="537">
        <v>0</v>
      </c>
    </row>
    <row r="1336" spans="6:6">
      <c r="F1336" s="537">
        <v>0</v>
      </c>
    </row>
    <row r="1337" spans="6:6">
      <c r="F1337" s="537">
        <v>0</v>
      </c>
    </row>
    <row r="1338" spans="6:6">
      <c r="F1338" s="537">
        <v>0</v>
      </c>
    </row>
    <row r="1339" spans="6:6">
      <c r="F1339" s="537">
        <v>0</v>
      </c>
    </row>
    <row r="1340" spans="6:6">
      <c r="F1340" s="537">
        <v>0</v>
      </c>
    </row>
    <row r="1341" spans="6:6">
      <c r="F1341" s="537">
        <v>0</v>
      </c>
    </row>
    <row r="1342" spans="6:6">
      <c r="F1342" s="537">
        <v>0</v>
      </c>
    </row>
    <row r="1343" spans="6:6">
      <c r="F1343" s="537">
        <v>0</v>
      </c>
    </row>
    <row r="1344" spans="6:6">
      <c r="F1344" s="537">
        <v>0</v>
      </c>
    </row>
    <row r="1345" spans="6:6">
      <c r="F1345" s="537">
        <v>0</v>
      </c>
    </row>
    <row r="1346" spans="6:6">
      <c r="F1346" s="537">
        <v>0</v>
      </c>
    </row>
    <row r="1347" spans="6:6">
      <c r="F1347" s="537">
        <v>0</v>
      </c>
    </row>
    <row r="1348" spans="6:6">
      <c r="F1348" s="537">
        <v>0</v>
      </c>
    </row>
    <row r="1349" spans="6:6">
      <c r="F1349" s="537">
        <v>0</v>
      </c>
    </row>
    <row r="1350" spans="6:6">
      <c r="F1350" s="537">
        <v>0</v>
      </c>
    </row>
    <row r="1351" spans="6:6">
      <c r="F1351" s="537">
        <v>0</v>
      </c>
    </row>
    <row r="1352" spans="6:6">
      <c r="F1352" s="537">
        <v>0</v>
      </c>
    </row>
    <row r="1353" spans="6:6">
      <c r="F1353" s="537">
        <v>0</v>
      </c>
    </row>
    <row r="1354" spans="6:6">
      <c r="F1354" s="537">
        <v>0</v>
      </c>
    </row>
    <row r="1355" spans="6:6">
      <c r="F1355" s="537">
        <v>0</v>
      </c>
    </row>
    <row r="1356" spans="6:6">
      <c r="F1356" s="537">
        <v>0</v>
      </c>
    </row>
    <row r="1357" spans="6:6">
      <c r="F1357" s="537">
        <v>0</v>
      </c>
    </row>
    <row r="1358" spans="6:6">
      <c r="F1358" s="537">
        <v>0</v>
      </c>
    </row>
    <row r="1359" spans="6:6">
      <c r="F1359" s="537">
        <v>0</v>
      </c>
    </row>
    <row r="1360" spans="6:6">
      <c r="F1360" s="537">
        <v>0</v>
      </c>
    </row>
    <row r="1361" spans="6:6">
      <c r="F1361" s="537">
        <v>0</v>
      </c>
    </row>
    <row r="1362" spans="6:6">
      <c r="F1362" s="537">
        <v>0</v>
      </c>
    </row>
    <row r="1363" spans="6:6">
      <c r="F1363" s="537">
        <v>0</v>
      </c>
    </row>
    <row r="1364" spans="6:6">
      <c r="F1364" s="537">
        <v>0</v>
      </c>
    </row>
    <row r="1365" spans="6:6">
      <c r="F1365" s="537">
        <v>0</v>
      </c>
    </row>
    <row r="1366" spans="6:6">
      <c r="F1366" s="537">
        <v>0</v>
      </c>
    </row>
    <row r="1367" spans="6:6">
      <c r="F1367" s="537">
        <v>0</v>
      </c>
    </row>
    <row r="1368" spans="6:6">
      <c r="F1368" s="537">
        <v>0</v>
      </c>
    </row>
    <row r="1369" spans="6:6">
      <c r="F1369" s="537">
        <v>0</v>
      </c>
    </row>
    <row r="1370" spans="6:6">
      <c r="F1370" s="537">
        <v>0</v>
      </c>
    </row>
    <row r="1371" spans="6:6">
      <c r="F1371" s="537">
        <v>0</v>
      </c>
    </row>
    <row r="1372" spans="6:6">
      <c r="F1372" s="537">
        <v>0</v>
      </c>
    </row>
    <row r="1373" spans="6:6">
      <c r="F1373" s="537">
        <v>0</v>
      </c>
    </row>
    <row r="1374" spans="6:6">
      <c r="F1374" s="537">
        <v>0</v>
      </c>
    </row>
    <row r="1375" spans="6:6">
      <c r="F1375" s="537">
        <v>0</v>
      </c>
    </row>
    <row r="1376" spans="6:6">
      <c r="F1376" s="537">
        <v>0</v>
      </c>
    </row>
    <row r="1377" spans="6:6">
      <c r="F1377" s="537">
        <v>0</v>
      </c>
    </row>
    <row r="1378" spans="6:6">
      <c r="F1378" s="537">
        <v>0</v>
      </c>
    </row>
    <row r="1379" spans="6:6">
      <c r="F1379" s="537">
        <v>0</v>
      </c>
    </row>
    <row r="1380" spans="6:6">
      <c r="F1380" s="537">
        <v>0</v>
      </c>
    </row>
    <row r="1381" spans="6:6">
      <c r="F1381" s="537">
        <v>0</v>
      </c>
    </row>
    <row r="1382" spans="6:6">
      <c r="F1382" s="537">
        <v>0</v>
      </c>
    </row>
    <row r="1383" spans="6:6">
      <c r="F1383" s="537">
        <v>0</v>
      </c>
    </row>
    <row r="1384" spans="6:6">
      <c r="F1384" s="537">
        <v>0</v>
      </c>
    </row>
    <row r="1385" spans="6:6">
      <c r="F1385" s="537">
        <v>0</v>
      </c>
    </row>
    <row r="1386" spans="6:6">
      <c r="F1386" s="537">
        <v>0</v>
      </c>
    </row>
    <row r="1387" spans="6:6">
      <c r="F1387" s="537">
        <v>0</v>
      </c>
    </row>
    <row r="1388" spans="6:6">
      <c r="F1388" s="537">
        <v>0</v>
      </c>
    </row>
    <row r="1389" spans="6:6">
      <c r="F1389" s="537">
        <v>0</v>
      </c>
    </row>
    <row r="1390" spans="6:6">
      <c r="F1390" s="537">
        <v>0</v>
      </c>
    </row>
    <row r="1391" spans="6:6">
      <c r="F1391" s="537">
        <v>0</v>
      </c>
    </row>
    <row r="1392" spans="6:6">
      <c r="F1392" s="537">
        <v>0</v>
      </c>
    </row>
    <row r="1393" spans="6:6">
      <c r="F1393" s="537">
        <v>0</v>
      </c>
    </row>
    <row r="1394" spans="6:6">
      <c r="F1394" s="537">
        <v>0</v>
      </c>
    </row>
    <row r="1395" spans="6:6">
      <c r="F1395" s="537">
        <v>0</v>
      </c>
    </row>
    <row r="1396" spans="6:6">
      <c r="F1396" s="537">
        <v>0</v>
      </c>
    </row>
    <row r="1397" spans="6:6">
      <c r="F1397" s="537">
        <v>0</v>
      </c>
    </row>
    <row r="1398" spans="6:6">
      <c r="F1398" s="537">
        <v>0</v>
      </c>
    </row>
    <row r="1399" spans="6:6">
      <c r="F1399" s="537">
        <v>0</v>
      </c>
    </row>
    <row r="1400" spans="6:6">
      <c r="F1400" s="537">
        <v>0</v>
      </c>
    </row>
    <row r="1401" spans="6:6">
      <c r="F1401" s="537">
        <v>0</v>
      </c>
    </row>
    <row r="1402" spans="6:6">
      <c r="F1402" s="537">
        <v>0</v>
      </c>
    </row>
    <row r="1403" spans="6:6">
      <c r="F1403" s="537">
        <v>0</v>
      </c>
    </row>
    <row r="1404" spans="6:6">
      <c r="F1404" s="537">
        <v>0</v>
      </c>
    </row>
    <row r="1405" spans="6:6">
      <c r="F1405" s="537">
        <v>0</v>
      </c>
    </row>
    <row r="1406" spans="6:6">
      <c r="F1406" s="537">
        <v>0</v>
      </c>
    </row>
    <row r="1407" spans="6:6">
      <c r="F1407" s="537">
        <v>0</v>
      </c>
    </row>
    <row r="1408" spans="6:6">
      <c r="F1408" s="537">
        <v>0</v>
      </c>
    </row>
    <row r="1409" spans="6:6">
      <c r="F1409" s="537">
        <v>0</v>
      </c>
    </row>
    <row r="1410" spans="6:6">
      <c r="F1410" s="537">
        <v>0</v>
      </c>
    </row>
    <row r="1411" spans="6:6">
      <c r="F1411" s="537">
        <v>0</v>
      </c>
    </row>
    <row r="1412" spans="6:6">
      <c r="F1412" s="537">
        <v>0</v>
      </c>
    </row>
    <row r="1413" spans="6:6">
      <c r="F1413" s="537">
        <v>0</v>
      </c>
    </row>
    <row r="1414" spans="6:6">
      <c r="F1414" s="537">
        <v>0</v>
      </c>
    </row>
    <row r="1415" spans="6:6">
      <c r="F1415" s="537">
        <v>0</v>
      </c>
    </row>
    <row r="1416" spans="6:6">
      <c r="F1416" s="537">
        <v>0</v>
      </c>
    </row>
    <row r="1417" spans="6:6">
      <c r="F1417" s="537">
        <v>0</v>
      </c>
    </row>
    <row r="1418" spans="6:6">
      <c r="F1418" s="537">
        <v>0</v>
      </c>
    </row>
    <row r="1419" spans="6:6">
      <c r="F1419" s="537">
        <v>0</v>
      </c>
    </row>
    <row r="1420" spans="6:6">
      <c r="F1420" s="537">
        <v>0</v>
      </c>
    </row>
    <row r="1421" spans="6:6">
      <c r="F1421" s="537">
        <v>0</v>
      </c>
    </row>
    <row r="1422" spans="6:6">
      <c r="F1422" s="537">
        <v>0</v>
      </c>
    </row>
    <row r="1423" spans="6:6">
      <c r="F1423" s="537">
        <v>0</v>
      </c>
    </row>
    <row r="1424" spans="6:6">
      <c r="F1424" s="537">
        <v>0</v>
      </c>
    </row>
    <row r="1425" spans="6:6">
      <c r="F1425" s="537">
        <v>0</v>
      </c>
    </row>
    <row r="1426" spans="6:6">
      <c r="F1426" s="537">
        <v>0</v>
      </c>
    </row>
    <row r="1427" spans="6:6">
      <c r="F1427" s="537">
        <v>0</v>
      </c>
    </row>
    <row r="1428" spans="6:6">
      <c r="F1428" s="537">
        <v>0</v>
      </c>
    </row>
    <row r="1429" spans="6:6">
      <c r="F1429" s="537">
        <v>0</v>
      </c>
    </row>
    <row r="1430" spans="6:6">
      <c r="F1430" s="537">
        <v>0</v>
      </c>
    </row>
    <row r="1431" spans="6:6">
      <c r="F1431" s="537">
        <v>0</v>
      </c>
    </row>
    <row r="1432" spans="6:6">
      <c r="F1432" s="537">
        <v>0</v>
      </c>
    </row>
    <row r="1433" spans="6:6">
      <c r="F1433" s="537">
        <v>0</v>
      </c>
    </row>
    <row r="1434" spans="6:6">
      <c r="F1434" s="537">
        <v>0</v>
      </c>
    </row>
    <row r="1435" spans="6:6">
      <c r="F1435" s="537">
        <v>0</v>
      </c>
    </row>
    <row r="1436" spans="6:6">
      <c r="F1436" s="537">
        <v>0</v>
      </c>
    </row>
    <row r="1437" spans="6:6">
      <c r="F1437" s="537">
        <v>0</v>
      </c>
    </row>
    <row r="1438" spans="6:6">
      <c r="F1438" s="537">
        <v>0</v>
      </c>
    </row>
    <row r="1439" spans="6:6">
      <c r="F1439" s="537">
        <v>0</v>
      </c>
    </row>
    <row r="1440" spans="6:6">
      <c r="F1440" s="537">
        <v>0</v>
      </c>
    </row>
    <row r="1441" spans="6:6">
      <c r="F1441" s="537">
        <v>0</v>
      </c>
    </row>
    <row r="1442" spans="6:6">
      <c r="F1442" s="537">
        <v>0</v>
      </c>
    </row>
    <row r="1443" spans="6:6">
      <c r="F1443" s="537">
        <v>0</v>
      </c>
    </row>
    <row r="1444" spans="6:6">
      <c r="F1444" s="537">
        <v>0</v>
      </c>
    </row>
    <row r="1445" spans="6:6">
      <c r="F1445" s="537">
        <v>0</v>
      </c>
    </row>
    <row r="1446" spans="6:6">
      <c r="F1446" s="537">
        <v>0</v>
      </c>
    </row>
    <row r="1447" spans="6:6">
      <c r="F1447" s="537">
        <v>0</v>
      </c>
    </row>
    <row r="1448" spans="6:6">
      <c r="F1448" s="537">
        <v>0</v>
      </c>
    </row>
    <row r="1449" spans="6:6">
      <c r="F1449" s="537">
        <v>0</v>
      </c>
    </row>
    <row r="1450" spans="6:6">
      <c r="F1450" s="537">
        <v>0</v>
      </c>
    </row>
    <row r="1451" spans="6:6">
      <c r="F1451" s="537">
        <v>0</v>
      </c>
    </row>
    <row r="1452" spans="6:6">
      <c r="F1452" s="537">
        <v>0</v>
      </c>
    </row>
    <row r="1453" spans="6:6">
      <c r="F1453" s="537">
        <v>0</v>
      </c>
    </row>
    <row r="1454" spans="6:6">
      <c r="F1454" s="537">
        <v>0</v>
      </c>
    </row>
    <row r="1455" spans="6:6">
      <c r="F1455" s="537">
        <v>0</v>
      </c>
    </row>
    <row r="1456" spans="6:6">
      <c r="F1456" s="537">
        <v>0</v>
      </c>
    </row>
    <row r="1457" spans="6:6">
      <c r="F1457" s="537">
        <v>0</v>
      </c>
    </row>
    <row r="1458" spans="6:6">
      <c r="F1458" s="537">
        <v>0</v>
      </c>
    </row>
    <row r="1459" spans="6:6">
      <c r="F1459" s="537">
        <v>0</v>
      </c>
    </row>
    <row r="1460" spans="6:6">
      <c r="F1460" s="537">
        <v>0</v>
      </c>
    </row>
    <row r="1461" spans="6:6">
      <c r="F1461" s="537">
        <v>0</v>
      </c>
    </row>
    <row r="1462" spans="6:6">
      <c r="F1462" s="537">
        <v>0</v>
      </c>
    </row>
    <row r="1463" spans="6:6">
      <c r="F1463" s="537">
        <v>0</v>
      </c>
    </row>
    <row r="1464" spans="6:6">
      <c r="F1464" s="537">
        <v>0</v>
      </c>
    </row>
    <row r="1465" spans="6:6">
      <c r="F1465" s="537">
        <v>0</v>
      </c>
    </row>
    <row r="1466" spans="6:6">
      <c r="F1466" s="537">
        <v>0</v>
      </c>
    </row>
    <row r="1467" spans="6:6">
      <c r="F1467" s="537">
        <v>0</v>
      </c>
    </row>
    <row r="1468" spans="6:6">
      <c r="F1468" s="537">
        <v>0</v>
      </c>
    </row>
    <row r="1469" spans="6:6">
      <c r="F1469" s="537">
        <v>0</v>
      </c>
    </row>
    <row r="1470" spans="6:6">
      <c r="F1470" s="537">
        <v>0</v>
      </c>
    </row>
    <row r="1471" spans="6:6">
      <c r="F1471" s="537">
        <v>0</v>
      </c>
    </row>
    <row r="1472" spans="6:6">
      <c r="F1472" s="537">
        <v>0</v>
      </c>
    </row>
    <row r="1473" spans="6:6">
      <c r="F1473" s="537">
        <v>0</v>
      </c>
    </row>
    <row r="1474" spans="6:6">
      <c r="F1474" s="537">
        <v>0</v>
      </c>
    </row>
    <row r="1475" spans="6:6">
      <c r="F1475" s="537">
        <v>0</v>
      </c>
    </row>
    <row r="1476" spans="6:6">
      <c r="F1476" s="537">
        <v>0</v>
      </c>
    </row>
    <row r="1477" spans="6:6">
      <c r="F1477" s="537">
        <v>0</v>
      </c>
    </row>
    <row r="1478" spans="6:6">
      <c r="F1478" s="537">
        <v>0</v>
      </c>
    </row>
    <row r="1479" spans="6:6">
      <c r="F1479" s="537">
        <v>0</v>
      </c>
    </row>
    <row r="1480" spans="6:6">
      <c r="F1480" s="537">
        <v>0</v>
      </c>
    </row>
    <row r="1481" spans="6:6">
      <c r="F1481" s="537">
        <v>0</v>
      </c>
    </row>
    <row r="1482" spans="6:6">
      <c r="F1482" s="537">
        <v>0</v>
      </c>
    </row>
    <row r="1483" spans="6:6">
      <c r="F1483" s="537">
        <v>0</v>
      </c>
    </row>
    <row r="1484" spans="6:6">
      <c r="F1484" s="537">
        <v>0</v>
      </c>
    </row>
    <row r="1485" spans="6:6">
      <c r="F1485" s="537">
        <v>0</v>
      </c>
    </row>
    <row r="1486" spans="6:6">
      <c r="F1486" s="537">
        <v>0</v>
      </c>
    </row>
    <row r="1487" spans="6:6">
      <c r="F1487" s="537">
        <v>0</v>
      </c>
    </row>
    <row r="1488" spans="6:6">
      <c r="F1488" s="537">
        <v>0</v>
      </c>
    </row>
    <row r="1489" spans="6:6">
      <c r="F1489" s="537">
        <v>0</v>
      </c>
    </row>
    <row r="1490" spans="6:6">
      <c r="F1490" s="537">
        <v>0</v>
      </c>
    </row>
    <row r="1491" spans="6:6">
      <c r="F1491" s="537">
        <v>0</v>
      </c>
    </row>
    <row r="1492" spans="6:6">
      <c r="F1492" s="537">
        <v>0</v>
      </c>
    </row>
    <row r="1493" spans="6:6">
      <c r="F1493" s="537">
        <v>0</v>
      </c>
    </row>
    <row r="1494" spans="6:6">
      <c r="F1494" s="537">
        <v>0</v>
      </c>
    </row>
    <row r="1495" spans="6:6">
      <c r="F1495" s="537">
        <v>0</v>
      </c>
    </row>
    <row r="1496" spans="6:6">
      <c r="F1496" s="537">
        <v>0</v>
      </c>
    </row>
    <row r="1497" spans="6:6">
      <c r="F1497" s="537">
        <v>0</v>
      </c>
    </row>
    <row r="1498" spans="6:6">
      <c r="F1498" s="537">
        <v>0</v>
      </c>
    </row>
    <row r="1499" spans="6:6">
      <c r="F1499" s="537">
        <v>0</v>
      </c>
    </row>
    <row r="1500" spans="6:6">
      <c r="F1500" s="537">
        <v>0</v>
      </c>
    </row>
    <row r="1501" spans="6:6">
      <c r="F1501" s="537">
        <v>0</v>
      </c>
    </row>
    <row r="1502" spans="6:6">
      <c r="F1502" s="537">
        <v>0</v>
      </c>
    </row>
    <row r="1503" spans="6:6">
      <c r="F1503" s="537">
        <v>0</v>
      </c>
    </row>
    <row r="1504" spans="6:6">
      <c r="F1504" s="537">
        <v>0</v>
      </c>
    </row>
    <row r="1505" spans="6:6">
      <c r="F1505" s="537">
        <v>0</v>
      </c>
    </row>
    <row r="1506" spans="6:6">
      <c r="F1506" s="537">
        <v>0</v>
      </c>
    </row>
    <row r="1507" spans="6:6">
      <c r="F1507" s="537">
        <v>0</v>
      </c>
    </row>
    <row r="1508" spans="6:6">
      <c r="F1508" s="537">
        <v>0</v>
      </c>
    </row>
    <row r="1509" spans="6:6">
      <c r="F1509" s="537">
        <v>0</v>
      </c>
    </row>
    <row r="1510" spans="6:6">
      <c r="F1510" s="537">
        <v>0</v>
      </c>
    </row>
    <row r="1511" spans="6:6">
      <c r="F1511" s="537">
        <v>0</v>
      </c>
    </row>
    <row r="1512" spans="6:6">
      <c r="F1512" s="537">
        <v>0</v>
      </c>
    </row>
    <row r="1513" spans="6:6">
      <c r="F1513" s="537">
        <v>0</v>
      </c>
    </row>
    <row r="1514" spans="6:6">
      <c r="F1514" s="537">
        <v>0</v>
      </c>
    </row>
    <row r="1515" spans="6:6">
      <c r="F1515" s="537">
        <v>0</v>
      </c>
    </row>
    <row r="1516" spans="6:6">
      <c r="F1516" s="537">
        <v>0</v>
      </c>
    </row>
    <row r="1517" spans="6:6">
      <c r="F1517" s="537">
        <v>0</v>
      </c>
    </row>
    <row r="1518" spans="6:6">
      <c r="F1518" s="537">
        <v>0</v>
      </c>
    </row>
    <row r="1519" spans="6:6">
      <c r="F1519" s="537">
        <v>0</v>
      </c>
    </row>
    <row r="1520" spans="6:6">
      <c r="F1520" s="537">
        <v>0</v>
      </c>
    </row>
    <row r="1521" spans="6:6">
      <c r="F1521" s="537">
        <v>0</v>
      </c>
    </row>
    <row r="1522" spans="6:6">
      <c r="F1522" s="537">
        <v>0</v>
      </c>
    </row>
    <row r="1523" spans="6:6">
      <c r="F1523" s="537">
        <v>0</v>
      </c>
    </row>
    <row r="1524" spans="6:6">
      <c r="F1524" s="537">
        <v>0</v>
      </c>
    </row>
    <row r="1525" spans="6:6">
      <c r="F1525" s="537">
        <v>0</v>
      </c>
    </row>
    <row r="1526" spans="6:6">
      <c r="F1526" s="537">
        <v>0</v>
      </c>
    </row>
    <row r="1527" spans="6:6">
      <c r="F1527" s="537">
        <v>0</v>
      </c>
    </row>
    <row r="1528" spans="6:6">
      <c r="F1528" s="537">
        <v>0</v>
      </c>
    </row>
    <row r="1529" spans="6:6">
      <c r="F1529" s="537">
        <v>0</v>
      </c>
    </row>
    <row r="1530" spans="6:6">
      <c r="F1530" s="537">
        <v>0</v>
      </c>
    </row>
    <row r="1531" spans="6:6">
      <c r="F1531" s="537">
        <v>0</v>
      </c>
    </row>
    <row r="1532" spans="6:6">
      <c r="F1532" s="537">
        <v>0</v>
      </c>
    </row>
    <row r="1533" spans="6:6">
      <c r="F1533" s="537">
        <v>0</v>
      </c>
    </row>
    <row r="1534" spans="6:6">
      <c r="F1534" s="537">
        <v>0</v>
      </c>
    </row>
    <row r="1535" spans="6:6">
      <c r="F1535" s="537">
        <v>0</v>
      </c>
    </row>
    <row r="1536" spans="6:6">
      <c r="F1536" s="537">
        <v>0</v>
      </c>
    </row>
    <row r="1537" spans="6:6">
      <c r="F1537" s="537">
        <v>0</v>
      </c>
    </row>
    <row r="1538" spans="6:6">
      <c r="F1538" s="537">
        <v>0</v>
      </c>
    </row>
    <row r="1539" spans="6:6">
      <c r="F1539" s="537">
        <v>0</v>
      </c>
    </row>
    <row r="1540" spans="6:6">
      <c r="F1540" s="537">
        <v>0</v>
      </c>
    </row>
    <row r="1541" spans="6:6">
      <c r="F1541" s="537">
        <v>0</v>
      </c>
    </row>
    <row r="1542" spans="6:6">
      <c r="F1542" s="537">
        <v>0</v>
      </c>
    </row>
    <row r="1543" spans="6:6">
      <c r="F1543" s="537">
        <v>0</v>
      </c>
    </row>
    <row r="1544" spans="6:6">
      <c r="F1544" s="537">
        <v>0</v>
      </c>
    </row>
    <row r="1545" spans="6:6">
      <c r="F1545" s="537">
        <v>0</v>
      </c>
    </row>
    <row r="1546" spans="6:6">
      <c r="F1546" s="537">
        <v>0</v>
      </c>
    </row>
    <row r="1547" spans="6:6">
      <c r="F1547" s="537">
        <v>0</v>
      </c>
    </row>
    <row r="1548" spans="6:6">
      <c r="F1548" s="537">
        <v>0</v>
      </c>
    </row>
    <row r="1549" spans="6:6">
      <c r="F1549" s="537">
        <v>0</v>
      </c>
    </row>
    <row r="1550" spans="6:6">
      <c r="F1550" s="537">
        <v>0</v>
      </c>
    </row>
    <row r="1551" spans="6:6">
      <c r="F1551" s="537">
        <v>0</v>
      </c>
    </row>
    <row r="1552" spans="6:6">
      <c r="F1552" s="537">
        <v>0</v>
      </c>
    </row>
    <row r="1553" spans="6:6">
      <c r="F1553" s="537">
        <v>0</v>
      </c>
    </row>
    <row r="1554" spans="6:6">
      <c r="F1554" s="537">
        <v>0</v>
      </c>
    </row>
    <row r="1555" spans="6:6">
      <c r="F1555" s="537">
        <v>0</v>
      </c>
    </row>
    <row r="1556" spans="6:6">
      <c r="F1556" s="537">
        <v>0</v>
      </c>
    </row>
    <row r="1557" spans="6:6">
      <c r="F1557" s="537">
        <v>0</v>
      </c>
    </row>
    <row r="1558" spans="6:6">
      <c r="F1558" s="537">
        <v>0</v>
      </c>
    </row>
    <row r="1559" spans="6:6">
      <c r="F1559" s="537">
        <v>0</v>
      </c>
    </row>
    <row r="1560" spans="6:6">
      <c r="F1560" s="537">
        <v>0</v>
      </c>
    </row>
    <row r="1561" spans="6:6">
      <c r="F1561" s="537">
        <v>0</v>
      </c>
    </row>
    <row r="1562" spans="6:6">
      <c r="F1562" s="537">
        <v>0</v>
      </c>
    </row>
    <row r="1563" spans="6:6">
      <c r="F1563" s="537">
        <v>0</v>
      </c>
    </row>
    <row r="1564" spans="6:6">
      <c r="F1564" s="537">
        <v>0</v>
      </c>
    </row>
    <row r="1565" spans="6:6">
      <c r="F1565" s="537">
        <v>0</v>
      </c>
    </row>
    <row r="1566" spans="6:6">
      <c r="F1566" s="537">
        <v>0</v>
      </c>
    </row>
    <row r="1567" spans="6:6">
      <c r="F1567" s="537">
        <v>0</v>
      </c>
    </row>
    <row r="1568" spans="6:6">
      <c r="F1568" s="537">
        <v>0</v>
      </c>
    </row>
    <row r="1569" spans="6:6">
      <c r="F1569" s="537">
        <v>0</v>
      </c>
    </row>
    <row r="1570" spans="6:6">
      <c r="F1570" s="537">
        <v>0</v>
      </c>
    </row>
    <row r="1571" spans="6:6">
      <c r="F1571" s="537">
        <v>0</v>
      </c>
    </row>
    <row r="1572" spans="6:6">
      <c r="F1572" s="537">
        <v>0</v>
      </c>
    </row>
    <row r="1573" spans="6:6">
      <c r="F1573" s="537">
        <v>0</v>
      </c>
    </row>
    <row r="1574" spans="6:6">
      <c r="F1574" s="537">
        <v>0</v>
      </c>
    </row>
    <row r="1575" spans="6:6">
      <c r="F1575" s="537">
        <v>0</v>
      </c>
    </row>
    <row r="1576" spans="6:6">
      <c r="F1576" s="537">
        <v>0</v>
      </c>
    </row>
    <row r="1577" spans="6:6">
      <c r="F1577" s="537">
        <v>0</v>
      </c>
    </row>
    <row r="1578" spans="6:6">
      <c r="F1578" s="537">
        <v>0</v>
      </c>
    </row>
    <row r="1579" spans="6:6">
      <c r="F1579" s="537">
        <v>0</v>
      </c>
    </row>
    <row r="1580" spans="6:6">
      <c r="F1580" s="537">
        <v>0</v>
      </c>
    </row>
    <row r="1581" spans="6:6">
      <c r="F1581" s="537">
        <v>0</v>
      </c>
    </row>
    <row r="1582" spans="6:6">
      <c r="F1582" s="537">
        <v>0</v>
      </c>
    </row>
    <row r="1583" spans="6:6">
      <c r="F1583" s="537">
        <v>0</v>
      </c>
    </row>
    <row r="1584" spans="6:6">
      <c r="F1584" s="537">
        <v>0</v>
      </c>
    </row>
    <row r="1585" spans="6:6">
      <c r="F1585" s="537">
        <v>0</v>
      </c>
    </row>
    <row r="1586" spans="6:6">
      <c r="F1586" s="537">
        <v>0</v>
      </c>
    </row>
    <row r="1587" spans="6:6">
      <c r="F1587" s="537">
        <v>0</v>
      </c>
    </row>
    <row r="1588" spans="6:6">
      <c r="F1588" s="537">
        <v>0</v>
      </c>
    </row>
    <row r="1589" spans="6:6">
      <c r="F1589" s="537">
        <v>0</v>
      </c>
    </row>
    <row r="1590" spans="6:6">
      <c r="F1590" s="537">
        <v>0</v>
      </c>
    </row>
    <row r="1591" spans="6:6">
      <c r="F1591" s="537">
        <v>0</v>
      </c>
    </row>
    <row r="1592" spans="6:6">
      <c r="F1592" s="537">
        <v>0</v>
      </c>
    </row>
    <row r="1593" spans="6:6">
      <c r="F1593" s="537">
        <v>0</v>
      </c>
    </row>
    <row r="1594" spans="6:6">
      <c r="F1594" s="537">
        <v>0</v>
      </c>
    </row>
    <row r="1595" spans="6:6">
      <c r="F1595" s="537">
        <v>0</v>
      </c>
    </row>
    <row r="1596" spans="6:6">
      <c r="F1596" s="537">
        <v>0</v>
      </c>
    </row>
    <row r="1597" spans="6:6">
      <c r="F1597" s="537">
        <v>0</v>
      </c>
    </row>
    <row r="1598" spans="6:6">
      <c r="F1598" s="537">
        <v>0</v>
      </c>
    </row>
    <row r="1599" spans="6:6">
      <c r="F1599" s="537">
        <v>0</v>
      </c>
    </row>
    <row r="1600" spans="6:6">
      <c r="F1600" s="537">
        <v>0</v>
      </c>
    </row>
    <row r="1601" spans="6:6">
      <c r="F1601" s="537">
        <v>0</v>
      </c>
    </row>
    <row r="1602" spans="6:6">
      <c r="F1602" s="537">
        <v>0</v>
      </c>
    </row>
    <row r="1603" spans="6:6">
      <c r="F1603" s="537">
        <v>0</v>
      </c>
    </row>
    <row r="1604" spans="6:6">
      <c r="F1604" s="537">
        <v>0</v>
      </c>
    </row>
    <row r="1605" spans="6:6">
      <c r="F1605" s="537">
        <v>0</v>
      </c>
    </row>
    <row r="1606" spans="6:6">
      <c r="F1606" s="537">
        <v>0</v>
      </c>
    </row>
    <row r="1607" spans="6:6">
      <c r="F1607" s="537">
        <v>0</v>
      </c>
    </row>
    <row r="1608" spans="6:6">
      <c r="F1608" s="537">
        <v>0</v>
      </c>
    </row>
    <row r="1609" spans="6:6">
      <c r="F1609" s="537">
        <v>0</v>
      </c>
    </row>
    <row r="1610" spans="6:6">
      <c r="F1610" s="537">
        <v>0</v>
      </c>
    </row>
    <row r="1611" spans="6:6">
      <c r="F1611" s="537">
        <v>0</v>
      </c>
    </row>
    <row r="1612" spans="6:6">
      <c r="F1612" s="537">
        <v>0</v>
      </c>
    </row>
    <row r="1613" spans="6:6">
      <c r="F1613" s="537">
        <v>0</v>
      </c>
    </row>
    <row r="1614" spans="6:6">
      <c r="F1614" s="537">
        <v>0</v>
      </c>
    </row>
    <row r="1615" spans="6:6">
      <c r="F1615" s="537">
        <v>0</v>
      </c>
    </row>
    <row r="1616" spans="6:6">
      <c r="F1616" s="537">
        <v>0</v>
      </c>
    </row>
    <row r="1617" spans="6:6">
      <c r="F1617" s="537">
        <v>0</v>
      </c>
    </row>
    <row r="1618" spans="6:6">
      <c r="F1618" s="537">
        <v>0</v>
      </c>
    </row>
    <row r="1619" spans="6:6">
      <c r="F1619" s="537">
        <v>0</v>
      </c>
    </row>
    <row r="1620" spans="6:6">
      <c r="F1620" s="537">
        <v>0</v>
      </c>
    </row>
    <row r="1621" spans="6:6">
      <c r="F1621" s="537">
        <v>0</v>
      </c>
    </row>
    <row r="1622" spans="6:6">
      <c r="F1622" s="537">
        <v>0</v>
      </c>
    </row>
    <row r="1623" spans="6:6">
      <c r="F1623" s="537">
        <v>0</v>
      </c>
    </row>
    <row r="1624" spans="6:6">
      <c r="F1624" s="537">
        <v>0</v>
      </c>
    </row>
    <row r="1625" spans="6:6">
      <c r="F1625" s="537">
        <v>0</v>
      </c>
    </row>
    <row r="1626" spans="6:6">
      <c r="F1626" s="537">
        <v>0</v>
      </c>
    </row>
    <row r="1627" spans="6:6">
      <c r="F1627" s="537">
        <v>0</v>
      </c>
    </row>
    <row r="1628" spans="6:6">
      <c r="F1628" s="537">
        <v>0</v>
      </c>
    </row>
    <row r="1629" spans="6:6">
      <c r="F1629" s="537">
        <v>0</v>
      </c>
    </row>
    <row r="1630" spans="6:6">
      <c r="F1630" s="537">
        <v>0</v>
      </c>
    </row>
    <row r="1631" spans="6:6">
      <c r="F1631" s="537">
        <v>0</v>
      </c>
    </row>
    <row r="1632" spans="6:6">
      <c r="F1632" s="537">
        <v>0</v>
      </c>
    </row>
    <row r="1633" spans="6:6">
      <c r="F1633" s="537">
        <v>0</v>
      </c>
    </row>
    <row r="1634" spans="6:6">
      <c r="F1634" s="537">
        <v>0</v>
      </c>
    </row>
    <row r="1635" spans="6:6">
      <c r="F1635" s="537">
        <v>0</v>
      </c>
    </row>
    <row r="1636" spans="6:6">
      <c r="F1636" s="537">
        <v>0</v>
      </c>
    </row>
    <row r="1637" spans="6:6">
      <c r="F1637" s="537">
        <v>0</v>
      </c>
    </row>
    <row r="1638" spans="6:6">
      <c r="F1638" s="537">
        <v>0</v>
      </c>
    </row>
    <row r="1639" spans="6:6">
      <c r="F1639" s="537">
        <v>0</v>
      </c>
    </row>
    <row r="1640" spans="6:6">
      <c r="F1640" s="537">
        <v>0</v>
      </c>
    </row>
    <row r="1641" spans="6:6">
      <c r="F1641" s="537">
        <v>0</v>
      </c>
    </row>
    <row r="1642" spans="6:6">
      <c r="F1642" s="537">
        <v>0</v>
      </c>
    </row>
    <row r="1643" spans="6:6">
      <c r="F1643" s="537">
        <v>0</v>
      </c>
    </row>
    <row r="1644" spans="6:6">
      <c r="F1644" s="537">
        <v>0</v>
      </c>
    </row>
    <row r="1645" spans="6:6">
      <c r="F1645" s="537">
        <v>0</v>
      </c>
    </row>
    <row r="1646" spans="6:6">
      <c r="F1646" s="537">
        <v>0</v>
      </c>
    </row>
    <row r="1647" spans="6:6">
      <c r="F1647" s="537">
        <v>0</v>
      </c>
    </row>
    <row r="1648" spans="6:6">
      <c r="F1648" s="537">
        <v>0</v>
      </c>
    </row>
    <row r="1649" spans="6:6">
      <c r="F1649" s="537">
        <v>0</v>
      </c>
    </row>
    <row r="1650" spans="6:6">
      <c r="F1650" s="537">
        <v>0</v>
      </c>
    </row>
    <row r="1651" spans="6:6">
      <c r="F1651" s="537">
        <v>0</v>
      </c>
    </row>
    <row r="1652" spans="6:6">
      <c r="F1652" s="537">
        <v>0</v>
      </c>
    </row>
    <row r="1653" spans="6:6">
      <c r="F1653" s="537">
        <v>0</v>
      </c>
    </row>
    <row r="1654" spans="6:6">
      <c r="F1654" s="537">
        <v>0</v>
      </c>
    </row>
    <row r="1655" spans="6:6">
      <c r="F1655" s="537">
        <v>0</v>
      </c>
    </row>
    <row r="1656" spans="6:6">
      <c r="F1656" s="537">
        <v>0</v>
      </c>
    </row>
    <row r="1657" spans="6:6">
      <c r="F1657" s="537">
        <v>0</v>
      </c>
    </row>
    <row r="1658" spans="6:6">
      <c r="F1658" s="537">
        <v>0</v>
      </c>
    </row>
    <row r="1659" spans="6:6">
      <c r="F1659" s="537">
        <v>0</v>
      </c>
    </row>
    <row r="1660" spans="6:6">
      <c r="F1660" s="537">
        <v>0</v>
      </c>
    </row>
    <row r="1661" spans="6:6">
      <c r="F1661" s="537">
        <v>0</v>
      </c>
    </row>
    <row r="1662" spans="6:6">
      <c r="F1662" s="537">
        <v>0</v>
      </c>
    </row>
    <row r="1663" spans="6:6">
      <c r="F1663" s="537">
        <v>0</v>
      </c>
    </row>
    <row r="1664" spans="6:6">
      <c r="F1664" s="537">
        <v>0</v>
      </c>
    </row>
    <row r="1665" spans="6:6">
      <c r="F1665" s="537">
        <v>0</v>
      </c>
    </row>
    <row r="1666" spans="6:6">
      <c r="F1666" s="537">
        <v>0</v>
      </c>
    </row>
    <row r="1667" spans="6:6">
      <c r="F1667" s="537">
        <v>0</v>
      </c>
    </row>
    <row r="1668" spans="6:6">
      <c r="F1668" s="537">
        <v>0</v>
      </c>
    </row>
    <row r="1669" spans="6:6">
      <c r="F1669" s="537">
        <v>0</v>
      </c>
    </row>
    <row r="1670" spans="6:6">
      <c r="F1670" s="537">
        <v>0</v>
      </c>
    </row>
    <row r="1671" spans="6:6">
      <c r="F1671" s="537">
        <v>0</v>
      </c>
    </row>
    <row r="1672" spans="6:6">
      <c r="F1672" s="537">
        <v>0</v>
      </c>
    </row>
    <row r="1673" spans="6:6">
      <c r="F1673" s="537">
        <v>0</v>
      </c>
    </row>
    <row r="1674" spans="6:6">
      <c r="F1674" s="537">
        <v>0</v>
      </c>
    </row>
    <row r="1675" spans="6:6">
      <c r="F1675" s="537">
        <v>0</v>
      </c>
    </row>
    <row r="1676" spans="6:6">
      <c r="F1676" s="537">
        <v>0</v>
      </c>
    </row>
    <row r="1677" spans="6:6">
      <c r="F1677" s="537">
        <v>0</v>
      </c>
    </row>
    <row r="1678" spans="6:6">
      <c r="F1678" s="537">
        <v>0</v>
      </c>
    </row>
    <row r="1679" spans="6:6">
      <c r="F1679" s="537">
        <v>0</v>
      </c>
    </row>
    <row r="1680" spans="6:6">
      <c r="F1680" s="537">
        <v>0</v>
      </c>
    </row>
    <row r="1681" spans="6:6">
      <c r="F1681" s="537">
        <v>0</v>
      </c>
    </row>
    <row r="1682" spans="6:6">
      <c r="F1682" s="537">
        <v>0</v>
      </c>
    </row>
    <row r="1683" spans="6:6">
      <c r="F1683" s="537">
        <v>0</v>
      </c>
    </row>
    <row r="1684" spans="6:6">
      <c r="F1684" s="537">
        <v>0</v>
      </c>
    </row>
    <row r="1685" spans="6:6">
      <c r="F1685" s="537">
        <v>0</v>
      </c>
    </row>
    <row r="1686" spans="6:6">
      <c r="F1686" s="537">
        <v>0</v>
      </c>
    </row>
    <row r="1687" spans="6:6">
      <c r="F1687" s="537">
        <v>0</v>
      </c>
    </row>
    <row r="1688" spans="6:6">
      <c r="F1688" s="537">
        <v>0</v>
      </c>
    </row>
    <row r="1689" spans="6:6">
      <c r="F1689" s="537">
        <v>0</v>
      </c>
    </row>
  </sheetData>
  <mergeCells count="75"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3:C173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43" zoomScale="55" zoomScaleNormal="60" zoomScaleSheetLayoutView="55" zoomScalePageLayoutView="20" workbookViewId="0">
      <selection activeCell="E162" sqref="E162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6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28" t="s">
        <v>215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5" s="281" customFormat="1" ht="27">
      <c r="A2" s="575" t="s">
        <v>362</v>
      </c>
      <c r="B2" s="1036">
        <v>44307</v>
      </c>
      <c r="C2" s="1146" t="s">
        <v>69</v>
      </c>
      <c r="D2" s="611">
        <v>0.76</v>
      </c>
      <c r="E2" s="461"/>
      <c r="F2" s="461"/>
      <c r="G2" s="1336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6" t="s">
        <v>120</v>
      </c>
      <c r="D3" s="612">
        <v>33</v>
      </c>
      <c r="E3" s="1537" t="s">
        <v>121</v>
      </c>
      <c r="F3" s="1538"/>
      <c r="G3" s="1337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6" t="s">
        <v>122</v>
      </c>
      <c r="D4" s="611">
        <v>0.8</v>
      </c>
      <c r="E4" s="464"/>
      <c r="F4" s="464"/>
      <c r="G4" s="1337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31" t="s">
        <v>130</v>
      </c>
      <c r="B6" s="1532"/>
      <c r="C6" s="1533"/>
      <c r="D6" s="471"/>
      <c r="E6" s="471"/>
      <c r="F6" s="471"/>
      <c r="G6" s="1339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'20'!F7</f>
        <v>5534671</v>
      </c>
      <c r="F7" s="455">
        <v>5554276</v>
      </c>
      <c r="G7" s="1340">
        <f>F7-E7</f>
        <v>19605</v>
      </c>
      <c r="H7" s="460">
        <f>G7+'20'!H7</f>
        <v>440353</v>
      </c>
      <c r="I7" s="474">
        <f>'1'!I7</f>
        <v>12000</v>
      </c>
      <c r="J7" s="552">
        <f>H7/DAY(B2)</f>
        <v>20969.190476190477</v>
      </c>
      <c r="K7" s="549">
        <v>12199</v>
      </c>
      <c r="L7" s="377">
        <f>G7-K7</f>
        <v>7406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'20'!F8</f>
        <v>5567759</v>
      </c>
      <c r="F8" s="475">
        <v>5587413</v>
      </c>
      <c r="G8" s="1341">
        <f>F8-E8</f>
        <v>19654</v>
      </c>
      <c r="H8" s="460">
        <f>G8+'20'!H8</f>
        <v>442095</v>
      </c>
      <c r="I8" s="477">
        <f>'1'!I8</f>
        <v>12000</v>
      </c>
      <c r="J8" s="552">
        <f>H8/DAY(B2)</f>
        <v>21052.142857142859</v>
      </c>
      <c r="K8" s="549">
        <v>12262</v>
      </c>
      <c r="L8" s="425">
        <f>G8-K8</f>
        <v>7392</v>
      </c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'20'!F9</f>
        <v>803853</v>
      </c>
      <c r="F9" s="478">
        <v>822870</v>
      </c>
      <c r="G9" s="1340">
        <f t="shared" ref="G9:G12" si="0">F9-E9</f>
        <v>19017</v>
      </c>
      <c r="H9" s="460">
        <f>G9+'20'!H9</f>
        <v>426801</v>
      </c>
      <c r="I9" s="479">
        <f>I8-J8</f>
        <v>-9052.1428571428587</v>
      </c>
      <c r="J9" s="552">
        <f>H9/DAY(B2)</f>
        <v>20323.857142857141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'20'!F10</f>
        <v>2322.58</v>
      </c>
      <c r="F10" s="478">
        <v>2322.58</v>
      </c>
      <c r="G10" s="1340">
        <f t="shared" si="0"/>
        <v>0</v>
      </c>
      <c r="H10" s="460">
        <f>G10+'20'!H10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40">
        <f t="shared" si="0"/>
        <v>0</v>
      </c>
      <c r="H11" s="460">
        <f>G11+'20'!H11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40">
        <f t="shared" si="0"/>
        <v>0</v>
      </c>
      <c r="H12" s="460">
        <f>G12+'20'!H12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2">
        <f>G9+G10+G11+G12</f>
        <v>19017</v>
      </c>
      <c r="H13" s="460">
        <f>G13+'20'!H13</f>
        <v>406610.3600000001</v>
      </c>
      <c r="I13" s="482">
        <f>G7-G13</f>
        <v>588</v>
      </c>
      <c r="J13" s="552">
        <f>H13/DAY(B2)</f>
        <v>19362.398095238099</v>
      </c>
      <c r="K13" s="428"/>
      <c r="L13" s="377"/>
      <c r="N13" s="382"/>
      <c r="O13" s="382"/>
    </row>
    <row r="14" spans="1:15">
      <c r="A14" s="1534" t="s">
        <v>139</v>
      </c>
      <c r="B14" s="1535"/>
      <c r="C14" s="1536"/>
      <c r="D14" s="472"/>
      <c r="E14" s="472"/>
      <c r="F14" s="472"/>
      <c r="G14" s="1343"/>
      <c r="H14" s="472"/>
      <c r="I14" s="472"/>
      <c r="J14" s="551"/>
      <c r="K14" s="429"/>
      <c r="L14" s="377"/>
      <c r="N14" s="382"/>
      <c r="O14" s="382"/>
    </row>
    <row r="15" spans="1:15">
      <c r="A15" s="1144" t="s">
        <v>140</v>
      </c>
      <c r="B15" s="589"/>
      <c r="C15" s="589"/>
      <c r="D15" s="523" t="s">
        <v>141</v>
      </c>
      <c r="E15" s="484">
        <f>'20'!F15</f>
        <v>1663952</v>
      </c>
      <c r="F15" s="484">
        <v>1664652</v>
      </c>
      <c r="G15" s="1344">
        <f>(F15-E15)</f>
        <v>700</v>
      </c>
      <c r="H15" s="460">
        <f>G15+'20'!H15</f>
        <v>17963</v>
      </c>
      <c r="I15" s="474">
        <v>800</v>
      </c>
      <c r="J15" s="552">
        <f>H15/DAY(B2)</f>
        <v>855.38095238095241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40"/>
      <c r="H16" s="486"/>
      <c r="I16" s="487">
        <f>I15-J15</f>
        <v>-55.380952380952408</v>
      </c>
      <c r="J16" s="553"/>
      <c r="K16" s="428"/>
      <c r="L16" s="377"/>
      <c r="N16" s="382"/>
      <c r="O16" s="382"/>
    </row>
    <row r="17" spans="1:15">
      <c r="A17" s="1534" t="s">
        <v>142</v>
      </c>
      <c r="B17" s="1535"/>
      <c r="C17" s="1536"/>
      <c r="D17" s="472"/>
      <c r="E17" s="472"/>
      <c r="F17" s="472"/>
      <c r="G17" s="1343"/>
      <c r="H17" s="472"/>
      <c r="I17" s="472"/>
      <c r="J17" s="551"/>
      <c r="K17" s="428"/>
      <c r="L17" s="377"/>
      <c r="N17" s="382"/>
      <c r="O17" s="382"/>
    </row>
    <row r="18" spans="1:15" ht="27.75">
      <c r="A18" s="1520" t="s">
        <v>143</v>
      </c>
      <c r="B18" s="1521"/>
      <c r="C18" s="1522"/>
      <c r="D18" s="523" t="s">
        <v>144</v>
      </c>
      <c r="E18" s="484">
        <f>'20'!F18</f>
        <v>8</v>
      </c>
      <c r="F18" s="484">
        <v>10</v>
      </c>
      <c r="G18" s="1342">
        <f>F18*10</f>
        <v>100</v>
      </c>
      <c r="H18" s="460">
        <f>G18+'20'!H18</f>
        <v>1980</v>
      </c>
      <c r="I18" s="474">
        <f>'1'!I18</f>
        <v>65</v>
      </c>
      <c r="J18" s="552">
        <f>H18/DAY(B2)</f>
        <v>94.285714285714292</v>
      </c>
      <c r="K18" s="428"/>
      <c r="L18" s="377"/>
      <c r="N18" s="382"/>
      <c r="O18" s="382"/>
    </row>
    <row r="19" spans="1:15" ht="27.75">
      <c r="A19" s="1520" t="s">
        <v>71</v>
      </c>
      <c r="B19" s="1521"/>
      <c r="C19" s="1522"/>
      <c r="D19" s="523" t="s">
        <v>144</v>
      </c>
      <c r="E19" s="484">
        <f>'20'!F19</f>
        <v>137250</v>
      </c>
      <c r="F19" s="484">
        <v>137308</v>
      </c>
      <c r="G19" s="1340">
        <f t="shared" ref="G19" si="1">F19-E19</f>
        <v>58</v>
      </c>
      <c r="H19" s="460">
        <f>G19+'20'!H19</f>
        <v>1218</v>
      </c>
      <c r="I19" s="489"/>
      <c r="J19" s="552">
        <f>H19/DAY(B2)</f>
        <v>58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5">
        <f>G18+G19</f>
        <v>158</v>
      </c>
      <c r="H20" s="460">
        <f>G20+'20'!H20</f>
        <v>3198</v>
      </c>
      <c r="I20" s="492">
        <f>I18-J20</f>
        <v>-87.285714285714278</v>
      </c>
      <c r="J20" s="552">
        <f>H20/DAY(B2)</f>
        <v>152.28571428571428</v>
      </c>
      <c r="K20" s="428"/>
      <c r="L20" s="377"/>
      <c r="N20" s="382"/>
      <c r="O20" s="382"/>
    </row>
    <row r="21" spans="1:15">
      <c r="A21" s="1534" t="s">
        <v>146</v>
      </c>
      <c r="B21" s="1535"/>
      <c r="C21" s="1536"/>
      <c r="D21" s="472"/>
      <c r="E21" s="472"/>
      <c r="F21" s="472"/>
      <c r="G21" s="1343"/>
      <c r="H21" s="472"/>
      <c r="I21" s="472"/>
      <c r="J21" s="551"/>
      <c r="K21" s="428"/>
      <c r="L21" s="377"/>
      <c r="N21" s="382"/>
      <c r="O21" s="382"/>
    </row>
    <row r="22" spans="1:15">
      <c r="A22" s="1144" t="s">
        <v>147</v>
      </c>
      <c r="B22" s="589"/>
      <c r="C22" s="589"/>
      <c r="D22" s="523" t="s">
        <v>148</v>
      </c>
      <c r="E22" s="484">
        <f>'20'!F22</f>
        <v>2250</v>
      </c>
      <c r="F22" s="484">
        <v>2250</v>
      </c>
      <c r="G22" s="1342">
        <f t="shared" ref="G22" si="2">(F22-E22)</f>
        <v>0</v>
      </c>
      <c r="H22" s="460">
        <f>G22+'20'!H22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4" t="s">
        <v>149</v>
      </c>
      <c r="B23" s="589"/>
      <c r="C23" s="589"/>
      <c r="D23" s="523" t="s">
        <v>148</v>
      </c>
      <c r="E23" s="484">
        <f>'20'!F23</f>
        <v>2000</v>
      </c>
      <c r="F23" s="484">
        <v>2000</v>
      </c>
      <c r="G23" s="1342">
        <v>0</v>
      </c>
      <c r="H23" s="460">
        <f>G23+'20'!H23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'20'!F24</f>
        <v>4250</v>
      </c>
      <c r="F24" s="493">
        <v>4250</v>
      </c>
      <c r="G24" s="1342">
        <v>0</v>
      </c>
      <c r="H24" s="460">
        <f>G24+'20'!H24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39" t="s">
        <v>151</v>
      </c>
      <c r="B25" s="1540"/>
      <c r="C25" s="1541"/>
      <c r="D25" s="471"/>
      <c r="E25" s="471"/>
      <c r="F25" s="471"/>
      <c r="G25" s="1346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7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19654</v>
      </c>
      <c r="F27" s="501">
        <v>9</v>
      </c>
      <c r="G27" s="1348">
        <f>E27*F27</f>
        <v>176886</v>
      </c>
      <c r="H27" s="460">
        <f>G27+'20'!H27</f>
        <v>3978855</v>
      </c>
      <c r="I27" s="503"/>
      <c r="J27" s="552">
        <f>H27/DAY(B2)</f>
        <v>189469.28571428571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700</v>
      </c>
      <c r="F28" s="501">
        <v>51.45</v>
      </c>
      <c r="G28" s="1348">
        <f t="shared" ref="G28:G30" si="3">E28*F28</f>
        <v>36015</v>
      </c>
      <c r="H28" s="460">
        <f>G28+'20'!H28</f>
        <v>924196.35</v>
      </c>
      <c r="I28" s="505"/>
      <c r="J28" s="552">
        <f>H28/DAY(B2)</f>
        <v>44009.35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8">
        <f t="shared" si="3"/>
        <v>0</v>
      </c>
      <c r="H29" s="460">
        <f>G29+'20'!H29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58</v>
      </c>
      <c r="F30" s="501">
        <v>134</v>
      </c>
      <c r="G30" s="1348">
        <f t="shared" si="3"/>
        <v>7772</v>
      </c>
      <c r="H30" s="460">
        <f>G30+'20'!H30</f>
        <v>164580</v>
      </c>
      <c r="I30" s="505"/>
      <c r="J30" s="552">
        <f>H30/DAY(B2)</f>
        <v>7837.1428571428569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100</v>
      </c>
      <c r="F31" s="501">
        <v>80</v>
      </c>
      <c r="G31" s="1348">
        <f>E31*F31</f>
        <v>8000</v>
      </c>
      <c r="H31" s="460">
        <f>G31+'20'!H31</f>
        <v>158400</v>
      </c>
      <c r="I31" s="505"/>
      <c r="J31" s="552">
        <f>H31/DAY(B2)</f>
        <v>7542.8571428571431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9">
        <f>G27+G28+G29+G30+G31</f>
        <v>228673</v>
      </c>
      <c r="H32" s="460">
        <f>G32+'20'!H32</f>
        <v>5226031.3500000006</v>
      </c>
      <c r="I32" s="509"/>
      <c r="J32" s="552">
        <f>H32/DAY(B2)</f>
        <v>248858.63571428575</v>
      </c>
      <c r="K32" s="373"/>
      <c r="L32" s="443"/>
      <c r="N32" s="444"/>
      <c r="O32" s="382"/>
    </row>
    <row r="33" spans="1:15" ht="25.5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  <c r="N33" s="382"/>
      <c r="O33" s="382"/>
    </row>
    <row r="34" spans="1:15">
      <c r="A34" s="598" t="s">
        <v>163</v>
      </c>
      <c r="B34" s="1149"/>
      <c r="C34" s="1149"/>
      <c r="D34" s="472"/>
      <c r="E34" s="471"/>
      <c r="F34" s="471"/>
      <c r="G34" s="1350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'20'!F35</f>
        <v>859779</v>
      </c>
      <c r="F35" s="510">
        <v>862603</v>
      </c>
      <c r="G35" s="1340">
        <f t="shared" ref="G35:G46" si="4">F35-E35</f>
        <v>2824</v>
      </c>
      <c r="H35" s="460">
        <f>G35+'20'!H35</f>
        <v>64214</v>
      </c>
      <c r="I35" s="455"/>
      <c r="J35" s="552">
        <f>H35/DAY(B2)</f>
        <v>3057.8095238095239</v>
      </c>
      <c r="K35" s="428">
        <v>1520.2800000000279</v>
      </c>
      <c r="L35" s="377">
        <f t="shared" ref="L35:L60" si="5">G35-K35</f>
        <v>1303.7199999999721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'20'!F36</f>
        <v>336756</v>
      </c>
      <c r="F36" s="510">
        <v>337724</v>
      </c>
      <c r="G36" s="1340">
        <f t="shared" si="4"/>
        <v>968</v>
      </c>
      <c r="H36" s="460">
        <f>G36+'20'!H36</f>
        <v>20288</v>
      </c>
      <c r="I36" s="455"/>
      <c r="J36" s="552">
        <f>H36/DAY(B2)</f>
        <v>966.09523809523807</v>
      </c>
      <c r="K36" s="428">
        <v>485.22000000000116</v>
      </c>
      <c r="L36" s="377">
        <f t="shared" si="5"/>
        <v>482.77999999999884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'20'!F37</f>
        <v>82196</v>
      </c>
      <c r="F37" s="510">
        <v>83524</v>
      </c>
      <c r="G37" s="1340">
        <f t="shared" si="4"/>
        <v>1328</v>
      </c>
      <c r="H37" s="460">
        <f>G37+'20'!H37</f>
        <v>28727</v>
      </c>
      <c r="I37" s="455"/>
      <c r="J37" s="552">
        <f>H37/DAY(B2)</f>
        <v>1367.952380952381</v>
      </c>
      <c r="K37" s="428">
        <v>1194.8999999999942</v>
      </c>
      <c r="L37" s="377">
        <f t="shared" si="5"/>
        <v>133.10000000000582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'20'!F38</f>
        <v>105520</v>
      </c>
      <c r="F38" s="469">
        <v>106954</v>
      </c>
      <c r="G38" s="1340">
        <f t="shared" si="4"/>
        <v>1434</v>
      </c>
      <c r="H38" s="460">
        <f>G38+'20'!H38</f>
        <v>34646</v>
      </c>
      <c r="I38" s="455"/>
      <c r="J38" s="552">
        <f>H38/DAY(B2)</f>
        <v>1649.8095238095239</v>
      </c>
      <c r="K38" s="428">
        <v>0</v>
      </c>
      <c r="L38" s="377">
        <f t="shared" si="5"/>
        <v>1434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'20'!F39</f>
        <v>219378</v>
      </c>
      <c r="F39" s="510">
        <v>222175</v>
      </c>
      <c r="G39" s="1340">
        <f t="shared" si="4"/>
        <v>2797</v>
      </c>
      <c r="H39" s="460">
        <f>G39+'20'!H39</f>
        <v>69353</v>
      </c>
      <c r="I39" s="455"/>
      <c r="J39" s="552">
        <f>H39/DAY(B2)</f>
        <v>3302.5238095238096</v>
      </c>
      <c r="K39" s="428">
        <v>2147.359999999986</v>
      </c>
      <c r="L39" s="377">
        <f t="shared" si="5"/>
        <v>649.64000000001397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'20'!F40</f>
        <v>0</v>
      </c>
      <c r="F40" s="510">
        <v>0</v>
      </c>
      <c r="G40" s="1340">
        <f t="shared" si="4"/>
        <v>0</v>
      </c>
      <c r="H40" s="460">
        <f>G40+'20'!H40</f>
        <v>0.17</v>
      </c>
      <c r="I40" s="455"/>
      <c r="J40" s="552">
        <f>H40/DAY(B2)</f>
        <v>8.0952380952380963E-3</v>
      </c>
      <c r="K40" s="429">
        <v>0</v>
      </c>
      <c r="L40" s="377">
        <f t="shared" si="5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'20'!F41</f>
        <v>161910</v>
      </c>
      <c r="F41" s="510">
        <v>161910</v>
      </c>
      <c r="G41" s="1340">
        <f t="shared" si="4"/>
        <v>0</v>
      </c>
      <c r="H41" s="460">
        <f>G41+'20'!H41</f>
        <v>28769</v>
      </c>
      <c r="I41" s="455"/>
      <c r="J41" s="552">
        <f>H41/DAY(B2)</f>
        <v>1369.952380952381</v>
      </c>
      <c r="K41" s="428">
        <v>0</v>
      </c>
      <c r="L41" s="377">
        <f t="shared" si="5"/>
        <v>0</v>
      </c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'20'!F42</f>
        <v>59128</v>
      </c>
      <c r="F42" s="510">
        <v>59128</v>
      </c>
      <c r="G42" s="1340">
        <f t="shared" si="4"/>
        <v>0</v>
      </c>
      <c r="H42" s="460">
        <f>G42+'20'!H42</f>
        <v>-0.16000000000349246</v>
      </c>
      <c r="I42" s="455"/>
      <c r="J42" s="552">
        <f>H42/DAY(B2)</f>
        <v>-7.619047619213927E-3</v>
      </c>
      <c r="K42" s="428">
        <v>3228.5699999999997</v>
      </c>
      <c r="L42" s="377">
        <f t="shared" si="5"/>
        <v>-3228.5699999999997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'20'!F43</f>
        <v>950184</v>
      </c>
      <c r="F43" s="510">
        <v>952470</v>
      </c>
      <c r="G43" s="1340">
        <f t="shared" si="4"/>
        <v>2286</v>
      </c>
      <c r="H43" s="460">
        <f>G43+'20'!H43</f>
        <v>50422</v>
      </c>
      <c r="I43" s="455"/>
      <c r="J43" s="552">
        <f>H43/DAY(B2)</f>
        <v>2401.0476190476193</v>
      </c>
      <c r="K43" s="428">
        <v>1595.679999999993</v>
      </c>
      <c r="L43" s="377">
        <f t="shared" si="5"/>
        <v>690.32000000000698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'20'!F44</f>
        <v>0</v>
      </c>
      <c r="F44" s="510">
        <v>0</v>
      </c>
      <c r="G44" s="1340">
        <f t="shared" si="4"/>
        <v>0</v>
      </c>
      <c r="H44" s="460">
        <f>G44+'20'!H44</f>
        <v>0</v>
      </c>
      <c r="I44" s="455"/>
      <c r="J44" s="552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'20'!F45</f>
        <v>0</v>
      </c>
      <c r="F45" s="510">
        <v>0</v>
      </c>
      <c r="G45" s="1340">
        <f t="shared" si="4"/>
        <v>0</v>
      </c>
      <c r="H45" s="460">
        <f>G45+'20'!H45</f>
        <v>0</v>
      </c>
      <c r="I45" s="455"/>
      <c r="J45" s="552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'20'!F46</f>
        <v>0</v>
      </c>
      <c r="F46" s="510">
        <v>0</v>
      </c>
      <c r="G46" s="1340">
        <f t="shared" si="4"/>
        <v>0</v>
      </c>
      <c r="H46" s="460">
        <f>G46+'20'!H46</f>
        <v>-5.0000000000011369E-2</v>
      </c>
      <c r="I46" s="455"/>
      <c r="J46" s="552">
        <f>H46/DAY(B2)</f>
        <v>-2.3809523809529224E-3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2">
        <f>G35+G36+G37+G38+G39+G40+G41+G42+G43+G44+G45+G46</f>
        <v>11637</v>
      </c>
      <c r="H47" s="460">
        <f>G47+'20'!H47</f>
        <v>297220.44999999995</v>
      </c>
      <c r="I47" s="455"/>
      <c r="J47" s="552">
        <f>H47/DAY(B2)</f>
        <v>14153.35476190476</v>
      </c>
      <c r="K47" s="428">
        <v>10172.060000000001</v>
      </c>
      <c r="L47" s="377">
        <f t="shared" si="5"/>
        <v>1464.9399999999987</v>
      </c>
      <c r="N47" s="382"/>
      <c r="O47" s="382"/>
    </row>
    <row r="48" spans="1:15">
      <c r="A48" s="598" t="s">
        <v>177</v>
      </c>
      <c r="B48" s="1149"/>
      <c r="C48" s="1149"/>
      <c r="D48" s="472"/>
      <c r="E48" s="471"/>
      <c r="F48" s="471"/>
      <c r="G48" s="1350"/>
      <c r="H48" s="472"/>
      <c r="I48" s="472"/>
      <c r="J48" s="551"/>
      <c r="K48" s="428"/>
      <c r="L48" s="377">
        <f t="shared" si="5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'20'!F49</f>
        <v>260732.13</v>
      </c>
      <c r="F49" s="510">
        <v>260732.13</v>
      </c>
      <c r="G49" s="1340">
        <f t="shared" ref="G49:G58" si="6">F49-E49</f>
        <v>0</v>
      </c>
      <c r="H49" s="460">
        <f>G49+'20'!H49</f>
        <v>0.13000000000465661</v>
      </c>
      <c r="I49" s="455"/>
      <c r="J49" s="552">
        <f>H49/DAY(B2)</f>
        <v>6.1904761906979343E-3</v>
      </c>
      <c r="K49" s="428">
        <v>0</v>
      </c>
      <c r="L49" s="377">
        <f t="shared" si="5"/>
        <v>0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'20'!F50</f>
        <v>463676</v>
      </c>
      <c r="F50" s="510">
        <v>464698</v>
      </c>
      <c r="G50" s="1340">
        <f>F50-E50</f>
        <v>1022</v>
      </c>
      <c r="H50" s="460">
        <f>G50+'20'!H50</f>
        <v>22423.959999999963</v>
      </c>
      <c r="I50" s="455"/>
      <c r="J50" s="552">
        <f>H50/DAY(B2)</f>
        <v>1067.8076190476172</v>
      </c>
      <c r="K50" s="428">
        <v>700.86999999999534</v>
      </c>
      <c r="L50" s="377">
        <f t="shared" si="5"/>
        <v>321.13000000000466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'20'!F51</f>
        <v>144640</v>
      </c>
      <c r="F51" s="510">
        <v>144640</v>
      </c>
      <c r="G51" s="1340">
        <f t="shared" si="6"/>
        <v>0</v>
      </c>
      <c r="H51" s="460">
        <f>G51+'20'!H51</f>
        <v>0</v>
      </c>
      <c r="I51" s="455"/>
      <c r="J51" s="552">
        <f>H51/DAY(B2)</f>
        <v>0</v>
      </c>
      <c r="K51" s="428">
        <v>0</v>
      </c>
      <c r="L51" s="377">
        <f t="shared" si="5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'20'!F52</f>
        <v>539606</v>
      </c>
      <c r="F52" s="510">
        <v>539606.06999999995</v>
      </c>
      <c r="G52" s="1340">
        <f t="shared" si="6"/>
        <v>6.9999999948777258E-2</v>
      </c>
      <c r="H52" s="460">
        <f>G52+'20'!H52</f>
        <v>6.9999999948777258E-2</v>
      </c>
      <c r="I52" s="455"/>
      <c r="J52" s="552">
        <f>H52/DAY(B2)</f>
        <v>3.3333333308941553E-3</v>
      </c>
      <c r="K52" s="428">
        <v>985.97999999998137</v>
      </c>
      <c r="L52" s="377">
        <f t="shared" si="5"/>
        <v>-985.9100000000326</v>
      </c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f>'20'!F53</f>
        <v>410620</v>
      </c>
      <c r="F53" s="510">
        <v>411177</v>
      </c>
      <c r="G53" s="1340">
        <f t="shared" si="6"/>
        <v>557</v>
      </c>
      <c r="H53" s="460">
        <f>G53+'20'!H53</f>
        <v>6997.2000000000116</v>
      </c>
      <c r="I53" s="455"/>
      <c r="J53" s="552">
        <f>H53/DAY(B2)</f>
        <v>333.20000000000056</v>
      </c>
      <c r="K53" s="428">
        <v>107.60000000000036</v>
      </c>
      <c r="L53" s="377">
        <f t="shared" si="5"/>
        <v>449.39999999999964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'20'!F54</f>
        <v>10635</v>
      </c>
      <c r="F54" s="510">
        <v>10712</v>
      </c>
      <c r="G54" s="1340">
        <f t="shared" si="6"/>
        <v>77</v>
      </c>
      <c r="H54" s="460">
        <f>G54+'20'!H54</f>
        <v>4487.0300000000007</v>
      </c>
      <c r="I54" s="455"/>
      <c r="J54" s="552">
        <f>H54/DAY(B2)</f>
        <v>213.66809523809528</v>
      </c>
      <c r="K54" s="428">
        <v>0</v>
      </c>
      <c r="L54" s="377">
        <f t="shared" si="5"/>
        <v>77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'20'!F55</f>
        <v>308591</v>
      </c>
      <c r="F55" s="510">
        <v>314444</v>
      </c>
      <c r="G55" s="1340">
        <f t="shared" si="6"/>
        <v>5853</v>
      </c>
      <c r="H55" s="460">
        <f>G55+'20'!H55</f>
        <v>92990.799999999988</v>
      </c>
      <c r="I55" s="455"/>
      <c r="J55" s="552">
        <f>H55/DAY(B2)</f>
        <v>4428.1333333333332</v>
      </c>
      <c r="K55" s="428">
        <v>0</v>
      </c>
      <c r="L55" s="377">
        <f t="shared" si="5"/>
        <v>5853</v>
      </c>
      <c r="N55" s="382"/>
      <c r="O55" s="382"/>
    </row>
    <row r="56" spans="1:15" s="441" customFormat="1">
      <c r="A56" s="1107" t="s">
        <v>182</v>
      </c>
      <c r="B56" s="1108"/>
      <c r="C56" s="1108"/>
      <c r="D56" s="627" t="s">
        <v>183</v>
      </c>
      <c r="E56" s="656">
        <f>'20'!F56</f>
        <v>589159</v>
      </c>
      <c r="F56" s="656">
        <v>589168</v>
      </c>
      <c r="G56" s="1362">
        <f t="shared" si="6"/>
        <v>9</v>
      </c>
      <c r="H56" s="708">
        <f>G56+'20'!H56</f>
        <v>191.8399999999674</v>
      </c>
      <c r="I56" s="709"/>
      <c r="J56" s="710">
        <f>H56/DAY(B2)</f>
        <v>9.1352380952365433</v>
      </c>
      <c r="K56" s="1367">
        <v>0</v>
      </c>
      <c r="L56" s="1110">
        <f t="shared" si="5"/>
        <v>9</v>
      </c>
      <c r="N56" s="716"/>
      <c r="O56" s="716"/>
    </row>
    <row r="57" spans="1:15">
      <c r="A57" s="578" t="s">
        <v>172</v>
      </c>
      <c r="B57" s="601"/>
      <c r="C57" s="601"/>
      <c r="D57" s="523" t="s">
        <v>132</v>
      </c>
      <c r="E57" s="510">
        <f>'20'!F57</f>
        <v>7711</v>
      </c>
      <c r="F57" s="510">
        <v>7711</v>
      </c>
      <c r="G57" s="1340">
        <f t="shared" si="6"/>
        <v>0</v>
      </c>
      <c r="H57" s="460">
        <f>G57+'20'!H57</f>
        <v>0</v>
      </c>
      <c r="I57" s="455"/>
      <c r="J57" s="552">
        <f>H57/DAY(B2)</f>
        <v>0</v>
      </c>
      <c r="K57" s="428">
        <v>0</v>
      </c>
      <c r="L57" s="377">
        <f t="shared" si="5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'20'!F58</f>
        <v>45219</v>
      </c>
      <c r="F58" s="510">
        <v>45378</v>
      </c>
      <c r="G58" s="1340">
        <f t="shared" si="6"/>
        <v>159</v>
      </c>
      <c r="H58" s="460">
        <f>G58+'20'!H58</f>
        <v>3676.6599999999962</v>
      </c>
      <c r="I58" s="455"/>
      <c r="J58" s="552">
        <f>H58/DAY(B2)</f>
        <v>175.07904761904743</v>
      </c>
      <c r="K58" s="428">
        <v>0</v>
      </c>
      <c r="L58" s="377">
        <f t="shared" si="5"/>
        <v>159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2">
        <f>G49+G50+G51+G52+G53+G54+G55+G56+G57+G58</f>
        <v>7677.0699999999488</v>
      </c>
      <c r="H59" s="460">
        <f>G59+'20'!H59</f>
        <v>130765.68999999989</v>
      </c>
      <c r="I59" s="455">
        <f>G7-G60</f>
        <v>290.93000000005122</v>
      </c>
      <c r="J59" s="552">
        <f>H59/DAY(B2)</f>
        <v>6226.9376190476132</v>
      </c>
      <c r="K59" s="428">
        <v>1794.4499999999771</v>
      </c>
      <c r="L59" s="377">
        <f t="shared" si="5"/>
        <v>5882.6199999999717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2">
        <f>G47+G59</f>
        <v>19314.069999999949</v>
      </c>
      <c r="H60" s="460">
        <f>G60+'20'!H60</f>
        <v>435185.68999999994</v>
      </c>
      <c r="I60" s="455">
        <f>G13-G60</f>
        <v>-297.06999999994878</v>
      </c>
      <c r="J60" s="552">
        <f>H60/DAY(B2)</f>
        <v>20723.128095238091</v>
      </c>
      <c r="K60" s="428">
        <v>11966.509999999978</v>
      </c>
      <c r="L60" s="377">
        <f t="shared" si="5"/>
        <v>7347.5599999999704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1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'20'!F62</f>
        <v>20419.2</v>
      </c>
      <c r="F62" s="514">
        <v>20419.2</v>
      </c>
      <c r="G62" s="1340">
        <f t="shared" ref="G62:G69" si="7">F62-E62</f>
        <v>0</v>
      </c>
      <c r="H62" s="460">
        <f>G62+'20'!H62</f>
        <v>0.38199999999778811</v>
      </c>
      <c r="I62" s="515"/>
      <c r="J62" s="552">
        <f>H62/DAY(B2)</f>
        <v>1.8190476190370862E-2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'20'!F63</f>
        <v>2308</v>
      </c>
      <c r="F63" s="514">
        <v>2313</v>
      </c>
      <c r="G63" s="1340">
        <f t="shared" si="7"/>
        <v>5</v>
      </c>
      <c r="H63" s="460">
        <f>G63+'20'!H63</f>
        <v>217</v>
      </c>
      <c r="I63" s="515"/>
      <c r="J63" s="552">
        <f>H63/DAY(B2)</f>
        <v>10.333333333333334</v>
      </c>
      <c r="K63" s="428"/>
      <c r="L63" s="377"/>
      <c r="N63" s="382"/>
      <c r="O63" s="382"/>
    </row>
    <row r="64" spans="1:15" ht="27.75">
      <c r="A64" s="1499" t="s">
        <v>99</v>
      </c>
      <c r="B64" s="1500"/>
      <c r="C64" s="1501"/>
      <c r="D64" s="523" t="s">
        <v>187</v>
      </c>
      <c r="E64" s="484">
        <f>'20'!F64</f>
        <v>148801</v>
      </c>
      <c r="F64" s="484">
        <v>149305</v>
      </c>
      <c r="G64" s="1340">
        <f t="shared" si="7"/>
        <v>504</v>
      </c>
      <c r="H64" s="460">
        <f>G64+'20'!H64</f>
        <v>10125</v>
      </c>
      <c r="I64" s="480"/>
      <c r="J64" s="552">
        <f>H64/DAY(B2)</f>
        <v>482.14285714285717</v>
      </c>
      <c r="K64" s="428"/>
      <c r="L64" s="377"/>
      <c r="N64" s="382"/>
      <c r="O64" s="382"/>
    </row>
    <row r="65" spans="1:15" ht="27.75">
      <c r="A65" s="1499" t="s">
        <v>100</v>
      </c>
      <c r="B65" s="1500"/>
      <c r="C65" s="1501"/>
      <c r="D65" s="523" t="s">
        <v>187</v>
      </c>
      <c r="E65" s="484">
        <f>'20'!F65</f>
        <v>151419</v>
      </c>
      <c r="F65" s="484">
        <v>151765</v>
      </c>
      <c r="G65" s="1340">
        <f t="shared" si="7"/>
        <v>346</v>
      </c>
      <c r="H65" s="460">
        <f>G65+'20'!H65</f>
        <v>7560</v>
      </c>
      <c r="I65" s="489"/>
      <c r="J65" s="552">
        <f>H65/DAY(B2)</f>
        <v>360</v>
      </c>
      <c r="K65" s="428"/>
      <c r="L65" s="377"/>
      <c r="N65" s="382"/>
      <c r="O65" s="382"/>
    </row>
    <row r="66" spans="1:15" ht="27.75">
      <c r="A66" s="1499" t="s">
        <v>101</v>
      </c>
      <c r="B66" s="1500"/>
      <c r="C66" s="1501"/>
      <c r="D66" s="523" t="s">
        <v>187</v>
      </c>
      <c r="E66" s="484">
        <f>'20'!F66</f>
        <v>44994</v>
      </c>
      <c r="F66" s="484">
        <v>45374</v>
      </c>
      <c r="G66" s="1340">
        <f t="shared" si="7"/>
        <v>380</v>
      </c>
      <c r="H66" s="460">
        <f>G66+'20'!H66</f>
        <v>8166</v>
      </c>
      <c r="I66" s="480"/>
      <c r="J66" s="552">
        <f>H66/DAY(B2)</f>
        <v>388.85714285714283</v>
      </c>
      <c r="K66" s="428"/>
      <c r="L66" s="377"/>
      <c r="N66" s="382"/>
      <c r="O66" s="382"/>
    </row>
    <row r="67" spans="1:15" ht="27.75">
      <c r="A67" s="1499" t="s">
        <v>102</v>
      </c>
      <c r="B67" s="1500"/>
      <c r="C67" s="1501"/>
      <c r="D67" s="523" t="s">
        <v>187</v>
      </c>
      <c r="E67" s="484">
        <f>'20'!F67</f>
        <v>239527</v>
      </c>
      <c r="F67" s="484">
        <v>239914</v>
      </c>
      <c r="G67" s="1340">
        <f t="shared" si="7"/>
        <v>387</v>
      </c>
      <c r="H67" s="460">
        <f>G67+'20'!H67</f>
        <v>10814</v>
      </c>
      <c r="I67" s="489"/>
      <c r="J67" s="552">
        <f>H67/DAY(B2)</f>
        <v>514.95238095238096</v>
      </c>
      <c r="K67" s="429"/>
      <c r="L67" s="377"/>
      <c r="N67" s="382"/>
      <c r="O67" s="382"/>
    </row>
    <row r="68" spans="1:15" ht="27.75">
      <c r="A68" s="1499" t="s">
        <v>103</v>
      </c>
      <c r="B68" s="1500"/>
      <c r="C68" s="1501"/>
      <c r="D68" s="523" t="s">
        <v>187</v>
      </c>
      <c r="E68" s="484">
        <f>'20'!F68</f>
        <v>85321</v>
      </c>
      <c r="F68" s="484">
        <v>85321</v>
      </c>
      <c r="G68" s="1340">
        <f t="shared" si="7"/>
        <v>0</v>
      </c>
      <c r="H68" s="460">
        <f>G68+'20'!H68</f>
        <v>2234</v>
      </c>
      <c r="I68" s="516"/>
      <c r="J68" s="552">
        <f>H68/DAY(B2)</f>
        <v>106.38095238095238</v>
      </c>
      <c r="K68" s="430"/>
      <c r="L68" s="377"/>
      <c r="N68" s="382"/>
      <c r="O68" s="382"/>
    </row>
    <row r="69" spans="1:15" ht="27.75">
      <c r="A69" s="1499" t="s">
        <v>104</v>
      </c>
      <c r="B69" s="1500"/>
      <c r="C69" s="1501"/>
      <c r="D69" s="523" t="s">
        <v>187</v>
      </c>
      <c r="E69" s="484">
        <f>'20'!F69</f>
        <v>78291</v>
      </c>
      <c r="F69" s="484">
        <v>78342</v>
      </c>
      <c r="G69" s="1340">
        <f t="shared" si="7"/>
        <v>51</v>
      </c>
      <c r="H69" s="460">
        <f>G69+'20'!H69</f>
        <v>4013</v>
      </c>
      <c r="I69" s="516"/>
      <c r="J69" s="552">
        <f>H69/DAY(B2)</f>
        <v>191.0952380952381</v>
      </c>
      <c r="K69" s="431"/>
      <c r="L69" s="377"/>
      <c r="N69" s="382"/>
      <c r="O69" s="382"/>
    </row>
    <row r="70" spans="1:15" ht="27.75">
      <c r="A70" s="1505" t="s">
        <v>189</v>
      </c>
      <c r="B70" s="1506"/>
      <c r="C70" s="1507"/>
      <c r="D70" s="523" t="s">
        <v>187</v>
      </c>
      <c r="E70" s="518"/>
      <c r="F70" s="518"/>
      <c r="G70" s="1352"/>
      <c r="H70" s="460">
        <f>G70+'20'!H70</f>
        <v>0</v>
      </c>
      <c r="I70" s="518"/>
      <c r="J70" s="556"/>
      <c r="K70" s="431"/>
      <c r="L70" s="377"/>
      <c r="N70" s="382"/>
      <c r="O70" s="382"/>
    </row>
    <row r="71" spans="1:15" ht="31.5">
      <c r="A71" s="1502" t="s">
        <v>190</v>
      </c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  <c r="N71" s="382"/>
      <c r="O71" s="382"/>
    </row>
    <row r="72" spans="1:15" ht="27.75">
      <c r="A72" s="1499" t="s">
        <v>191</v>
      </c>
      <c r="B72" s="1500"/>
      <c r="C72" s="1501"/>
      <c r="D72" s="523" t="s">
        <v>187</v>
      </c>
      <c r="E72" s="519">
        <f>'20'!F72</f>
        <v>854946</v>
      </c>
      <c r="F72" s="519">
        <v>855005</v>
      </c>
      <c r="G72" s="1340">
        <f t="shared" ref="G72:G84" si="8">F72-E72</f>
        <v>59</v>
      </c>
      <c r="H72" s="460">
        <f>G72+'20'!H72</f>
        <v>1742</v>
      </c>
      <c r="I72" s="480"/>
      <c r="J72" s="552">
        <f>H72/DAY(B2)</f>
        <v>82.952380952380949</v>
      </c>
      <c r="K72" s="431"/>
      <c r="L72" s="377"/>
      <c r="N72" s="382"/>
      <c r="O72" s="382"/>
    </row>
    <row r="73" spans="1:15" ht="27.75">
      <c r="A73" s="1499" t="s">
        <v>192</v>
      </c>
      <c r="B73" s="1500"/>
      <c r="C73" s="1501"/>
      <c r="D73" s="523" t="s">
        <v>187</v>
      </c>
      <c r="E73" s="520">
        <f>'20'!F73</f>
        <v>885830</v>
      </c>
      <c r="F73" s="520">
        <v>885831</v>
      </c>
      <c r="G73" s="1340">
        <f t="shared" si="8"/>
        <v>1</v>
      </c>
      <c r="H73" s="460">
        <f>G73+'20'!H73</f>
        <v>1252</v>
      </c>
      <c r="I73" s="480"/>
      <c r="J73" s="552">
        <f>H73/DAY(B2)</f>
        <v>59.61904761904762</v>
      </c>
      <c r="K73" s="430"/>
      <c r="L73" s="377"/>
      <c r="N73" s="382"/>
      <c r="O73" s="382"/>
    </row>
    <row r="74" spans="1:15" ht="27.75">
      <c r="A74" s="1575" t="s">
        <v>193</v>
      </c>
      <c r="B74" s="1576"/>
      <c r="C74" s="1577"/>
      <c r="D74" s="523" t="s">
        <v>187</v>
      </c>
      <c r="E74" s="521">
        <f>'20'!F74</f>
        <v>1962</v>
      </c>
      <c r="F74" s="521">
        <v>1994</v>
      </c>
      <c r="G74" s="1340">
        <f t="shared" si="8"/>
        <v>32</v>
      </c>
      <c r="H74" s="460">
        <f>G74+'20'!H74</f>
        <v>624</v>
      </c>
      <c r="I74" s="480"/>
      <c r="J74" s="552">
        <f>H74/DAY(B2)</f>
        <v>29.714285714285715</v>
      </c>
      <c r="K74" s="431"/>
      <c r="L74" s="377"/>
      <c r="N74" s="382"/>
      <c r="O74" s="382"/>
    </row>
    <row r="75" spans="1:15" ht="27.75">
      <c r="A75" s="1496" t="s">
        <v>194</v>
      </c>
      <c r="B75" s="1497"/>
      <c r="C75" s="1498"/>
      <c r="D75" s="523" t="s">
        <v>187</v>
      </c>
      <c r="E75" s="521">
        <f>'20'!F75</f>
        <v>10367</v>
      </c>
      <c r="F75" s="521">
        <v>10427</v>
      </c>
      <c r="G75" s="1340">
        <f t="shared" si="8"/>
        <v>60</v>
      </c>
      <c r="H75" s="460">
        <f>G75+'20'!H75</f>
        <v>1747</v>
      </c>
      <c r="I75" s="480"/>
      <c r="J75" s="552">
        <f>H75/DAY(B2)</f>
        <v>83.19047619047619</v>
      </c>
      <c r="K75" s="430"/>
      <c r="L75" s="377"/>
      <c r="N75" s="382"/>
      <c r="O75" s="382"/>
    </row>
    <row r="76" spans="1:15" ht="27.75">
      <c r="A76" s="1496" t="s">
        <v>195</v>
      </c>
      <c r="B76" s="1497"/>
      <c r="C76" s="1498"/>
      <c r="D76" s="523" t="s">
        <v>187</v>
      </c>
      <c r="E76" s="520">
        <f>'20'!F76</f>
        <v>5280</v>
      </c>
      <c r="F76" s="648">
        <v>5318</v>
      </c>
      <c r="G76" s="1340">
        <f t="shared" si="8"/>
        <v>38</v>
      </c>
      <c r="H76" s="460">
        <f>G76+'20'!H76</f>
        <v>1692</v>
      </c>
      <c r="I76" s="505"/>
      <c r="J76" s="552">
        <f>H76/DAY(B2)</f>
        <v>80.571428571428569</v>
      </c>
      <c r="K76" s="430"/>
      <c r="L76" s="377"/>
      <c r="N76" s="382"/>
      <c r="O76" s="382"/>
    </row>
    <row r="77" spans="1:15" ht="27.75">
      <c r="A77" s="1499" t="s">
        <v>196</v>
      </c>
      <c r="B77" s="1500"/>
      <c r="C77" s="1501"/>
      <c r="D77" s="523" t="s">
        <v>187</v>
      </c>
      <c r="E77" s="521">
        <f>'20'!F77</f>
        <v>701129</v>
      </c>
      <c r="F77" s="521">
        <v>701168</v>
      </c>
      <c r="G77" s="1340">
        <f t="shared" si="8"/>
        <v>39</v>
      </c>
      <c r="H77" s="460">
        <f>G77+'20'!H77</f>
        <v>954</v>
      </c>
      <c r="I77" s="505"/>
      <c r="J77" s="552">
        <f>H77/DAY(B2)</f>
        <v>45.428571428571431</v>
      </c>
      <c r="K77" s="430"/>
      <c r="L77" s="377"/>
      <c r="N77" s="382"/>
      <c r="O77" s="382"/>
    </row>
    <row r="78" spans="1:15" ht="27.75">
      <c r="A78" s="1147" t="s">
        <v>197</v>
      </c>
      <c r="B78" s="1120"/>
      <c r="C78" s="1120"/>
      <c r="D78" s="523" t="s">
        <v>187</v>
      </c>
      <c r="E78" s="521">
        <f>'20'!F78</f>
        <v>669251</v>
      </c>
      <c r="F78" s="521">
        <v>669299</v>
      </c>
      <c r="G78" s="1340">
        <f t="shared" si="8"/>
        <v>48</v>
      </c>
      <c r="H78" s="460">
        <f>G78+'20'!H78</f>
        <v>3919</v>
      </c>
      <c r="I78" s="505"/>
      <c r="J78" s="552">
        <f>H78/DAY(B2)</f>
        <v>186.61904761904762</v>
      </c>
      <c r="K78" s="430"/>
      <c r="L78" s="377"/>
      <c r="N78" s="382"/>
      <c r="O78" s="382"/>
    </row>
    <row r="79" spans="1:15" ht="27.75">
      <c r="A79" s="1496" t="s">
        <v>92</v>
      </c>
      <c r="B79" s="1497"/>
      <c r="C79" s="1498"/>
      <c r="D79" s="524" t="s">
        <v>187</v>
      </c>
      <c r="E79" s="521">
        <f>'20'!F79</f>
        <v>824939</v>
      </c>
      <c r="F79" s="521">
        <v>825121</v>
      </c>
      <c r="G79" s="1340">
        <f t="shared" si="8"/>
        <v>182</v>
      </c>
      <c r="H79" s="460">
        <f>G79+'20'!H79</f>
        <v>4930</v>
      </c>
      <c r="I79" s="505"/>
      <c r="J79" s="552">
        <f>H79/DAY(B2)</f>
        <v>234.76190476190476</v>
      </c>
      <c r="K79" s="430"/>
      <c r="L79" s="377"/>
      <c r="N79" s="382"/>
      <c r="O79" s="382"/>
    </row>
    <row r="80" spans="1:15" ht="27.75">
      <c r="A80" s="1496" t="s">
        <v>198</v>
      </c>
      <c r="B80" s="1497"/>
      <c r="C80" s="1498"/>
      <c r="D80" s="524" t="s">
        <v>187</v>
      </c>
      <c r="E80" s="520">
        <f>'20'!F80</f>
        <v>513032</v>
      </c>
      <c r="F80" s="520">
        <v>513384</v>
      </c>
      <c r="G80" s="1340">
        <f t="shared" si="8"/>
        <v>352</v>
      </c>
      <c r="H80" s="460">
        <f>G80+'20'!H80</f>
        <v>5456</v>
      </c>
      <c r="I80" s="505"/>
      <c r="J80" s="552">
        <f>H80/DAY(B2)</f>
        <v>259.8095238095238</v>
      </c>
      <c r="K80" s="430"/>
      <c r="L80" s="377"/>
      <c r="N80" s="382"/>
      <c r="O80" s="382"/>
    </row>
    <row r="81" spans="1:15" ht="27.75">
      <c r="A81" s="1496" t="s">
        <v>199</v>
      </c>
      <c r="B81" s="1497"/>
      <c r="C81" s="1498"/>
      <c r="D81" s="524" t="s">
        <v>187</v>
      </c>
      <c r="E81" s="520">
        <f>'20'!F81</f>
        <v>635107</v>
      </c>
      <c r="F81" s="520">
        <v>635287</v>
      </c>
      <c r="G81" s="1340">
        <f t="shared" si="8"/>
        <v>180</v>
      </c>
      <c r="H81" s="460">
        <f>G81+'20'!H81</f>
        <v>5102</v>
      </c>
      <c r="I81" s="505"/>
      <c r="J81" s="552">
        <f>H81/DAY(B2)</f>
        <v>242.95238095238096</v>
      </c>
      <c r="K81" s="430"/>
      <c r="L81" s="377"/>
      <c r="N81" s="382"/>
      <c r="O81" s="382"/>
    </row>
    <row r="82" spans="1:15" ht="27.75">
      <c r="A82" s="1496" t="s">
        <v>93</v>
      </c>
      <c r="B82" s="1497"/>
      <c r="C82" s="1498"/>
      <c r="D82" s="485" t="s">
        <v>132</v>
      </c>
      <c r="E82" s="522">
        <f>'20'!F82</f>
        <v>107379</v>
      </c>
      <c r="F82" s="522">
        <v>107403</v>
      </c>
      <c r="G82" s="1340">
        <f t="shared" si="8"/>
        <v>24</v>
      </c>
      <c r="H82" s="460">
        <f>G82+'20'!H82</f>
        <v>508</v>
      </c>
      <c r="I82" s="486"/>
      <c r="J82" s="552">
        <f>H82/DAY(B2)</f>
        <v>24.19047619047619</v>
      </c>
      <c r="K82" s="430"/>
      <c r="L82" s="377"/>
      <c r="N82" s="382"/>
      <c r="O82" s="382"/>
    </row>
    <row r="83" spans="1:15" ht="27.75">
      <c r="A83" s="1496" t="s">
        <v>200</v>
      </c>
      <c r="B83" s="1497"/>
      <c r="C83" s="1498"/>
      <c r="D83" s="620" t="s">
        <v>132</v>
      </c>
      <c r="E83" s="511">
        <f>'20'!F83</f>
        <v>12547</v>
      </c>
      <c r="F83" s="511">
        <v>12762</v>
      </c>
      <c r="G83" s="1340">
        <f t="shared" si="8"/>
        <v>215</v>
      </c>
      <c r="H83" s="460">
        <f>G83+'20'!H83</f>
        <v>5705</v>
      </c>
      <c r="I83" s="481"/>
      <c r="J83" s="552">
        <f>H83/DAY(B2)</f>
        <v>271.66666666666669</v>
      </c>
      <c r="K83" s="429"/>
      <c r="L83" s="377"/>
      <c r="N83" s="382"/>
      <c r="O83" s="724"/>
    </row>
    <row r="84" spans="1:15">
      <c r="A84" s="1148" t="s">
        <v>201</v>
      </c>
      <c r="B84" s="571"/>
      <c r="C84" s="571"/>
      <c r="D84" s="478" t="s">
        <v>132</v>
      </c>
      <c r="E84" s="627">
        <f>'20'!F84</f>
        <v>472273</v>
      </c>
      <c r="F84" s="627">
        <v>473071</v>
      </c>
      <c r="G84" s="1340">
        <f t="shared" si="8"/>
        <v>798</v>
      </c>
      <c r="H84" s="460">
        <f>G84+'20'!H84</f>
        <v>18387</v>
      </c>
      <c r="I84" s="481"/>
      <c r="J84" s="552">
        <f>H84/DAY(B2)</f>
        <v>875.57142857142856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3">
        <f xml:space="preserve"> SUM(G72:G84)</f>
        <v>2028</v>
      </c>
      <c r="H85" s="460">
        <f>G85+'20'!H85</f>
        <v>51677</v>
      </c>
      <c r="I85" s="481"/>
      <c r="J85" s="552">
        <f>H85/DAY(B2)</f>
        <v>2460.8095238095239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'20'!F86</f>
        <v>458214</v>
      </c>
      <c r="F86" s="650">
        <v>458301</v>
      </c>
      <c r="G86" s="1354">
        <f t="shared" ref="G86:G90" si="9">F86-E86</f>
        <v>87</v>
      </c>
      <c r="H86" s="460">
        <f>G86+'20'!H86</f>
        <v>542</v>
      </c>
      <c r="I86" s="655"/>
      <c r="J86" s="710">
        <f>H86/DAY(B2)</f>
        <v>25.80952380952381</v>
      </c>
      <c r="K86" s="736"/>
      <c r="L86" s="737"/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'20'!F87</f>
        <v>80789</v>
      </c>
      <c r="F87" s="650">
        <v>80802</v>
      </c>
      <c r="G87" s="1354">
        <f t="shared" si="9"/>
        <v>13</v>
      </c>
      <c r="H87" s="460">
        <f>G87+'20'!H87</f>
        <v>91</v>
      </c>
      <c r="I87" s="655"/>
      <c r="J87" s="710">
        <f>H87/DAY(B2)</f>
        <v>4.333333333333333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'20'!F88</f>
        <v>151473</v>
      </c>
      <c r="F88" s="650">
        <v>151496</v>
      </c>
      <c r="G88" s="1354">
        <f t="shared" si="9"/>
        <v>23</v>
      </c>
      <c r="H88" s="460">
        <f>G88+'20'!H88</f>
        <v>182</v>
      </c>
      <c r="I88" s="655"/>
      <c r="J88" s="710">
        <f>H88/DAY(B2)</f>
        <v>8.6666666666666661</v>
      </c>
      <c r="K88" s="736"/>
      <c r="L88" s="737"/>
      <c r="N88" s="781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'20'!F89</f>
        <v>64418</v>
      </c>
      <c r="F89" s="650">
        <v>64460</v>
      </c>
      <c r="G89" s="1354">
        <f t="shared" si="9"/>
        <v>42</v>
      </c>
      <c r="H89" s="460">
        <f>G89+'20'!H89</f>
        <v>171</v>
      </c>
      <c r="I89" s="655"/>
      <c r="J89" s="710">
        <f>H89/DAY(B2)</f>
        <v>8.1428571428571423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'20'!F90</f>
        <v>3272</v>
      </c>
      <c r="F90" s="650">
        <v>3272</v>
      </c>
      <c r="G90" s="1354">
        <f t="shared" si="9"/>
        <v>0</v>
      </c>
      <c r="H90" s="460">
        <f>G90+'20'!H90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379" customFormat="1">
      <c r="A91" s="606" t="s">
        <v>205</v>
      </c>
      <c r="B91" s="1150"/>
      <c r="C91" s="1150"/>
      <c r="D91" s="472"/>
      <c r="E91" s="472"/>
      <c r="F91" s="472"/>
      <c r="G91" s="1343"/>
      <c r="H91" s="472"/>
      <c r="I91" s="472"/>
      <c r="J91" s="551"/>
      <c r="K91" s="380"/>
      <c r="L91" s="378"/>
      <c r="N91" s="780"/>
      <c r="O91" s="382"/>
    </row>
    <row r="92" spans="1:15" ht="27.75">
      <c r="A92" s="1520" t="s">
        <v>206</v>
      </c>
      <c r="B92" s="1521"/>
      <c r="C92" s="1522"/>
      <c r="D92" s="523" t="s">
        <v>144</v>
      </c>
      <c r="E92" s="484">
        <f>'20'!F92</f>
        <v>244004</v>
      </c>
      <c r="F92" s="484">
        <v>244077</v>
      </c>
      <c r="G92" s="1340">
        <f t="shared" ref="G92:G93" si="10">F92-E92</f>
        <v>73</v>
      </c>
      <c r="H92" s="460">
        <f>G92+'20'!H92</f>
        <v>1431</v>
      </c>
      <c r="I92" s="480"/>
      <c r="J92" s="552">
        <f>H92/DAY(B2)</f>
        <v>68.142857142857139</v>
      </c>
      <c r="K92" s="429"/>
      <c r="L92" s="377"/>
      <c r="N92" s="382"/>
      <c r="O92" s="382"/>
    </row>
    <row r="93" spans="1:15" ht="27.75">
      <c r="A93" s="1520" t="s">
        <v>207</v>
      </c>
      <c r="B93" s="1521"/>
      <c r="C93" s="1522"/>
      <c r="D93" s="523" t="s">
        <v>144</v>
      </c>
      <c r="E93" s="484">
        <f>'20'!F93</f>
        <v>182581</v>
      </c>
      <c r="F93" s="484">
        <v>182715</v>
      </c>
      <c r="G93" s="1340">
        <f t="shared" si="10"/>
        <v>134</v>
      </c>
      <c r="H93" s="460">
        <f>G93+'20'!H93</f>
        <v>3036</v>
      </c>
      <c r="I93" s="480"/>
      <c r="J93" s="552">
        <f>H93/DAY(B2)</f>
        <v>144.57142857142858</v>
      </c>
      <c r="K93" s="380"/>
      <c r="L93" s="377"/>
      <c r="N93" s="382"/>
      <c r="O93" s="382"/>
    </row>
    <row r="94" spans="1:15">
      <c r="A94" s="1548" t="s">
        <v>208</v>
      </c>
      <c r="B94" s="1549"/>
      <c r="C94" s="1550"/>
      <c r="D94" s="523"/>
      <c r="E94" s="484">
        <v>0</v>
      </c>
      <c r="F94" s="484">
        <v>0</v>
      </c>
      <c r="G94" s="1340">
        <f>G92+G93</f>
        <v>207</v>
      </c>
      <c r="H94" s="460">
        <f>G94+'20'!H94</f>
        <v>4248</v>
      </c>
      <c r="I94" s="480"/>
      <c r="J94" s="552">
        <f>H94/DAY(B2)</f>
        <v>202.28571428571428</v>
      </c>
      <c r="K94" s="380"/>
      <c r="L94" s="377"/>
      <c r="N94" s="382"/>
      <c r="O94" s="382"/>
    </row>
    <row r="95" spans="1:15" ht="27.75">
      <c r="A95" s="1520" t="s">
        <v>209</v>
      </c>
      <c r="B95" s="1521"/>
      <c r="C95" s="1522"/>
      <c r="D95" s="523" t="s">
        <v>144</v>
      </c>
      <c r="E95" s="484">
        <f>'20'!F95</f>
        <v>412214</v>
      </c>
      <c r="F95" s="484">
        <v>412293</v>
      </c>
      <c r="G95" s="1340">
        <f t="shared" ref="G95:G100" si="11">F95-E95</f>
        <v>79</v>
      </c>
      <c r="H95" s="460">
        <f>G95+'20'!H95</f>
        <v>1508</v>
      </c>
      <c r="I95" s="480"/>
      <c r="J95" s="552">
        <f>H95/DAY(B2)</f>
        <v>71.80952380952381</v>
      </c>
      <c r="K95" s="380"/>
      <c r="L95" s="377"/>
      <c r="N95" s="382"/>
      <c r="O95" s="382"/>
    </row>
    <row r="96" spans="1:15" ht="27.75">
      <c r="A96" s="1144" t="s">
        <v>210</v>
      </c>
      <c r="B96" s="1145"/>
      <c r="C96" s="1145"/>
      <c r="D96" s="523" t="s">
        <v>144</v>
      </c>
      <c r="E96" s="484">
        <f>'20'!F96</f>
        <v>102179</v>
      </c>
      <c r="F96" s="484">
        <v>102198</v>
      </c>
      <c r="G96" s="1340">
        <f t="shared" si="11"/>
        <v>19</v>
      </c>
      <c r="H96" s="460">
        <f>G96+'20'!H96</f>
        <v>367</v>
      </c>
      <c r="I96" s="480"/>
      <c r="J96" s="552">
        <f>H96/DAY(B2)</f>
        <v>17.476190476190474</v>
      </c>
      <c r="K96" s="427"/>
      <c r="L96" s="377"/>
      <c r="N96" s="382"/>
      <c r="O96" s="382"/>
    </row>
    <row r="97" spans="1:15" ht="27.75">
      <c r="A97" s="1144" t="s">
        <v>211</v>
      </c>
      <c r="B97" s="1145"/>
      <c r="C97" s="1145"/>
      <c r="D97" s="523" t="s">
        <v>144</v>
      </c>
      <c r="E97" s="484">
        <f>'20'!F97</f>
        <v>97278</v>
      </c>
      <c r="F97" s="484">
        <v>97293</v>
      </c>
      <c r="G97" s="1340">
        <f t="shared" si="11"/>
        <v>15</v>
      </c>
      <c r="H97" s="460">
        <f>G97+'20'!H97</f>
        <v>365</v>
      </c>
      <c r="I97" s="480"/>
      <c r="J97" s="552">
        <f>H97/DAY(B2)</f>
        <v>17.38095238095238</v>
      </c>
      <c r="K97" s="432"/>
      <c r="L97" s="377"/>
      <c r="N97" s="382"/>
      <c r="O97" s="382"/>
    </row>
    <row r="98" spans="1:15" ht="27.75">
      <c r="A98" s="1144" t="s">
        <v>212</v>
      </c>
      <c r="B98" s="1145"/>
      <c r="C98" s="1145"/>
      <c r="D98" s="523" t="s">
        <v>144</v>
      </c>
      <c r="E98" s="484">
        <f>'20'!F98</f>
        <v>149464</v>
      </c>
      <c r="F98" s="484">
        <v>149472</v>
      </c>
      <c r="G98" s="1340">
        <f t="shared" si="11"/>
        <v>8</v>
      </c>
      <c r="H98" s="460">
        <f>G98+'20'!H98</f>
        <v>563</v>
      </c>
      <c r="I98" s="480"/>
      <c r="J98" s="552">
        <f>H98/DAY(B2)</f>
        <v>26.80952380952381</v>
      </c>
      <c r="K98" s="380"/>
      <c r="L98" s="377"/>
      <c r="N98" s="382"/>
      <c r="O98" s="382"/>
    </row>
    <row r="99" spans="1:15" ht="27.75">
      <c r="A99" s="1144" t="s">
        <v>213</v>
      </c>
      <c r="B99" s="1145"/>
      <c r="C99" s="1145"/>
      <c r="D99" s="523" t="s">
        <v>144</v>
      </c>
      <c r="E99" s="484">
        <f>'20'!F99</f>
        <v>7109</v>
      </c>
      <c r="F99" s="484">
        <v>7123</v>
      </c>
      <c r="G99" s="1340">
        <f t="shared" si="11"/>
        <v>14</v>
      </c>
      <c r="H99" s="460">
        <f>G99+'20'!H99</f>
        <v>268</v>
      </c>
      <c r="I99" s="480"/>
      <c r="J99" s="552">
        <f>H99/DAY(B2)</f>
        <v>12.761904761904763</v>
      </c>
      <c r="K99" s="380"/>
      <c r="L99" s="377"/>
      <c r="N99" s="382"/>
      <c r="O99" s="382"/>
    </row>
    <row r="100" spans="1:15" ht="27.75">
      <c r="A100" s="1144" t="s">
        <v>214</v>
      </c>
      <c r="B100" s="1145"/>
      <c r="C100" s="1145"/>
      <c r="D100" s="523" t="s">
        <v>144</v>
      </c>
      <c r="E100" s="484">
        <f>'20'!F100</f>
        <v>5083</v>
      </c>
      <c r="F100" s="484">
        <v>5088</v>
      </c>
      <c r="G100" s="1340">
        <f t="shared" si="11"/>
        <v>5</v>
      </c>
      <c r="H100" s="460">
        <f>G100+'20'!H100</f>
        <v>145</v>
      </c>
      <c r="I100" s="480"/>
      <c r="J100" s="552">
        <f>H100/DAY(B2)</f>
        <v>6.9047619047619051</v>
      </c>
      <c r="K100" s="380"/>
      <c r="L100" s="377"/>
      <c r="N100" s="382"/>
      <c r="O100" s="382"/>
    </row>
    <row r="101" spans="1:15">
      <c r="A101" s="1548" t="s">
        <v>216</v>
      </c>
      <c r="B101" s="1549"/>
      <c r="C101" s="1550"/>
      <c r="D101" s="524"/>
      <c r="E101" s="524"/>
      <c r="F101" s="524"/>
      <c r="G101" s="1355">
        <f>SUM(G95:G100)</f>
        <v>140</v>
      </c>
      <c r="H101" s="460">
        <f>G101+'20'!H101</f>
        <v>3216</v>
      </c>
      <c r="I101" s="526"/>
      <c r="J101" s="552">
        <f>H101/DAY(B2)</f>
        <v>153.14285714285714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1356"/>
      <c r="H102" s="530"/>
      <c r="I102" s="531"/>
      <c r="J102" s="557"/>
      <c r="N102" s="444"/>
      <c r="O102" s="382"/>
    </row>
    <row r="103" spans="1:15" s="442" customFormat="1" ht="27.75">
      <c r="A103" s="1551" t="s">
        <v>218</v>
      </c>
      <c r="B103" s="1552"/>
      <c r="C103" s="573"/>
      <c r="D103" s="622"/>
      <c r="E103" s="532"/>
      <c r="F103" s="532"/>
      <c r="G103" s="1357"/>
      <c r="H103" s="533"/>
      <c r="I103" s="532"/>
      <c r="J103" s="558"/>
      <c r="N103" s="444"/>
      <c r="O103" s="382"/>
    </row>
    <row r="104" spans="1:15" s="442" customFormat="1" ht="27.75">
      <c r="A104" s="1512" t="s">
        <v>219</v>
      </c>
      <c r="B104" s="1513"/>
      <c r="C104" s="1142"/>
      <c r="D104" s="622" t="s">
        <v>144</v>
      </c>
      <c r="E104" s="532">
        <f>'20'!F104</f>
        <v>7391</v>
      </c>
      <c r="F104" s="532">
        <v>7400</v>
      </c>
      <c r="G104" s="1357">
        <f>F104-E104</f>
        <v>9</v>
      </c>
      <c r="H104" s="460">
        <f>G104+'20'!H104</f>
        <v>81</v>
      </c>
      <c r="I104" s="532"/>
      <c r="J104" s="558">
        <f>H104/DAY(B2)</f>
        <v>3.8571428571428572</v>
      </c>
      <c r="N104" s="444"/>
      <c r="O104" s="382"/>
    </row>
    <row r="105" spans="1:15" s="442" customFormat="1" ht="27.75">
      <c r="A105" s="1512" t="s">
        <v>77</v>
      </c>
      <c r="B105" s="1513"/>
      <c r="C105" s="1142"/>
      <c r="D105" s="622" t="s">
        <v>144</v>
      </c>
      <c r="E105" s="534">
        <f>'20'!F105</f>
        <v>35770</v>
      </c>
      <c r="F105" s="534">
        <v>35774</v>
      </c>
      <c r="G105" s="1357">
        <f t="shared" ref="G105:G106" si="12">F105-E105</f>
        <v>4</v>
      </c>
      <c r="H105" s="460">
        <f>G105+'20'!H105</f>
        <v>73</v>
      </c>
      <c r="I105" s="532"/>
      <c r="J105" s="558">
        <f>H105/DAY(B2)</f>
        <v>3.4761904761904763</v>
      </c>
      <c r="N105" s="444"/>
      <c r="O105" s="382"/>
    </row>
    <row r="106" spans="1:15" s="442" customFormat="1" ht="27.75">
      <c r="A106" s="1512" t="s">
        <v>78</v>
      </c>
      <c r="B106" s="1553"/>
      <c r="C106" s="1513"/>
      <c r="D106" s="622" t="s">
        <v>144</v>
      </c>
      <c r="E106" s="532">
        <f>'20'!F106</f>
        <v>19557</v>
      </c>
      <c r="F106" s="532">
        <v>19564</v>
      </c>
      <c r="G106" s="1357">
        <f t="shared" si="12"/>
        <v>7</v>
      </c>
      <c r="H106" s="460">
        <f>G106+'20'!H106</f>
        <v>427</v>
      </c>
      <c r="I106" s="532"/>
      <c r="J106" s="558">
        <f>H106/DAY(B2)</f>
        <v>20.333333333333332</v>
      </c>
      <c r="N106" s="444"/>
      <c r="O106" s="382"/>
    </row>
    <row r="107" spans="1:15" s="442" customFormat="1" ht="27.75">
      <c r="A107" s="1514" t="s">
        <v>202</v>
      </c>
      <c r="B107" s="1515"/>
      <c r="C107" s="1142"/>
      <c r="D107" s="622"/>
      <c r="E107" s="532">
        <f>'20'!F107</f>
        <v>0</v>
      </c>
      <c r="F107" s="532"/>
      <c r="G107" s="1357">
        <f>SUM(G104:G106)</f>
        <v>20</v>
      </c>
      <c r="H107" s="460">
        <f>G107+'20'!H107</f>
        <v>271</v>
      </c>
      <c r="I107" s="532"/>
      <c r="J107" s="558">
        <f>H107/DAY(B2)</f>
        <v>12.904761904761905</v>
      </c>
      <c r="N107" s="444"/>
      <c r="O107" s="382"/>
    </row>
    <row r="108" spans="1:15" s="442" customFormat="1" ht="27.75">
      <c r="A108" s="1518" t="s">
        <v>79</v>
      </c>
      <c r="B108" s="1519"/>
      <c r="C108" s="1142"/>
      <c r="D108" s="622" t="s">
        <v>144</v>
      </c>
      <c r="E108" s="532">
        <f>'20'!F108</f>
        <v>0</v>
      </c>
      <c r="F108" s="532"/>
      <c r="G108" s="1357"/>
      <c r="H108" s="460"/>
      <c r="I108" s="532"/>
      <c r="J108" s="558"/>
      <c r="N108" s="444"/>
      <c r="O108" s="382"/>
    </row>
    <row r="109" spans="1:15" s="442" customFormat="1" ht="27.75">
      <c r="A109" s="1512" t="s">
        <v>220</v>
      </c>
      <c r="B109" s="1513"/>
      <c r="C109" s="1142"/>
      <c r="D109" s="622" t="s">
        <v>144</v>
      </c>
      <c r="E109" s="532">
        <f>'20'!F109</f>
        <v>60376</v>
      </c>
      <c r="F109" s="532">
        <v>60458</v>
      </c>
      <c r="G109" s="1357">
        <f>F109-E109</f>
        <v>82</v>
      </c>
      <c r="H109" s="460">
        <f>G109+'20'!H109</f>
        <v>486</v>
      </c>
      <c r="I109" s="532"/>
      <c r="J109" s="558">
        <f>H109/DAY(B2)</f>
        <v>23.142857142857142</v>
      </c>
      <c r="N109" s="444"/>
      <c r="O109" s="382"/>
    </row>
    <row r="110" spans="1:15" s="442" customFormat="1" ht="27.75">
      <c r="A110" s="1512" t="s">
        <v>221</v>
      </c>
      <c r="B110" s="1513"/>
      <c r="C110" s="1142"/>
      <c r="D110" s="622" t="s">
        <v>144</v>
      </c>
      <c r="E110" s="532">
        <f>'20'!F110</f>
        <v>32156</v>
      </c>
      <c r="F110" s="532">
        <v>32156</v>
      </c>
      <c r="G110" s="1357">
        <f t="shared" ref="G110:G111" si="13">F110-E110</f>
        <v>0</v>
      </c>
      <c r="H110" s="460">
        <f>G110+'20'!H110</f>
        <v>74</v>
      </c>
      <c r="I110" s="532"/>
      <c r="J110" s="558">
        <f>H110/DAY(B2)</f>
        <v>3.5238095238095237</v>
      </c>
      <c r="N110" s="444"/>
      <c r="O110" s="382"/>
    </row>
    <row r="111" spans="1:15" s="442" customFormat="1" ht="27.75">
      <c r="A111" s="1512" t="s">
        <v>222</v>
      </c>
      <c r="B111" s="1513"/>
      <c r="C111" s="1142"/>
      <c r="D111" s="622" t="s">
        <v>144</v>
      </c>
      <c r="E111" s="532">
        <f>'20'!F111</f>
        <v>4309</v>
      </c>
      <c r="F111" s="532">
        <v>4326</v>
      </c>
      <c r="G111" s="1357">
        <f t="shared" si="13"/>
        <v>17</v>
      </c>
      <c r="H111" s="460">
        <f>G111+'20'!H111</f>
        <v>273</v>
      </c>
      <c r="I111" s="532"/>
      <c r="J111" s="558">
        <f>H111/DAY(B2)</f>
        <v>13</v>
      </c>
      <c r="N111" s="444"/>
      <c r="O111" s="382"/>
    </row>
    <row r="112" spans="1:15" s="442" customFormat="1" ht="27.75">
      <c r="A112" s="1516" t="s">
        <v>110</v>
      </c>
      <c r="B112" s="1517"/>
      <c r="C112" s="1142"/>
      <c r="D112" s="622"/>
      <c r="E112" s="532">
        <f>'20'!F112</f>
        <v>0</v>
      </c>
      <c r="F112" s="532"/>
      <c r="G112" s="1357">
        <f>SUM(G109:G111)</f>
        <v>99</v>
      </c>
      <c r="H112" s="460">
        <f>G112+'20'!H112</f>
        <v>1288</v>
      </c>
      <c r="I112" s="532"/>
      <c r="J112" s="558">
        <f>H112/DAY(B2)</f>
        <v>61.333333333333336</v>
      </c>
      <c r="N112" s="444"/>
      <c r="O112" s="382"/>
    </row>
    <row r="113" spans="1:15" s="442" customFormat="1" ht="27.75">
      <c r="A113" s="1518" t="s">
        <v>223</v>
      </c>
      <c r="B113" s="1519"/>
      <c r="C113" s="1142"/>
      <c r="D113" s="622"/>
      <c r="E113" s="532">
        <f>'20'!F113</f>
        <v>0</v>
      </c>
      <c r="F113" s="532"/>
      <c r="G113" s="1357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512" t="s">
        <v>224</v>
      </c>
      <c r="B114" s="1513"/>
      <c r="C114" s="574"/>
      <c r="D114" s="622" t="s">
        <v>144</v>
      </c>
      <c r="E114" s="534">
        <f>'20'!F114</f>
        <v>11165</v>
      </c>
      <c r="F114" s="534">
        <v>11181</v>
      </c>
      <c r="G114" s="1358">
        <f>F114-E114</f>
        <v>16</v>
      </c>
      <c r="H114" s="460">
        <f>G114+'20'!H114</f>
        <v>57</v>
      </c>
      <c r="I114" s="532"/>
      <c r="J114" s="558">
        <f>H114/DAY(B2)</f>
        <v>2.7142857142857144</v>
      </c>
      <c r="N114" s="444"/>
      <c r="O114" s="382"/>
    </row>
    <row r="115" spans="1:15" s="442" customFormat="1" ht="27.75">
      <c r="A115" s="1512" t="s">
        <v>225</v>
      </c>
      <c r="B115" s="1513"/>
      <c r="C115" s="574"/>
      <c r="D115" s="622" t="s">
        <v>144</v>
      </c>
      <c r="E115" s="534">
        <f>'20'!F115</f>
        <v>8085</v>
      </c>
      <c r="F115" s="534">
        <v>8090</v>
      </c>
      <c r="G115" s="1358">
        <f t="shared" ref="G115:G116" si="14">F115-E115</f>
        <v>5</v>
      </c>
      <c r="H115" s="460">
        <f>G115+'20'!H115</f>
        <v>111</v>
      </c>
      <c r="I115" s="532"/>
      <c r="J115" s="558">
        <f>H115/DAY(B2)</f>
        <v>5.2857142857142856</v>
      </c>
      <c r="N115" s="444"/>
      <c r="O115" s="382"/>
    </row>
    <row r="116" spans="1:15" s="442" customFormat="1" ht="27.75">
      <c r="A116" s="1512" t="s">
        <v>226</v>
      </c>
      <c r="B116" s="1513"/>
      <c r="C116" s="574"/>
      <c r="D116" s="622" t="s">
        <v>144</v>
      </c>
      <c r="E116" s="534"/>
      <c r="F116" s="534"/>
      <c r="G116" s="1358">
        <f t="shared" si="14"/>
        <v>0</v>
      </c>
      <c r="H116" s="460">
        <f>G116+'20'!H116</f>
        <v>127</v>
      </c>
      <c r="I116" s="532"/>
      <c r="J116" s="558">
        <f>H116/DAY(B2)</f>
        <v>6.0476190476190474</v>
      </c>
      <c r="N116" s="444"/>
      <c r="O116" s="382"/>
    </row>
    <row r="117" spans="1:15" s="445" customFormat="1" ht="27.75">
      <c r="A117" s="1514" t="s">
        <v>202</v>
      </c>
      <c r="B117" s="1515"/>
      <c r="C117" s="574"/>
      <c r="D117" s="623"/>
      <c r="E117" s="534"/>
      <c r="F117" s="534"/>
      <c r="G117" s="1358">
        <f>SUM(G114:G116)</f>
        <v>21</v>
      </c>
      <c r="H117" s="460">
        <f>G117+'20'!H117</f>
        <v>153</v>
      </c>
      <c r="I117" s="534"/>
      <c r="J117" s="558">
        <f>H117/DAY(B2)</f>
        <v>7.2857142857142856</v>
      </c>
      <c r="N117" s="447"/>
      <c r="O117" s="382"/>
    </row>
    <row r="118" spans="1:15" s="446" customFormat="1" ht="27.75">
      <c r="A118" s="1508" t="s">
        <v>227</v>
      </c>
      <c r="B118" s="1509"/>
      <c r="C118" s="1141"/>
      <c r="D118" s="624" t="s">
        <v>144</v>
      </c>
      <c r="E118" s="536"/>
      <c r="F118" s="536">
        <f>SUM(G19+G92)</f>
        <v>131</v>
      </c>
      <c r="G118" s="1358">
        <f>SUM(G19+G92)</f>
        <v>131</v>
      </c>
      <c r="H118" s="460">
        <f>G118+'20'!H118</f>
        <v>528</v>
      </c>
      <c r="I118" s="535"/>
      <c r="J118" s="559">
        <f>H118/DAY(B2)</f>
        <v>25.142857142857142</v>
      </c>
      <c r="N118" s="782"/>
      <c r="O118" s="382"/>
    </row>
    <row r="119" spans="1:15" s="446" customFormat="1" ht="27.75">
      <c r="A119" s="1508" t="s">
        <v>228</v>
      </c>
      <c r="B119" s="1509"/>
      <c r="C119" s="1141"/>
      <c r="D119" s="624" t="s">
        <v>144</v>
      </c>
      <c r="E119" s="536"/>
      <c r="F119" s="536">
        <f>SUM(G95,G96,G97,G99,G100)</f>
        <v>132</v>
      </c>
      <c r="G119" s="1358">
        <f>SUM(G95,G96,G97,G99,G100)</f>
        <v>132</v>
      </c>
      <c r="H119" s="460">
        <f>G119+'20'!H119</f>
        <v>535</v>
      </c>
      <c r="I119" s="535"/>
      <c r="J119" s="559">
        <f>H119/DAY(B2)</f>
        <v>25.476190476190474</v>
      </c>
      <c r="N119" s="782"/>
      <c r="O119" s="382"/>
    </row>
    <row r="120" spans="1:15" s="446" customFormat="1" ht="27.75">
      <c r="A120" s="1508" t="s">
        <v>229</v>
      </c>
      <c r="B120" s="1509"/>
      <c r="C120" s="1141"/>
      <c r="D120" s="624" t="s">
        <v>144</v>
      </c>
      <c r="E120" s="534"/>
      <c r="F120" s="534">
        <f>SUM(G112)</f>
        <v>99</v>
      </c>
      <c r="G120" s="1358">
        <f>SUM(G112)</f>
        <v>99</v>
      </c>
      <c r="H120" s="460">
        <f>G120+'20'!H120</f>
        <v>379</v>
      </c>
      <c r="I120" s="535"/>
      <c r="J120" s="559">
        <f>H120/DAY(B2)</f>
        <v>18.047619047619047</v>
      </c>
      <c r="N120" s="782"/>
      <c r="O120" s="382"/>
    </row>
    <row r="121" spans="1:15" s="442" customFormat="1" ht="27.75">
      <c r="A121" s="1510"/>
      <c r="B121" s="1511"/>
      <c r="C121" s="1142"/>
      <c r="D121" s="560"/>
      <c r="E121" s="560"/>
      <c r="F121" s="560" t="s">
        <v>215</v>
      </c>
      <c r="G121" s="1359"/>
      <c r="H121" s="561">
        <v>0</v>
      </c>
      <c r="I121" s="560"/>
      <c r="J121" s="562"/>
      <c r="N121" s="444"/>
      <c r="O121" s="382"/>
    </row>
    <row r="122" spans="1:15">
      <c r="A122" s="1545" t="s">
        <v>230</v>
      </c>
      <c r="B122" s="1546"/>
      <c r="C122" s="1547"/>
      <c r="D122" s="472"/>
      <c r="E122" s="472"/>
      <c r="F122" s="472"/>
      <c r="G122" s="1343"/>
      <c r="H122" s="483">
        <v>0</v>
      </c>
      <c r="I122" s="483"/>
      <c r="J122" s="563"/>
      <c r="K122" s="380"/>
      <c r="L122" s="377"/>
      <c r="N122" s="382"/>
      <c r="O122" s="382"/>
    </row>
    <row r="123" spans="1:15" ht="27.75">
      <c r="A123" s="1144" t="s">
        <v>231</v>
      </c>
      <c r="B123" s="1145"/>
      <c r="C123" s="1145"/>
      <c r="D123" s="523" t="s">
        <v>141</v>
      </c>
      <c r="E123" s="478">
        <f>'20'!F123</f>
        <v>823809</v>
      </c>
      <c r="F123" s="478">
        <v>824055</v>
      </c>
      <c r="G123" s="1340">
        <f t="shared" ref="G123:G127" si="15">F123-E123</f>
        <v>246</v>
      </c>
      <c r="H123" s="460">
        <f>G123+'20'!H123</f>
        <v>5245</v>
      </c>
      <c r="I123" s="526"/>
      <c r="J123" s="552">
        <f>H123/DAY(B2)</f>
        <v>249.76190476190476</v>
      </c>
      <c r="K123" s="380"/>
      <c r="L123" s="377"/>
      <c r="N123" s="382"/>
      <c r="O123" s="382"/>
    </row>
    <row r="124" spans="1:15" ht="27.75">
      <c r="A124" s="1144" t="s">
        <v>232</v>
      </c>
      <c r="B124" s="1145"/>
      <c r="C124" s="1145"/>
      <c r="D124" s="523" t="s">
        <v>141</v>
      </c>
      <c r="E124" s="626">
        <f>'20'!F124</f>
        <v>73583</v>
      </c>
      <c r="F124" s="626">
        <v>73583</v>
      </c>
      <c r="G124" s="1340">
        <f t="shared" si="15"/>
        <v>0</v>
      </c>
      <c r="H124" s="460">
        <f>G124+'20'!H124</f>
        <v>-0.39999999999417923</v>
      </c>
      <c r="I124" s="526"/>
      <c r="J124" s="552">
        <f>H124/DAY(B2)</f>
        <v>-1.9047619047341868E-2</v>
      </c>
      <c r="K124" s="380"/>
      <c r="L124" s="377"/>
      <c r="N124" s="382"/>
      <c r="O124" s="382"/>
    </row>
    <row r="125" spans="1:15" ht="27.75">
      <c r="A125" s="1499" t="s">
        <v>233</v>
      </c>
      <c r="B125" s="1500"/>
      <c r="C125" s="1501"/>
      <c r="D125" s="523" t="s">
        <v>141</v>
      </c>
      <c r="E125" s="478">
        <f>'20'!F125</f>
        <v>143902</v>
      </c>
      <c r="F125" s="478">
        <v>143989</v>
      </c>
      <c r="G125" s="1340">
        <f t="shared" si="15"/>
        <v>87</v>
      </c>
      <c r="H125" s="460">
        <f>G125+'20'!H125</f>
        <v>1853</v>
      </c>
      <c r="I125" s="526"/>
      <c r="J125" s="552">
        <f>H125/DAY(B2)</f>
        <v>88.238095238095241</v>
      </c>
      <c r="K125" s="380"/>
      <c r="L125" s="377"/>
      <c r="N125" s="382"/>
      <c r="O125" s="382"/>
    </row>
    <row r="126" spans="1:15" ht="27.75">
      <c r="A126" s="609" t="s">
        <v>234</v>
      </c>
      <c r="B126" s="1145"/>
      <c r="C126" s="1145"/>
      <c r="D126" s="523" t="s">
        <v>141</v>
      </c>
      <c r="E126" s="626">
        <f>'20'!F126</f>
        <v>31404</v>
      </c>
      <c r="F126" s="626">
        <v>31404</v>
      </c>
      <c r="G126" s="1340">
        <f t="shared" si="15"/>
        <v>0</v>
      </c>
      <c r="H126" s="460">
        <f>G126+'20'!H126</f>
        <v>85.299999999999272</v>
      </c>
      <c r="I126" s="526"/>
      <c r="J126" s="552">
        <f>H126/DAY(B2)</f>
        <v>4.061904761904727</v>
      </c>
      <c r="K126" s="380"/>
      <c r="L126" s="377"/>
      <c r="N126" s="382"/>
      <c r="O126" s="382"/>
    </row>
    <row r="127" spans="1:15" ht="27.75">
      <c r="A127" s="609" t="s">
        <v>235</v>
      </c>
      <c r="B127" s="1145"/>
      <c r="C127" s="1145"/>
      <c r="D127" s="523" t="s">
        <v>141</v>
      </c>
      <c r="E127" s="626">
        <f>'20'!F127</f>
        <v>8938.4</v>
      </c>
      <c r="F127" s="626">
        <v>8938.4</v>
      </c>
      <c r="G127" s="1340">
        <f t="shared" si="15"/>
        <v>0</v>
      </c>
      <c r="H127" s="460">
        <f>G127+'20'!H127</f>
        <v>-23.600000000000364</v>
      </c>
      <c r="I127" s="480"/>
      <c r="J127" s="552">
        <f>H127/DAY(B2)</f>
        <v>-1.1238095238095411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145"/>
      <c r="C128" s="1145"/>
      <c r="D128" s="523"/>
      <c r="E128" s="478"/>
      <c r="F128" s="478"/>
      <c r="G128" s="1340">
        <f>G15-SUM(G123:G127)</f>
        <v>367</v>
      </c>
      <c r="H128" s="460">
        <f>G128+'20'!H128</f>
        <v>2671.2499999999945</v>
      </c>
      <c r="I128" s="480"/>
      <c r="J128" s="552">
        <f>H128/DAY(B2)</f>
        <v>127.20238095238069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1360"/>
      <c r="H129" s="540"/>
      <c r="I129" s="540"/>
      <c r="J129" s="564"/>
      <c r="N129" s="382"/>
      <c r="O129" s="382"/>
    </row>
    <row r="130" spans="1:15" ht="27.75">
      <c r="A130" s="1144" t="s">
        <v>238</v>
      </c>
      <c r="B130" s="1145"/>
      <c r="C130" s="1145"/>
      <c r="D130" s="523" t="s">
        <v>239</v>
      </c>
      <c r="E130" s="484">
        <f>'20'!F130</f>
        <v>0</v>
      </c>
      <c r="F130" s="484">
        <v>0</v>
      </c>
      <c r="G130" s="1340">
        <f t="shared" ref="G130:G140" si="16">F130-E130</f>
        <v>0</v>
      </c>
      <c r="H130" s="460">
        <f>G130+'20'!H130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144" t="s">
        <v>240</v>
      </c>
      <c r="B131" s="1145"/>
      <c r="C131" s="1145"/>
      <c r="D131" s="523" t="s">
        <v>239</v>
      </c>
      <c r="E131" s="484">
        <f>'20'!F131</f>
        <v>0</v>
      </c>
      <c r="F131" s="484">
        <v>0</v>
      </c>
      <c r="G131" s="1340">
        <f t="shared" si="16"/>
        <v>0</v>
      </c>
      <c r="H131" s="460">
        <f>G131+'20'!H131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4" t="s">
        <v>241</v>
      </c>
      <c r="B132" s="1145"/>
      <c r="C132" s="1145"/>
      <c r="D132" s="523" t="s">
        <v>239</v>
      </c>
      <c r="E132" s="541">
        <f>'20'!F132</f>
        <v>39659.230000000003</v>
      </c>
      <c r="F132" s="541">
        <v>39659.230000000003</v>
      </c>
      <c r="G132" s="1340">
        <f t="shared" si="16"/>
        <v>0</v>
      </c>
      <c r="H132" s="460">
        <f>G132+'20'!H132</f>
        <v>126.2300000000032</v>
      </c>
      <c r="I132" s="480"/>
      <c r="J132" s="552">
        <f>H132/DAY(B2)</f>
        <v>6.0109523809525331</v>
      </c>
      <c r="N132" s="382"/>
      <c r="O132" s="382"/>
    </row>
    <row r="133" spans="1:15" s="441" customFormat="1" ht="27.75">
      <c r="A133" s="1074" t="s">
        <v>242</v>
      </c>
      <c r="B133" s="1075"/>
      <c r="C133" s="1075"/>
      <c r="D133" s="627" t="s">
        <v>239</v>
      </c>
      <c r="E133" s="541">
        <f>'20'!F133</f>
        <v>300</v>
      </c>
      <c r="F133" s="541">
        <v>300</v>
      </c>
      <c r="G133" s="1362">
        <f t="shared" si="16"/>
        <v>0</v>
      </c>
      <c r="H133" s="708">
        <f>G133+'20'!H133</f>
        <v>0</v>
      </c>
      <c r="I133" s="1076">
        <f>G130+G131+G132+G133</f>
        <v>0</v>
      </c>
      <c r="J133" s="710">
        <f>H133/DAY(B2)</f>
        <v>0</v>
      </c>
      <c r="N133" s="716"/>
      <c r="O133" s="716"/>
    </row>
    <row r="134" spans="1:15" ht="27.75">
      <c r="A134" s="1144" t="s">
        <v>243</v>
      </c>
      <c r="B134" s="1145"/>
      <c r="C134" s="1145"/>
      <c r="D134" s="523" t="s">
        <v>239</v>
      </c>
      <c r="E134" s="541">
        <f>'20'!F134</f>
        <v>41223</v>
      </c>
      <c r="F134" s="541">
        <v>41247</v>
      </c>
      <c r="G134" s="1340">
        <f t="shared" si="16"/>
        <v>24</v>
      </c>
      <c r="H134" s="460">
        <f>G134+'20'!H134</f>
        <v>405.44000000000233</v>
      </c>
      <c r="I134" s="480"/>
      <c r="J134" s="552">
        <f>H134/DAY(B2)</f>
        <v>19.306666666666779</v>
      </c>
      <c r="N134" s="382"/>
      <c r="O134" s="382"/>
    </row>
    <row r="135" spans="1:15" ht="27.75">
      <c r="A135" s="1144" t="s">
        <v>244</v>
      </c>
      <c r="B135" s="1145"/>
      <c r="C135" s="1145"/>
      <c r="D135" s="523" t="s">
        <v>239</v>
      </c>
      <c r="E135" s="541">
        <f>'20'!F135</f>
        <v>32582.92</v>
      </c>
      <c r="F135" s="541">
        <v>32582.92</v>
      </c>
      <c r="G135" s="1340">
        <f t="shared" si="16"/>
        <v>0</v>
      </c>
      <c r="H135" s="460">
        <f>G135+'20'!H135</f>
        <v>-8.000000000174623E-2</v>
      </c>
      <c r="I135" s="480"/>
      <c r="J135" s="552">
        <f>H135/DAY(B2)</f>
        <v>-3.8095238096069635E-3</v>
      </c>
      <c r="N135" s="382"/>
      <c r="O135" s="382"/>
    </row>
    <row r="136" spans="1:15" ht="27.75">
      <c r="A136" s="1144" t="s">
        <v>245</v>
      </c>
      <c r="B136" s="1145"/>
      <c r="C136" s="1145"/>
      <c r="D136" s="523" t="s">
        <v>239</v>
      </c>
      <c r="E136" s="541">
        <f>'20'!F136</f>
        <v>22677.38</v>
      </c>
      <c r="F136" s="541">
        <v>22683</v>
      </c>
      <c r="G136" s="1340">
        <f t="shared" si="16"/>
        <v>5.6199999999989814</v>
      </c>
      <c r="H136" s="460">
        <f>G136+'20'!H136</f>
        <v>194.34999999999854</v>
      </c>
      <c r="I136" s="480">
        <f>G134+G135+G136</f>
        <v>29.619999999998981</v>
      </c>
      <c r="J136" s="552">
        <f>H136/DAY(B2)</f>
        <v>9.2547619047618355</v>
      </c>
      <c r="N136" s="382"/>
      <c r="O136" s="382"/>
    </row>
    <row r="137" spans="1:15" ht="27.75">
      <c r="A137" s="1144" t="s">
        <v>246</v>
      </c>
      <c r="B137" s="1145"/>
      <c r="C137" s="1145"/>
      <c r="D137" s="523" t="s">
        <v>239</v>
      </c>
      <c r="E137" s="541">
        <f>'20'!F137</f>
        <v>25050</v>
      </c>
      <c r="F137" s="541">
        <v>25050</v>
      </c>
      <c r="G137" s="1340">
        <f t="shared" si="16"/>
        <v>0</v>
      </c>
      <c r="H137" s="460">
        <f>G137+'20'!H137</f>
        <v>1.2099999999991269</v>
      </c>
      <c r="I137" s="480"/>
      <c r="J137" s="552">
        <f>H137/DAY(B2)</f>
        <v>5.761904761900604E-2</v>
      </c>
      <c r="N137" s="382"/>
      <c r="O137" s="382"/>
    </row>
    <row r="138" spans="1:15" ht="27.75">
      <c r="A138" s="1144" t="s">
        <v>247</v>
      </c>
      <c r="B138" s="1145"/>
      <c r="C138" s="1145"/>
      <c r="D138" s="523" t="s">
        <v>239</v>
      </c>
      <c r="E138" s="541">
        <f>'20'!F138</f>
        <v>70291.039999999994</v>
      </c>
      <c r="F138" s="541">
        <v>70294.52</v>
      </c>
      <c r="G138" s="1340">
        <f t="shared" si="16"/>
        <v>3.4800000000104774</v>
      </c>
      <c r="H138" s="460">
        <f>G138+'20'!H138</f>
        <v>40.490000000005239</v>
      </c>
      <c r="I138" s="480">
        <f>G137+G138</f>
        <v>3.4800000000104774</v>
      </c>
      <c r="J138" s="552">
        <f>H138/DAY(B2)</f>
        <v>1.9280952380954877</v>
      </c>
      <c r="N138" s="382"/>
      <c r="O138" s="382"/>
    </row>
    <row r="139" spans="1:15" ht="27.75">
      <c r="A139" s="1144" t="s">
        <v>248</v>
      </c>
      <c r="B139" s="1145"/>
      <c r="C139" s="1145"/>
      <c r="D139" s="523" t="s">
        <v>239</v>
      </c>
      <c r="E139" s="484">
        <f>'20'!F139</f>
        <v>1536.52</v>
      </c>
      <c r="F139" s="484">
        <v>1541.03</v>
      </c>
      <c r="G139" s="1340">
        <f t="shared" si="16"/>
        <v>4.5099999999999909</v>
      </c>
      <c r="H139" s="460">
        <f>G139+'20'!H139</f>
        <v>4.5099999999999909</v>
      </c>
      <c r="I139" s="542"/>
      <c r="J139" s="552">
        <f>H139/DAY(B2)</f>
        <v>0.21476190476190432</v>
      </c>
      <c r="N139" s="382"/>
      <c r="O139" s="382"/>
    </row>
    <row r="140" spans="1:15" ht="27.75">
      <c r="A140" s="1144" t="s">
        <v>249</v>
      </c>
      <c r="B140" s="1145"/>
      <c r="C140" s="1145"/>
      <c r="D140" s="523" t="s">
        <v>239</v>
      </c>
      <c r="E140" s="484">
        <f>'20'!F140</f>
        <v>4632.6000000000004</v>
      </c>
      <c r="F140" s="484">
        <v>4636.8599999999997</v>
      </c>
      <c r="G140" s="1340">
        <f t="shared" si="16"/>
        <v>4.2599999999993088</v>
      </c>
      <c r="H140" s="460">
        <f>G140+'20'!H140</f>
        <v>168.31999999999971</v>
      </c>
      <c r="I140" s="542"/>
      <c r="J140" s="552">
        <f>H140/DAY(B2)</f>
        <v>8.0152380952380806</v>
      </c>
      <c r="N140" s="382"/>
      <c r="O140" s="382"/>
    </row>
    <row r="141" spans="1:15">
      <c r="A141" s="1526" t="s">
        <v>250</v>
      </c>
      <c r="B141" s="1527"/>
      <c r="C141" s="1150"/>
      <c r="D141" s="472"/>
      <c r="E141" s="472"/>
      <c r="F141" s="472"/>
      <c r="G141" s="1343"/>
      <c r="H141" s="483"/>
      <c r="I141" s="483"/>
      <c r="J141" s="563"/>
      <c r="K141" s="380"/>
      <c r="L141" s="377"/>
      <c r="N141" s="382"/>
      <c r="O141" s="382"/>
    </row>
    <row r="142" spans="1:15" ht="27.75">
      <c r="A142" s="1520" t="s">
        <v>251</v>
      </c>
      <c r="B142" s="1521"/>
      <c r="C142" s="1522"/>
      <c r="D142" s="523" t="s">
        <v>132</v>
      </c>
      <c r="E142" s="523"/>
      <c r="F142" s="523"/>
      <c r="G142" s="1353">
        <f>G35+G43+G49+G57</f>
        <v>5110</v>
      </c>
      <c r="H142" s="460">
        <f>G142+'20'!H142</f>
        <v>113026.13</v>
      </c>
      <c r="I142" s="480"/>
      <c r="J142" s="552">
        <f>H142/DAY(B2)</f>
        <v>5382.1966666666667</v>
      </c>
      <c r="K142" s="380"/>
      <c r="L142" s="377"/>
      <c r="N142" s="382"/>
      <c r="O142" s="382"/>
    </row>
    <row r="143" spans="1:15" ht="27.75">
      <c r="A143" s="1520" t="s">
        <v>252</v>
      </c>
      <c r="B143" s="1521"/>
      <c r="C143" s="1522"/>
      <c r="D143" s="523" t="s">
        <v>24</v>
      </c>
      <c r="E143" s="511"/>
      <c r="F143" s="511"/>
      <c r="G143" s="1363">
        <f>G142/G7</f>
        <v>0.26064779393011989</v>
      </c>
      <c r="H143" s="460">
        <f>G143+'20'!H143</f>
        <v>5.3827304859462943</v>
      </c>
      <c r="I143" s="544"/>
      <c r="J143" s="552">
        <f>H143/DAY(B2)</f>
        <v>0.25632049933077594</v>
      </c>
      <c r="K143" s="380"/>
      <c r="L143" s="377"/>
      <c r="N143" s="382"/>
      <c r="O143" s="382"/>
    </row>
    <row r="144" spans="1:15" ht="27.75">
      <c r="A144" s="1520" t="s">
        <v>253</v>
      </c>
      <c r="B144" s="1521"/>
      <c r="C144" s="1522"/>
      <c r="D144" s="523" t="s">
        <v>132</v>
      </c>
      <c r="E144" s="455"/>
      <c r="F144" s="455"/>
      <c r="G144" s="1353">
        <f>G41+G42+G55+G56</f>
        <v>5862</v>
      </c>
      <c r="H144" s="460">
        <f>G144+'20'!H144</f>
        <v>127316.84</v>
      </c>
      <c r="I144" s="480"/>
      <c r="J144" s="552">
        <f>H144/DAY(B2)</f>
        <v>6062.7066666666669</v>
      </c>
      <c r="K144" s="380"/>
      <c r="L144" s="377"/>
      <c r="N144" s="382"/>
      <c r="O144" s="382"/>
    </row>
    <row r="145" spans="1:15" ht="27.75">
      <c r="A145" s="1520" t="s">
        <v>254</v>
      </c>
      <c r="B145" s="1521"/>
      <c r="C145" s="1522"/>
      <c r="D145" s="523" t="s">
        <v>24</v>
      </c>
      <c r="E145" s="455"/>
      <c r="F145" s="455"/>
      <c r="G145" s="1363">
        <f>G144/G7</f>
        <v>0.2990053557765876</v>
      </c>
      <c r="H145" s="460">
        <f>G145+'20'!H145</f>
        <v>6.075689903372913</v>
      </c>
      <c r="I145" s="544"/>
      <c r="J145" s="552">
        <f>H145/DAY(B2)</f>
        <v>0.28931856682728158</v>
      </c>
      <c r="K145" s="380"/>
      <c r="L145" s="377"/>
      <c r="N145" s="382"/>
      <c r="O145" s="382"/>
    </row>
    <row r="146" spans="1:15" ht="27.75">
      <c r="A146" s="1520" t="s">
        <v>255</v>
      </c>
      <c r="B146" s="1521"/>
      <c r="C146" s="1522"/>
      <c r="D146" s="523" t="s">
        <v>132</v>
      </c>
      <c r="E146" s="455"/>
      <c r="F146" s="455"/>
      <c r="G146" s="1353">
        <f>G39+G53</f>
        <v>3354</v>
      </c>
      <c r="H146" s="460">
        <f>G146+'20'!H146</f>
        <v>76920</v>
      </c>
      <c r="I146" s="545"/>
      <c r="J146" s="552">
        <f>H146/DAY(B2)</f>
        <v>3662.8571428571427</v>
      </c>
      <c r="K146" s="380"/>
      <c r="L146" s="377"/>
      <c r="N146" s="382"/>
      <c r="O146" s="382"/>
    </row>
    <row r="147" spans="1:15" ht="27.75">
      <c r="A147" s="1520" t="s">
        <v>256</v>
      </c>
      <c r="B147" s="1521"/>
      <c r="C147" s="1522"/>
      <c r="D147" s="523" t="s">
        <v>24</v>
      </c>
      <c r="E147" s="455"/>
      <c r="F147" s="455"/>
      <c r="G147" s="1363">
        <f>G146/G7</f>
        <v>0.17107880642693191</v>
      </c>
      <c r="H147" s="460">
        <f>G147+'20'!H147</f>
        <v>3.6576140000127615</v>
      </c>
      <c r="I147" s="545"/>
      <c r="J147" s="552">
        <f>H147/DAY(B2)</f>
        <v>0.17417209523870292</v>
      </c>
      <c r="N147" s="382"/>
      <c r="O147" s="382"/>
    </row>
    <row r="148" spans="1:15" ht="27.75">
      <c r="A148" s="1520" t="s">
        <v>257</v>
      </c>
      <c r="B148" s="1521"/>
      <c r="C148" s="1522"/>
      <c r="D148" s="523" t="s">
        <v>183</v>
      </c>
      <c r="E148" s="455"/>
      <c r="F148" s="455"/>
      <c r="G148" s="1353">
        <f>G38+G52</f>
        <v>1434.0699999999488</v>
      </c>
      <c r="H148" s="460">
        <f>G148+'20'!H148</f>
        <v>34644.069999999949</v>
      </c>
      <c r="I148" s="480"/>
      <c r="J148" s="552">
        <f>H148/DAY(B2)</f>
        <v>1649.7176190476166</v>
      </c>
      <c r="K148" s="381"/>
      <c r="N148" s="382"/>
      <c r="O148" s="382"/>
    </row>
    <row r="149" spans="1:15" ht="27.75">
      <c r="A149" s="1520" t="s">
        <v>258</v>
      </c>
      <c r="B149" s="1521"/>
      <c r="C149" s="1522"/>
      <c r="D149" s="523" t="s">
        <v>24</v>
      </c>
      <c r="E149" s="455"/>
      <c r="F149" s="455"/>
      <c r="G149" s="1363">
        <f>G148/G7</f>
        <v>7.3148176485587801E-2</v>
      </c>
      <c r="H149" s="460">
        <f>G149+'20'!H149</f>
        <v>1.6525379909093125</v>
      </c>
      <c r="I149" s="545"/>
      <c r="J149" s="552">
        <f>H149/DAY(B2)</f>
        <v>7.8692285281395838E-2</v>
      </c>
      <c r="N149" s="382"/>
      <c r="O149" s="382"/>
    </row>
    <row r="150" spans="1:15" ht="27.75">
      <c r="A150" s="1520" t="s">
        <v>259</v>
      </c>
      <c r="B150" s="1521"/>
      <c r="C150" s="1522"/>
      <c r="D150" s="523" t="s">
        <v>183</v>
      </c>
      <c r="E150" s="455"/>
      <c r="F150" s="455"/>
      <c r="G150" s="1353">
        <f>G36+G50</f>
        <v>1990</v>
      </c>
      <c r="H150" s="460">
        <f>G150+'20'!H150</f>
        <v>43754</v>
      </c>
      <c r="I150" s="545"/>
      <c r="J150" s="552">
        <f>H150/DAY(B2)</f>
        <v>2083.5238095238096</v>
      </c>
      <c r="N150" s="382"/>
      <c r="O150" s="382"/>
    </row>
    <row r="151" spans="1:15" ht="27.75">
      <c r="A151" s="1520" t="s">
        <v>260</v>
      </c>
      <c r="B151" s="1521"/>
      <c r="C151" s="1522"/>
      <c r="D151" s="523" t="s">
        <v>24</v>
      </c>
      <c r="E151" s="455"/>
      <c r="F151" s="455"/>
      <c r="G151" s="1363">
        <f>G150/G7</f>
        <v>0.1015047181841367</v>
      </c>
      <c r="H151" s="460">
        <f>G151+'20'!H151</f>
        <v>2.0902358204304528</v>
      </c>
      <c r="I151" s="480"/>
      <c r="J151" s="552">
        <f>H151/DAY(B2)</f>
        <v>9.9535039068116796E-2</v>
      </c>
      <c r="N151" s="382"/>
      <c r="O151" s="382"/>
    </row>
    <row r="152" spans="1:15" ht="27.75">
      <c r="A152" s="1520" t="s">
        <v>261</v>
      </c>
      <c r="B152" s="1521"/>
      <c r="C152" s="1522"/>
      <c r="D152" s="523" t="s">
        <v>183</v>
      </c>
      <c r="E152" s="455"/>
      <c r="F152" s="455"/>
      <c r="G152" s="1353">
        <f>G37+G51</f>
        <v>1328</v>
      </c>
      <c r="H152" s="460">
        <f>G152+'20'!H152</f>
        <v>28727</v>
      </c>
      <c r="I152" s="480"/>
      <c r="J152" s="552">
        <f>H152/DAY(B2)</f>
        <v>1367.952380952381</v>
      </c>
      <c r="N152" s="382"/>
      <c r="O152" s="382"/>
    </row>
    <row r="153" spans="1:15" ht="28.5" thickBot="1">
      <c r="A153" s="1523" t="s">
        <v>262</v>
      </c>
      <c r="B153" s="1524"/>
      <c r="C153" s="1525"/>
      <c r="D153" s="625" t="s">
        <v>24</v>
      </c>
      <c r="E153" s="565"/>
      <c r="F153" s="565"/>
      <c r="G153" s="1364">
        <f>G152/G7</f>
        <v>6.7737821984187707E-2</v>
      </c>
      <c r="H153" s="460">
        <f>G153+'20'!H153</f>
        <v>1.3714486002103947</v>
      </c>
      <c r="I153" s="568"/>
      <c r="J153" s="569">
        <f>H153/DAY(B2)</f>
        <v>6.5307076200494987E-2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1365"/>
      <c r="H154" s="547"/>
      <c r="I154" s="546"/>
      <c r="J154" s="548"/>
      <c r="O154" s="382"/>
    </row>
    <row r="160" spans="1:15">
      <c r="A160" s="788" t="s">
        <v>263</v>
      </c>
      <c r="B160" s="789"/>
      <c r="C160" s="789"/>
      <c r="D160" s="511" t="s">
        <v>187</v>
      </c>
      <c r="E160" s="661">
        <f>'20'!F160</f>
        <v>35108</v>
      </c>
      <c r="F160" s="661">
        <v>35194</v>
      </c>
      <c r="G160" s="1340">
        <f t="shared" ref="G160:G163" si="17">F160-E160</f>
        <v>86</v>
      </c>
      <c r="K160" s="376">
        <v>68.829999999999927</v>
      </c>
      <c r="L160" s="376">
        <f t="shared" ref="L160:L171" si="18">G160-K160</f>
        <v>17.170000000000073</v>
      </c>
    </row>
    <row r="161" spans="1:12">
      <c r="A161" s="788" t="s">
        <v>264</v>
      </c>
      <c r="B161" s="789"/>
      <c r="C161" s="789"/>
      <c r="D161" s="511" t="s">
        <v>187</v>
      </c>
      <c r="E161" s="661">
        <f>'20'!F161</f>
        <v>77768</v>
      </c>
      <c r="F161" s="661">
        <v>78227</v>
      </c>
      <c r="G161" s="1340">
        <f t="shared" si="17"/>
        <v>459</v>
      </c>
      <c r="K161" s="376">
        <v>122.46000000000004</v>
      </c>
      <c r="L161" s="376">
        <f t="shared" si="18"/>
        <v>336.53999999999996</v>
      </c>
    </row>
    <row r="162" spans="1:12">
      <c r="A162" s="788" t="s">
        <v>265</v>
      </c>
      <c r="B162" s="789"/>
      <c r="C162" s="789"/>
      <c r="D162" s="511" t="s">
        <v>187</v>
      </c>
      <c r="E162" s="661">
        <f>'20'!F162</f>
        <v>34855</v>
      </c>
      <c r="F162" s="661">
        <v>35129</v>
      </c>
      <c r="G162" s="1340">
        <f t="shared" si="17"/>
        <v>274</v>
      </c>
      <c r="K162" s="376">
        <v>139.42000000000007</v>
      </c>
      <c r="L162" s="376">
        <f t="shared" si="18"/>
        <v>134.57999999999993</v>
      </c>
    </row>
    <row r="163" spans="1:12">
      <c r="A163" s="788" t="s">
        <v>266</v>
      </c>
      <c r="B163" s="789"/>
      <c r="C163" s="789"/>
      <c r="D163" s="511" t="s">
        <v>187</v>
      </c>
      <c r="E163" s="661">
        <f>'20'!F163</f>
        <v>6046</v>
      </c>
      <c r="F163" s="661">
        <v>6064</v>
      </c>
      <c r="G163" s="1340">
        <f t="shared" si="17"/>
        <v>18</v>
      </c>
      <c r="K163" s="376">
        <v>49.659999999999968</v>
      </c>
      <c r="L163" s="376">
        <f t="shared" si="18"/>
        <v>-31.659999999999968</v>
      </c>
    </row>
    <row r="164" spans="1:12">
      <c r="A164" s="790" t="s">
        <v>98</v>
      </c>
      <c r="B164" s="604"/>
      <c r="C164" s="604"/>
      <c r="D164" s="511" t="s">
        <v>187</v>
      </c>
      <c r="E164" s="514">
        <f>E62</f>
        <v>20419.2</v>
      </c>
      <c r="F164" s="514">
        <f>F62</f>
        <v>20419.2</v>
      </c>
      <c r="G164" s="1340">
        <f t="shared" ref="G164:G171" si="19">F164-E164</f>
        <v>0</v>
      </c>
      <c r="K164" s="376">
        <v>0</v>
      </c>
      <c r="L164" s="376">
        <f t="shared" si="18"/>
        <v>0</v>
      </c>
    </row>
    <row r="165" spans="1:12">
      <c r="A165" s="790" t="s">
        <v>188</v>
      </c>
      <c r="B165" s="604"/>
      <c r="C165" s="604"/>
      <c r="D165" s="511" t="s">
        <v>187</v>
      </c>
      <c r="E165" s="514">
        <f t="shared" ref="E165:E171" si="20">E63</f>
        <v>2308</v>
      </c>
      <c r="F165" s="514">
        <f t="shared" ref="F165:F171" si="21">F63</f>
        <v>2313</v>
      </c>
      <c r="G165" s="1340">
        <f t="shared" si="19"/>
        <v>5</v>
      </c>
      <c r="K165" s="376">
        <v>0</v>
      </c>
      <c r="L165" s="376">
        <f t="shared" si="18"/>
        <v>5</v>
      </c>
    </row>
    <row r="166" spans="1:12" ht="27.75">
      <c r="A166" s="1495" t="s">
        <v>99</v>
      </c>
      <c r="B166" s="1495"/>
      <c r="C166" s="1495"/>
      <c r="D166" s="523" t="s">
        <v>187</v>
      </c>
      <c r="E166" s="514">
        <f t="shared" si="20"/>
        <v>148801</v>
      </c>
      <c r="F166" s="514">
        <f t="shared" si="21"/>
        <v>149305</v>
      </c>
      <c r="G166" s="1340">
        <f t="shared" si="19"/>
        <v>504</v>
      </c>
      <c r="K166" s="376">
        <v>201.76000000000204</v>
      </c>
      <c r="L166" s="376">
        <f t="shared" si="18"/>
        <v>302.23999999999796</v>
      </c>
    </row>
    <row r="167" spans="1:12" ht="27.75">
      <c r="A167" s="1495" t="s">
        <v>100</v>
      </c>
      <c r="B167" s="1495"/>
      <c r="C167" s="1495"/>
      <c r="D167" s="523" t="s">
        <v>187</v>
      </c>
      <c r="E167" s="514">
        <f t="shared" si="20"/>
        <v>151419</v>
      </c>
      <c r="F167" s="514">
        <f t="shared" si="21"/>
        <v>151765</v>
      </c>
      <c r="G167" s="1340">
        <f t="shared" si="19"/>
        <v>346</v>
      </c>
      <c r="K167" s="376">
        <v>191.63000000000466</v>
      </c>
      <c r="L167" s="376">
        <f t="shared" si="18"/>
        <v>154.36999999999534</v>
      </c>
    </row>
    <row r="168" spans="1:12" ht="27.75">
      <c r="A168" s="1495" t="s">
        <v>101</v>
      </c>
      <c r="B168" s="1495"/>
      <c r="C168" s="1495"/>
      <c r="D168" s="523" t="s">
        <v>187</v>
      </c>
      <c r="E168" s="514">
        <f t="shared" si="20"/>
        <v>44994</v>
      </c>
      <c r="F168" s="514">
        <f t="shared" si="21"/>
        <v>45374</v>
      </c>
      <c r="G168" s="1340">
        <f t="shared" si="19"/>
        <v>380</v>
      </c>
      <c r="K168" s="376">
        <v>231.68000000000029</v>
      </c>
      <c r="L168" s="376">
        <f t="shared" si="18"/>
        <v>148.31999999999971</v>
      </c>
    </row>
    <row r="169" spans="1:12" ht="27.75">
      <c r="A169" s="1495" t="s">
        <v>102</v>
      </c>
      <c r="B169" s="1495"/>
      <c r="C169" s="1495"/>
      <c r="D169" s="523" t="s">
        <v>187</v>
      </c>
      <c r="E169" s="514">
        <f t="shared" si="20"/>
        <v>239527</v>
      </c>
      <c r="F169" s="514">
        <f t="shared" si="21"/>
        <v>239914</v>
      </c>
      <c r="G169" s="1340">
        <f t="shared" si="19"/>
        <v>387</v>
      </c>
      <c r="K169" s="376">
        <v>344.30000000000291</v>
      </c>
      <c r="L169" s="376">
        <f t="shared" si="18"/>
        <v>42.69999999999709</v>
      </c>
    </row>
    <row r="170" spans="1:12" ht="27.75">
      <c r="A170" s="1495" t="s">
        <v>103</v>
      </c>
      <c r="B170" s="1495"/>
      <c r="C170" s="1495"/>
      <c r="D170" s="523" t="s">
        <v>187</v>
      </c>
      <c r="E170" s="514">
        <f t="shared" si="20"/>
        <v>85321</v>
      </c>
      <c r="F170" s="514">
        <f t="shared" si="21"/>
        <v>85321</v>
      </c>
      <c r="G170" s="1340">
        <f t="shared" si="19"/>
        <v>0</v>
      </c>
      <c r="K170" s="376">
        <v>140.90999999999985</v>
      </c>
      <c r="L170" s="376">
        <f t="shared" si="18"/>
        <v>-140.90999999999985</v>
      </c>
    </row>
    <row r="171" spans="1:12" ht="27.75">
      <c r="A171" s="1495" t="s">
        <v>104</v>
      </c>
      <c r="B171" s="1495"/>
      <c r="C171" s="1495"/>
      <c r="D171" s="523" t="s">
        <v>187</v>
      </c>
      <c r="E171" s="514">
        <f t="shared" si="20"/>
        <v>78291</v>
      </c>
      <c r="F171" s="514">
        <f t="shared" si="21"/>
        <v>78342</v>
      </c>
      <c r="G171" s="1340">
        <f t="shared" si="19"/>
        <v>51</v>
      </c>
      <c r="K171" s="376">
        <v>57.709999999999127</v>
      </c>
      <c r="L171" s="376">
        <f t="shared" si="18"/>
        <v>-6.7099999999991269</v>
      </c>
    </row>
    <row r="172" spans="1:12">
      <c r="G172" s="1366">
        <f>SUM(G160:G171)</f>
        <v>2510</v>
      </c>
    </row>
    <row r="173" spans="1:12" ht="27.75">
      <c r="A173" s="1495" t="s">
        <v>360</v>
      </c>
      <c r="B173" s="1495"/>
      <c r="C173" s="1495"/>
      <c r="D173" s="523" t="s">
        <v>187</v>
      </c>
      <c r="E173" s="514">
        <v>27879</v>
      </c>
      <c r="F173" s="514">
        <v>27881</v>
      </c>
      <c r="G173" s="473">
        <f t="shared" ref="G173" si="22">F173-E173</f>
        <v>2</v>
      </c>
    </row>
    <row r="176" spans="1:12" ht="18.75" customHeight="1"/>
    <row r="177" spans="6:6" ht="21" customHeight="1">
      <c r="F177" s="537" t="s">
        <v>276</v>
      </c>
    </row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3:C173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3"/>
  <sheetViews>
    <sheetView view="pageBreakPreview" topLeftCell="A44" zoomScale="55" zoomScaleNormal="71" zoomScaleSheetLayoutView="55" workbookViewId="0">
      <selection activeCell="F77" sqref="F77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6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28" t="s">
        <v>117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5" s="281" customFormat="1" ht="27">
      <c r="A2" s="575" t="s">
        <v>363</v>
      </c>
      <c r="B2" s="1036">
        <v>44308</v>
      </c>
      <c r="C2" s="1373" t="s">
        <v>69</v>
      </c>
      <c r="D2" s="611">
        <v>0.76</v>
      </c>
      <c r="E2" s="461"/>
      <c r="F2" s="461"/>
      <c r="G2" s="1336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73" t="s">
        <v>120</v>
      </c>
      <c r="D3" s="612">
        <v>33</v>
      </c>
      <c r="E3" s="1537" t="s">
        <v>121</v>
      </c>
      <c r="F3" s="1538"/>
      <c r="G3" s="1337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373" t="s">
        <v>122</v>
      </c>
      <c r="D4" s="611">
        <v>0.8</v>
      </c>
      <c r="E4" s="464"/>
      <c r="F4" s="464"/>
      <c r="G4" s="1337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31" t="s">
        <v>130</v>
      </c>
      <c r="B6" s="1532"/>
      <c r="C6" s="1533"/>
      <c r="D6" s="471"/>
      <c r="E6" s="471"/>
      <c r="F6" s="471"/>
      <c r="G6" s="1339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'21'!F7</f>
        <v>5554276</v>
      </c>
      <c r="F7" s="455">
        <v>5574038</v>
      </c>
      <c r="G7" s="1340">
        <f>F7-E7</f>
        <v>19762</v>
      </c>
      <c r="H7" s="460">
        <f>G7+'21'!H7</f>
        <v>460115</v>
      </c>
      <c r="I7" s="474">
        <f>'1'!I7</f>
        <v>12000</v>
      </c>
      <c r="J7" s="552">
        <f>H7/DAY(B2)</f>
        <v>20914.31818181818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'21'!F8</f>
        <v>5587413</v>
      </c>
      <c r="F8" s="475">
        <v>5607232</v>
      </c>
      <c r="G8" s="1341">
        <f>F8-E8</f>
        <v>19819</v>
      </c>
      <c r="H8" s="460">
        <f>G8+'21'!H8</f>
        <v>461914</v>
      </c>
      <c r="I8" s="477">
        <f>'1'!I8</f>
        <v>12000</v>
      </c>
      <c r="J8" s="552">
        <f>H8/DAY(B2)</f>
        <v>20996.090909090908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'21'!F9</f>
        <v>822870</v>
      </c>
      <c r="F9" s="478">
        <v>842016</v>
      </c>
      <c r="G9" s="1340">
        <f t="shared" ref="G9:G12" si="0">F9-E9</f>
        <v>19146</v>
      </c>
      <c r="H9" s="460">
        <f>G9+'21'!H9</f>
        <v>445947</v>
      </c>
      <c r="I9" s="479">
        <f>I8-J8</f>
        <v>-8996.0909090909081</v>
      </c>
      <c r="J9" s="552">
        <f>H9/DAY(B2)</f>
        <v>20270.31818181818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'21'!F10</f>
        <v>2322.58</v>
      </c>
      <c r="F10" s="478">
        <v>2322.58</v>
      </c>
      <c r="G10" s="1340">
        <f t="shared" si="0"/>
        <v>0</v>
      </c>
      <c r="H10" s="460">
        <f>G10+'21'!H10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40">
        <f t="shared" si="0"/>
        <v>0</v>
      </c>
      <c r="H11" s="460">
        <f>G11+'21'!H11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40">
        <f t="shared" si="0"/>
        <v>0</v>
      </c>
      <c r="H12" s="460">
        <f>G12+'21'!H12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2">
        <f>G9+G10+G11+G12</f>
        <v>19146</v>
      </c>
      <c r="H13" s="460">
        <f>G13+'21'!H13</f>
        <v>425756.3600000001</v>
      </c>
      <c r="I13" s="482">
        <f>G7-G13</f>
        <v>616</v>
      </c>
      <c r="J13" s="552">
        <f>H13/DAY(B2)</f>
        <v>19352.561818181824</v>
      </c>
      <c r="K13" s="428"/>
      <c r="L13" s="377"/>
      <c r="N13" s="382"/>
      <c r="O13" s="382"/>
    </row>
    <row r="14" spans="1:15">
      <c r="A14" s="1534" t="s">
        <v>139</v>
      </c>
      <c r="B14" s="1535"/>
      <c r="C14" s="1536"/>
      <c r="D14" s="472"/>
      <c r="E14" s="472"/>
      <c r="F14" s="472"/>
      <c r="G14" s="1343"/>
      <c r="H14" s="472"/>
      <c r="I14" s="472"/>
      <c r="J14" s="551"/>
      <c r="K14" s="429"/>
      <c r="L14" s="377"/>
      <c r="N14" s="382"/>
      <c r="O14" s="382"/>
    </row>
    <row r="15" spans="1:15">
      <c r="A15" s="1371" t="s">
        <v>140</v>
      </c>
      <c r="B15" s="589"/>
      <c r="C15" s="589"/>
      <c r="D15" s="523" t="s">
        <v>141</v>
      </c>
      <c r="E15" s="484">
        <f>'21'!F15</f>
        <v>1664652</v>
      </c>
      <c r="F15" s="484">
        <v>1665419</v>
      </c>
      <c r="G15" s="1344">
        <f>(F15-E15)</f>
        <v>767</v>
      </c>
      <c r="H15" s="460">
        <f>G15+'21'!H15</f>
        <v>18730</v>
      </c>
      <c r="I15" s="474">
        <v>800</v>
      </c>
      <c r="J15" s="552">
        <f>H15/DAY(B2)</f>
        <v>851.36363636363637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40"/>
      <c r="H16" s="486"/>
      <c r="I16" s="487">
        <f>I15-J15</f>
        <v>-51.363636363636374</v>
      </c>
      <c r="J16" s="553"/>
      <c r="K16" s="428"/>
      <c r="L16" s="377"/>
      <c r="N16" s="382"/>
      <c r="O16" s="382"/>
    </row>
    <row r="17" spans="1:15">
      <c r="A17" s="1534" t="s">
        <v>142</v>
      </c>
      <c r="B17" s="1535"/>
      <c r="C17" s="1536"/>
      <c r="D17" s="472"/>
      <c r="E17" s="472"/>
      <c r="F17" s="472"/>
      <c r="G17" s="1343"/>
      <c r="H17" s="472"/>
      <c r="I17" s="472"/>
      <c r="J17" s="551"/>
      <c r="K17" s="428"/>
      <c r="L17" s="377"/>
      <c r="N17" s="382"/>
      <c r="O17" s="382"/>
    </row>
    <row r="18" spans="1:15" ht="27.75">
      <c r="A18" s="1520" t="s">
        <v>143</v>
      </c>
      <c r="B18" s="1521"/>
      <c r="C18" s="1522"/>
      <c r="D18" s="523" t="s">
        <v>144</v>
      </c>
      <c r="E18" s="484">
        <f>'21'!F18</f>
        <v>10</v>
      </c>
      <c r="F18" s="484">
        <v>10</v>
      </c>
      <c r="G18" s="1342">
        <f>F18*10</f>
        <v>100</v>
      </c>
      <c r="H18" s="460">
        <f>G18+'21'!H18</f>
        <v>2080</v>
      </c>
      <c r="I18" s="474">
        <f>'1'!I18</f>
        <v>65</v>
      </c>
      <c r="J18" s="552">
        <f>H18/DAY(B2)</f>
        <v>94.545454545454547</v>
      </c>
      <c r="K18" s="428"/>
      <c r="L18" s="377"/>
      <c r="N18" s="382"/>
      <c r="O18" s="382"/>
    </row>
    <row r="19" spans="1:15" ht="27.75">
      <c r="A19" s="1520" t="s">
        <v>71</v>
      </c>
      <c r="B19" s="1521"/>
      <c r="C19" s="1522"/>
      <c r="D19" s="523" t="s">
        <v>144</v>
      </c>
      <c r="E19" s="484">
        <f>'21'!F19</f>
        <v>137308</v>
      </c>
      <c r="F19" s="484">
        <v>137367</v>
      </c>
      <c r="G19" s="1340">
        <f t="shared" ref="G19" si="1">F19-E19</f>
        <v>59</v>
      </c>
      <c r="H19" s="460">
        <f>G19+'21'!H19</f>
        <v>1277</v>
      </c>
      <c r="I19" s="489"/>
      <c r="J19" s="552">
        <f>H19/DAY(B2)</f>
        <v>58.045454545454547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5">
        <f>G18+G19</f>
        <v>159</v>
      </c>
      <c r="H20" s="460">
        <f>G20+'21'!H20</f>
        <v>3357</v>
      </c>
      <c r="I20" s="492">
        <f>I18-J20</f>
        <v>-87.590909090909093</v>
      </c>
      <c r="J20" s="552">
        <f>H20/DAY(B2)</f>
        <v>152.59090909090909</v>
      </c>
      <c r="K20" s="428"/>
      <c r="L20" s="377"/>
      <c r="N20" s="382"/>
      <c r="O20" s="382"/>
    </row>
    <row r="21" spans="1:15">
      <c r="A21" s="1534" t="s">
        <v>146</v>
      </c>
      <c r="B21" s="1535"/>
      <c r="C21" s="1536"/>
      <c r="D21" s="472"/>
      <c r="E21" s="472"/>
      <c r="F21" s="472"/>
      <c r="G21" s="1343"/>
      <c r="H21" s="472"/>
      <c r="I21" s="472"/>
      <c r="J21" s="551"/>
      <c r="K21" s="428"/>
      <c r="L21" s="377"/>
      <c r="N21" s="382"/>
      <c r="O21" s="382"/>
    </row>
    <row r="22" spans="1:15">
      <c r="A22" s="1371" t="s">
        <v>147</v>
      </c>
      <c r="B22" s="589"/>
      <c r="C22" s="589"/>
      <c r="D22" s="523" t="s">
        <v>148</v>
      </c>
      <c r="E22" s="484">
        <f>'21'!F22</f>
        <v>2250</v>
      </c>
      <c r="F22" s="484">
        <v>2250</v>
      </c>
      <c r="G22" s="1342">
        <f>(F22-E22)</f>
        <v>0</v>
      </c>
      <c r="H22" s="460">
        <f>G22+'21'!H22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71" t="s">
        <v>149</v>
      </c>
      <c r="B23" s="589"/>
      <c r="C23" s="589"/>
      <c r="D23" s="523" t="s">
        <v>148</v>
      </c>
      <c r="E23" s="484">
        <f>'21'!F23</f>
        <v>2000</v>
      </c>
      <c r="F23" s="484">
        <v>2000</v>
      </c>
      <c r="G23" s="1342">
        <v>0</v>
      </c>
      <c r="H23" s="460">
        <f>G23+'21'!H23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'21'!F24</f>
        <v>4250</v>
      </c>
      <c r="F24" s="493">
        <v>4970</v>
      </c>
      <c r="G24" s="1342">
        <v>0</v>
      </c>
      <c r="H24" s="460">
        <f>G24+'21'!H24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39" t="s">
        <v>151</v>
      </c>
      <c r="B25" s="1540"/>
      <c r="C25" s="1541"/>
      <c r="D25" s="471"/>
      <c r="E25" s="471"/>
      <c r="F25" s="471"/>
      <c r="G25" s="1346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7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19819</v>
      </c>
      <c r="F27" s="501">
        <v>9</v>
      </c>
      <c r="G27" s="1348">
        <f>E27*F27</f>
        <v>178371</v>
      </c>
      <c r="H27" s="460">
        <f>G27+'21'!H27</f>
        <v>4157226</v>
      </c>
      <c r="I27" s="503"/>
      <c r="J27" s="552">
        <f>H27/DAY(B2)</f>
        <v>188964.81818181818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767</v>
      </c>
      <c r="F28" s="501">
        <v>51.45</v>
      </c>
      <c r="G28" s="1348">
        <f>E28*F28</f>
        <v>39462.15</v>
      </c>
      <c r="H28" s="460">
        <f>G28+'21'!H28</f>
        <v>963658.5</v>
      </c>
      <c r="I28" s="505"/>
      <c r="J28" s="552">
        <f>H28/DAY(B2)</f>
        <v>43802.659090909088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8">
        <f>E29*F29</f>
        <v>0</v>
      </c>
      <c r="H29" s="460">
        <f>G29+'21'!H29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59</v>
      </c>
      <c r="F30" s="501">
        <v>134</v>
      </c>
      <c r="G30" s="1348">
        <f>E30*F30</f>
        <v>7906</v>
      </c>
      <c r="H30" s="460">
        <f>G30+'21'!H30</f>
        <v>172486</v>
      </c>
      <c r="I30" s="505"/>
      <c r="J30" s="552">
        <f>H30/DAY(B2)</f>
        <v>7840.272727272727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100</v>
      </c>
      <c r="F31" s="501">
        <v>80</v>
      </c>
      <c r="G31" s="1348">
        <f>E31*F31</f>
        <v>8000</v>
      </c>
      <c r="H31" s="460">
        <f>G31+'21'!H31</f>
        <v>166400</v>
      </c>
      <c r="I31" s="505"/>
      <c r="J31" s="552">
        <f>H31/DAY(B2)</f>
        <v>7563.636363636364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9">
        <f>G27+G28+G29+G30+G31</f>
        <v>233739.15</v>
      </c>
      <c r="H32" s="460">
        <f>G32+'21'!H32</f>
        <v>5459770.5000000009</v>
      </c>
      <c r="I32" s="509"/>
      <c r="J32" s="552">
        <f>H32/DAY(B2)</f>
        <v>248171.38636363641</v>
      </c>
      <c r="K32" s="373"/>
      <c r="L32" s="443"/>
      <c r="N32" s="444"/>
      <c r="O32" s="382"/>
    </row>
    <row r="33" spans="1:15" ht="25.5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  <c r="N33" s="382"/>
      <c r="O33" s="382"/>
    </row>
    <row r="34" spans="1:15">
      <c r="A34" s="598" t="s">
        <v>163</v>
      </c>
      <c r="B34" s="1376"/>
      <c r="C34" s="1376"/>
      <c r="D34" s="472"/>
      <c r="E34" s="471"/>
      <c r="F34" s="471"/>
      <c r="G34" s="1350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'21'!F35</f>
        <v>862603</v>
      </c>
      <c r="F35" s="510">
        <v>865388</v>
      </c>
      <c r="G35" s="1340">
        <f t="shared" ref="G35:G46" si="2">F35-E35</f>
        <v>2785</v>
      </c>
      <c r="H35" s="460">
        <f>G35+'21'!H35</f>
        <v>66999</v>
      </c>
      <c r="I35" s="455"/>
      <c r="J35" s="552">
        <f>H35/DAY(B2)</f>
        <v>3045.409090909091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'21'!F36</f>
        <v>337724</v>
      </c>
      <c r="F36" s="510">
        <v>338785</v>
      </c>
      <c r="G36" s="1340">
        <f t="shared" si="2"/>
        <v>1061</v>
      </c>
      <c r="H36" s="460">
        <f>G36+'21'!H36</f>
        <v>21349</v>
      </c>
      <c r="I36" s="455"/>
      <c r="J36" s="552">
        <f>H36/DAY(B2)</f>
        <v>970.40909090909088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'21'!F37</f>
        <v>83524</v>
      </c>
      <c r="F37" s="510">
        <v>84867</v>
      </c>
      <c r="G37" s="1340">
        <f t="shared" si="2"/>
        <v>1343</v>
      </c>
      <c r="H37" s="460">
        <f>G37+'21'!H37</f>
        <v>30070</v>
      </c>
      <c r="I37" s="455"/>
      <c r="J37" s="552">
        <f>H37/DAY(B2)</f>
        <v>1366.8181818181818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'21'!F38</f>
        <v>106954</v>
      </c>
      <c r="F38" s="469">
        <v>108416</v>
      </c>
      <c r="G38" s="1340">
        <f t="shared" si="2"/>
        <v>1462</v>
      </c>
      <c r="H38" s="460">
        <f>G38+'21'!H38</f>
        <v>36108</v>
      </c>
      <c r="I38" s="455"/>
      <c r="J38" s="552">
        <f>H38/DAY(B2)</f>
        <v>1641.2727272727273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'21'!F39</f>
        <v>222175</v>
      </c>
      <c r="F39" s="510">
        <v>225009</v>
      </c>
      <c r="G39" s="1340">
        <f t="shared" si="2"/>
        <v>2834</v>
      </c>
      <c r="H39" s="460">
        <f>G39+'21'!H39</f>
        <v>72187</v>
      </c>
      <c r="I39" s="455"/>
      <c r="J39" s="552">
        <f>H39/DAY(B2)</f>
        <v>3281.2272727272725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'21'!F40</f>
        <v>0</v>
      </c>
      <c r="F40" s="510">
        <v>0</v>
      </c>
      <c r="G40" s="1340">
        <f t="shared" si="2"/>
        <v>0</v>
      </c>
      <c r="H40" s="460">
        <f>G40+'21'!H40</f>
        <v>0.17</v>
      </c>
      <c r="I40" s="455"/>
      <c r="J40" s="552">
        <f>H40/DAY(B2)</f>
        <v>7.7272727272727276E-3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'21'!F41</f>
        <v>161910</v>
      </c>
      <c r="F41" s="510">
        <v>161910</v>
      </c>
      <c r="G41" s="1340">
        <f t="shared" si="2"/>
        <v>0</v>
      </c>
      <c r="H41" s="460">
        <f>G41+'21'!H41</f>
        <v>28769</v>
      </c>
      <c r="I41" s="455"/>
      <c r="J41" s="552">
        <f>H41/DAY(B2)</f>
        <v>1307.6818181818182</v>
      </c>
      <c r="K41" s="428"/>
      <c r="L41" s="377"/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'21'!F42</f>
        <v>59128</v>
      </c>
      <c r="F42" s="510">
        <v>59128</v>
      </c>
      <c r="G42" s="1340">
        <f t="shared" si="2"/>
        <v>0</v>
      </c>
      <c r="H42" s="460">
        <f>G42+'21'!H42</f>
        <v>-0.16000000000349246</v>
      </c>
      <c r="I42" s="455"/>
      <c r="J42" s="552">
        <f>H42/DAY(B2)</f>
        <v>-7.2727272728860207E-3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'21'!F43</f>
        <v>952470</v>
      </c>
      <c r="F43" s="510">
        <v>954798</v>
      </c>
      <c r="G43" s="1340">
        <f>F43-E43</f>
        <v>2328</v>
      </c>
      <c r="H43" s="460">
        <f>G43+'21'!H43</f>
        <v>52750</v>
      </c>
      <c r="I43" s="455"/>
      <c r="J43" s="552">
        <f>H43/DAY(B2)</f>
        <v>2397.7272727272725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'21'!F44</f>
        <v>0</v>
      </c>
      <c r="F44" s="510">
        <v>0</v>
      </c>
      <c r="G44" s="1340">
        <f t="shared" si="2"/>
        <v>0</v>
      </c>
      <c r="H44" s="460">
        <f>G44+'21'!H44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'21'!F45</f>
        <v>0</v>
      </c>
      <c r="F45" s="510">
        <v>0</v>
      </c>
      <c r="G45" s="1340">
        <f t="shared" si="2"/>
        <v>0</v>
      </c>
      <c r="H45" s="460">
        <f>G45+'21'!H45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'21'!F46</f>
        <v>0</v>
      </c>
      <c r="F46" s="510">
        <v>0</v>
      </c>
      <c r="G46" s="1340">
        <f t="shared" si="2"/>
        <v>0</v>
      </c>
      <c r="H46" s="460">
        <f>G46+'21'!H46</f>
        <v>-5.0000000000011369E-2</v>
      </c>
      <c r="I46" s="455"/>
      <c r="J46" s="552">
        <f>H46/DAY(B2)</f>
        <v>-2.2727272727277896E-3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2">
        <f>G35+G36+G37+G38+G39+G40+G41+G42+G43+G44+G45+G46</f>
        <v>11813</v>
      </c>
      <c r="H47" s="460">
        <f>G47+'21'!H47</f>
        <v>309033.44999999995</v>
      </c>
      <c r="I47" s="455"/>
      <c r="J47" s="552">
        <f>H47/DAY(B2)</f>
        <v>14046.974999999999</v>
      </c>
      <c r="K47" s="428"/>
      <c r="L47" s="377"/>
      <c r="N47" s="382"/>
      <c r="O47" s="382"/>
    </row>
    <row r="48" spans="1:15">
      <c r="A48" s="598" t="s">
        <v>177</v>
      </c>
      <c r="B48" s="1376"/>
      <c r="C48" s="1376"/>
      <c r="D48" s="472"/>
      <c r="E48" s="471"/>
      <c r="F48" s="471"/>
      <c r="G48" s="1350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'21'!F49</f>
        <v>260732.13</v>
      </c>
      <c r="F49" s="510">
        <v>260732.13</v>
      </c>
      <c r="G49" s="1340">
        <f t="shared" ref="G49:G58" si="3">F49-E49</f>
        <v>0</v>
      </c>
      <c r="H49" s="460">
        <f>G49+'21'!H49</f>
        <v>0.13000000000465661</v>
      </c>
      <c r="I49" s="455"/>
      <c r="J49" s="552">
        <f>H49/DAY(B2)</f>
        <v>5.909090909302573E-3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v>464698</v>
      </c>
      <c r="F50" s="510">
        <v>465653</v>
      </c>
      <c r="G50" s="1340">
        <f t="shared" si="3"/>
        <v>955</v>
      </c>
      <c r="H50" s="460">
        <f>G50+'21'!H50</f>
        <v>23378.959999999963</v>
      </c>
      <c r="I50" s="455"/>
      <c r="J50" s="552">
        <f>H50/DAY(B2)</f>
        <v>1062.6799999999982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'21'!F51</f>
        <v>144640</v>
      </c>
      <c r="F51" s="510">
        <v>144640</v>
      </c>
      <c r="G51" s="1340">
        <f t="shared" si="3"/>
        <v>0</v>
      </c>
      <c r="H51" s="460">
        <f>G51+'21'!H51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'21'!F52</f>
        <v>539606.06999999995</v>
      </c>
      <c r="F52" s="510">
        <v>539606.06999999995</v>
      </c>
      <c r="G52" s="1340">
        <f t="shared" si="3"/>
        <v>0</v>
      </c>
      <c r="H52" s="460">
        <f>G52+'21'!H52</f>
        <v>6.9999999948777258E-2</v>
      </c>
      <c r="I52" s="455"/>
      <c r="J52" s="552">
        <f>H52/DAY(B2)</f>
        <v>3.1818181794898755E-3</v>
      </c>
      <c r="K52" s="428"/>
      <c r="L52" s="377"/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f>'21'!F53</f>
        <v>411177</v>
      </c>
      <c r="F53" s="510">
        <v>411707</v>
      </c>
      <c r="G53" s="1340">
        <f t="shared" si="3"/>
        <v>530</v>
      </c>
      <c r="H53" s="460">
        <f>G53+'21'!H53</f>
        <v>7527.2000000000116</v>
      </c>
      <c r="I53" s="455"/>
      <c r="J53" s="552">
        <f>H53/DAY(B2)</f>
        <v>342.1454545454551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'21'!F54</f>
        <v>10712</v>
      </c>
      <c r="F54" s="510">
        <v>10788</v>
      </c>
      <c r="G54" s="1340">
        <f t="shared" si="3"/>
        <v>76</v>
      </c>
      <c r="H54" s="460">
        <f>G54+'21'!H54</f>
        <v>4563.0300000000007</v>
      </c>
      <c r="I54" s="455"/>
      <c r="J54" s="552">
        <f>H54/DAY(B2)</f>
        <v>207.41045454545457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'21'!F55</f>
        <v>314444</v>
      </c>
      <c r="F55" s="510">
        <v>320364</v>
      </c>
      <c r="G55" s="1340">
        <f t="shared" si="3"/>
        <v>5920</v>
      </c>
      <c r="H55" s="460">
        <f>G55+'21'!H55</f>
        <v>98910.799999999988</v>
      </c>
      <c r="I55" s="455"/>
      <c r="J55" s="552">
        <f>H55/DAY(B2)</f>
        <v>4495.9454545454537</v>
      </c>
      <c r="K55" s="428"/>
      <c r="L55" s="377"/>
      <c r="N55" s="382"/>
      <c r="O55" s="382"/>
    </row>
    <row r="56" spans="1:15" s="441" customFormat="1">
      <c r="A56" s="1107" t="s">
        <v>182</v>
      </c>
      <c r="B56" s="1108"/>
      <c r="C56" s="1108"/>
      <c r="D56" s="627" t="s">
        <v>183</v>
      </c>
      <c r="E56" s="656">
        <f>'21'!F56</f>
        <v>589168</v>
      </c>
      <c r="F56" s="656">
        <v>589178</v>
      </c>
      <c r="G56" s="1362">
        <f t="shared" si="3"/>
        <v>10</v>
      </c>
      <c r="H56" s="708">
        <f>G56+'21'!H56</f>
        <v>201.8399999999674</v>
      </c>
      <c r="I56" s="709"/>
      <c r="J56" s="710">
        <f>H56/DAY(B2)</f>
        <v>9.1745454545439724</v>
      </c>
      <c r="K56" s="1367"/>
      <c r="L56" s="1110"/>
      <c r="N56" s="716"/>
      <c r="O56" s="716"/>
    </row>
    <row r="57" spans="1:15">
      <c r="A57" s="578" t="s">
        <v>172</v>
      </c>
      <c r="B57" s="601"/>
      <c r="C57" s="601"/>
      <c r="D57" s="523" t="s">
        <v>132</v>
      </c>
      <c r="E57" s="510">
        <f>'21'!F57</f>
        <v>7711</v>
      </c>
      <c r="F57" s="510">
        <v>7711</v>
      </c>
      <c r="G57" s="1340">
        <f t="shared" si="3"/>
        <v>0</v>
      </c>
      <c r="H57" s="460">
        <f>G57+'21'!H57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'21'!F58</f>
        <v>45378</v>
      </c>
      <c r="F58" s="510">
        <v>45539</v>
      </c>
      <c r="G58" s="1340">
        <f t="shared" si="3"/>
        <v>161</v>
      </c>
      <c r="H58" s="460">
        <f>G58+'21'!H58</f>
        <v>3837.6599999999962</v>
      </c>
      <c r="I58" s="455"/>
      <c r="J58" s="552">
        <f>H58/DAY(B2)</f>
        <v>174.43909090909074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2">
        <f>G49+G50+G51+G52+G53+G54+G55+G56+G57+G58</f>
        <v>7652</v>
      </c>
      <c r="H59" s="460">
        <f>G59+'21'!H59</f>
        <v>138417.68999999989</v>
      </c>
      <c r="I59" s="455">
        <f>G7-G60</f>
        <v>297</v>
      </c>
      <c r="J59" s="552">
        <f>H59/DAY(B2)</f>
        <v>6291.713181818177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2">
        <f>G47+G59</f>
        <v>19465</v>
      </c>
      <c r="H60" s="460">
        <f>G60+'21'!H60</f>
        <v>454650.68999999994</v>
      </c>
      <c r="I60" s="455">
        <f>G13-G60</f>
        <v>-319</v>
      </c>
      <c r="J60" s="552">
        <f>H47/DAY(B2)</f>
        <v>14046.974999999999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1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'21'!F62</f>
        <v>20419.2</v>
      </c>
      <c r="F62" s="514">
        <v>20419.2</v>
      </c>
      <c r="G62" s="1340">
        <f t="shared" ref="G62:G69" si="4">F62-E62</f>
        <v>0</v>
      </c>
      <c r="H62" s="460">
        <f>G62+'21'!H62</f>
        <v>0.38199999999778811</v>
      </c>
      <c r="I62" s="515"/>
      <c r="J62" s="552">
        <f>H62/DAY(B2)</f>
        <v>1.7363636363535825E-2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'21'!F63</f>
        <v>2313</v>
      </c>
      <c r="F63" s="514">
        <v>2318</v>
      </c>
      <c r="G63" s="1340">
        <f t="shared" si="4"/>
        <v>5</v>
      </c>
      <c r="H63" s="460">
        <f>G63+'21'!H63</f>
        <v>222</v>
      </c>
      <c r="I63" s="515"/>
      <c r="J63" s="552">
        <f>H63/DAY(B2)</f>
        <v>10.090909090909092</v>
      </c>
      <c r="K63" s="428"/>
      <c r="L63" s="377"/>
      <c r="N63" s="382"/>
      <c r="O63" s="382"/>
    </row>
    <row r="64" spans="1:15" ht="27.75">
      <c r="A64" s="1499" t="s">
        <v>99</v>
      </c>
      <c r="B64" s="1500"/>
      <c r="C64" s="1501"/>
      <c r="D64" s="523" t="s">
        <v>187</v>
      </c>
      <c r="E64" s="484">
        <f>'21'!F64</f>
        <v>149305</v>
      </c>
      <c r="F64" s="484">
        <v>149809</v>
      </c>
      <c r="G64" s="1340">
        <f t="shared" si="4"/>
        <v>504</v>
      </c>
      <c r="H64" s="460">
        <f>G64+'21'!H64</f>
        <v>10629</v>
      </c>
      <c r="I64" s="480"/>
      <c r="J64" s="552">
        <f>H64/DAY(B2)</f>
        <v>483.13636363636363</v>
      </c>
      <c r="K64" s="428"/>
      <c r="L64" s="377"/>
      <c r="N64" s="382"/>
      <c r="O64" s="382"/>
    </row>
    <row r="65" spans="1:15" ht="27.75">
      <c r="A65" s="1499" t="s">
        <v>100</v>
      </c>
      <c r="B65" s="1500"/>
      <c r="C65" s="1501"/>
      <c r="D65" s="523" t="s">
        <v>187</v>
      </c>
      <c r="E65" s="484">
        <f>'21'!F65</f>
        <v>151765</v>
      </c>
      <c r="F65" s="484">
        <v>152128</v>
      </c>
      <c r="G65" s="1340">
        <f t="shared" si="4"/>
        <v>363</v>
      </c>
      <c r="H65" s="460">
        <f>G65+'21'!H65</f>
        <v>7923</v>
      </c>
      <c r="I65" s="489"/>
      <c r="J65" s="552">
        <f>H65/DAY(B2)</f>
        <v>360.13636363636363</v>
      </c>
      <c r="K65" s="428"/>
      <c r="L65" s="377"/>
      <c r="N65" s="382"/>
      <c r="O65" s="382"/>
    </row>
    <row r="66" spans="1:15" ht="27.75">
      <c r="A66" s="1499" t="s">
        <v>101</v>
      </c>
      <c r="B66" s="1500"/>
      <c r="C66" s="1501"/>
      <c r="D66" s="523" t="s">
        <v>187</v>
      </c>
      <c r="E66" s="484">
        <f>'21'!F66</f>
        <v>45374</v>
      </c>
      <c r="F66" s="484">
        <v>45757</v>
      </c>
      <c r="G66" s="1340">
        <f t="shared" si="4"/>
        <v>383</v>
      </c>
      <c r="H66" s="460">
        <f>G66+'21'!H66</f>
        <v>8549</v>
      </c>
      <c r="I66" s="480"/>
      <c r="J66" s="552">
        <f>H66/DAY(B2)</f>
        <v>388.59090909090907</v>
      </c>
      <c r="K66" s="428"/>
      <c r="L66" s="377"/>
      <c r="N66" s="382"/>
      <c r="O66" s="382"/>
    </row>
    <row r="67" spans="1:15" ht="27.75">
      <c r="A67" s="1499" t="s">
        <v>102</v>
      </c>
      <c r="B67" s="1500"/>
      <c r="C67" s="1501"/>
      <c r="D67" s="523" t="s">
        <v>187</v>
      </c>
      <c r="E67" s="484">
        <f>'21'!F67</f>
        <v>239914</v>
      </c>
      <c r="F67" s="484">
        <v>240310</v>
      </c>
      <c r="G67" s="1340">
        <f t="shared" si="4"/>
        <v>396</v>
      </c>
      <c r="H67" s="460">
        <f>G67+'21'!H67</f>
        <v>11210</v>
      </c>
      <c r="I67" s="489"/>
      <c r="J67" s="552">
        <f>H67/DAY(B2)</f>
        <v>509.54545454545456</v>
      </c>
      <c r="K67" s="429"/>
      <c r="L67" s="377"/>
      <c r="N67" s="382"/>
      <c r="O67" s="382"/>
    </row>
    <row r="68" spans="1:15" ht="27.75">
      <c r="A68" s="1499" t="s">
        <v>103</v>
      </c>
      <c r="B68" s="1500"/>
      <c r="C68" s="1501"/>
      <c r="D68" s="523" t="s">
        <v>187</v>
      </c>
      <c r="E68" s="484">
        <v>85321</v>
      </c>
      <c r="F68" s="484">
        <v>85321</v>
      </c>
      <c r="G68" s="1340">
        <f t="shared" si="4"/>
        <v>0</v>
      </c>
      <c r="H68" s="460">
        <f>G68+'21'!H68</f>
        <v>2234</v>
      </c>
      <c r="I68" s="516"/>
      <c r="J68" s="552">
        <f>H68/DAY(B2)</f>
        <v>101.54545454545455</v>
      </c>
      <c r="K68" s="430"/>
      <c r="L68" s="377"/>
      <c r="N68" s="382"/>
      <c r="O68" s="382"/>
    </row>
    <row r="69" spans="1:15" ht="27.75">
      <c r="A69" s="1499" t="s">
        <v>104</v>
      </c>
      <c r="B69" s="1500"/>
      <c r="C69" s="1501"/>
      <c r="D69" s="523" t="s">
        <v>187</v>
      </c>
      <c r="E69" s="484">
        <f>'21'!F69</f>
        <v>78342</v>
      </c>
      <c r="F69" s="484">
        <v>78385</v>
      </c>
      <c r="G69" s="1340">
        <f t="shared" si="4"/>
        <v>43</v>
      </c>
      <c r="H69" s="460">
        <f>G69+'21'!H69</f>
        <v>4056</v>
      </c>
      <c r="I69" s="516"/>
      <c r="J69" s="552">
        <f>H69/DAY(B2)</f>
        <v>184.36363636363637</v>
      </c>
      <c r="K69" s="431"/>
      <c r="L69" s="377"/>
      <c r="N69" s="382"/>
      <c r="O69" s="382"/>
    </row>
    <row r="70" spans="1:15" ht="27.75">
      <c r="A70" s="1505" t="s">
        <v>189</v>
      </c>
      <c r="B70" s="1506"/>
      <c r="C70" s="1507"/>
      <c r="D70" s="523" t="s">
        <v>187</v>
      </c>
      <c r="E70" s="518"/>
      <c r="F70" s="518"/>
      <c r="G70" s="1352"/>
      <c r="H70" s="460">
        <f>G70+'21'!H70</f>
        <v>0</v>
      </c>
      <c r="I70" s="518"/>
      <c r="J70" s="556"/>
      <c r="K70" s="431"/>
      <c r="L70" s="377"/>
      <c r="N70" s="382"/>
      <c r="O70" s="382"/>
    </row>
    <row r="71" spans="1:15" ht="31.5">
      <c r="A71" s="1502" t="s">
        <v>190</v>
      </c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  <c r="N71" s="382"/>
      <c r="O71" s="382"/>
    </row>
    <row r="72" spans="1:15" ht="27.75">
      <c r="A72" s="1499" t="s">
        <v>191</v>
      </c>
      <c r="B72" s="1500"/>
      <c r="C72" s="1501"/>
      <c r="D72" s="523" t="s">
        <v>187</v>
      </c>
      <c r="E72" s="519">
        <f>'21'!F72</f>
        <v>855005</v>
      </c>
      <c r="F72" s="519">
        <v>855061</v>
      </c>
      <c r="G72" s="1340">
        <f t="shared" ref="G72:G84" si="5">F72-E72</f>
        <v>56</v>
      </c>
      <c r="H72" s="460">
        <f>G72+'21'!H72</f>
        <v>1798</v>
      </c>
      <c r="I72" s="480"/>
      <c r="J72" s="552">
        <f>H72/DAY(B2)</f>
        <v>81.727272727272734</v>
      </c>
      <c r="K72" s="431"/>
      <c r="L72" s="377"/>
      <c r="N72" s="382"/>
      <c r="O72" s="382"/>
    </row>
    <row r="73" spans="1:15" ht="27.75">
      <c r="A73" s="1499" t="s">
        <v>192</v>
      </c>
      <c r="B73" s="1500"/>
      <c r="C73" s="1501"/>
      <c r="D73" s="523" t="s">
        <v>187</v>
      </c>
      <c r="E73" s="520">
        <f>'21'!F73</f>
        <v>885831</v>
      </c>
      <c r="F73" s="520">
        <v>885832</v>
      </c>
      <c r="G73" s="1340">
        <f t="shared" si="5"/>
        <v>1</v>
      </c>
      <c r="H73" s="460">
        <f>G73+'21'!H73</f>
        <v>1253</v>
      </c>
      <c r="I73" s="480"/>
      <c r="J73" s="552">
        <f>H73/DAY(B2)</f>
        <v>56.954545454545453</v>
      </c>
      <c r="K73" s="430"/>
      <c r="L73" s="377"/>
      <c r="N73" s="382"/>
      <c r="O73" s="382"/>
    </row>
    <row r="74" spans="1:15" ht="27.75">
      <c r="A74" s="1575" t="s">
        <v>193</v>
      </c>
      <c r="B74" s="1576"/>
      <c r="C74" s="1577"/>
      <c r="D74" s="523" t="s">
        <v>187</v>
      </c>
      <c r="E74" s="521">
        <f>'21'!F74</f>
        <v>1994</v>
      </c>
      <c r="F74" s="521">
        <v>2022</v>
      </c>
      <c r="G74" s="1340">
        <f t="shared" si="5"/>
        <v>28</v>
      </c>
      <c r="H74" s="460">
        <f>G74+'21'!H74</f>
        <v>652</v>
      </c>
      <c r="I74" s="480"/>
      <c r="J74" s="552">
        <f>H74/DAY(B2)</f>
        <v>29.636363636363637</v>
      </c>
      <c r="K74" s="431"/>
      <c r="L74" s="377"/>
      <c r="N74" s="382"/>
      <c r="O74" s="382"/>
    </row>
    <row r="75" spans="1:15" ht="27.75">
      <c r="A75" s="1496" t="s">
        <v>194</v>
      </c>
      <c r="B75" s="1497"/>
      <c r="C75" s="1498"/>
      <c r="D75" s="523" t="s">
        <v>187</v>
      </c>
      <c r="E75" s="521">
        <f>'21'!F75</f>
        <v>10427</v>
      </c>
      <c r="F75" s="521">
        <v>10503</v>
      </c>
      <c r="G75" s="1340">
        <f t="shared" si="5"/>
        <v>76</v>
      </c>
      <c r="H75" s="460">
        <f>G75+'21'!H75</f>
        <v>1823</v>
      </c>
      <c r="I75" s="480"/>
      <c r="J75" s="552">
        <f>H75/DAY(B2)</f>
        <v>82.86363636363636</v>
      </c>
      <c r="K75" s="430"/>
      <c r="L75" s="377"/>
      <c r="N75" s="382"/>
      <c r="O75" s="382"/>
    </row>
    <row r="76" spans="1:15" ht="27.75">
      <c r="A76" s="1496" t="s">
        <v>195</v>
      </c>
      <c r="B76" s="1497"/>
      <c r="C76" s="1498"/>
      <c r="D76" s="523" t="s">
        <v>187</v>
      </c>
      <c r="E76" s="520">
        <f>'21'!F76</f>
        <v>5318</v>
      </c>
      <c r="F76" s="648">
        <v>5359</v>
      </c>
      <c r="G76" s="1340">
        <f t="shared" si="5"/>
        <v>41</v>
      </c>
      <c r="H76" s="460">
        <f>G76+'21'!H76</f>
        <v>1733</v>
      </c>
      <c r="I76" s="505"/>
      <c r="J76" s="552">
        <f>H76/DAY(B2)</f>
        <v>78.772727272727266</v>
      </c>
      <c r="K76" s="430"/>
      <c r="L76" s="377"/>
      <c r="N76" s="382"/>
      <c r="O76" s="382"/>
    </row>
    <row r="77" spans="1:15" ht="27.75">
      <c r="A77" s="1499" t="s">
        <v>196</v>
      </c>
      <c r="B77" s="1500"/>
      <c r="C77" s="1501"/>
      <c r="D77" s="523" t="s">
        <v>187</v>
      </c>
      <c r="E77" s="521">
        <f>'21'!F77</f>
        <v>701168</v>
      </c>
      <c r="F77" s="521">
        <v>701203</v>
      </c>
      <c r="G77" s="1340">
        <f t="shared" si="5"/>
        <v>35</v>
      </c>
      <c r="H77" s="460">
        <f>G77+'21'!H77</f>
        <v>989</v>
      </c>
      <c r="I77" s="505"/>
      <c r="J77" s="552">
        <f>H77/DAY(B2)</f>
        <v>44.954545454545453</v>
      </c>
      <c r="K77" s="430"/>
      <c r="L77" s="377"/>
      <c r="N77" s="382"/>
      <c r="O77" s="382"/>
    </row>
    <row r="78" spans="1:15" ht="27.75">
      <c r="A78" s="1374" t="s">
        <v>197</v>
      </c>
      <c r="B78" s="1368"/>
      <c r="C78" s="1368"/>
      <c r="D78" s="523" t="s">
        <v>187</v>
      </c>
      <c r="E78" s="521">
        <f>'21'!F78</f>
        <v>669299</v>
      </c>
      <c r="F78" s="521">
        <v>669346</v>
      </c>
      <c r="G78" s="1340">
        <f t="shared" si="5"/>
        <v>47</v>
      </c>
      <c r="H78" s="460">
        <f>G78+'21'!H78</f>
        <v>3966</v>
      </c>
      <c r="I78" s="505"/>
      <c r="J78" s="552">
        <f>H78/DAY(B2)</f>
        <v>180.27272727272728</v>
      </c>
      <c r="K78" s="430"/>
      <c r="L78" s="377"/>
      <c r="N78" s="382"/>
      <c r="O78" s="382"/>
    </row>
    <row r="79" spans="1:15" ht="27.75">
      <c r="A79" s="1496" t="s">
        <v>92</v>
      </c>
      <c r="B79" s="1497"/>
      <c r="C79" s="1498"/>
      <c r="D79" s="524" t="s">
        <v>187</v>
      </c>
      <c r="E79" s="521">
        <f>'21'!F79</f>
        <v>825121</v>
      </c>
      <c r="F79" s="521">
        <v>825300</v>
      </c>
      <c r="G79" s="1340">
        <f t="shared" si="5"/>
        <v>179</v>
      </c>
      <c r="H79" s="460">
        <f>G79+'21'!H79</f>
        <v>5109</v>
      </c>
      <c r="I79" s="505"/>
      <c r="J79" s="552">
        <f>H79/DAY(B2)</f>
        <v>232.22727272727272</v>
      </c>
      <c r="K79" s="430"/>
      <c r="L79" s="377"/>
      <c r="N79" s="382"/>
      <c r="O79" s="382"/>
    </row>
    <row r="80" spans="1:15" ht="27.75">
      <c r="A80" s="1496" t="s">
        <v>198</v>
      </c>
      <c r="B80" s="1497"/>
      <c r="C80" s="1498"/>
      <c r="D80" s="524" t="s">
        <v>187</v>
      </c>
      <c r="E80" s="520">
        <f>'21'!F80</f>
        <v>513384</v>
      </c>
      <c r="F80" s="520">
        <v>513749</v>
      </c>
      <c r="G80" s="1340">
        <f t="shared" si="5"/>
        <v>365</v>
      </c>
      <c r="H80" s="460">
        <f>G80+'21'!H80</f>
        <v>5821</v>
      </c>
      <c r="I80" s="505"/>
      <c r="J80" s="552">
        <f>H80/DAY(B2)</f>
        <v>264.59090909090907</v>
      </c>
      <c r="K80" s="430"/>
      <c r="L80" s="377"/>
      <c r="N80" s="382"/>
      <c r="O80" s="382"/>
    </row>
    <row r="81" spans="1:15" ht="27.75">
      <c r="A81" s="1496" t="s">
        <v>199</v>
      </c>
      <c r="B81" s="1497"/>
      <c r="C81" s="1498"/>
      <c r="D81" s="524" t="s">
        <v>187</v>
      </c>
      <c r="E81" s="520">
        <f>'21'!F81</f>
        <v>635287</v>
      </c>
      <c r="F81" s="520">
        <v>635486</v>
      </c>
      <c r="G81" s="1340">
        <f t="shared" si="5"/>
        <v>199</v>
      </c>
      <c r="H81" s="460">
        <f>G81+'21'!H81</f>
        <v>5301</v>
      </c>
      <c r="I81" s="505"/>
      <c r="J81" s="552">
        <f>H81/DAY(B2)</f>
        <v>240.95454545454547</v>
      </c>
      <c r="K81" s="430"/>
      <c r="L81" s="377"/>
      <c r="N81" s="382"/>
      <c r="O81" s="382"/>
    </row>
    <row r="82" spans="1:15" ht="27.75">
      <c r="A82" s="1496" t="s">
        <v>93</v>
      </c>
      <c r="B82" s="1497"/>
      <c r="C82" s="1498"/>
      <c r="D82" s="485" t="s">
        <v>132</v>
      </c>
      <c r="E82" s="522">
        <f>'21'!F82</f>
        <v>107403</v>
      </c>
      <c r="F82" s="522">
        <v>107430</v>
      </c>
      <c r="G82" s="1340">
        <f t="shared" si="5"/>
        <v>27</v>
      </c>
      <c r="H82" s="460">
        <f>G82+'21'!H82</f>
        <v>535</v>
      </c>
      <c r="I82" s="486"/>
      <c r="J82" s="552">
        <f>H82/DAY(B2)</f>
        <v>24.318181818181817</v>
      </c>
      <c r="K82" s="430"/>
      <c r="L82" s="377"/>
      <c r="N82" s="382"/>
      <c r="O82" s="382"/>
    </row>
    <row r="83" spans="1:15" ht="27.75">
      <c r="A83" s="1496" t="s">
        <v>200</v>
      </c>
      <c r="B83" s="1497"/>
      <c r="C83" s="1498"/>
      <c r="D83" s="620" t="s">
        <v>132</v>
      </c>
      <c r="E83" s="511">
        <f>'21'!F83</f>
        <v>12762</v>
      </c>
      <c r="F83" s="511">
        <v>12975</v>
      </c>
      <c r="G83" s="1340">
        <f t="shared" si="5"/>
        <v>213</v>
      </c>
      <c r="H83" s="460">
        <f>G83+'21'!H83</f>
        <v>5918</v>
      </c>
      <c r="I83" s="481"/>
      <c r="J83" s="552">
        <f>H83/DAY(B2)</f>
        <v>269</v>
      </c>
      <c r="K83" s="429"/>
      <c r="L83" s="377"/>
      <c r="N83" s="382"/>
      <c r="O83" s="724"/>
    </row>
    <row r="84" spans="1:15">
      <c r="A84" s="1375" t="s">
        <v>201</v>
      </c>
      <c r="B84" s="571"/>
      <c r="C84" s="571"/>
      <c r="D84" s="478" t="s">
        <v>132</v>
      </c>
      <c r="E84" s="627">
        <f>'21'!F84</f>
        <v>473071</v>
      </c>
      <c r="F84" s="627">
        <v>473853</v>
      </c>
      <c r="G84" s="1340">
        <f t="shared" si="5"/>
        <v>782</v>
      </c>
      <c r="H84" s="460">
        <f>G84+'21'!H84</f>
        <v>19169</v>
      </c>
      <c r="I84" s="481"/>
      <c r="J84" s="552">
        <f>H84/DAY(B2)</f>
        <v>871.31818181818187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3">
        <f xml:space="preserve"> SUM(G72:G84)</f>
        <v>2049</v>
      </c>
      <c r="H85" s="460">
        <f>G85+'21'!H85</f>
        <v>53726</v>
      </c>
      <c r="I85" s="481"/>
      <c r="J85" s="552">
        <f>H85/DAY(B2)</f>
        <v>2442.090909090909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'21'!F86</f>
        <v>458301</v>
      </c>
      <c r="F86" s="650">
        <v>458325</v>
      </c>
      <c r="G86" s="1354">
        <f t="shared" ref="G86:G88" si="6">F86-E86</f>
        <v>24</v>
      </c>
      <c r="H86" s="460">
        <f>G86+'21'!H86</f>
        <v>566</v>
      </c>
      <c r="I86" s="655"/>
      <c r="J86" s="710">
        <f>H86/DAY(B2)</f>
        <v>25.727272727272727</v>
      </c>
      <c r="K86" s="736"/>
      <c r="L86" s="737"/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'21'!F87</f>
        <v>80802</v>
      </c>
      <c r="F87" s="650">
        <v>80813</v>
      </c>
      <c r="G87" s="1354">
        <f t="shared" si="6"/>
        <v>11</v>
      </c>
      <c r="H87" s="460">
        <f>G87+'21'!H87</f>
        <v>102</v>
      </c>
      <c r="I87" s="655"/>
      <c r="J87" s="710">
        <f>H87/DAY(B2)</f>
        <v>4.6363636363636367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'21'!F88</f>
        <v>151496</v>
      </c>
      <c r="F88" s="650">
        <v>151518</v>
      </c>
      <c r="G88" s="1354">
        <f t="shared" si="6"/>
        <v>22</v>
      </c>
      <c r="H88" s="460">
        <f>G88+'21'!H88</f>
        <v>204</v>
      </c>
      <c r="I88" s="655"/>
      <c r="J88" s="710">
        <f>H88/DAY(B2)</f>
        <v>9.2727272727272734</v>
      </c>
      <c r="K88" s="736"/>
      <c r="L88" s="737"/>
      <c r="N88" s="781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'21'!F89</f>
        <v>64460</v>
      </c>
      <c r="F89" s="650">
        <v>64504</v>
      </c>
      <c r="G89" s="1354">
        <f t="shared" ref="G89:G90" si="7">F89-E89</f>
        <v>44</v>
      </c>
      <c r="H89" s="460">
        <f>G89+'21'!H89</f>
        <v>215</v>
      </c>
      <c r="I89" s="655"/>
      <c r="J89" s="710">
        <f>H89/DAY(B2)</f>
        <v>9.7727272727272734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'21'!F90</f>
        <v>3272</v>
      </c>
      <c r="F90" s="650">
        <v>3272</v>
      </c>
      <c r="G90" s="1354">
        <f t="shared" si="7"/>
        <v>0</v>
      </c>
      <c r="H90" s="460">
        <f>G90+'21'!H90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379" customFormat="1">
      <c r="A91" s="606" t="s">
        <v>205</v>
      </c>
      <c r="B91" s="1377"/>
      <c r="C91" s="1377"/>
      <c r="D91" s="472"/>
      <c r="E91" s="472"/>
      <c r="F91" s="472">
        <v>3272</v>
      </c>
      <c r="G91" s="1343"/>
      <c r="H91" s="472"/>
      <c r="I91" s="472"/>
      <c r="J91" s="551"/>
      <c r="K91" s="380"/>
      <c r="L91" s="378"/>
      <c r="N91" s="780"/>
      <c r="O91" s="382"/>
    </row>
    <row r="92" spans="1:15" ht="27.75">
      <c r="A92" s="1520" t="s">
        <v>206</v>
      </c>
      <c r="B92" s="1521"/>
      <c r="C92" s="1522"/>
      <c r="D92" s="523" t="s">
        <v>144</v>
      </c>
      <c r="E92" s="484">
        <f>'21'!F92</f>
        <v>244077</v>
      </c>
      <c r="F92" s="484">
        <v>244138</v>
      </c>
      <c r="G92" s="1340">
        <f t="shared" ref="G92:G93" si="8">F92-E92</f>
        <v>61</v>
      </c>
      <c r="H92" s="460">
        <f>G92+'21'!H92</f>
        <v>1492</v>
      </c>
      <c r="I92" s="480"/>
      <c r="J92" s="552">
        <f>H92/DAY(B2)</f>
        <v>67.818181818181813</v>
      </c>
      <c r="K92" s="429"/>
      <c r="L92" s="377"/>
      <c r="N92" s="382"/>
      <c r="O92" s="382"/>
    </row>
    <row r="93" spans="1:15" ht="27.75">
      <c r="A93" s="1520" t="s">
        <v>207</v>
      </c>
      <c r="B93" s="1521"/>
      <c r="C93" s="1522"/>
      <c r="D93" s="523" t="s">
        <v>144</v>
      </c>
      <c r="E93" s="484">
        <f>'21'!F93</f>
        <v>182715</v>
      </c>
      <c r="F93" s="484">
        <v>182796</v>
      </c>
      <c r="G93" s="1340">
        <f t="shared" si="8"/>
        <v>81</v>
      </c>
      <c r="H93" s="460">
        <f>G93+'21'!H93</f>
        <v>3117</v>
      </c>
      <c r="I93" s="480"/>
      <c r="J93" s="552">
        <f>H93/DAY(B2)</f>
        <v>141.68181818181819</v>
      </c>
      <c r="K93" s="380"/>
      <c r="L93" s="377"/>
      <c r="N93" s="382"/>
      <c r="O93" s="382"/>
    </row>
    <row r="94" spans="1:15">
      <c r="A94" s="1548" t="s">
        <v>208</v>
      </c>
      <c r="B94" s="1549"/>
      <c r="C94" s="1550"/>
      <c r="D94" s="523"/>
      <c r="E94" s="484">
        <f>'21'!F94</f>
        <v>0</v>
      </c>
      <c r="F94" s="484"/>
      <c r="G94" s="1340">
        <f>G92+G93</f>
        <v>142</v>
      </c>
      <c r="H94" s="460">
        <f>G94+'21'!H94</f>
        <v>4390</v>
      </c>
      <c r="I94" s="480"/>
      <c r="J94" s="552">
        <f>H94/DAY(B2)</f>
        <v>199.54545454545453</v>
      </c>
      <c r="K94" s="380"/>
      <c r="L94" s="377"/>
      <c r="N94" s="382"/>
      <c r="O94" s="382"/>
    </row>
    <row r="95" spans="1:15" ht="27.75">
      <c r="A95" s="1520" t="s">
        <v>209</v>
      </c>
      <c r="B95" s="1521"/>
      <c r="C95" s="1522"/>
      <c r="D95" s="523" t="s">
        <v>144</v>
      </c>
      <c r="E95" s="484">
        <f>'21'!F95</f>
        <v>412293</v>
      </c>
      <c r="F95" s="484">
        <v>412357</v>
      </c>
      <c r="G95" s="1340">
        <f t="shared" ref="G95:G100" si="9">F95-E95</f>
        <v>64</v>
      </c>
      <c r="H95" s="460">
        <f>G95+'21'!H95</f>
        <v>1572</v>
      </c>
      <c r="I95" s="480"/>
      <c r="J95" s="552">
        <f>H95/DAY(B2)</f>
        <v>71.454545454545453</v>
      </c>
      <c r="K95" s="380"/>
      <c r="L95" s="377"/>
      <c r="N95" s="382"/>
      <c r="O95" s="382"/>
    </row>
    <row r="96" spans="1:15" ht="27.75">
      <c r="A96" s="1371" t="s">
        <v>210</v>
      </c>
      <c r="B96" s="1372"/>
      <c r="C96" s="1372"/>
      <c r="D96" s="523" t="s">
        <v>144</v>
      </c>
      <c r="E96" s="484">
        <f>'21'!F96</f>
        <v>102198</v>
      </c>
      <c r="F96" s="484">
        <v>102215</v>
      </c>
      <c r="G96" s="1340">
        <f t="shared" si="9"/>
        <v>17</v>
      </c>
      <c r="H96" s="460">
        <f>G96+'21'!H96</f>
        <v>384</v>
      </c>
      <c r="I96" s="480"/>
      <c r="J96" s="552">
        <f>H96/DAY(B2)</f>
        <v>17.454545454545453</v>
      </c>
      <c r="K96" s="427"/>
      <c r="L96" s="377"/>
      <c r="N96" s="382"/>
      <c r="O96" s="382"/>
    </row>
    <row r="97" spans="1:15" ht="27.75">
      <c r="A97" s="1371" t="s">
        <v>211</v>
      </c>
      <c r="B97" s="1372"/>
      <c r="C97" s="1372"/>
      <c r="D97" s="523" t="s">
        <v>144</v>
      </c>
      <c r="E97" s="484">
        <f>'21'!F97</f>
        <v>97293</v>
      </c>
      <c r="F97" s="484">
        <v>97312</v>
      </c>
      <c r="G97" s="1340">
        <f t="shared" si="9"/>
        <v>19</v>
      </c>
      <c r="H97" s="460">
        <f>G97+'21'!H97</f>
        <v>384</v>
      </c>
      <c r="I97" s="480"/>
      <c r="J97" s="552">
        <f>H97/DAY(B2)</f>
        <v>17.454545454545453</v>
      </c>
      <c r="K97" s="432"/>
      <c r="L97" s="377"/>
      <c r="N97" s="382"/>
      <c r="O97" s="382"/>
    </row>
    <row r="98" spans="1:15" ht="27.75">
      <c r="A98" s="1371" t="s">
        <v>212</v>
      </c>
      <c r="B98" s="1372"/>
      <c r="C98" s="1372"/>
      <c r="D98" s="523" t="s">
        <v>144</v>
      </c>
      <c r="E98" s="484">
        <f>'21'!F98</f>
        <v>149472</v>
      </c>
      <c r="F98" s="484">
        <v>149479</v>
      </c>
      <c r="G98" s="1340">
        <f t="shared" si="9"/>
        <v>7</v>
      </c>
      <c r="H98" s="460">
        <f>G98+'21'!H98</f>
        <v>570</v>
      </c>
      <c r="I98" s="480"/>
      <c r="J98" s="552">
        <f>H98/DAY(B2)</f>
        <v>25.90909090909091</v>
      </c>
      <c r="K98" s="380"/>
      <c r="L98" s="377"/>
      <c r="N98" s="382"/>
      <c r="O98" s="382"/>
    </row>
    <row r="99" spans="1:15" ht="27.75">
      <c r="A99" s="1371" t="s">
        <v>213</v>
      </c>
      <c r="B99" s="1372"/>
      <c r="C99" s="1372"/>
      <c r="D99" s="523" t="s">
        <v>144</v>
      </c>
      <c r="E99" s="484">
        <f>'21'!F99</f>
        <v>7123</v>
      </c>
      <c r="F99" s="484">
        <v>7135</v>
      </c>
      <c r="G99" s="1340">
        <f t="shared" si="9"/>
        <v>12</v>
      </c>
      <c r="H99" s="460">
        <f>G99+'21'!H99</f>
        <v>280</v>
      </c>
      <c r="I99" s="480"/>
      <c r="J99" s="552">
        <f>H99/DAY(B2)</f>
        <v>12.727272727272727</v>
      </c>
      <c r="K99" s="380"/>
      <c r="L99" s="377"/>
      <c r="N99" s="382"/>
      <c r="O99" s="382"/>
    </row>
    <row r="100" spans="1:15" ht="27.75">
      <c r="A100" s="1371" t="s">
        <v>214</v>
      </c>
      <c r="B100" s="1372"/>
      <c r="C100" s="1372"/>
      <c r="D100" s="523" t="s">
        <v>144</v>
      </c>
      <c r="E100" s="484">
        <f>'21'!F100</f>
        <v>5088</v>
      </c>
      <c r="F100" s="484">
        <v>5094</v>
      </c>
      <c r="G100" s="1340">
        <f t="shared" si="9"/>
        <v>6</v>
      </c>
      <c r="H100" s="460">
        <f>G100+'21'!H100</f>
        <v>151</v>
      </c>
      <c r="I100" s="480"/>
      <c r="J100" s="552">
        <f>H100/DAY(B2)</f>
        <v>6.8636363636363633</v>
      </c>
      <c r="K100" s="380"/>
      <c r="L100" s="377"/>
      <c r="N100" s="382"/>
      <c r="O100" s="382"/>
    </row>
    <row r="101" spans="1:15">
      <c r="A101" s="1548" t="s">
        <v>216</v>
      </c>
      <c r="B101" s="1549"/>
      <c r="C101" s="1550"/>
      <c r="D101" s="524"/>
      <c r="E101" s="524"/>
      <c r="F101" s="524"/>
      <c r="G101" s="1355">
        <f>SUM(G95:G100)</f>
        <v>125</v>
      </c>
      <c r="H101" s="460">
        <f>G101+'21'!H101</f>
        <v>3341</v>
      </c>
      <c r="I101" s="526"/>
      <c r="J101" s="552">
        <f>H101/DAY(B2)</f>
        <v>151.86363636363637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1356"/>
      <c r="H102" s="530"/>
      <c r="I102" s="531"/>
      <c r="J102" s="557"/>
      <c r="N102" s="444"/>
      <c r="O102" s="382"/>
    </row>
    <row r="103" spans="1:15" s="442" customFormat="1" ht="27.75">
      <c r="A103" s="1551" t="s">
        <v>218</v>
      </c>
      <c r="B103" s="1552"/>
      <c r="C103" s="573"/>
      <c r="D103" s="622"/>
      <c r="E103" s="532"/>
      <c r="F103" s="532"/>
      <c r="G103" s="1357"/>
      <c r="H103" s="533"/>
      <c r="I103" s="532"/>
      <c r="J103" s="558"/>
      <c r="N103" s="444"/>
      <c r="O103" s="382"/>
    </row>
    <row r="104" spans="1:15" s="442" customFormat="1" ht="27.75">
      <c r="A104" s="1512" t="s">
        <v>219</v>
      </c>
      <c r="B104" s="1513"/>
      <c r="C104" s="1370"/>
      <c r="D104" s="622" t="s">
        <v>144</v>
      </c>
      <c r="E104" s="532">
        <f>'21'!F104</f>
        <v>7400</v>
      </c>
      <c r="F104" s="532">
        <v>7405</v>
      </c>
      <c r="G104" s="1357">
        <f>F104-E104</f>
        <v>5</v>
      </c>
      <c r="H104" s="460">
        <f>SUM(G104+'1'!G76)</f>
        <v>64</v>
      </c>
      <c r="I104" s="532"/>
      <c r="J104" s="558">
        <f>H104/DAY(B2)</f>
        <v>2.9090909090909092</v>
      </c>
      <c r="N104" s="444"/>
      <c r="O104" s="382"/>
    </row>
    <row r="105" spans="1:15" s="442" customFormat="1" ht="27.75">
      <c r="A105" s="1512" t="s">
        <v>77</v>
      </c>
      <c r="B105" s="1513"/>
      <c r="C105" s="1370"/>
      <c r="D105" s="622" t="s">
        <v>144</v>
      </c>
      <c r="E105" s="534">
        <f>'21'!F105</f>
        <v>35774</v>
      </c>
      <c r="F105" s="534">
        <v>35779</v>
      </c>
      <c r="G105" s="1357">
        <f t="shared" ref="G105:G106" si="10">F105-E105</f>
        <v>5</v>
      </c>
      <c r="H105" s="460">
        <f>SUM(G105+'1'!G77)</f>
        <v>55</v>
      </c>
      <c r="I105" s="532"/>
      <c r="J105" s="558">
        <f>H105/DAY(B2)</f>
        <v>2.5</v>
      </c>
      <c r="N105" s="444"/>
      <c r="O105" s="382"/>
    </row>
    <row r="106" spans="1:15" s="442" customFormat="1" ht="27.75">
      <c r="A106" s="1512" t="s">
        <v>78</v>
      </c>
      <c r="B106" s="1553"/>
      <c r="C106" s="1513"/>
      <c r="D106" s="622" t="s">
        <v>144</v>
      </c>
      <c r="E106" s="532">
        <f>'21'!F106</f>
        <v>19564</v>
      </c>
      <c r="F106" s="532">
        <v>19571</v>
      </c>
      <c r="G106" s="1357">
        <f t="shared" si="10"/>
        <v>7</v>
      </c>
      <c r="H106" s="460">
        <f>SUM(G106+'1'!G78)</f>
        <v>402</v>
      </c>
      <c r="I106" s="532"/>
      <c r="J106" s="558">
        <f>H106/DAY(B2)</f>
        <v>18.272727272727273</v>
      </c>
      <c r="N106" s="444"/>
      <c r="O106" s="382"/>
    </row>
    <row r="107" spans="1:15" s="442" customFormat="1" ht="27.75">
      <c r="A107" s="1514" t="s">
        <v>202</v>
      </c>
      <c r="B107" s="1515"/>
      <c r="C107" s="1370"/>
      <c r="D107" s="622"/>
      <c r="E107" s="532">
        <f>'21'!F107</f>
        <v>0</v>
      </c>
      <c r="F107" s="532"/>
      <c r="G107" s="1357">
        <f>SUM(G104:G106)</f>
        <v>17</v>
      </c>
      <c r="H107" s="460">
        <f>SUM(G107+'1'!G79)</f>
        <v>211</v>
      </c>
      <c r="I107" s="532"/>
      <c r="J107" s="558">
        <f>H107/DAY(B2)</f>
        <v>9.5909090909090917</v>
      </c>
      <c r="N107" s="444"/>
      <c r="O107" s="382"/>
    </row>
    <row r="108" spans="1:15" s="442" customFormat="1" ht="27.75">
      <c r="A108" s="1518" t="s">
        <v>79</v>
      </c>
      <c r="B108" s="1519"/>
      <c r="C108" s="1370"/>
      <c r="D108" s="622" t="s">
        <v>144</v>
      </c>
      <c r="E108" s="532">
        <f>'21'!F108</f>
        <v>0</v>
      </c>
      <c r="F108" s="532"/>
      <c r="G108" s="1357"/>
      <c r="H108" s="460"/>
      <c r="I108" s="532"/>
      <c r="J108" s="558"/>
      <c r="N108" s="444"/>
      <c r="O108" s="382"/>
    </row>
    <row r="109" spans="1:15" s="442" customFormat="1" ht="27.75">
      <c r="A109" s="1512" t="s">
        <v>220</v>
      </c>
      <c r="B109" s="1513"/>
      <c r="C109" s="1370"/>
      <c r="D109" s="622" t="s">
        <v>144</v>
      </c>
      <c r="E109" s="532">
        <f>'21'!F109</f>
        <v>60458</v>
      </c>
      <c r="F109" s="532">
        <v>60541</v>
      </c>
      <c r="G109" s="1357">
        <f>F109-E109</f>
        <v>83</v>
      </c>
      <c r="H109" s="460">
        <f>SUM(G109+'1'!G81)</f>
        <v>281</v>
      </c>
      <c r="I109" s="532"/>
      <c r="J109" s="558">
        <f>H109/DAY(B2)</f>
        <v>12.772727272727273</v>
      </c>
      <c r="N109" s="444"/>
      <c r="O109" s="382"/>
    </row>
    <row r="110" spans="1:15" s="442" customFormat="1" ht="27.75">
      <c r="A110" s="1512" t="s">
        <v>221</v>
      </c>
      <c r="B110" s="1513"/>
      <c r="C110" s="1370"/>
      <c r="D110" s="622" t="s">
        <v>144</v>
      </c>
      <c r="E110" s="532">
        <f>'21'!F110</f>
        <v>32156</v>
      </c>
      <c r="F110" s="532">
        <v>32156</v>
      </c>
      <c r="G110" s="1357">
        <f t="shared" ref="G110:G111" si="11">F110-E110</f>
        <v>0</v>
      </c>
      <c r="H110" s="460">
        <f>SUM(G110+'1'!G82)</f>
        <v>23</v>
      </c>
      <c r="I110" s="532"/>
      <c r="J110" s="558">
        <f>H110/DAY(B2)</f>
        <v>1.0454545454545454</v>
      </c>
      <c r="N110" s="444"/>
      <c r="O110" s="382"/>
    </row>
    <row r="111" spans="1:15" s="442" customFormat="1" ht="27.75">
      <c r="A111" s="1512" t="s">
        <v>222</v>
      </c>
      <c r="B111" s="1513"/>
      <c r="C111" s="1370"/>
      <c r="D111" s="622" t="s">
        <v>144</v>
      </c>
      <c r="E111" s="532">
        <f>'21'!F111</f>
        <v>4326</v>
      </c>
      <c r="F111" s="532">
        <v>4326</v>
      </c>
      <c r="G111" s="1357">
        <f t="shared" si="11"/>
        <v>0</v>
      </c>
      <c r="H111" s="460">
        <f>SUM(G111+'1'!G83)</f>
        <v>239</v>
      </c>
      <c r="I111" s="532"/>
      <c r="J111" s="558">
        <f>H111/DAY(B2)</f>
        <v>10.863636363636363</v>
      </c>
      <c r="N111" s="444"/>
      <c r="O111" s="382"/>
    </row>
    <row r="112" spans="1:15" s="442" customFormat="1" ht="27.75">
      <c r="A112" s="1516" t="s">
        <v>110</v>
      </c>
      <c r="B112" s="1517"/>
      <c r="C112" s="1370"/>
      <c r="D112" s="622"/>
      <c r="E112" s="532">
        <f>'21'!F112</f>
        <v>0</v>
      </c>
      <c r="F112" s="532"/>
      <c r="G112" s="1357">
        <f>SUM(G109:G111)</f>
        <v>83</v>
      </c>
      <c r="H112" s="460">
        <f>SUM(G112+'1'!G84)</f>
        <v>998</v>
      </c>
      <c r="I112" s="532"/>
      <c r="J112" s="558">
        <f>H112/DAY(B2)</f>
        <v>45.363636363636367</v>
      </c>
      <c r="N112" s="444"/>
      <c r="O112" s="382"/>
    </row>
    <row r="113" spans="1:15" s="442" customFormat="1" ht="27.75">
      <c r="A113" s="1518" t="s">
        <v>223</v>
      </c>
      <c r="B113" s="1519"/>
      <c r="C113" s="1370"/>
      <c r="D113" s="622"/>
      <c r="E113" s="532">
        <f>'21'!F113</f>
        <v>0</v>
      </c>
      <c r="F113" s="532"/>
      <c r="G113" s="1357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512" t="s">
        <v>224</v>
      </c>
      <c r="B114" s="1513"/>
      <c r="C114" s="574"/>
      <c r="D114" s="622" t="s">
        <v>144</v>
      </c>
      <c r="E114" s="534">
        <f>'21'!F114</f>
        <v>11181</v>
      </c>
      <c r="F114" s="534">
        <v>11195</v>
      </c>
      <c r="G114" s="1358">
        <f>F114-E114</f>
        <v>14</v>
      </c>
      <c r="H114" s="460">
        <f>SUM(G114+'1'!G91)</f>
        <v>14</v>
      </c>
      <c r="I114" s="532"/>
      <c r="J114" s="558">
        <f>H114/DAY(B2)</f>
        <v>0.63636363636363635</v>
      </c>
      <c r="N114" s="444"/>
      <c r="O114" s="382"/>
    </row>
    <row r="115" spans="1:15" s="442" customFormat="1" ht="27.75">
      <c r="A115" s="1512" t="s">
        <v>225</v>
      </c>
      <c r="B115" s="1513"/>
      <c r="C115" s="574"/>
      <c r="D115" s="622" t="s">
        <v>144</v>
      </c>
      <c r="E115" s="534">
        <f>'21'!F115</f>
        <v>8090</v>
      </c>
      <c r="F115" s="534">
        <v>8094</v>
      </c>
      <c r="G115" s="1358">
        <f t="shared" ref="G115:G116" si="12">F115-E115</f>
        <v>4</v>
      </c>
      <c r="H115" s="460">
        <f>SUM(G115+'1'!G92)</f>
        <v>96</v>
      </c>
      <c r="I115" s="532"/>
      <c r="J115" s="558">
        <f>H115/DAY(B2)</f>
        <v>4.3636363636363633</v>
      </c>
      <c r="N115" s="444"/>
      <c r="O115" s="382"/>
    </row>
    <row r="116" spans="1:15" s="442" customFormat="1" ht="27.75">
      <c r="A116" s="1512" t="s">
        <v>226</v>
      </c>
      <c r="B116" s="1513"/>
      <c r="C116" s="574"/>
      <c r="D116" s="622" t="s">
        <v>144</v>
      </c>
      <c r="E116" s="534"/>
      <c r="F116" s="534"/>
      <c r="G116" s="1358">
        <f t="shared" si="12"/>
        <v>0</v>
      </c>
      <c r="H116" s="460">
        <f>SUM(G116+'1'!G93)</f>
        <v>127</v>
      </c>
      <c r="I116" s="532"/>
      <c r="J116" s="558">
        <f>H116/DAY(B2)</f>
        <v>5.7727272727272725</v>
      </c>
      <c r="N116" s="444"/>
      <c r="O116" s="382"/>
    </row>
    <row r="117" spans="1:15" s="445" customFormat="1" ht="27.75">
      <c r="A117" s="1514" t="s">
        <v>202</v>
      </c>
      <c r="B117" s="1515"/>
      <c r="C117" s="574"/>
      <c r="D117" s="623"/>
      <c r="E117" s="534"/>
      <c r="F117" s="534"/>
      <c r="G117" s="1358">
        <f>SUM(G114:G116)</f>
        <v>18</v>
      </c>
      <c r="H117" s="460">
        <f>SUM(G117+'1'!G95)</f>
        <v>95</v>
      </c>
      <c r="I117" s="534"/>
      <c r="J117" s="558">
        <f>H117/DAY(B2)</f>
        <v>4.3181818181818183</v>
      </c>
      <c r="N117" s="447"/>
      <c r="O117" s="382"/>
    </row>
    <row r="118" spans="1:15" s="446" customFormat="1" ht="27.75">
      <c r="A118" s="1508" t="s">
        <v>227</v>
      </c>
      <c r="B118" s="1509"/>
      <c r="C118" s="1369"/>
      <c r="D118" s="624" t="s">
        <v>144</v>
      </c>
      <c r="E118" s="536"/>
      <c r="F118" s="536">
        <f>SUM(G19+G92)</f>
        <v>120</v>
      </c>
      <c r="G118" s="1358">
        <f>SUM(G19+G92)</f>
        <v>120</v>
      </c>
      <c r="H118" s="460">
        <f>SUM(G118+'1'!G96)</f>
        <v>137</v>
      </c>
      <c r="I118" s="535"/>
      <c r="J118" s="559">
        <f>H118/DAY(B2)</f>
        <v>6.2272727272727275</v>
      </c>
      <c r="N118" s="782"/>
      <c r="O118" s="382"/>
    </row>
    <row r="119" spans="1:15" s="446" customFormat="1" ht="27.75">
      <c r="A119" s="1508" t="s">
        <v>228</v>
      </c>
      <c r="B119" s="1509"/>
      <c r="C119" s="1369"/>
      <c r="D119" s="624" t="s">
        <v>144</v>
      </c>
      <c r="E119" s="536"/>
      <c r="F119" s="536">
        <f>SUM(G95,G96,G97,G99,G100)</f>
        <v>118</v>
      </c>
      <c r="G119" s="1358">
        <f>SUM(G95,G96,G97,G99,G100)</f>
        <v>118</v>
      </c>
      <c r="H119" s="460">
        <f>SUM(G119+'1'!G98)</f>
        <v>146</v>
      </c>
      <c r="I119" s="535"/>
      <c r="J119" s="559">
        <f>H119/DAY(B2)</f>
        <v>6.6363636363636367</v>
      </c>
      <c r="N119" s="782"/>
      <c r="O119" s="382"/>
    </row>
    <row r="120" spans="1:15" s="446" customFormat="1" ht="27.75">
      <c r="A120" s="1508" t="s">
        <v>229</v>
      </c>
      <c r="B120" s="1509"/>
      <c r="C120" s="1369"/>
      <c r="D120" s="624" t="s">
        <v>144</v>
      </c>
      <c r="E120" s="534"/>
      <c r="F120" s="534">
        <f>SUM(G112)</f>
        <v>83</v>
      </c>
      <c r="G120" s="1358">
        <f>SUM(G112)</f>
        <v>83</v>
      </c>
      <c r="H120" s="460">
        <f>SUM(G120+'1'!G100)</f>
        <v>89</v>
      </c>
      <c r="I120" s="535"/>
      <c r="J120" s="559">
        <f>H120/DAY(B2)</f>
        <v>4.0454545454545459</v>
      </c>
      <c r="N120" s="782"/>
      <c r="O120" s="382"/>
    </row>
    <row r="121" spans="1:15" s="442" customFormat="1" ht="27.75">
      <c r="A121" s="1510"/>
      <c r="B121" s="1511"/>
      <c r="C121" s="1370"/>
      <c r="D121" s="560"/>
      <c r="E121" s="560"/>
      <c r="F121" s="560" t="s">
        <v>215</v>
      </c>
      <c r="G121" s="1359"/>
      <c r="H121" s="561"/>
      <c r="I121" s="560"/>
      <c r="J121" s="562"/>
      <c r="N121" s="444"/>
      <c r="O121" s="382"/>
    </row>
    <row r="122" spans="1:15">
      <c r="A122" s="1545" t="s">
        <v>230</v>
      </c>
      <c r="B122" s="1546"/>
      <c r="C122" s="1547"/>
      <c r="D122" s="472"/>
      <c r="E122" s="472"/>
      <c r="F122" s="472"/>
      <c r="G122" s="1343"/>
      <c r="H122" s="483"/>
      <c r="I122" s="483"/>
      <c r="J122" s="563"/>
      <c r="K122" s="380"/>
      <c r="L122" s="377"/>
      <c r="N122" s="382"/>
      <c r="O122" s="382"/>
    </row>
    <row r="123" spans="1:15" ht="27.75">
      <c r="A123" s="1371" t="s">
        <v>231</v>
      </c>
      <c r="B123" s="1372"/>
      <c r="C123" s="1372"/>
      <c r="D123" s="523" t="s">
        <v>141</v>
      </c>
      <c r="E123" s="478">
        <f>'21'!F123</f>
        <v>824055</v>
      </c>
      <c r="F123" s="478">
        <v>824293</v>
      </c>
      <c r="G123" s="1340">
        <f t="shared" ref="G123:G127" si="13">F123-E123</f>
        <v>238</v>
      </c>
      <c r="H123" s="460">
        <f>G123+'21'!H123</f>
        <v>5483</v>
      </c>
      <c r="I123" s="526"/>
      <c r="J123" s="552">
        <f>H123/DAY(B2)</f>
        <v>249.22727272727272</v>
      </c>
      <c r="K123" s="380"/>
      <c r="L123" s="377"/>
      <c r="N123" s="382"/>
      <c r="O123" s="382"/>
    </row>
    <row r="124" spans="1:15" ht="27.75">
      <c r="A124" s="1371" t="s">
        <v>232</v>
      </c>
      <c r="B124" s="1372"/>
      <c r="C124" s="1372"/>
      <c r="D124" s="523" t="s">
        <v>141</v>
      </c>
      <c r="E124" s="626">
        <f>'21'!F124</f>
        <v>73583</v>
      </c>
      <c r="F124" s="626">
        <v>73583</v>
      </c>
      <c r="G124" s="1340">
        <f t="shared" si="13"/>
        <v>0</v>
      </c>
      <c r="H124" s="460">
        <f>G124+'21'!H124</f>
        <v>-0.39999999999417923</v>
      </c>
      <c r="I124" s="526"/>
      <c r="J124" s="552">
        <f>H124/DAY(B2)</f>
        <v>-1.8181818181553601E-2</v>
      </c>
      <c r="K124" s="380"/>
      <c r="L124" s="377"/>
      <c r="N124" s="382"/>
      <c r="O124" s="382"/>
    </row>
    <row r="125" spans="1:15" ht="27.75">
      <c r="A125" s="1499" t="s">
        <v>233</v>
      </c>
      <c r="B125" s="1500"/>
      <c r="C125" s="1501"/>
      <c r="D125" s="523" t="s">
        <v>141</v>
      </c>
      <c r="E125" s="478">
        <f>'21'!F125</f>
        <v>143989</v>
      </c>
      <c r="F125" s="478">
        <v>144083</v>
      </c>
      <c r="G125" s="1340">
        <f t="shared" si="13"/>
        <v>94</v>
      </c>
      <c r="H125" s="460">
        <f>G125+'21'!H125</f>
        <v>1947</v>
      </c>
      <c r="I125" s="526"/>
      <c r="J125" s="552">
        <f>H125/DAY(B2)</f>
        <v>88.5</v>
      </c>
      <c r="K125" s="380"/>
      <c r="L125" s="377"/>
      <c r="N125" s="382"/>
      <c r="O125" s="382"/>
    </row>
    <row r="126" spans="1:15" ht="27.75">
      <c r="A126" s="609" t="s">
        <v>234</v>
      </c>
      <c r="B126" s="1372"/>
      <c r="C126" s="1372"/>
      <c r="D126" s="523" t="s">
        <v>141</v>
      </c>
      <c r="E126" s="626">
        <f>'21'!F126</f>
        <v>31404</v>
      </c>
      <c r="F126" s="626">
        <v>31404</v>
      </c>
      <c r="G126" s="1340">
        <f t="shared" si="13"/>
        <v>0</v>
      </c>
      <c r="H126" s="460">
        <f>G126+'21'!H126</f>
        <v>85.299999999999272</v>
      </c>
      <c r="I126" s="526"/>
      <c r="J126" s="552">
        <f>H126/DAY(B2)</f>
        <v>3.8772727272726941</v>
      </c>
      <c r="K126" s="380"/>
      <c r="L126" s="377"/>
      <c r="N126" s="382"/>
      <c r="O126" s="382"/>
    </row>
    <row r="127" spans="1:15" ht="27.75">
      <c r="A127" s="609" t="s">
        <v>235</v>
      </c>
      <c r="B127" s="1372"/>
      <c r="C127" s="1372"/>
      <c r="D127" s="523" t="s">
        <v>141</v>
      </c>
      <c r="E127" s="626">
        <f>'21'!F127</f>
        <v>8938.4</v>
      </c>
      <c r="F127" s="626">
        <v>8938.4</v>
      </c>
      <c r="G127" s="1340">
        <f t="shared" si="13"/>
        <v>0</v>
      </c>
      <c r="H127" s="460">
        <f>G127+'21'!H127</f>
        <v>-23.600000000000364</v>
      </c>
      <c r="I127" s="480"/>
      <c r="J127" s="552">
        <f>H127/DAY(B2)</f>
        <v>-1.0727272727272892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372"/>
      <c r="C128" s="1372"/>
      <c r="D128" s="523"/>
      <c r="E128" s="478"/>
      <c r="F128" s="478"/>
      <c r="G128" s="1340">
        <f>G15-SUM(G123:G127)</f>
        <v>435</v>
      </c>
      <c r="H128" s="460">
        <f>G128+'21'!H128</f>
        <v>3106.2499999999945</v>
      </c>
      <c r="I128" s="480"/>
      <c r="J128" s="552">
        <f>H128/DAY(B2)</f>
        <v>141.19318181818156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1360"/>
      <c r="H129" s="540"/>
      <c r="I129" s="540"/>
      <c r="J129" s="564"/>
      <c r="N129" s="382"/>
      <c r="O129" s="382"/>
    </row>
    <row r="130" spans="1:15" ht="27.75">
      <c r="A130" s="1371" t="s">
        <v>238</v>
      </c>
      <c r="B130" s="1372"/>
      <c r="C130" s="1372"/>
      <c r="D130" s="523" t="s">
        <v>239</v>
      </c>
      <c r="E130" s="484">
        <f>'21'!F130</f>
        <v>0</v>
      </c>
      <c r="F130" s="484">
        <v>0</v>
      </c>
      <c r="G130" s="1340">
        <f t="shared" ref="G130:G140" si="14">F130-E130</f>
        <v>0</v>
      </c>
      <c r="H130" s="460">
        <f>G130+'21'!H130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371" t="s">
        <v>240</v>
      </c>
      <c r="B131" s="1372"/>
      <c r="C131" s="1372"/>
      <c r="D131" s="523" t="s">
        <v>239</v>
      </c>
      <c r="E131" s="484">
        <f>'21'!F131</f>
        <v>0</v>
      </c>
      <c r="F131" s="484">
        <v>0</v>
      </c>
      <c r="G131" s="1340">
        <f t="shared" si="14"/>
        <v>0</v>
      </c>
      <c r="H131" s="460">
        <f>G131+'21'!H131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371" t="s">
        <v>241</v>
      </c>
      <c r="B132" s="1372"/>
      <c r="C132" s="1372"/>
      <c r="D132" s="523" t="s">
        <v>239</v>
      </c>
      <c r="E132" s="541">
        <f>'21'!F132</f>
        <v>39659.230000000003</v>
      </c>
      <c r="F132" s="541">
        <v>39659.230000000003</v>
      </c>
      <c r="G132" s="1340">
        <f t="shared" si="14"/>
        <v>0</v>
      </c>
      <c r="H132" s="460">
        <f>G132+'21'!H132</f>
        <v>126.2300000000032</v>
      </c>
      <c r="I132" s="480"/>
      <c r="J132" s="552">
        <f>H132/DAY(B2)</f>
        <v>5.737727272727418</v>
      </c>
      <c r="N132" s="382"/>
      <c r="O132" s="382"/>
    </row>
    <row r="133" spans="1:15" s="441" customFormat="1" ht="27.75">
      <c r="A133" s="1074" t="s">
        <v>242</v>
      </c>
      <c r="B133" s="1075"/>
      <c r="C133" s="1075"/>
      <c r="D133" s="627" t="s">
        <v>239</v>
      </c>
      <c r="E133" s="541">
        <f>'21'!F133</f>
        <v>300</v>
      </c>
      <c r="F133" s="541">
        <v>300</v>
      </c>
      <c r="G133" s="1362">
        <f t="shared" si="14"/>
        <v>0</v>
      </c>
      <c r="H133" s="708">
        <f>G133+'21'!H133</f>
        <v>0</v>
      </c>
      <c r="I133" s="1076">
        <f>G130+G131+G132+G133</f>
        <v>0</v>
      </c>
      <c r="J133" s="710">
        <f>H133/DAY(B2)</f>
        <v>0</v>
      </c>
      <c r="N133" s="716"/>
      <c r="O133" s="716"/>
    </row>
    <row r="134" spans="1:15" ht="27.75">
      <c r="A134" s="1371" t="s">
        <v>243</v>
      </c>
      <c r="B134" s="1372"/>
      <c r="C134" s="1372"/>
      <c r="D134" s="523" t="s">
        <v>239</v>
      </c>
      <c r="E134" s="541">
        <f>'21'!F134</f>
        <v>41247</v>
      </c>
      <c r="F134" s="541">
        <v>41271</v>
      </c>
      <c r="G134" s="1340">
        <f t="shared" si="14"/>
        <v>24</v>
      </c>
      <c r="H134" s="460">
        <f>G134+'21'!H134</f>
        <v>429.44000000000233</v>
      </c>
      <c r="I134" s="480"/>
      <c r="J134" s="552">
        <f>H134/DAY(B2)</f>
        <v>19.520000000000106</v>
      </c>
      <c r="N134" s="382"/>
      <c r="O134" s="382"/>
    </row>
    <row r="135" spans="1:15" ht="27.75">
      <c r="A135" s="1371" t="s">
        <v>244</v>
      </c>
      <c r="B135" s="1372"/>
      <c r="C135" s="1372"/>
      <c r="D135" s="523" t="s">
        <v>239</v>
      </c>
      <c r="E135" s="541">
        <f>'21'!F135</f>
        <v>32582.92</v>
      </c>
      <c r="F135" s="541">
        <v>32582.93</v>
      </c>
      <c r="G135" s="1340">
        <f t="shared" si="14"/>
        <v>1.0000000002037268E-2</v>
      </c>
      <c r="H135" s="460">
        <f>G135+'21'!H135</f>
        <v>-6.9999999999708962E-2</v>
      </c>
      <c r="I135" s="480"/>
      <c r="J135" s="552">
        <f>H135/DAY(B2)</f>
        <v>-3.1818181818049529E-3</v>
      </c>
      <c r="N135" s="382"/>
      <c r="O135" s="382"/>
    </row>
    <row r="136" spans="1:15" ht="27.75">
      <c r="A136" s="1371" t="s">
        <v>245</v>
      </c>
      <c r="B136" s="1372"/>
      <c r="C136" s="1372"/>
      <c r="D136" s="523" t="s">
        <v>239</v>
      </c>
      <c r="E136" s="541">
        <f>'21'!F136</f>
        <v>22683</v>
      </c>
      <c r="F136" s="541">
        <v>22691.85</v>
      </c>
      <c r="G136" s="1340">
        <f t="shared" si="14"/>
        <v>8.8499999999985448</v>
      </c>
      <c r="H136" s="460">
        <f>G136+'21'!H136</f>
        <v>203.19999999999709</v>
      </c>
      <c r="I136" s="480">
        <f>G134+G135+G136</f>
        <v>32.860000000000582</v>
      </c>
      <c r="J136" s="552">
        <f>H136/DAY(B2)</f>
        <v>9.2363636363635049</v>
      </c>
      <c r="N136" s="382"/>
      <c r="O136" s="382"/>
    </row>
    <row r="137" spans="1:15" ht="27.75">
      <c r="A137" s="1371" t="s">
        <v>246</v>
      </c>
      <c r="B137" s="1372"/>
      <c r="C137" s="1372"/>
      <c r="D137" s="523" t="s">
        <v>239</v>
      </c>
      <c r="E137" s="541">
        <f>'21'!F137</f>
        <v>25050</v>
      </c>
      <c r="F137" s="541">
        <v>25050</v>
      </c>
      <c r="G137" s="1340">
        <f t="shared" si="14"/>
        <v>0</v>
      </c>
      <c r="H137" s="460">
        <f>G137+'21'!H137</f>
        <v>1.2099999999991269</v>
      </c>
      <c r="I137" s="480"/>
      <c r="J137" s="552">
        <f>H137/DAY(B2)</f>
        <v>5.499999999996031E-2</v>
      </c>
      <c r="N137" s="382"/>
      <c r="O137" s="382"/>
    </row>
    <row r="138" spans="1:15" ht="27.75">
      <c r="A138" s="1371" t="s">
        <v>247</v>
      </c>
      <c r="B138" s="1372"/>
      <c r="C138" s="1372"/>
      <c r="D138" s="523" t="s">
        <v>239</v>
      </c>
      <c r="E138" s="541">
        <f>'21'!F138</f>
        <v>70294.52</v>
      </c>
      <c r="F138" s="541">
        <v>70295.23</v>
      </c>
      <c r="G138" s="1340">
        <f t="shared" si="14"/>
        <v>0.70999999999185093</v>
      </c>
      <c r="H138" s="460">
        <f>G138+'21'!H138</f>
        <v>41.19999999999709</v>
      </c>
      <c r="I138" s="480">
        <f>G137+G138</f>
        <v>0.70999999999185093</v>
      </c>
      <c r="J138" s="552">
        <f>H138/DAY(B2)</f>
        <v>1.8727272727271405</v>
      </c>
      <c r="N138" s="382"/>
      <c r="O138" s="382"/>
    </row>
    <row r="139" spans="1:15" ht="27.75">
      <c r="A139" s="1371" t="s">
        <v>248</v>
      </c>
      <c r="B139" s="1372"/>
      <c r="C139" s="1372"/>
      <c r="D139" s="523" t="s">
        <v>239</v>
      </c>
      <c r="E139" s="484">
        <f>'21'!F139</f>
        <v>1541.03</v>
      </c>
      <c r="F139" s="484">
        <v>1549.83</v>
      </c>
      <c r="G139" s="1340">
        <f t="shared" si="14"/>
        <v>8.7999999999999545</v>
      </c>
      <c r="H139" s="460">
        <f>G139+'21'!H139</f>
        <v>13.309999999999945</v>
      </c>
      <c r="I139" s="542"/>
      <c r="J139" s="552">
        <f>H139/DAY(B2)</f>
        <v>0.60499999999999754</v>
      </c>
      <c r="N139" s="382"/>
      <c r="O139" s="382"/>
    </row>
    <row r="140" spans="1:15" ht="27.75">
      <c r="A140" s="1371" t="s">
        <v>249</v>
      </c>
      <c r="B140" s="1372"/>
      <c r="C140" s="1372"/>
      <c r="D140" s="523" t="s">
        <v>239</v>
      </c>
      <c r="E140" s="484">
        <f>'21'!F140</f>
        <v>4636.8599999999997</v>
      </c>
      <c r="F140" s="484">
        <v>4636.8599999999997</v>
      </c>
      <c r="G140" s="1340">
        <f t="shared" si="14"/>
        <v>0</v>
      </c>
      <c r="H140" s="460">
        <f>G140+'21'!H140</f>
        <v>168.31999999999971</v>
      </c>
      <c r="I140" s="542"/>
      <c r="J140" s="552">
        <f>H140/DAY(B2)</f>
        <v>7.650909090909078</v>
      </c>
      <c r="N140" s="382"/>
      <c r="O140" s="382"/>
    </row>
    <row r="141" spans="1:15">
      <c r="A141" s="1526" t="s">
        <v>250</v>
      </c>
      <c r="B141" s="1527"/>
      <c r="C141" s="1377"/>
      <c r="D141" s="472"/>
      <c r="E141" s="472"/>
      <c r="F141" s="472"/>
      <c r="G141" s="1343"/>
      <c r="H141" s="483"/>
      <c r="I141" s="483"/>
      <c r="J141" s="563"/>
      <c r="K141" s="380"/>
      <c r="L141" s="377"/>
      <c r="N141" s="382"/>
      <c r="O141" s="382"/>
    </row>
    <row r="142" spans="1:15" ht="27.75">
      <c r="A142" s="1520" t="s">
        <v>251</v>
      </c>
      <c r="B142" s="1521"/>
      <c r="C142" s="1522"/>
      <c r="D142" s="523" t="s">
        <v>132</v>
      </c>
      <c r="E142" s="523"/>
      <c r="F142" s="523"/>
      <c r="G142" s="1353">
        <f>G35+G43+G49+G57</f>
        <v>5113</v>
      </c>
      <c r="H142" s="460">
        <f>G142+'21'!H142</f>
        <v>118139.13</v>
      </c>
      <c r="I142" s="480"/>
      <c r="J142" s="552">
        <f>H142/DAY(B2)</f>
        <v>5369.9604545454549</v>
      </c>
      <c r="K142" s="380"/>
      <c r="L142" s="377"/>
      <c r="N142" s="382"/>
      <c r="O142" s="382"/>
    </row>
    <row r="143" spans="1:15" ht="27.75">
      <c r="A143" s="1520" t="s">
        <v>252</v>
      </c>
      <c r="B143" s="1521"/>
      <c r="C143" s="1522"/>
      <c r="D143" s="523" t="s">
        <v>24</v>
      </c>
      <c r="E143" s="511"/>
      <c r="F143" s="511"/>
      <c r="G143" s="1363">
        <f>G142/G7</f>
        <v>0.25872887359578989</v>
      </c>
      <c r="H143" s="460">
        <f>G143+'21'!H143</f>
        <v>5.6414593595420843</v>
      </c>
      <c r="I143" s="544"/>
      <c r="J143" s="552">
        <f>H143/DAY(B2)</f>
        <v>0.25642997088827657</v>
      </c>
      <c r="K143" s="380"/>
      <c r="L143" s="377"/>
      <c r="N143" s="382"/>
      <c r="O143" s="382"/>
    </row>
    <row r="144" spans="1:15" ht="27.75">
      <c r="A144" s="1520" t="s">
        <v>253</v>
      </c>
      <c r="B144" s="1521"/>
      <c r="C144" s="1522"/>
      <c r="D144" s="523" t="s">
        <v>132</v>
      </c>
      <c r="E144" s="455"/>
      <c r="F144" s="455"/>
      <c r="G144" s="1353">
        <f>G41+G42+G55+G56</f>
        <v>5930</v>
      </c>
      <c r="H144" s="460">
        <f>G144+'21'!H144</f>
        <v>133246.84</v>
      </c>
      <c r="I144" s="480"/>
      <c r="J144" s="552">
        <f>H144/DAY(B2)</f>
        <v>6056.6745454545453</v>
      </c>
      <c r="K144" s="380"/>
      <c r="L144" s="377"/>
      <c r="N144" s="382"/>
      <c r="O144" s="382"/>
    </row>
    <row r="145" spans="1:15" ht="27.75">
      <c r="A145" s="1520" t="s">
        <v>254</v>
      </c>
      <c r="B145" s="1521"/>
      <c r="C145" s="1522"/>
      <c r="D145" s="523" t="s">
        <v>24</v>
      </c>
      <c r="E145" s="455"/>
      <c r="F145" s="455"/>
      <c r="G145" s="1363">
        <f>G144/G7</f>
        <v>0.30007084303208176</v>
      </c>
      <c r="H145" s="460">
        <f>G145+'21'!H145</f>
        <v>6.3757607464049944</v>
      </c>
      <c r="I145" s="544"/>
      <c r="J145" s="552">
        <f>H145/DAY(B2)</f>
        <v>0.28980730665477245</v>
      </c>
      <c r="K145" s="380"/>
      <c r="L145" s="377"/>
      <c r="N145" s="382"/>
      <c r="O145" s="382"/>
    </row>
    <row r="146" spans="1:15" ht="27.75">
      <c r="A146" s="1520" t="s">
        <v>255</v>
      </c>
      <c r="B146" s="1521"/>
      <c r="C146" s="1522"/>
      <c r="D146" s="523" t="s">
        <v>132</v>
      </c>
      <c r="E146" s="455"/>
      <c r="F146" s="455"/>
      <c r="G146" s="1353">
        <f>G39+G53</f>
        <v>3364</v>
      </c>
      <c r="H146" s="460">
        <f>G146+'21'!H146</f>
        <v>80284</v>
      </c>
      <c r="I146" s="545"/>
      <c r="J146" s="552">
        <f>H146/DAY(B2)</f>
        <v>3649.2727272727275</v>
      </c>
      <c r="K146" s="380"/>
      <c r="L146" s="377"/>
      <c r="N146" s="382"/>
      <c r="O146" s="382"/>
    </row>
    <row r="147" spans="1:15" ht="27.75">
      <c r="A147" s="1520" t="s">
        <v>256</v>
      </c>
      <c r="B147" s="1521"/>
      <c r="C147" s="1522"/>
      <c r="D147" s="523" t="s">
        <v>24</v>
      </c>
      <c r="E147" s="455"/>
      <c r="F147" s="455"/>
      <c r="G147" s="1363">
        <f>G146/G7</f>
        <v>0.17022568565934623</v>
      </c>
      <c r="H147" s="460">
        <f>G147+'21'!H147</f>
        <v>3.8278396856721075</v>
      </c>
      <c r="I147" s="545"/>
      <c r="J147" s="552">
        <f>H147/DAY(B2)</f>
        <v>0.1739927129850958</v>
      </c>
      <c r="N147" s="382"/>
      <c r="O147" s="382"/>
    </row>
    <row r="148" spans="1:15" ht="27.75">
      <c r="A148" s="1520" t="s">
        <v>257</v>
      </c>
      <c r="B148" s="1521"/>
      <c r="C148" s="1522"/>
      <c r="D148" s="523" t="s">
        <v>183</v>
      </c>
      <c r="E148" s="455"/>
      <c r="F148" s="455"/>
      <c r="G148" s="1353">
        <f>G38+G52</f>
        <v>1462</v>
      </c>
      <c r="H148" s="460">
        <f>G148+'21'!H148</f>
        <v>36106.069999999949</v>
      </c>
      <c r="I148" s="480"/>
      <c r="J148" s="552">
        <f>H148/DAY(B2)</f>
        <v>1641.1849999999977</v>
      </c>
      <c r="K148" s="381"/>
      <c r="N148" s="382"/>
      <c r="O148" s="382"/>
    </row>
    <row r="149" spans="1:15" ht="27.75">
      <c r="A149" s="1520" t="s">
        <v>258</v>
      </c>
      <c r="B149" s="1521"/>
      <c r="C149" s="1522"/>
      <c r="D149" s="523" t="s">
        <v>24</v>
      </c>
      <c r="E149" s="455"/>
      <c r="F149" s="455"/>
      <c r="G149" s="1363">
        <f>G148/G7</f>
        <v>7.3980366359680194E-2</v>
      </c>
      <c r="H149" s="460">
        <f>G149+'21'!H149</f>
        <v>1.7265183572689926</v>
      </c>
      <c r="I149" s="545"/>
      <c r="J149" s="552">
        <f>H149/DAY(B2)</f>
        <v>7.8478107148590576E-2</v>
      </c>
      <c r="N149" s="382"/>
      <c r="O149" s="382"/>
    </row>
    <row r="150" spans="1:15" ht="27.75">
      <c r="A150" s="1520" t="s">
        <v>259</v>
      </c>
      <c r="B150" s="1521"/>
      <c r="C150" s="1522"/>
      <c r="D150" s="523" t="s">
        <v>183</v>
      </c>
      <c r="E150" s="455"/>
      <c r="F150" s="455"/>
      <c r="G150" s="1353">
        <f>G36+G50</f>
        <v>2016</v>
      </c>
      <c r="H150" s="460">
        <f>G150+'21'!H150</f>
        <v>45770</v>
      </c>
      <c r="I150" s="545"/>
      <c r="J150" s="552">
        <f>H150/DAY(B2)</f>
        <v>2080.4545454545455</v>
      </c>
      <c r="N150" s="382"/>
      <c r="O150" s="382"/>
    </row>
    <row r="151" spans="1:15" ht="27.75">
      <c r="A151" s="1520" t="s">
        <v>260</v>
      </c>
      <c r="B151" s="1521"/>
      <c r="C151" s="1522"/>
      <c r="D151" s="523" t="s">
        <v>24</v>
      </c>
      <c r="E151" s="455"/>
      <c r="F151" s="455"/>
      <c r="G151" s="1363">
        <f>G150/G7</f>
        <v>0.10201396619775327</v>
      </c>
      <c r="H151" s="460">
        <f>G151+'21'!H151</f>
        <v>2.192249786628206</v>
      </c>
      <c r="I151" s="480"/>
      <c r="J151" s="552">
        <f>H151/DAY(B2)</f>
        <v>9.9647717574009365E-2</v>
      </c>
      <c r="N151" s="382"/>
      <c r="O151" s="382"/>
    </row>
    <row r="152" spans="1:15" ht="27.75">
      <c r="A152" s="1520" t="s">
        <v>261</v>
      </c>
      <c r="B152" s="1521"/>
      <c r="C152" s="1522"/>
      <c r="D152" s="523" t="s">
        <v>183</v>
      </c>
      <c r="E152" s="455"/>
      <c r="F152" s="455"/>
      <c r="G152" s="1353">
        <f>G37+G51</f>
        <v>1343</v>
      </c>
      <c r="H152" s="460">
        <f>G152+'21'!H152</f>
        <v>30070</v>
      </c>
      <c r="I152" s="480"/>
      <c r="J152" s="552">
        <f>H152/DAY(B2)</f>
        <v>1366.8181818181818</v>
      </c>
      <c r="N152" s="382"/>
      <c r="O152" s="382"/>
    </row>
    <row r="153" spans="1:15" ht="28.5" thickBot="1">
      <c r="A153" s="1523" t="s">
        <v>262</v>
      </c>
      <c r="B153" s="1524"/>
      <c r="C153" s="1525"/>
      <c r="D153" s="625" t="s">
        <v>24</v>
      </c>
      <c r="E153" s="565"/>
      <c r="F153" s="565"/>
      <c r="G153" s="1364">
        <f>G152/G7</f>
        <v>6.7958708632729486E-2</v>
      </c>
      <c r="H153" s="460">
        <f>G153+'21'!H153</f>
        <v>1.4394073088431243</v>
      </c>
      <c r="I153" s="568"/>
      <c r="J153" s="569">
        <f>H153/DAY(B2)</f>
        <v>6.5427604947414744E-2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1365"/>
      <c r="H154" s="547"/>
      <c r="I154" s="546"/>
      <c r="J154" s="548"/>
      <c r="O154" s="382"/>
    </row>
    <row r="160" spans="1:15">
      <c r="A160" s="788" t="s">
        <v>263</v>
      </c>
      <c r="B160" s="789"/>
      <c r="C160" s="789"/>
      <c r="D160" s="511" t="s">
        <v>187</v>
      </c>
      <c r="E160" s="661">
        <f>'21'!F160</f>
        <v>35194</v>
      </c>
      <c r="F160" s="661">
        <v>35278</v>
      </c>
      <c r="G160" s="1340">
        <f t="shared" ref="G160:G163" si="15">F160-E160</f>
        <v>84</v>
      </c>
      <c r="H160" s="538">
        <v>68.809999999999491</v>
      </c>
    </row>
    <row r="161" spans="1:8">
      <c r="A161" s="788" t="s">
        <v>264</v>
      </c>
      <c r="B161" s="789"/>
      <c r="C161" s="789"/>
      <c r="D161" s="511" t="s">
        <v>187</v>
      </c>
      <c r="E161" s="661">
        <f>'21'!F161</f>
        <v>78227</v>
      </c>
      <c r="F161" s="661">
        <v>78687</v>
      </c>
      <c r="G161" s="1340">
        <f t="shared" si="15"/>
        <v>460</v>
      </c>
      <c r="H161" s="538">
        <v>128.56999999999994</v>
      </c>
    </row>
    <row r="162" spans="1:8">
      <c r="A162" s="788" t="s">
        <v>265</v>
      </c>
      <c r="B162" s="789"/>
      <c r="C162" s="789"/>
      <c r="D162" s="511" t="s">
        <v>187</v>
      </c>
      <c r="E162" s="661">
        <f>'21'!F162</f>
        <v>35129</v>
      </c>
      <c r="F162" s="661">
        <v>35411</v>
      </c>
      <c r="G162" s="1340">
        <f t="shared" si="15"/>
        <v>282</v>
      </c>
      <c r="H162" s="538">
        <v>141.49</v>
      </c>
    </row>
    <row r="163" spans="1:8">
      <c r="A163" s="788" t="s">
        <v>266</v>
      </c>
      <c r="B163" s="789"/>
      <c r="C163" s="789"/>
      <c r="D163" s="511" t="s">
        <v>187</v>
      </c>
      <c r="E163" s="661">
        <f>'21'!F163</f>
        <v>6064</v>
      </c>
      <c r="F163" s="661">
        <v>6082</v>
      </c>
      <c r="G163" s="1340">
        <f t="shared" si="15"/>
        <v>18</v>
      </c>
      <c r="H163" s="538">
        <v>45.430000000000007</v>
      </c>
    </row>
    <row r="164" spans="1:8">
      <c r="A164" s="790" t="s">
        <v>98</v>
      </c>
      <c r="B164" s="604"/>
      <c r="C164" s="604"/>
      <c r="D164" s="511" t="s">
        <v>187</v>
      </c>
      <c r="E164" s="514">
        <f>E62</f>
        <v>20419.2</v>
      </c>
      <c r="F164" s="514">
        <v>20419.099999999999</v>
      </c>
      <c r="G164" s="1340">
        <f t="shared" ref="G164:G171" si="16">F164-E164</f>
        <v>-0.10000000000218279</v>
      </c>
      <c r="H164" s="538">
        <v>0</v>
      </c>
    </row>
    <row r="165" spans="1:8">
      <c r="A165" s="790" t="s">
        <v>188</v>
      </c>
      <c r="B165" s="604"/>
      <c r="C165" s="604"/>
      <c r="D165" s="511" t="s">
        <v>187</v>
      </c>
      <c r="E165" s="514">
        <f t="shared" ref="E165:E171" si="17">E63</f>
        <v>2313</v>
      </c>
      <c r="F165" s="514">
        <f t="shared" ref="F165:F171" si="18">F63</f>
        <v>2318</v>
      </c>
      <c r="G165" s="1340">
        <f t="shared" si="16"/>
        <v>5</v>
      </c>
      <c r="H165" s="538">
        <v>0</v>
      </c>
    </row>
    <row r="166" spans="1:8" ht="27.75">
      <c r="A166" s="1495" t="s">
        <v>99</v>
      </c>
      <c r="B166" s="1495"/>
      <c r="C166" s="1495"/>
      <c r="D166" s="523" t="s">
        <v>187</v>
      </c>
      <c r="E166" s="514">
        <f t="shared" si="17"/>
        <v>149305</v>
      </c>
      <c r="F166" s="514">
        <f t="shared" si="18"/>
        <v>149809</v>
      </c>
      <c r="G166" s="1340">
        <f t="shared" si="16"/>
        <v>504</v>
      </c>
      <c r="H166" s="538">
        <v>178.5199999999968</v>
      </c>
    </row>
    <row r="167" spans="1:8" ht="27.75">
      <c r="A167" s="1495" t="s">
        <v>100</v>
      </c>
      <c r="B167" s="1495"/>
      <c r="C167" s="1495"/>
      <c r="D167" s="523" t="s">
        <v>187</v>
      </c>
      <c r="E167" s="514">
        <f t="shared" si="17"/>
        <v>151765</v>
      </c>
      <c r="F167" s="514">
        <f t="shared" si="18"/>
        <v>152128</v>
      </c>
      <c r="G167" s="1340">
        <f t="shared" si="16"/>
        <v>363</v>
      </c>
      <c r="H167" s="538">
        <v>198.38999999999942</v>
      </c>
    </row>
    <row r="168" spans="1:8" ht="27.75">
      <c r="A168" s="1495" t="s">
        <v>101</v>
      </c>
      <c r="B168" s="1495"/>
      <c r="C168" s="1495"/>
      <c r="D168" s="523" t="s">
        <v>187</v>
      </c>
      <c r="E168" s="514">
        <f t="shared" si="17"/>
        <v>45374</v>
      </c>
      <c r="F168" s="514">
        <f t="shared" si="18"/>
        <v>45757</v>
      </c>
      <c r="G168" s="1340">
        <f t="shared" si="16"/>
        <v>383</v>
      </c>
      <c r="H168" s="538">
        <v>226.35000000000582</v>
      </c>
    </row>
    <row r="169" spans="1:8" ht="27.75">
      <c r="A169" s="1495" t="s">
        <v>102</v>
      </c>
      <c r="B169" s="1495"/>
      <c r="C169" s="1495"/>
      <c r="D169" s="523" t="s">
        <v>187</v>
      </c>
      <c r="E169" s="514">
        <f t="shared" si="17"/>
        <v>239914</v>
      </c>
      <c r="F169" s="514">
        <f t="shared" si="18"/>
        <v>240310</v>
      </c>
      <c r="G169" s="1340">
        <f t="shared" si="16"/>
        <v>396</v>
      </c>
      <c r="H169" s="538">
        <v>312.47000000000116</v>
      </c>
    </row>
    <row r="170" spans="1:8" ht="27.75">
      <c r="A170" s="1495" t="s">
        <v>103</v>
      </c>
      <c r="B170" s="1495"/>
      <c r="C170" s="1495"/>
      <c r="D170" s="523" t="s">
        <v>187</v>
      </c>
      <c r="E170" s="514">
        <f t="shared" si="17"/>
        <v>85321</v>
      </c>
      <c r="F170" s="514">
        <f t="shared" si="18"/>
        <v>85321</v>
      </c>
      <c r="G170" s="1340">
        <f t="shared" si="16"/>
        <v>0</v>
      </c>
      <c r="H170" s="538">
        <v>142.1200000000008</v>
      </c>
    </row>
    <row r="171" spans="1:8" ht="27.75">
      <c r="A171" s="1495" t="s">
        <v>104</v>
      </c>
      <c r="B171" s="1495"/>
      <c r="C171" s="1495"/>
      <c r="D171" s="523" t="s">
        <v>187</v>
      </c>
      <c r="E171" s="514">
        <f t="shared" si="17"/>
        <v>78342</v>
      </c>
      <c r="F171" s="514">
        <f t="shared" si="18"/>
        <v>78385</v>
      </c>
      <c r="G171" s="1340">
        <f t="shared" si="16"/>
        <v>43</v>
      </c>
      <c r="H171" s="538">
        <v>12.869999999998981</v>
      </c>
    </row>
    <row r="172" spans="1:8" ht="27.75" customHeight="1">
      <c r="G172" s="1366">
        <f>SUM(G160:G171)</f>
        <v>2537.8999999999978</v>
      </c>
    </row>
    <row r="173" spans="1:8" ht="27.75">
      <c r="A173" s="1495" t="s">
        <v>360</v>
      </c>
      <c r="B173" s="1495"/>
      <c r="C173" s="1495"/>
      <c r="D173" s="523" t="s">
        <v>187</v>
      </c>
      <c r="E173" s="514">
        <v>27881</v>
      </c>
      <c r="F173" s="514">
        <v>27883</v>
      </c>
      <c r="G173" s="473">
        <f t="shared" ref="G173" si="19">F173-E173</f>
        <v>2</v>
      </c>
    </row>
  </sheetData>
  <mergeCells count="75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1:J71"/>
    <mergeCell ref="A70:C7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3:C173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70" zoomScaleNormal="80" zoomScaleSheetLayoutView="70" workbookViewId="0">
      <selection activeCell="F134" sqref="F134"/>
    </sheetView>
  </sheetViews>
  <sheetFormatPr defaultColWidth="22.33203125" defaultRowHeight="20.25"/>
  <cols>
    <col min="1" max="1" width="51.21875" style="1008" customWidth="1"/>
    <col min="2" max="2" width="24.88671875" style="1008" customWidth="1"/>
    <col min="3" max="3" width="15.88671875" style="1008" customWidth="1"/>
    <col min="4" max="4" width="13.6640625" style="1008" customWidth="1"/>
    <col min="5" max="5" width="32.109375" style="1008" customWidth="1"/>
    <col min="6" max="6" width="30" style="1008" customWidth="1"/>
    <col min="7" max="7" width="20.33203125" style="1008" customWidth="1"/>
    <col min="8" max="8" width="39.21875" style="1009" customWidth="1"/>
    <col min="9" max="9" width="11.21875" style="1008" bestFit="1" customWidth="1"/>
    <col min="10" max="10" width="24" style="1010" customWidth="1"/>
    <col min="11" max="11" width="43.21875" style="809" hidden="1" customWidth="1"/>
    <col min="12" max="13" width="0" style="809" hidden="1" customWidth="1"/>
    <col min="14" max="14" width="25.109375" style="1011" customWidth="1"/>
    <col min="15" max="15" width="6.77734375" style="809" bestFit="1" customWidth="1"/>
    <col min="16" max="16384" width="22.33203125" style="809"/>
  </cols>
  <sheetData>
    <row r="1" spans="1:15" ht="22.5">
      <c r="A1" s="1629" t="s">
        <v>117</v>
      </c>
      <c r="B1" s="1630"/>
      <c r="C1" s="1630"/>
      <c r="D1" s="1630"/>
      <c r="E1" s="1630"/>
      <c r="F1" s="1630"/>
      <c r="G1" s="1630"/>
      <c r="H1" s="1630"/>
      <c r="I1" s="1630"/>
      <c r="J1" s="1631"/>
      <c r="K1" s="809">
        <v>10002.799999999999</v>
      </c>
    </row>
    <row r="2" spans="1:15">
      <c r="A2" s="810" t="s">
        <v>319</v>
      </c>
      <c r="B2" s="1081">
        <v>44309</v>
      </c>
      <c r="C2" s="811" t="s">
        <v>69</v>
      </c>
      <c r="D2" s="812">
        <v>0.52</v>
      </c>
      <c r="E2" s="813"/>
      <c r="F2" s="813"/>
      <c r="G2" s="813" t="s">
        <v>118</v>
      </c>
      <c r="H2" s="813" t="s">
        <v>6</v>
      </c>
      <c r="I2" s="813" t="s">
        <v>8</v>
      </c>
      <c r="J2" s="814" t="s">
        <v>119</v>
      </c>
    </row>
    <row r="3" spans="1:15">
      <c r="A3" s="815"/>
      <c r="B3" s="816"/>
      <c r="C3" s="811" t="s">
        <v>120</v>
      </c>
      <c r="D3" s="817">
        <v>30</v>
      </c>
      <c r="E3" s="1632" t="s">
        <v>121</v>
      </c>
      <c r="F3" s="1633"/>
      <c r="G3" s="818">
        <f>'1'!G3</f>
        <v>0</v>
      </c>
      <c r="H3" s="819">
        <f>'1'!H3</f>
        <v>0</v>
      </c>
      <c r="I3" s="819">
        <f>'1'!I3</f>
        <v>0</v>
      </c>
      <c r="J3" s="820">
        <f>'1'!J3</f>
        <v>0</v>
      </c>
      <c r="K3" s="821"/>
      <c r="L3" s="822"/>
    </row>
    <row r="4" spans="1:15">
      <c r="A4" s="823"/>
      <c r="B4" s="824"/>
      <c r="C4" s="811" t="s">
        <v>122</v>
      </c>
      <c r="D4" s="812">
        <v>0.78</v>
      </c>
      <c r="E4" s="825"/>
      <c r="F4" s="825"/>
      <c r="G4" s="825"/>
      <c r="H4" s="825"/>
      <c r="I4" s="826"/>
      <c r="J4" s="820"/>
      <c r="K4" s="827"/>
      <c r="L4" s="822"/>
    </row>
    <row r="5" spans="1:15">
      <c r="A5" s="828" t="s">
        <v>123</v>
      </c>
      <c r="B5" s="829"/>
      <c r="C5" s="829"/>
      <c r="D5" s="829" t="s">
        <v>124</v>
      </c>
      <c r="E5" s="830" t="s">
        <v>125</v>
      </c>
      <c r="F5" s="830" t="s">
        <v>112</v>
      </c>
      <c r="G5" s="831" t="s">
        <v>126</v>
      </c>
      <c r="H5" s="832" t="s">
        <v>127</v>
      </c>
      <c r="I5" s="833" t="s">
        <v>128</v>
      </c>
      <c r="J5" s="834" t="s">
        <v>129</v>
      </c>
      <c r="K5" s="835"/>
      <c r="L5" s="822"/>
    </row>
    <row r="6" spans="1:15">
      <c r="A6" s="1626" t="s">
        <v>130</v>
      </c>
      <c r="B6" s="1627"/>
      <c r="C6" s="1628"/>
      <c r="D6" s="836"/>
      <c r="E6" s="836"/>
      <c r="F6" s="836"/>
      <c r="G6" s="836"/>
      <c r="H6" s="837"/>
      <c r="I6" s="837"/>
      <c r="J6" s="838"/>
      <c r="K6" s="839"/>
      <c r="L6" s="822"/>
    </row>
    <row r="7" spans="1:15" ht="21" thickBot="1">
      <c r="A7" s="840" t="s">
        <v>131</v>
      </c>
      <c r="B7" s="841"/>
      <c r="C7" s="841"/>
      <c r="D7" s="842" t="s">
        <v>132</v>
      </c>
      <c r="E7" s="843">
        <f>'22'!F7</f>
        <v>5574038</v>
      </c>
      <c r="F7" s="843">
        <v>5593969</v>
      </c>
      <c r="G7" s="844">
        <f>F7-E7</f>
        <v>19931</v>
      </c>
      <c r="H7" s="845">
        <f>G7+'22'!H7</f>
        <v>480046</v>
      </c>
      <c r="I7" s="846">
        <f>'1'!I7</f>
        <v>12000</v>
      </c>
      <c r="J7" s="847">
        <f>H7/DAY(B2)</f>
        <v>20871.565217391304</v>
      </c>
      <c r="K7" s="848"/>
      <c r="L7" s="822"/>
      <c r="O7" s="849"/>
    </row>
    <row r="8" spans="1:15" ht="21" thickBot="1">
      <c r="A8" s="850" t="s">
        <v>133</v>
      </c>
      <c r="B8" s="851"/>
      <c r="C8" s="852"/>
      <c r="D8" s="853" t="s">
        <v>25</v>
      </c>
      <c r="E8" s="843">
        <f>'22'!F8</f>
        <v>5607232</v>
      </c>
      <c r="F8" s="854">
        <v>5627215</v>
      </c>
      <c r="G8" s="855">
        <f>F8-E8</f>
        <v>19983</v>
      </c>
      <c r="H8" s="845">
        <f>G8+'22'!H8</f>
        <v>481897</v>
      </c>
      <c r="I8" s="856">
        <f>'1'!I8</f>
        <v>12000</v>
      </c>
      <c r="J8" s="847">
        <f>H8/DAY(B2)</f>
        <v>20952.043478260868</v>
      </c>
      <c r="K8" s="848"/>
      <c r="L8" s="857"/>
      <c r="M8" s="858"/>
      <c r="O8" s="849"/>
    </row>
    <row r="9" spans="1:15">
      <c r="A9" s="859" t="s">
        <v>134</v>
      </c>
      <c r="B9" s="860"/>
      <c r="C9" s="860"/>
      <c r="D9" s="842" t="s">
        <v>132</v>
      </c>
      <c r="E9" s="843">
        <f>'22'!F9</f>
        <v>842016</v>
      </c>
      <c r="F9" s="861">
        <v>861439.59</v>
      </c>
      <c r="G9" s="844">
        <f t="shared" ref="G9:G12" si="0">F9-E9</f>
        <v>19423.589999999967</v>
      </c>
      <c r="H9" s="845">
        <f>G9+'22'!H9</f>
        <v>465370.58999999997</v>
      </c>
      <c r="I9" s="862">
        <f>I8-J8</f>
        <v>-8952.0434782608681</v>
      </c>
      <c r="J9" s="847">
        <f>H9/DAY(B2)</f>
        <v>20233.503913043478</v>
      </c>
      <c r="K9" s="863"/>
      <c r="L9" s="822"/>
      <c r="O9" s="849"/>
    </row>
    <row r="10" spans="1:15">
      <c r="A10" s="840" t="s">
        <v>135</v>
      </c>
      <c r="B10" s="841"/>
      <c r="C10" s="841"/>
      <c r="D10" s="842" t="s">
        <v>132</v>
      </c>
      <c r="E10" s="843">
        <f>'22'!F10</f>
        <v>2322.58</v>
      </c>
      <c r="F10" s="861">
        <v>2322.58</v>
      </c>
      <c r="G10" s="844">
        <f t="shared" si="0"/>
        <v>0</v>
      </c>
      <c r="H10" s="845">
        <f>G10+'22'!H10</f>
        <v>0</v>
      </c>
      <c r="I10" s="864"/>
      <c r="J10" s="847">
        <f>H10/DAY(B2)</f>
        <v>0</v>
      </c>
      <c r="K10" s="863"/>
      <c r="L10" s="822"/>
      <c r="O10" s="849"/>
    </row>
    <row r="11" spans="1:15">
      <c r="A11" s="840" t="s">
        <v>136</v>
      </c>
      <c r="B11" s="841"/>
      <c r="C11" s="841"/>
      <c r="D11" s="842" t="s">
        <v>132</v>
      </c>
      <c r="E11" s="843">
        <f>'5'!E11</f>
        <v>37000</v>
      </c>
      <c r="F11" s="843">
        <v>37000</v>
      </c>
      <c r="G11" s="844">
        <f t="shared" si="0"/>
        <v>0</v>
      </c>
      <c r="H11" s="845">
        <f>G11+'22'!H11</f>
        <v>0</v>
      </c>
      <c r="I11" s="864"/>
      <c r="J11" s="847">
        <f>H11/DAY(B2)</f>
        <v>0</v>
      </c>
      <c r="K11" s="863"/>
      <c r="L11" s="822"/>
      <c r="O11" s="849"/>
    </row>
    <row r="12" spans="1:15">
      <c r="A12" s="840" t="s">
        <v>137</v>
      </c>
      <c r="B12" s="841"/>
      <c r="C12" s="841"/>
      <c r="D12" s="842" t="s">
        <v>132</v>
      </c>
      <c r="E12" s="843">
        <f>'5'!E12</f>
        <v>40010</v>
      </c>
      <c r="F12" s="861">
        <v>40010</v>
      </c>
      <c r="G12" s="844">
        <f t="shared" si="0"/>
        <v>0</v>
      </c>
      <c r="H12" s="845">
        <f>G12+'22'!H12</f>
        <v>0</v>
      </c>
      <c r="I12" s="864"/>
      <c r="J12" s="847">
        <f>H12/DAY(B2)</f>
        <v>0</v>
      </c>
      <c r="K12" s="863"/>
      <c r="L12" s="822"/>
      <c r="O12" s="849"/>
    </row>
    <row r="13" spans="1:15">
      <c r="A13" s="865" t="s">
        <v>138</v>
      </c>
      <c r="B13" s="866"/>
      <c r="C13" s="866"/>
      <c r="D13" s="842"/>
      <c r="E13" s="843"/>
      <c r="F13" s="843"/>
      <c r="G13" s="867">
        <f>G9+G10+G11+G12</f>
        <v>19423.589999999967</v>
      </c>
      <c r="H13" s="845">
        <f>G13+'22'!H13</f>
        <v>445179.95000000007</v>
      </c>
      <c r="I13" s="868">
        <f>G7-G13</f>
        <v>507.4100000000326</v>
      </c>
      <c r="J13" s="847">
        <f>H13/DAY(B2)</f>
        <v>19355.650000000001</v>
      </c>
      <c r="K13" s="863"/>
      <c r="L13" s="822"/>
      <c r="O13" s="849"/>
    </row>
    <row r="14" spans="1:15">
      <c r="A14" s="1620" t="s">
        <v>139</v>
      </c>
      <c r="B14" s="1621"/>
      <c r="C14" s="1622"/>
      <c r="D14" s="837"/>
      <c r="E14" s="837"/>
      <c r="F14" s="837"/>
      <c r="G14" s="869"/>
      <c r="H14" s="837"/>
      <c r="I14" s="837"/>
      <c r="J14" s="838"/>
      <c r="K14" s="870"/>
      <c r="L14" s="822"/>
      <c r="O14" s="849"/>
    </row>
    <row r="15" spans="1:15">
      <c r="A15" s="871" t="s">
        <v>140</v>
      </c>
      <c r="B15" s="872"/>
      <c r="C15" s="872"/>
      <c r="D15" s="842" t="s">
        <v>141</v>
      </c>
      <c r="E15" s="843">
        <f>'22'!F15</f>
        <v>1665419</v>
      </c>
      <c r="F15" s="1277">
        <v>1666243.3759999999</v>
      </c>
      <c r="G15" s="1020">
        <f>(F15-E15)</f>
        <v>824.37599999993108</v>
      </c>
      <c r="H15" s="845">
        <f>G15+'22'!H15</f>
        <v>19554.375999999931</v>
      </c>
      <c r="I15" s="846">
        <f>'1'!I15</f>
        <v>800</v>
      </c>
      <c r="J15" s="847">
        <f>H15/DAY(B2)</f>
        <v>850.19026086956217</v>
      </c>
      <c r="K15" s="863"/>
      <c r="L15" s="822"/>
      <c r="O15" s="849"/>
    </row>
    <row r="16" spans="1:15">
      <c r="A16" s="874"/>
      <c r="B16" s="875"/>
      <c r="C16" s="875"/>
      <c r="D16" s="876"/>
      <c r="E16" s="877"/>
      <c r="F16" s="877"/>
      <c r="G16" s="844"/>
      <c r="H16" s="878"/>
      <c r="I16" s="879">
        <f>I15-J15</f>
        <v>-50.190260869562167</v>
      </c>
      <c r="J16" s="880"/>
      <c r="K16" s="863"/>
      <c r="L16" s="822"/>
      <c r="O16" s="849"/>
    </row>
    <row r="17" spans="1:15">
      <c r="A17" s="1620" t="s">
        <v>142</v>
      </c>
      <c r="B17" s="1621"/>
      <c r="C17" s="1622"/>
      <c r="D17" s="837"/>
      <c r="E17" s="837"/>
      <c r="F17" s="837"/>
      <c r="G17" s="881"/>
      <c r="H17" s="837"/>
      <c r="I17" s="837"/>
      <c r="J17" s="838"/>
      <c r="K17" s="863"/>
      <c r="L17" s="822"/>
      <c r="O17" s="849"/>
    </row>
    <row r="18" spans="1:15">
      <c r="A18" s="1602" t="s">
        <v>143</v>
      </c>
      <c r="B18" s="1603"/>
      <c r="C18" s="1604"/>
      <c r="D18" s="842" t="s">
        <v>144</v>
      </c>
      <c r="E18" s="843">
        <f>'22'!F18</f>
        <v>10</v>
      </c>
      <c r="F18" s="873">
        <v>8</v>
      </c>
      <c r="G18" s="867">
        <f>F18*10</f>
        <v>80</v>
      </c>
      <c r="H18" s="845">
        <f>G18+'22'!H18</f>
        <v>2160</v>
      </c>
      <c r="I18" s="846">
        <f>'1'!I18</f>
        <v>65</v>
      </c>
      <c r="J18" s="847">
        <f>H18/DAY(B2)</f>
        <v>93.913043478260875</v>
      </c>
      <c r="K18" s="863"/>
      <c r="L18" s="822"/>
      <c r="O18" s="849"/>
    </row>
    <row r="19" spans="1:15">
      <c r="A19" s="1602" t="s">
        <v>71</v>
      </c>
      <c r="B19" s="1603"/>
      <c r="C19" s="1604"/>
      <c r="D19" s="842" t="s">
        <v>144</v>
      </c>
      <c r="E19" s="843">
        <f>'22'!F19</f>
        <v>137367</v>
      </c>
      <c r="F19" s="873">
        <v>137425</v>
      </c>
      <c r="G19" s="844">
        <f t="shared" ref="G19" si="1">F19-E19</f>
        <v>58</v>
      </c>
      <c r="H19" s="845">
        <f>G19+'22'!H19</f>
        <v>1335</v>
      </c>
      <c r="I19" s="846">
        <f>'1'!I19</f>
        <v>0</v>
      </c>
      <c r="J19" s="847">
        <f>H19/DAY(B2)</f>
        <v>58.043478260869563</v>
      </c>
      <c r="K19" s="863"/>
      <c r="L19" s="822"/>
      <c r="N19" s="1011">
        <v>126171</v>
      </c>
      <c r="O19" s="849"/>
    </row>
    <row r="20" spans="1:15">
      <c r="A20" s="865" t="s">
        <v>145</v>
      </c>
      <c r="B20" s="866"/>
      <c r="C20" s="866"/>
      <c r="D20" s="883"/>
      <c r="E20" s="883"/>
      <c r="F20" s="883"/>
      <c r="G20" s="884">
        <f>G18+G19</f>
        <v>138</v>
      </c>
      <c r="H20" s="845">
        <f>G20+'22'!H20</f>
        <v>3495</v>
      </c>
      <c r="I20" s="885">
        <f>I18-J20</f>
        <v>-86.956521739130437</v>
      </c>
      <c r="J20" s="847">
        <f>H20/DAY(B2)</f>
        <v>151.95652173913044</v>
      </c>
      <c r="K20" s="863"/>
      <c r="L20" s="822"/>
      <c r="N20" s="1011">
        <f>N19-F19</f>
        <v>-11254</v>
      </c>
      <c r="O20" s="849"/>
    </row>
    <row r="21" spans="1:15">
      <c r="A21" s="1620" t="s">
        <v>146</v>
      </c>
      <c r="B21" s="1621"/>
      <c r="C21" s="1622"/>
      <c r="D21" s="837"/>
      <c r="E21" s="837"/>
      <c r="F21" s="837"/>
      <c r="G21" s="869"/>
      <c r="H21" s="837"/>
      <c r="I21" s="837"/>
      <c r="J21" s="838"/>
      <c r="K21" s="863"/>
      <c r="L21" s="822"/>
      <c r="O21" s="849"/>
    </row>
    <row r="22" spans="1:15">
      <c r="A22" s="871" t="s">
        <v>147</v>
      </c>
      <c r="B22" s="872"/>
      <c r="C22" s="872"/>
      <c r="D22" s="842" t="s">
        <v>148</v>
      </c>
      <c r="E22" s="873">
        <v>2970</v>
      </c>
      <c r="F22" s="873">
        <v>2970</v>
      </c>
      <c r="G22" s="867">
        <f t="shared" ref="G22" si="2">(F22-E22)</f>
        <v>0</v>
      </c>
      <c r="H22" s="845">
        <f>G22+'22'!H22</f>
        <v>0</v>
      </c>
      <c r="I22" s="864"/>
      <c r="J22" s="847">
        <f>H22/DAY(B2)</f>
        <v>0</v>
      </c>
      <c r="K22" s="863"/>
      <c r="L22" s="822"/>
      <c r="O22" s="849"/>
    </row>
    <row r="23" spans="1:15">
      <c r="A23" s="871" t="s">
        <v>149</v>
      </c>
      <c r="B23" s="872"/>
      <c r="C23" s="872"/>
      <c r="D23" s="842" t="s">
        <v>148</v>
      </c>
      <c r="E23" s="873">
        <v>2000</v>
      </c>
      <c r="F23" s="873">
        <v>2000</v>
      </c>
      <c r="G23" s="867">
        <v>0</v>
      </c>
      <c r="H23" s="845">
        <f>G23+'22'!H23</f>
        <v>0</v>
      </c>
      <c r="I23" s="864"/>
      <c r="J23" s="847">
        <f>H23/DAY(B2)</f>
        <v>0</v>
      </c>
      <c r="K23" s="863"/>
      <c r="L23" s="822"/>
      <c r="O23" s="849"/>
    </row>
    <row r="24" spans="1:15">
      <c r="A24" s="886" t="s">
        <v>150</v>
      </c>
      <c r="B24" s="887"/>
      <c r="C24" s="887"/>
      <c r="D24" s="829" t="s">
        <v>148</v>
      </c>
      <c r="E24" s="873">
        <v>4970</v>
      </c>
      <c r="F24" s="888">
        <v>4970</v>
      </c>
      <c r="G24" s="867">
        <v>0</v>
      </c>
      <c r="H24" s="845">
        <f>G24+'22'!H24</f>
        <v>0</v>
      </c>
      <c r="I24" s="864"/>
      <c r="J24" s="847">
        <f>H24/DAY(B2)</f>
        <v>0</v>
      </c>
      <c r="K24" s="863"/>
      <c r="L24" s="822"/>
      <c r="O24" s="849"/>
    </row>
    <row r="25" spans="1:15" s="894" customFormat="1">
      <c r="A25" s="1626" t="s">
        <v>151</v>
      </c>
      <c r="B25" s="1627"/>
      <c r="C25" s="1628"/>
      <c r="D25" s="836"/>
      <c r="E25" s="836"/>
      <c r="F25" s="836"/>
      <c r="G25" s="889"/>
      <c r="H25" s="890"/>
      <c r="I25" s="891"/>
      <c r="J25" s="892"/>
      <c r="K25" s="863"/>
      <c r="L25" s="893"/>
      <c r="N25" s="1012"/>
      <c r="O25" s="849"/>
    </row>
    <row r="26" spans="1:15" s="894" customFormat="1">
      <c r="A26" s="895" t="s">
        <v>152</v>
      </c>
      <c r="B26" s="896"/>
      <c r="C26" s="897"/>
      <c r="D26" s="898" t="s">
        <v>153</v>
      </c>
      <c r="E26" s="899"/>
      <c r="F26" s="899"/>
      <c r="G26" s="900"/>
      <c r="H26" s="845"/>
      <c r="I26" s="901"/>
      <c r="J26" s="847"/>
      <c r="K26" s="870"/>
      <c r="L26" s="893"/>
      <c r="N26" s="1012"/>
      <c r="O26" s="849"/>
    </row>
    <row r="27" spans="1:15" s="894" customFormat="1" ht="22.5">
      <c r="A27" s="895" t="s">
        <v>6</v>
      </c>
      <c r="B27" s="896"/>
      <c r="C27" s="897"/>
      <c r="D27" s="902" t="s">
        <v>25</v>
      </c>
      <c r="E27" s="903">
        <f>G8</f>
        <v>19983</v>
      </c>
      <c r="F27" s="501">
        <v>9</v>
      </c>
      <c r="G27" s="905">
        <f>E27*F27</f>
        <v>179847</v>
      </c>
      <c r="H27" s="845">
        <f>G27+'22'!H27</f>
        <v>4337073</v>
      </c>
      <c r="I27" s="906"/>
      <c r="J27" s="847">
        <f>H27/DAY(B2)</f>
        <v>188568.39130434784</v>
      </c>
      <c r="K27" s="863"/>
      <c r="L27" s="893"/>
      <c r="N27" s="1012"/>
      <c r="O27" s="849"/>
    </row>
    <row r="28" spans="1:15" s="894" customFormat="1" ht="22.5">
      <c r="A28" s="895" t="s">
        <v>154</v>
      </c>
      <c r="B28" s="896"/>
      <c r="C28" s="897"/>
      <c r="D28" s="902" t="s">
        <v>155</v>
      </c>
      <c r="E28" s="903">
        <f>G15</f>
        <v>824.37599999993108</v>
      </c>
      <c r="F28" s="501">
        <v>51.45</v>
      </c>
      <c r="G28" s="905">
        <f>E28*F28</f>
        <v>42414.145199996456</v>
      </c>
      <c r="H28" s="845">
        <f>G28+'22'!H28</f>
        <v>1006072.6451999964</v>
      </c>
      <c r="I28" s="907"/>
      <c r="J28" s="847">
        <f>H28/DAY(B2)</f>
        <v>43742.288921738975</v>
      </c>
      <c r="K28" s="863"/>
      <c r="L28" s="893"/>
      <c r="N28" s="1012"/>
      <c r="O28" s="849"/>
    </row>
    <row r="29" spans="1:15" s="894" customFormat="1">
      <c r="A29" s="895" t="s">
        <v>156</v>
      </c>
      <c r="B29" s="896"/>
      <c r="C29" s="897"/>
      <c r="D29" s="902" t="s">
        <v>157</v>
      </c>
      <c r="E29" s="903">
        <f>G24</f>
        <v>0</v>
      </c>
      <c r="F29" s="904">
        <v>69</v>
      </c>
      <c r="G29" s="905">
        <f>E29*F29</f>
        <v>0</v>
      </c>
      <c r="H29" s="845">
        <f>G29+'22'!H29</f>
        <v>0</v>
      </c>
      <c r="I29" s="907"/>
      <c r="J29" s="847">
        <f>H29/DAY(B2)</f>
        <v>0</v>
      </c>
      <c r="K29" s="863"/>
      <c r="L29" s="893"/>
      <c r="N29" s="1012"/>
      <c r="O29" s="849"/>
    </row>
    <row r="30" spans="1:15" s="894" customFormat="1">
      <c r="A30" s="895" t="s">
        <v>158</v>
      </c>
      <c r="B30" s="896"/>
      <c r="C30" s="897"/>
      <c r="D30" s="902" t="s">
        <v>159</v>
      </c>
      <c r="E30" s="903">
        <f>G19</f>
        <v>58</v>
      </c>
      <c r="F30" s="904">
        <v>134</v>
      </c>
      <c r="G30" s="905">
        <f>E30*F30</f>
        <v>7772</v>
      </c>
      <c r="H30" s="845">
        <f>G30+'22'!H30</f>
        <v>180258</v>
      </c>
      <c r="I30" s="907"/>
      <c r="J30" s="847">
        <f>H30/DAY(B2)</f>
        <v>7837.304347826087</v>
      </c>
      <c r="K30" s="863"/>
      <c r="L30" s="893"/>
      <c r="N30" s="1012"/>
      <c r="O30" s="849"/>
    </row>
    <row r="31" spans="1:15" s="894" customFormat="1">
      <c r="A31" s="895" t="s">
        <v>160</v>
      </c>
      <c r="B31" s="896"/>
      <c r="C31" s="897"/>
      <c r="D31" s="902" t="s">
        <v>144</v>
      </c>
      <c r="E31" s="903">
        <f>G18</f>
        <v>80</v>
      </c>
      <c r="F31" s="904">
        <v>80</v>
      </c>
      <c r="G31" s="905">
        <f>E31*F31</f>
        <v>6400</v>
      </c>
      <c r="H31" s="845">
        <f>G31+'22'!H31</f>
        <v>172800</v>
      </c>
      <c r="I31" s="907"/>
      <c r="J31" s="847"/>
      <c r="K31" s="863"/>
      <c r="L31" s="893"/>
      <c r="N31" s="1012"/>
      <c r="O31" s="849"/>
    </row>
    <row r="32" spans="1:15" s="894" customFormat="1">
      <c r="A32" s="908" t="s">
        <v>161</v>
      </c>
      <c r="B32" s="909"/>
      <c r="C32" s="910"/>
      <c r="D32" s="911"/>
      <c r="E32" s="911"/>
      <c r="F32" s="911"/>
      <c r="G32" s="912">
        <f>G27+G28+G29+G30+G31</f>
        <v>236433.14519999645</v>
      </c>
      <c r="H32" s="845">
        <f>G32+'22'!H32</f>
        <v>5696203.6451999974</v>
      </c>
      <c r="I32" s="913"/>
      <c r="J32" s="847">
        <f>H32/DAY(B2)</f>
        <v>247661.02805217379</v>
      </c>
      <c r="K32" s="863"/>
      <c r="L32" s="893"/>
      <c r="N32" s="1012"/>
      <c r="O32" s="849"/>
    </row>
    <row r="33" spans="1:15" ht="18.75">
      <c r="A33" s="1623" t="s">
        <v>162</v>
      </c>
      <c r="B33" s="1624"/>
      <c r="C33" s="1624"/>
      <c r="D33" s="1624"/>
      <c r="E33" s="1624"/>
      <c r="F33" s="1624"/>
      <c r="G33" s="1624"/>
      <c r="H33" s="1624"/>
      <c r="I33" s="1624"/>
      <c r="J33" s="1625"/>
      <c r="K33" s="863"/>
      <c r="L33" s="822"/>
      <c r="O33" s="849"/>
    </row>
    <row r="34" spans="1:15">
      <c r="A34" s="914" t="s">
        <v>163</v>
      </c>
      <c r="B34" s="915"/>
      <c r="C34" s="915"/>
      <c r="D34" s="837"/>
      <c r="E34" s="836"/>
      <c r="F34" s="836"/>
      <c r="G34" s="837"/>
      <c r="H34" s="837"/>
      <c r="I34" s="837"/>
      <c r="J34" s="838"/>
      <c r="K34" s="863"/>
      <c r="L34" s="822"/>
      <c r="O34" s="849"/>
    </row>
    <row r="35" spans="1:15">
      <c r="A35" s="840" t="s">
        <v>164</v>
      </c>
      <c r="B35" s="841"/>
      <c r="C35" s="841"/>
      <c r="D35" s="842" t="s">
        <v>132</v>
      </c>
      <c r="E35" s="843">
        <f>'22'!F35</f>
        <v>865388</v>
      </c>
      <c r="F35" s="916">
        <v>868202.39</v>
      </c>
      <c r="G35" s="844">
        <f t="shared" ref="G35:G46" si="3">F35-E35</f>
        <v>2814.390000000014</v>
      </c>
      <c r="H35" s="845">
        <f>G35+'22'!H35</f>
        <v>69813.390000000014</v>
      </c>
      <c r="I35" s="843"/>
      <c r="J35" s="847">
        <f>H35/DAY(B2)</f>
        <v>3035.3647826086963</v>
      </c>
      <c r="K35" s="863"/>
      <c r="L35" s="822"/>
      <c r="O35" s="849"/>
    </row>
    <row r="36" spans="1:15">
      <c r="A36" s="840" t="s">
        <v>165</v>
      </c>
      <c r="B36" s="841"/>
      <c r="C36" s="841"/>
      <c r="D36" s="842" t="s">
        <v>132</v>
      </c>
      <c r="E36" s="843">
        <f>'22'!F36</f>
        <v>338785</v>
      </c>
      <c r="F36" s="916">
        <v>339907.95</v>
      </c>
      <c r="G36" s="844">
        <f t="shared" si="3"/>
        <v>1122.9500000000116</v>
      </c>
      <c r="H36" s="845">
        <f>G36+'22'!H36</f>
        <v>22471.950000000012</v>
      </c>
      <c r="I36" s="843"/>
      <c r="J36" s="847">
        <f>H36/DAY(B2)</f>
        <v>977.04130434782655</v>
      </c>
      <c r="K36" s="863"/>
      <c r="L36" s="822"/>
      <c r="O36" s="849"/>
    </row>
    <row r="37" spans="1:15">
      <c r="A37" s="840" t="s">
        <v>166</v>
      </c>
      <c r="B37" s="841"/>
      <c r="C37" s="841"/>
      <c r="D37" s="842" t="s">
        <v>132</v>
      </c>
      <c r="E37" s="843">
        <f>'22'!F37</f>
        <v>84867</v>
      </c>
      <c r="F37" s="916">
        <v>86265.89</v>
      </c>
      <c r="G37" s="844">
        <f t="shared" si="3"/>
        <v>1398.8899999999994</v>
      </c>
      <c r="H37" s="845">
        <f>G37+'22'!H37</f>
        <v>31468.89</v>
      </c>
      <c r="I37" s="843"/>
      <c r="J37" s="847">
        <f>H37/DAY(B2)</f>
        <v>1368.2126086956521</v>
      </c>
      <c r="K37" s="863"/>
      <c r="L37" s="822"/>
      <c r="O37" s="849"/>
    </row>
    <row r="38" spans="1:15">
      <c r="A38" s="840" t="s">
        <v>167</v>
      </c>
      <c r="B38" s="841"/>
      <c r="C38" s="841"/>
      <c r="D38" s="842" t="s">
        <v>132</v>
      </c>
      <c r="E38" s="843">
        <f>'22'!F38</f>
        <v>108416</v>
      </c>
      <c r="F38" s="832">
        <v>109849.24</v>
      </c>
      <c r="G38" s="844">
        <f t="shared" si="3"/>
        <v>1433.2400000000052</v>
      </c>
      <c r="H38" s="845">
        <f>G38+'22'!H38</f>
        <v>37541.240000000005</v>
      </c>
      <c r="I38" s="843"/>
      <c r="J38" s="847">
        <f>H38/DAY(B2)</f>
        <v>1632.2278260869568</v>
      </c>
      <c r="K38" s="863"/>
      <c r="L38" s="822"/>
      <c r="O38" s="849"/>
    </row>
    <row r="39" spans="1:15">
      <c r="A39" s="840" t="s">
        <v>168</v>
      </c>
      <c r="B39" s="841"/>
      <c r="C39" s="841"/>
      <c r="D39" s="842" t="s">
        <v>132</v>
      </c>
      <c r="E39" s="843">
        <f>'22'!F39</f>
        <v>225009</v>
      </c>
      <c r="F39" s="916">
        <v>227992.89</v>
      </c>
      <c r="G39" s="844">
        <f t="shared" si="3"/>
        <v>2983.890000000014</v>
      </c>
      <c r="H39" s="845">
        <f>G39+'22'!H39</f>
        <v>75170.890000000014</v>
      </c>
      <c r="I39" s="843"/>
      <c r="J39" s="847">
        <f>H39/DAY(B2)</f>
        <v>3268.2995652173918</v>
      </c>
      <c r="K39" s="863"/>
      <c r="L39" s="822"/>
      <c r="O39" s="849"/>
    </row>
    <row r="40" spans="1:15">
      <c r="A40" s="917" t="s">
        <v>169</v>
      </c>
      <c r="B40" s="918"/>
      <c r="C40" s="918"/>
      <c r="D40" s="842" t="s">
        <v>132</v>
      </c>
      <c r="E40" s="843">
        <f>'22'!F40</f>
        <v>0</v>
      </c>
      <c r="F40" s="916">
        <v>0.23</v>
      </c>
      <c r="G40" s="844">
        <f t="shared" si="3"/>
        <v>0.23</v>
      </c>
      <c r="H40" s="845">
        <f>G40+'22'!H40</f>
        <v>0.4</v>
      </c>
      <c r="I40" s="843"/>
      <c r="J40" s="847">
        <f>H40/DAY(B2)</f>
        <v>1.7391304347826087E-2</v>
      </c>
      <c r="K40" s="870"/>
      <c r="L40" s="822"/>
      <c r="O40" s="849"/>
    </row>
    <row r="41" spans="1:15">
      <c r="A41" s="840" t="s">
        <v>170</v>
      </c>
      <c r="B41" s="841"/>
      <c r="C41" s="841"/>
      <c r="D41" s="842" t="s">
        <v>132</v>
      </c>
      <c r="E41" s="843">
        <f>'22'!F41</f>
        <v>161910</v>
      </c>
      <c r="F41" s="916">
        <v>161910.42000000001</v>
      </c>
      <c r="G41" s="844">
        <f t="shared" si="3"/>
        <v>0.42000000001280569</v>
      </c>
      <c r="H41" s="845">
        <f>G41+'22'!H41</f>
        <v>28769.420000000013</v>
      </c>
      <c r="I41" s="843"/>
      <c r="J41" s="847">
        <f>H41/DAY(B2)</f>
        <v>1250.8443478260874</v>
      </c>
      <c r="K41" s="863"/>
      <c r="L41" s="822"/>
      <c r="O41" s="849"/>
    </row>
    <row r="42" spans="1:15">
      <c r="A42" s="840" t="s">
        <v>171</v>
      </c>
      <c r="B42" s="841"/>
      <c r="C42" s="841"/>
      <c r="D42" s="842" t="s">
        <v>132</v>
      </c>
      <c r="E42" s="843">
        <f>'22'!F42</f>
        <v>59128</v>
      </c>
      <c r="F42" s="916">
        <v>59128.163</v>
      </c>
      <c r="G42" s="844">
        <f t="shared" si="3"/>
        <v>0.16300000000046566</v>
      </c>
      <c r="H42" s="845">
        <f>G42+'22'!H42</f>
        <v>2.9999999969732016E-3</v>
      </c>
      <c r="I42" s="843"/>
      <c r="J42" s="847">
        <f>H42/DAY(B2)</f>
        <v>1.3043478247709572E-4</v>
      </c>
      <c r="K42" s="863"/>
      <c r="L42" s="822"/>
      <c r="O42" s="849"/>
    </row>
    <row r="43" spans="1:15">
      <c r="A43" s="840" t="s">
        <v>172</v>
      </c>
      <c r="B43" s="841"/>
      <c r="C43" s="841"/>
      <c r="D43" s="842" t="s">
        <v>132</v>
      </c>
      <c r="E43" s="843">
        <f>'22'!F43</f>
        <v>954798</v>
      </c>
      <c r="F43" s="916">
        <v>957153.43</v>
      </c>
      <c r="G43" s="844">
        <f t="shared" si="3"/>
        <v>2355.4300000000512</v>
      </c>
      <c r="H43" s="845">
        <f>G43+'22'!H43</f>
        <v>55105.430000000051</v>
      </c>
      <c r="I43" s="843"/>
      <c r="J43" s="847">
        <f>H43/DAY(B2)</f>
        <v>2395.8882608695676</v>
      </c>
      <c r="K43" s="863"/>
      <c r="L43" s="822"/>
      <c r="O43" s="849"/>
    </row>
    <row r="44" spans="1:15">
      <c r="A44" s="840" t="s">
        <v>173</v>
      </c>
      <c r="B44" s="841"/>
      <c r="C44" s="841"/>
      <c r="D44" s="842" t="s">
        <v>132</v>
      </c>
      <c r="E44" s="843">
        <f>'22'!F44</f>
        <v>0</v>
      </c>
      <c r="F44" s="916">
        <v>0</v>
      </c>
      <c r="G44" s="844">
        <f t="shared" si="3"/>
        <v>0</v>
      </c>
      <c r="H44" s="845">
        <f>G44+'22'!H44</f>
        <v>0</v>
      </c>
      <c r="I44" s="843"/>
      <c r="J44" s="847">
        <f>H44/DAY(B2)</f>
        <v>0</v>
      </c>
      <c r="K44" s="863"/>
      <c r="L44" s="822"/>
      <c r="O44" s="849"/>
    </row>
    <row r="45" spans="1:15">
      <c r="A45" s="840" t="s">
        <v>174</v>
      </c>
      <c r="B45" s="841"/>
      <c r="C45" s="841"/>
      <c r="D45" s="842" t="s">
        <v>132</v>
      </c>
      <c r="E45" s="843">
        <f>'22'!F45</f>
        <v>0</v>
      </c>
      <c r="F45" s="916">
        <v>614</v>
      </c>
      <c r="G45" s="844">
        <f t="shared" si="3"/>
        <v>614</v>
      </c>
      <c r="H45" s="845">
        <f>G45+'22'!H45</f>
        <v>614</v>
      </c>
      <c r="I45" s="843"/>
      <c r="J45" s="847">
        <f>H45/DAY(B2)</f>
        <v>26.695652173913043</v>
      </c>
      <c r="K45" s="863"/>
      <c r="L45" s="822"/>
      <c r="O45" s="849"/>
    </row>
    <row r="46" spans="1:15">
      <c r="A46" s="840" t="s">
        <v>175</v>
      </c>
      <c r="B46" s="841"/>
      <c r="C46" s="841"/>
      <c r="D46" s="842" t="s">
        <v>132</v>
      </c>
      <c r="E46" s="843">
        <f>'22'!F46</f>
        <v>0</v>
      </c>
      <c r="F46" s="916">
        <v>187</v>
      </c>
      <c r="G46" s="844">
        <f t="shared" si="3"/>
        <v>187</v>
      </c>
      <c r="H46" s="845">
        <f>G46+'22'!H46</f>
        <v>186.95</v>
      </c>
      <c r="I46" s="843"/>
      <c r="J46" s="847">
        <f>H46/DAY(B2)</f>
        <v>8.1282608695652172</v>
      </c>
      <c r="K46" s="863"/>
      <c r="L46" s="822"/>
      <c r="O46" s="849"/>
    </row>
    <row r="47" spans="1:15">
      <c r="A47" s="865" t="s">
        <v>176</v>
      </c>
      <c r="B47" s="866"/>
      <c r="C47" s="866"/>
      <c r="D47" s="833"/>
      <c r="E47" s="829"/>
      <c r="F47" s="829"/>
      <c r="G47" s="867">
        <f>G35+G36+G37+G38+G39+G40+G41+G42+G43+G44+G45+G46</f>
        <v>12910.603000000108</v>
      </c>
      <c r="H47" s="845">
        <f>G47+'22'!H47</f>
        <v>321944.05300000007</v>
      </c>
      <c r="I47" s="843"/>
      <c r="J47" s="847">
        <f>H47/DAY(B2)</f>
        <v>13997.567521739134</v>
      </c>
      <c r="K47" s="863"/>
      <c r="L47" s="822"/>
      <c r="N47" s="1013"/>
      <c r="O47" s="849"/>
    </row>
    <row r="48" spans="1:15">
      <c r="A48" s="914" t="s">
        <v>177</v>
      </c>
      <c r="B48" s="915"/>
      <c r="C48" s="915"/>
      <c r="D48" s="837"/>
      <c r="E48" s="836"/>
      <c r="F48" s="836"/>
      <c r="G48" s="837"/>
      <c r="H48" s="837"/>
      <c r="I48" s="837"/>
      <c r="J48" s="838"/>
      <c r="K48" s="863"/>
      <c r="L48" s="822"/>
      <c r="O48" s="849"/>
    </row>
    <row r="49" spans="1:15">
      <c r="A49" s="840" t="s">
        <v>164</v>
      </c>
      <c r="B49" s="919"/>
      <c r="C49" s="919"/>
      <c r="D49" s="842" t="s">
        <v>132</v>
      </c>
      <c r="E49" s="843">
        <f>'22'!F49</f>
        <v>260732.13</v>
      </c>
      <c r="F49" s="916">
        <v>260732.13</v>
      </c>
      <c r="G49" s="844">
        <f t="shared" ref="G49:G58" si="4">F49-E49</f>
        <v>0</v>
      </c>
      <c r="H49" s="845">
        <f>G49+'22'!H49</f>
        <v>0.13000000000465661</v>
      </c>
      <c r="I49" s="843"/>
      <c r="J49" s="847">
        <f>H49/DAY(B2)</f>
        <v>5.6521739132459397E-3</v>
      </c>
      <c r="K49" s="863"/>
      <c r="L49" s="822"/>
      <c r="O49" s="849"/>
    </row>
    <row r="50" spans="1:15">
      <c r="A50" s="840" t="s">
        <v>178</v>
      </c>
      <c r="B50" s="919"/>
      <c r="C50" s="919"/>
      <c r="D50" s="842" t="s">
        <v>132</v>
      </c>
      <c r="E50" s="843">
        <f>'22'!F50</f>
        <v>465653</v>
      </c>
      <c r="F50" s="1469">
        <v>466757.27</v>
      </c>
      <c r="G50" s="844">
        <f t="shared" si="4"/>
        <v>1104.2700000000186</v>
      </c>
      <c r="H50" s="845">
        <f>G50+'22'!H50</f>
        <v>24483.229999999981</v>
      </c>
      <c r="I50" s="843"/>
      <c r="J50" s="847">
        <f>H50/DAY(B2)</f>
        <v>1064.4882608695643</v>
      </c>
      <c r="K50" s="863"/>
      <c r="L50" s="822"/>
      <c r="O50" s="849"/>
    </row>
    <row r="51" spans="1:15">
      <c r="A51" s="840" t="s">
        <v>166</v>
      </c>
      <c r="B51" s="919"/>
      <c r="C51" s="919"/>
      <c r="D51" s="842" t="s">
        <v>132</v>
      </c>
      <c r="E51" s="843">
        <f>'22'!F51</f>
        <v>144640</v>
      </c>
      <c r="F51" s="916">
        <v>144639.87</v>
      </c>
      <c r="G51" s="844">
        <f t="shared" si="4"/>
        <v>-0.13000000000465661</v>
      </c>
      <c r="H51" s="845">
        <f>G51+'22'!H51</f>
        <v>-0.13000000000465661</v>
      </c>
      <c r="I51" s="843"/>
      <c r="J51" s="847">
        <f>H51/DAY(B2)</f>
        <v>-5.6521739132459397E-3</v>
      </c>
      <c r="K51" s="863"/>
      <c r="L51" s="822"/>
      <c r="O51" s="849"/>
    </row>
    <row r="52" spans="1:15">
      <c r="A52" s="840" t="s">
        <v>179</v>
      </c>
      <c r="B52" s="919"/>
      <c r="C52" s="919"/>
      <c r="D52" s="842" t="s">
        <v>132</v>
      </c>
      <c r="E52" s="843">
        <f>'22'!F52</f>
        <v>539606.06999999995</v>
      </c>
      <c r="F52" s="916">
        <v>539606.06999999995</v>
      </c>
      <c r="G52" s="844">
        <f t="shared" si="4"/>
        <v>0</v>
      </c>
      <c r="H52" s="845">
        <f>G52+'22'!H52</f>
        <v>6.9999999948777258E-2</v>
      </c>
      <c r="I52" s="843"/>
      <c r="J52" s="847">
        <f>H52/DAY(B2)</f>
        <v>3.0434782586424894E-3</v>
      </c>
      <c r="K52" s="863"/>
      <c r="L52" s="822"/>
      <c r="O52" s="849"/>
    </row>
    <row r="53" spans="1:15">
      <c r="A53" s="840" t="s">
        <v>168</v>
      </c>
      <c r="B53" s="919"/>
      <c r="C53" s="919"/>
      <c r="D53" s="842" t="s">
        <v>132</v>
      </c>
      <c r="E53" s="843">
        <f>'22'!F53</f>
        <v>411707</v>
      </c>
      <c r="F53" s="916">
        <v>412290.23</v>
      </c>
      <c r="G53" s="844">
        <f t="shared" si="4"/>
        <v>583.22999999998137</v>
      </c>
      <c r="H53" s="845">
        <f>G53+'22'!H53</f>
        <v>8110.429999999993</v>
      </c>
      <c r="I53" s="843"/>
      <c r="J53" s="847">
        <f>H53/DAY(B2)</f>
        <v>352.6273913043475</v>
      </c>
      <c r="K53" s="863"/>
      <c r="L53" s="822"/>
      <c r="O53" s="849"/>
    </row>
    <row r="54" spans="1:15">
      <c r="A54" s="840" t="s">
        <v>180</v>
      </c>
      <c r="B54" s="919"/>
      <c r="C54" s="919"/>
      <c r="D54" s="842" t="s">
        <v>132</v>
      </c>
      <c r="E54" s="843">
        <f>'22'!F54</f>
        <v>10788</v>
      </c>
      <c r="F54" s="916">
        <v>10862.81</v>
      </c>
      <c r="G54" s="844">
        <f t="shared" si="4"/>
        <v>74.809999999999491</v>
      </c>
      <c r="H54" s="845">
        <f>G54+'22'!H54</f>
        <v>4637.84</v>
      </c>
      <c r="I54" s="843"/>
      <c r="J54" s="847">
        <f>H54/DAY(B2)</f>
        <v>201.64521739130436</v>
      </c>
      <c r="K54" s="863"/>
      <c r="L54" s="822"/>
      <c r="O54" s="849"/>
    </row>
    <row r="55" spans="1:15">
      <c r="A55" s="840" t="s">
        <v>181</v>
      </c>
      <c r="B55" s="919"/>
      <c r="C55" s="919"/>
      <c r="D55" s="842" t="s">
        <v>132</v>
      </c>
      <c r="E55" s="843">
        <f>'22'!F55</f>
        <v>320364</v>
      </c>
      <c r="F55" s="916">
        <v>326156.15000000002</v>
      </c>
      <c r="G55" s="844">
        <f t="shared" si="4"/>
        <v>5792.1500000000233</v>
      </c>
      <c r="H55" s="845">
        <f>G55+'22'!H55</f>
        <v>104702.95000000001</v>
      </c>
      <c r="I55" s="843"/>
      <c r="J55" s="847">
        <f>H55/DAY(B2)</f>
        <v>4552.3021739130436</v>
      </c>
      <c r="K55" s="863"/>
      <c r="L55" s="822"/>
      <c r="O55" s="849"/>
    </row>
    <row r="56" spans="1:15">
      <c r="A56" s="840" t="s">
        <v>182</v>
      </c>
      <c r="B56" s="919"/>
      <c r="C56" s="919"/>
      <c r="D56" s="842" t="s">
        <v>183</v>
      </c>
      <c r="E56" s="843">
        <f>'22'!F56</f>
        <v>589178</v>
      </c>
      <c r="F56" s="916">
        <v>589187.39</v>
      </c>
      <c r="G56" s="844">
        <f t="shared" si="4"/>
        <v>9.3900000000139698</v>
      </c>
      <c r="H56" s="845">
        <f>G56+'22'!H56</f>
        <v>211.22999999998137</v>
      </c>
      <c r="I56" s="843"/>
      <c r="J56" s="847">
        <f>H56/DAY(B2)</f>
        <v>9.1839130434774514</v>
      </c>
      <c r="K56" s="839"/>
      <c r="L56" s="822"/>
      <c r="O56" s="849"/>
    </row>
    <row r="57" spans="1:15">
      <c r="A57" s="840" t="s">
        <v>172</v>
      </c>
      <c r="B57" s="919"/>
      <c r="C57" s="919"/>
      <c r="D57" s="842" t="s">
        <v>132</v>
      </c>
      <c r="E57" s="843">
        <f>'22'!F57</f>
        <v>7711</v>
      </c>
      <c r="F57" s="916">
        <v>7711</v>
      </c>
      <c r="G57" s="844">
        <f t="shared" si="4"/>
        <v>0</v>
      </c>
      <c r="H57" s="845">
        <f>G57+'22'!H57</f>
        <v>0</v>
      </c>
      <c r="I57" s="843"/>
      <c r="J57" s="847">
        <f>H57/DAY(B2)</f>
        <v>0</v>
      </c>
      <c r="K57" s="863"/>
      <c r="L57" s="822"/>
      <c r="O57" s="849"/>
    </row>
    <row r="58" spans="1:15">
      <c r="A58" s="840" t="s">
        <v>184</v>
      </c>
      <c r="B58" s="919"/>
      <c r="C58" s="919"/>
      <c r="D58" s="842" t="s">
        <v>132</v>
      </c>
      <c r="E58" s="843">
        <f>'22'!F58</f>
        <v>45539</v>
      </c>
      <c r="F58" s="916">
        <v>45721.17</v>
      </c>
      <c r="G58" s="844">
        <f t="shared" si="4"/>
        <v>182.16999999999825</v>
      </c>
      <c r="H58" s="845">
        <f>G58+'22'!H58</f>
        <v>4019.8299999999945</v>
      </c>
      <c r="I58" s="843"/>
      <c r="J58" s="847">
        <f>H58/DAY(B2)</f>
        <v>174.7752173913041</v>
      </c>
      <c r="K58" s="863"/>
      <c r="L58" s="822"/>
      <c r="O58" s="849"/>
    </row>
    <row r="59" spans="1:15">
      <c r="A59" s="865" t="s">
        <v>176</v>
      </c>
      <c r="B59" s="866"/>
      <c r="C59" s="866"/>
      <c r="D59" s="829"/>
      <c r="E59" s="829"/>
      <c r="F59" s="829"/>
      <c r="G59" s="867">
        <f>G49+G50+G51+G52+G53+G54+G55+G56+G57+G58</f>
        <v>7745.8900000000303</v>
      </c>
      <c r="H59" s="845">
        <f>G59+'22'!H59</f>
        <v>146163.57999999993</v>
      </c>
      <c r="I59" s="843">
        <f>G7-G60</f>
        <v>-725.49300000014046</v>
      </c>
      <c r="J59" s="847">
        <f>H59/DAY(B2)</f>
        <v>6354.9382608695623</v>
      </c>
      <c r="K59" s="863"/>
      <c r="L59" s="822"/>
      <c r="O59" s="849"/>
    </row>
    <row r="60" spans="1:15">
      <c r="A60" s="840"/>
      <c r="B60" s="841"/>
      <c r="C60" s="841"/>
      <c r="D60" s="829" t="s">
        <v>185</v>
      </c>
      <c r="E60" s="829"/>
      <c r="F60" s="829"/>
      <c r="G60" s="867">
        <f>G47+G59</f>
        <v>20656.49300000014</v>
      </c>
      <c r="H60" s="845">
        <f>G60+'22'!H60</f>
        <v>475307.18300000008</v>
      </c>
      <c r="I60" s="843">
        <f>G13-G60</f>
        <v>-1232.9030000001731</v>
      </c>
      <c r="J60" s="847">
        <f>H60/DAY(B2)</f>
        <v>20665.529695652178</v>
      </c>
      <c r="K60" s="863"/>
      <c r="L60" s="822"/>
      <c r="O60" s="849"/>
    </row>
    <row r="61" spans="1:15">
      <c r="A61" s="920" t="s">
        <v>186</v>
      </c>
      <c r="B61" s="921"/>
      <c r="C61" s="921"/>
      <c r="D61" s="921"/>
      <c r="E61" s="922"/>
      <c r="F61" s="922"/>
      <c r="G61" s="921"/>
      <c r="H61" s="921"/>
      <c r="I61" s="921"/>
      <c r="J61" s="923"/>
      <c r="K61" s="863"/>
      <c r="L61" s="822"/>
      <c r="O61" s="849"/>
    </row>
    <row r="62" spans="1:15">
      <c r="A62" s="924" t="s">
        <v>98</v>
      </c>
      <c r="B62" s="925"/>
      <c r="C62" s="925"/>
      <c r="D62" s="829" t="s">
        <v>187</v>
      </c>
      <c r="E62" s="843">
        <f>'22'!F62</f>
        <v>20419.2</v>
      </c>
      <c r="F62" s="926">
        <v>20419</v>
      </c>
      <c r="G62" s="844">
        <f t="shared" ref="G62:G69" si="5">F62-E62</f>
        <v>-0.2000000000007276</v>
      </c>
      <c r="H62" s="845">
        <f>G62+'22'!H62</f>
        <v>0.18199999999706051</v>
      </c>
      <c r="I62" s="927"/>
      <c r="J62" s="847">
        <f>H62/DAY(B2)</f>
        <v>7.9130434781330659E-3</v>
      </c>
      <c r="K62" s="863"/>
      <c r="L62" s="822"/>
      <c r="O62" s="849"/>
    </row>
    <row r="63" spans="1:15">
      <c r="A63" s="924" t="s">
        <v>188</v>
      </c>
      <c r="B63" s="925"/>
      <c r="C63" s="925"/>
      <c r="D63" s="829" t="s">
        <v>187</v>
      </c>
      <c r="E63" s="843">
        <f>'22'!F63</f>
        <v>2318</v>
      </c>
      <c r="F63" s="926">
        <v>2322</v>
      </c>
      <c r="G63" s="844">
        <f t="shared" si="5"/>
        <v>4</v>
      </c>
      <c r="H63" s="845">
        <f>G63+'22'!H63</f>
        <v>226</v>
      </c>
      <c r="I63" s="927"/>
      <c r="J63" s="847">
        <f>H63/DAY(B2)</f>
        <v>9.8260869565217384</v>
      </c>
      <c r="K63" s="863"/>
      <c r="L63" s="822"/>
      <c r="O63" s="849"/>
    </row>
    <row r="64" spans="1:15">
      <c r="A64" s="1608" t="s">
        <v>99</v>
      </c>
      <c r="B64" s="1609"/>
      <c r="C64" s="1610"/>
      <c r="D64" s="842" t="s">
        <v>187</v>
      </c>
      <c r="E64" s="843">
        <f>'22'!F64</f>
        <v>149809</v>
      </c>
      <c r="F64" s="873">
        <v>150314.51999999999</v>
      </c>
      <c r="G64" s="844">
        <f t="shared" si="5"/>
        <v>505.51999999998952</v>
      </c>
      <c r="H64" s="845">
        <f>G64+'22'!H64</f>
        <v>11134.51999999999</v>
      </c>
      <c r="I64" s="864"/>
      <c r="J64" s="847">
        <f>H64/DAY(B2)</f>
        <v>484.10956521739087</v>
      </c>
      <c r="K64" s="863"/>
      <c r="L64" s="822"/>
      <c r="O64" s="849"/>
    </row>
    <row r="65" spans="1:15">
      <c r="A65" s="1608" t="s">
        <v>100</v>
      </c>
      <c r="B65" s="1609"/>
      <c r="C65" s="1610"/>
      <c r="D65" s="842" t="s">
        <v>187</v>
      </c>
      <c r="E65" s="843">
        <f>'22'!F65</f>
        <v>152128</v>
      </c>
      <c r="F65" s="873">
        <v>152510.07</v>
      </c>
      <c r="G65" s="844">
        <f t="shared" si="5"/>
        <v>382.07000000000698</v>
      </c>
      <c r="H65" s="845">
        <f>G65+'22'!H65</f>
        <v>8305.070000000007</v>
      </c>
      <c r="I65" s="882"/>
      <c r="J65" s="847">
        <f>H65/DAY(B2)</f>
        <v>361.09000000000032</v>
      </c>
      <c r="K65" s="863"/>
      <c r="L65" s="822"/>
      <c r="O65" s="849"/>
    </row>
    <row r="66" spans="1:15">
      <c r="A66" s="1608" t="s">
        <v>101</v>
      </c>
      <c r="B66" s="1609"/>
      <c r="C66" s="1610"/>
      <c r="D66" s="842" t="s">
        <v>187</v>
      </c>
      <c r="E66" s="843">
        <f>'22'!F66</f>
        <v>45757</v>
      </c>
      <c r="F66" s="873">
        <v>46186.53</v>
      </c>
      <c r="G66" s="844">
        <f t="shared" si="5"/>
        <v>429.52999999999884</v>
      </c>
      <c r="H66" s="845">
        <f>G66+'22'!H66</f>
        <v>8978.5299999999988</v>
      </c>
      <c r="I66" s="864"/>
      <c r="J66" s="847">
        <f>H66/DAY(B2)</f>
        <v>390.37086956521733</v>
      </c>
      <c r="K66" s="863"/>
      <c r="L66" s="822"/>
      <c r="O66" s="849"/>
    </row>
    <row r="67" spans="1:15">
      <c r="A67" s="1608" t="s">
        <v>102</v>
      </c>
      <c r="B67" s="1609"/>
      <c r="C67" s="1610"/>
      <c r="D67" s="842" t="s">
        <v>187</v>
      </c>
      <c r="E67" s="843">
        <f>'22'!F67</f>
        <v>240310</v>
      </c>
      <c r="F67" s="873">
        <v>240763.33</v>
      </c>
      <c r="G67" s="844">
        <f t="shared" si="5"/>
        <v>453.32999999998719</v>
      </c>
      <c r="H67" s="845">
        <f>G67+'22'!H67</f>
        <v>11663.329999999987</v>
      </c>
      <c r="I67" s="882"/>
      <c r="J67" s="847">
        <f>H67/DAY(B2)</f>
        <v>507.10130434782553</v>
      </c>
      <c r="K67" s="870"/>
      <c r="L67" s="822"/>
      <c r="O67" s="849"/>
    </row>
    <row r="68" spans="1:15">
      <c r="A68" s="1608" t="s">
        <v>103</v>
      </c>
      <c r="B68" s="1609"/>
      <c r="C68" s="1610"/>
      <c r="D68" s="842" t="s">
        <v>187</v>
      </c>
      <c r="E68" s="843">
        <f>'22'!F68</f>
        <v>85321</v>
      </c>
      <c r="F68" s="873">
        <v>85321</v>
      </c>
      <c r="G68" s="844">
        <f t="shared" si="5"/>
        <v>0</v>
      </c>
      <c r="H68" s="845">
        <f>G68+'22'!H68</f>
        <v>2234</v>
      </c>
      <c r="I68" s="928"/>
      <c r="J68" s="847">
        <f>H68/DAY(B2)</f>
        <v>97.130434782608702</v>
      </c>
      <c r="K68" s="929"/>
      <c r="L68" s="822"/>
      <c r="O68" s="849"/>
    </row>
    <row r="69" spans="1:15">
      <c r="A69" s="1608" t="s">
        <v>104</v>
      </c>
      <c r="B69" s="1609"/>
      <c r="C69" s="1610"/>
      <c r="D69" s="842" t="s">
        <v>187</v>
      </c>
      <c r="E69" s="843">
        <f>'22'!F69</f>
        <v>78385</v>
      </c>
      <c r="F69" s="873">
        <v>78426.3</v>
      </c>
      <c r="G69" s="844">
        <f t="shared" si="5"/>
        <v>41.30000000000291</v>
      </c>
      <c r="H69" s="845">
        <f>G69+'22'!H69</f>
        <v>4097.3000000000029</v>
      </c>
      <c r="I69" s="928"/>
      <c r="J69" s="847">
        <f>H69/DAY(B2)</f>
        <v>178.1434782608697</v>
      </c>
      <c r="K69" s="930"/>
      <c r="L69" s="822"/>
      <c r="O69" s="849"/>
    </row>
    <row r="70" spans="1:15">
      <c r="A70" s="1617" t="s">
        <v>189</v>
      </c>
      <c r="B70" s="1618"/>
      <c r="C70" s="1619"/>
      <c r="D70" s="842" t="s">
        <v>187</v>
      </c>
      <c r="E70" s="931"/>
      <c r="F70" s="932"/>
      <c r="G70" s="932"/>
      <c r="H70" s="845">
        <f>G70+'13'!H70</f>
        <v>0</v>
      </c>
      <c r="I70" s="932"/>
      <c r="J70" s="933"/>
      <c r="K70" s="930"/>
      <c r="L70" s="822"/>
      <c r="O70" s="849"/>
    </row>
    <row r="71" spans="1:15" ht="22.5">
      <c r="A71" s="1614" t="s">
        <v>190</v>
      </c>
      <c r="B71" s="1615"/>
      <c r="C71" s="1615"/>
      <c r="D71" s="1615"/>
      <c r="E71" s="1615"/>
      <c r="F71" s="1615"/>
      <c r="G71" s="1615"/>
      <c r="H71" s="1615"/>
      <c r="I71" s="1615"/>
      <c r="J71" s="1616"/>
      <c r="K71" s="929"/>
      <c r="L71" s="822"/>
      <c r="O71" s="849"/>
    </row>
    <row r="72" spans="1:15">
      <c r="A72" s="1608" t="s">
        <v>191</v>
      </c>
      <c r="B72" s="1609"/>
      <c r="C72" s="1610"/>
      <c r="D72" s="842" t="s">
        <v>187</v>
      </c>
      <c r="E72" s="843">
        <f>'22'!F72</f>
        <v>855061</v>
      </c>
      <c r="F72" s="934">
        <v>855126</v>
      </c>
      <c r="G72" s="844">
        <f t="shared" ref="G72:G84" si="6">F72-E72</f>
        <v>65</v>
      </c>
      <c r="H72" s="845">
        <f>G72+'22'!H72</f>
        <v>1863</v>
      </c>
      <c r="I72" s="864"/>
      <c r="J72" s="847">
        <f>H72/DAY(B2)</f>
        <v>81</v>
      </c>
      <c r="K72" s="930"/>
      <c r="L72" s="822"/>
      <c r="O72" s="849"/>
    </row>
    <row r="73" spans="1:15">
      <c r="A73" s="1608" t="s">
        <v>192</v>
      </c>
      <c r="B73" s="1609"/>
      <c r="C73" s="1610"/>
      <c r="D73" s="842" t="s">
        <v>187</v>
      </c>
      <c r="E73" s="843">
        <f>'22'!F73</f>
        <v>885832</v>
      </c>
      <c r="F73" s="935">
        <v>885834</v>
      </c>
      <c r="G73" s="844">
        <f t="shared" si="6"/>
        <v>2</v>
      </c>
      <c r="H73" s="845">
        <f>G73+'22'!H73</f>
        <v>1255</v>
      </c>
      <c r="I73" s="864"/>
      <c r="J73" s="847">
        <f>H73/DAY(B2)</f>
        <v>54.565217391304351</v>
      </c>
      <c r="K73" s="929"/>
      <c r="L73" s="822"/>
      <c r="O73" s="849"/>
    </row>
    <row r="74" spans="1:15">
      <c r="A74" s="1608" t="s">
        <v>193</v>
      </c>
      <c r="B74" s="1609"/>
      <c r="C74" s="1610"/>
      <c r="D74" s="842" t="s">
        <v>187</v>
      </c>
      <c r="E74" s="843">
        <f>'22'!F74</f>
        <v>2022</v>
      </c>
      <c r="F74" s="936">
        <v>2054.98</v>
      </c>
      <c r="G74" s="844">
        <f t="shared" si="6"/>
        <v>32.980000000000018</v>
      </c>
      <c r="H74" s="845">
        <f>G74+'22'!H74</f>
        <v>684.98</v>
      </c>
      <c r="I74" s="864"/>
      <c r="J74" s="847">
        <f>H74/DAY(B2)</f>
        <v>29.781739130434783</v>
      </c>
      <c r="K74" s="930"/>
      <c r="L74" s="822"/>
      <c r="O74" s="849"/>
    </row>
    <row r="75" spans="1:15">
      <c r="A75" s="1611" t="s">
        <v>194</v>
      </c>
      <c r="B75" s="1612"/>
      <c r="C75" s="1613"/>
      <c r="D75" s="842" t="s">
        <v>187</v>
      </c>
      <c r="E75" s="843">
        <f>'22'!F75</f>
        <v>10503</v>
      </c>
      <c r="F75" s="936">
        <v>10560.05</v>
      </c>
      <c r="G75" s="844">
        <f t="shared" si="6"/>
        <v>57.049999999999272</v>
      </c>
      <c r="H75" s="845">
        <f>G75+'22'!H75</f>
        <v>1880.0499999999993</v>
      </c>
      <c r="I75" s="864"/>
      <c r="J75" s="847">
        <f>H75/DAY(B2)</f>
        <v>81.741304347826059</v>
      </c>
      <c r="K75" s="929"/>
      <c r="L75" s="822"/>
      <c r="O75" s="849"/>
    </row>
    <row r="76" spans="1:15">
      <c r="A76" s="1611" t="s">
        <v>195</v>
      </c>
      <c r="B76" s="1612"/>
      <c r="C76" s="1613"/>
      <c r="D76" s="842" t="s">
        <v>187</v>
      </c>
      <c r="E76" s="843">
        <f>'22'!F76</f>
        <v>5359</v>
      </c>
      <c r="F76" s="935">
        <v>5396.8</v>
      </c>
      <c r="G76" s="844">
        <f t="shared" si="6"/>
        <v>37.800000000000182</v>
      </c>
      <c r="H76" s="845">
        <f>G76+'22'!H76</f>
        <v>1770.8000000000002</v>
      </c>
      <c r="I76" s="907"/>
      <c r="J76" s="847">
        <f>H76/DAY(B2)</f>
        <v>76.991304347826102</v>
      </c>
      <c r="K76" s="929"/>
      <c r="L76" s="822"/>
      <c r="O76" s="849"/>
    </row>
    <row r="77" spans="1:15">
      <c r="A77" s="1608" t="s">
        <v>196</v>
      </c>
      <c r="B77" s="1609"/>
      <c r="C77" s="1610"/>
      <c r="D77" s="842" t="s">
        <v>187</v>
      </c>
      <c r="E77" s="843">
        <f>'22'!F77</f>
        <v>701203</v>
      </c>
      <c r="F77" s="935">
        <v>701243</v>
      </c>
      <c r="G77" s="844">
        <f t="shared" si="6"/>
        <v>40</v>
      </c>
      <c r="H77" s="845">
        <f>G77+'22'!H77</f>
        <v>1029</v>
      </c>
      <c r="I77" s="907"/>
      <c r="J77" s="847">
        <f>H77/DAY(B2)</f>
        <v>44.739130434782609</v>
      </c>
      <c r="K77" s="929"/>
      <c r="L77" s="822"/>
      <c r="O77" s="849"/>
    </row>
    <row r="78" spans="1:15">
      <c r="A78" s="937" t="s">
        <v>197</v>
      </c>
      <c r="B78" s="1140"/>
      <c r="C78" s="1140"/>
      <c r="D78" s="842" t="s">
        <v>187</v>
      </c>
      <c r="E78" s="843">
        <f>'22'!F78</f>
        <v>669346</v>
      </c>
      <c r="F78" s="936">
        <v>669435</v>
      </c>
      <c r="G78" s="844">
        <f t="shared" si="6"/>
        <v>89</v>
      </c>
      <c r="H78" s="845">
        <f>G78+'22'!H78</f>
        <v>4055</v>
      </c>
      <c r="I78" s="907"/>
      <c r="J78" s="847">
        <f>H78/DAY(B2)</f>
        <v>176.30434782608697</v>
      </c>
      <c r="K78" s="929"/>
      <c r="L78" s="822"/>
      <c r="O78" s="849"/>
    </row>
    <row r="79" spans="1:15">
      <c r="A79" s="1611" t="s">
        <v>92</v>
      </c>
      <c r="B79" s="1612"/>
      <c r="C79" s="1613"/>
      <c r="D79" s="876" t="s">
        <v>187</v>
      </c>
      <c r="E79" s="843">
        <f>'22'!F79</f>
        <v>825300</v>
      </c>
      <c r="F79" s="1235">
        <v>825480</v>
      </c>
      <c r="G79" s="844">
        <f t="shared" si="6"/>
        <v>180</v>
      </c>
      <c r="H79" s="845">
        <f>G79+'22'!H79</f>
        <v>5289</v>
      </c>
      <c r="I79" s="907"/>
      <c r="J79" s="847">
        <f>H79/DAY(B2)</f>
        <v>229.95652173913044</v>
      </c>
      <c r="K79" s="929"/>
      <c r="L79" s="822"/>
      <c r="O79" s="849"/>
    </row>
    <row r="80" spans="1:15">
      <c r="A80" s="1611" t="s">
        <v>198</v>
      </c>
      <c r="B80" s="1612"/>
      <c r="C80" s="1613"/>
      <c r="D80" s="876" t="s">
        <v>187</v>
      </c>
      <c r="E80" s="843">
        <f>'22'!F80</f>
        <v>513749</v>
      </c>
      <c r="F80" s="935">
        <v>514128.76</v>
      </c>
      <c r="G80" s="844">
        <f t="shared" si="6"/>
        <v>379.76000000000931</v>
      </c>
      <c r="H80" s="845">
        <f>G80+'22'!H80</f>
        <v>6200.7600000000093</v>
      </c>
      <c r="I80" s="907"/>
      <c r="J80" s="847">
        <f>H80/DAY(B2)</f>
        <v>269.59826086956565</v>
      </c>
      <c r="K80" s="929"/>
      <c r="L80" s="822"/>
      <c r="O80" s="849"/>
    </row>
    <row r="81" spans="1:15">
      <c r="A81" s="1611" t="s">
        <v>199</v>
      </c>
      <c r="B81" s="1612"/>
      <c r="C81" s="1613"/>
      <c r="D81" s="876" t="s">
        <v>187</v>
      </c>
      <c r="E81" s="843">
        <f>'22'!F81</f>
        <v>635486</v>
      </c>
      <c r="F81" s="935">
        <v>635688.28</v>
      </c>
      <c r="G81" s="844">
        <f t="shared" si="6"/>
        <v>202.28000000002794</v>
      </c>
      <c r="H81" s="845">
        <f>G81+'22'!H81</f>
        <v>5503.2800000000279</v>
      </c>
      <c r="I81" s="907"/>
      <c r="J81" s="847">
        <f>H81/DAY(B2)</f>
        <v>239.27304347826208</v>
      </c>
      <c r="K81" s="929"/>
      <c r="L81" s="822"/>
      <c r="O81" s="849"/>
    </row>
    <row r="82" spans="1:15">
      <c r="A82" s="1611" t="s">
        <v>93</v>
      </c>
      <c r="B82" s="1612"/>
      <c r="C82" s="1613"/>
      <c r="D82" s="877" t="s">
        <v>132</v>
      </c>
      <c r="E82" s="843">
        <f>'22'!F82</f>
        <v>107430</v>
      </c>
      <c r="F82" s="938">
        <v>107450.3</v>
      </c>
      <c r="G82" s="844">
        <f t="shared" si="6"/>
        <v>20.30000000000291</v>
      </c>
      <c r="H82" s="845">
        <f>G82+'22'!H82</f>
        <v>555.30000000000291</v>
      </c>
      <c r="I82" s="878"/>
      <c r="J82" s="847">
        <f>H82/DAY(B2)</f>
        <v>24.143478260869692</v>
      </c>
      <c r="K82" s="929"/>
      <c r="L82" s="822"/>
      <c r="O82" s="849"/>
    </row>
    <row r="83" spans="1:15">
      <c r="A83" s="1611" t="s">
        <v>200</v>
      </c>
      <c r="B83" s="1612"/>
      <c r="C83" s="1613"/>
      <c r="D83" s="939" t="s">
        <v>132</v>
      </c>
      <c r="E83" s="843">
        <f>'22'!F83</f>
        <v>12975</v>
      </c>
      <c r="F83" s="1278">
        <v>13149</v>
      </c>
      <c r="G83" s="844">
        <f t="shared" si="6"/>
        <v>174</v>
      </c>
      <c r="H83" s="845">
        <f>G83+'22'!H83</f>
        <v>6092</v>
      </c>
      <c r="I83" s="867"/>
      <c r="J83" s="847">
        <f>H83/DAY(B2)</f>
        <v>264.86956521739131</v>
      </c>
      <c r="K83" s="870"/>
      <c r="L83" s="822"/>
      <c r="O83" s="849"/>
    </row>
    <row r="84" spans="1:15">
      <c r="A84" s="940" t="s">
        <v>201</v>
      </c>
      <c r="B84" s="941"/>
      <c r="C84" s="941"/>
      <c r="D84" s="861" t="s">
        <v>132</v>
      </c>
      <c r="E84" s="843">
        <f>'22'!F84</f>
        <v>473853</v>
      </c>
      <c r="F84" s="942">
        <v>474641</v>
      </c>
      <c r="G84" s="844">
        <f t="shared" si="6"/>
        <v>788</v>
      </c>
      <c r="H84" s="845">
        <f>G84+'22'!H84</f>
        <v>19957</v>
      </c>
      <c r="I84" s="867"/>
      <c r="J84" s="847">
        <f>H84/DAY(B2)</f>
        <v>867.695652173913</v>
      </c>
      <c r="K84" s="943"/>
      <c r="L84" s="822"/>
      <c r="O84" s="849"/>
    </row>
    <row r="85" spans="1:15" s="947" customFormat="1">
      <c r="A85" s="944" t="s">
        <v>202</v>
      </c>
      <c r="B85" s="945"/>
      <c r="C85" s="945"/>
      <c r="D85" s="882"/>
      <c r="E85" s="843"/>
      <c r="F85" s="842"/>
      <c r="G85" s="845">
        <f xml:space="preserve"> SUM(G72:G84)</f>
        <v>2068.1700000000396</v>
      </c>
      <c r="H85" s="845">
        <f>G85+'22'!H85</f>
        <v>55794.170000000042</v>
      </c>
      <c r="I85" s="867"/>
      <c r="J85" s="847">
        <f>H85/DAY(B2)</f>
        <v>2425.8334782608713</v>
      </c>
      <c r="K85" s="943"/>
      <c r="L85" s="946"/>
      <c r="N85" s="1014"/>
      <c r="O85" s="849"/>
    </row>
    <row r="86" spans="1:15" s="957" customFormat="1">
      <c r="A86" s="948" t="s">
        <v>94</v>
      </c>
      <c r="B86" s="949"/>
      <c r="C86" s="949"/>
      <c r="D86" s="950" t="s">
        <v>183</v>
      </c>
      <c r="E86" s="843">
        <f>'22'!F86</f>
        <v>458325</v>
      </c>
      <c r="F86" s="951">
        <v>458356.36</v>
      </c>
      <c r="G86" s="952">
        <f t="shared" ref="G86:G88" si="7">F86-E86</f>
        <v>31.35999999998603</v>
      </c>
      <c r="H86" s="952">
        <f t="shared" ref="H86:H88" si="8">G86</f>
        <v>31.35999999998603</v>
      </c>
      <c r="I86" s="953"/>
      <c r="J86" s="954">
        <f>H86/DAY(B2)</f>
        <v>1.3634782608689577</v>
      </c>
      <c r="K86" s="955"/>
      <c r="L86" s="956"/>
      <c r="N86" s="1015"/>
      <c r="O86" s="849"/>
    </row>
    <row r="87" spans="1:15" s="957" customFormat="1">
      <c r="A87" s="948" t="s">
        <v>95</v>
      </c>
      <c r="B87" s="949"/>
      <c r="C87" s="949"/>
      <c r="D87" s="950" t="s">
        <v>183</v>
      </c>
      <c r="E87" s="843">
        <f>'22'!F87</f>
        <v>80813</v>
      </c>
      <c r="F87" s="951">
        <v>80823</v>
      </c>
      <c r="G87" s="952">
        <f t="shared" si="7"/>
        <v>10</v>
      </c>
      <c r="H87" s="952">
        <f t="shared" si="8"/>
        <v>10</v>
      </c>
      <c r="I87" s="953"/>
      <c r="J87" s="954">
        <f>H87/DAY(B2)</f>
        <v>0.43478260869565216</v>
      </c>
      <c r="K87" s="955"/>
      <c r="L87" s="956"/>
      <c r="N87" s="1015"/>
      <c r="O87" s="849"/>
    </row>
    <row r="88" spans="1:15" s="957" customFormat="1">
      <c r="A88" s="948" t="s">
        <v>96</v>
      </c>
      <c r="B88" s="949"/>
      <c r="C88" s="949"/>
      <c r="D88" s="950" t="s">
        <v>183</v>
      </c>
      <c r="E88" s="843">
        <f>'22'!F88</f>
        <v>151518</v>
      </c>
      <c r="F88" s="951">
        <v>151542.20000000001</v>
      </c>
      <c r="G88" s="952">
        <f t="shared" si="7"/>
        <v>24.200000000011642</v>
      </c>
      <c r="H88" s="952">
        <f t="shared" si="8"/>
        <v>24.200000000011642</v>
      </c>
      <c r="I88" s="953"/>
      <c r="J88" s="954">
        <f>H88/DAY(B2)</f>
        <v>1.0521739130439844</v>
      </c>
      <c r="K88" s="955"/>
      <c r="L88" s="956"/>
      <c r="N88" s="1015"/>
      <c r="O88" s="849"/>
    </row>
    <row r="89" spans="1:15" s="957" customFormat="1">
      <c r="A89" s="948" t="s">
        <v>204</v>
      </c>
      <c r="B89" s="949"/>
      <c r="C89" s="949"/>
      <c r="D89" s="950" t="s">
        <v>183</v>
      </c>
      <c r="E89" s="843">
        <f>'22'!F89</f>
        <v>64504</v>
      </c>
      <c r="F89" s="951">
        <v>64546</v>
      </c>
      <c r="G89" s="952">
        <f t="shared" ref="G89:G90" si="9">F89-E89</f>
        <v>42</v>
      </c>
      <c r="H89" s="952">
        <f>G89</f>
        <v>42</v>
      </c>
      <c r="I89" s="953"/>
      <c r="J89" s="954">
        <f>H89/DAY(B2)</f>
        <v>1.826086956521739</v>
      </c>
      <c r="K89" s="955"/>
      <c r="L89" s="956"/>
      <c r="N89" s="1016"/>
      <c r="O89" s="849"/>
    </row>
    <row r="90" spans="1:15" s="957" customFormat="1">
      <c r="A90" s="948" t="s">
        <v>204</v>
      </c>
      <c r="B90" s="949"/>
      <c r="C90" s="949"/>
      <c r="D90" s="950" t="s">
        <v>183</v>
      </c>
      <c r="E90" s="843">
        <f>'22'!F90</f>
        <v>3272</v>
      </c>
      <c r="F90" s="951">
        <v>3272.7</v>
      </c>
      <c r="G90" s="952">
        <f t="shared" si="9"/>
        <v>0.6999999999998181</v>
      </c>
      <c r="H90" s="952">
        <f>G90</f>
        <v>0.6999999999998181</v>
      </c>
      <c r="I90" s="953"/>
      <c r="J90" s="954">
        <f>H90/DAY(B2)</f>
        <v>3.0434782608687743E-2</v>
      </c>
      <c r="K90" s="955"/>
      <c r="L90" s="956"/>
      <c r="N90" s="1016"/>
      <c r="O90" s="849"/>
    </row>
    <row r="91" spans="1:15" s="947" customFormat="1">
      <c r="A91" s="958" t="s">
        <v>205</v>
      </c>
      <c r="B91" s="837"/>
      <c r="C91" s="837"/>
      <c r="D91" s="837"/>
      <c r="E91" s="837"/>
      <c r="F91" s="837"/>
      <c r="G91" s="881"/>
      <c r="H91" s="837"/>
      <c r="I91" s="837"/>
      <c r="J91" s="838"/>
      <c r="K91" s="943"/>
      <c r="L91" s="946"/>
      <c r="N91" s="1014"/>
      <c r="O91" s="849"/>
    </row>
    <row r="92" spans="1:15">
      <c r="A92" s="1602" t="s">
        <v>206</v>
      </c>
      <c r="B92" s="1603"/>
      <c r="C92" s="1604"/>
      <c r="D92" s="842" t="s">
        <v>144</v>
      </c>
      <c r="E92" s="843">
        <f>'22'!F92</f>
        <v>244138</v>
      </c>
      <c r="F92" s="873">
        <v>244204</v>
      </c>
      <c r="G92" s="844">
        <f t="shared" ref="G92:G93" si="10">F92-E92</f>
        <v>66</v>
      </c>
      <c r="H92" s="845">
        <f>G92+'22'!H92</f>
        <v>1558</v>
      </c>
      <c r="I92" s="864"/>
      <c r="J92" s="847">
        <f>H92/DAY(B2)</f>
        <v>67.739130434782609</v>
      </c>
      <c r="K92" s="870"/>
      <c r="L92" s="822"/>
      <c r="O92" s="849"/>
    </row>
    <row r="93" spans="1:15">
      <c r="A93" s="1602" t="s">
        <v>207</v>
      </c>
      <c r="B93" s="1603"/>
      <c r="C93" s="1604"/>
      <c r="D93" s="842" t="s">
        <v>144</v>
      </c>
      <c r="E93" s="843">
        <f>'22'!F93</f>
        <v>182796</v>
      </c>
      <c r="F93" s="1277">
        <v>182874</v>
      </c>
      <c r="G93" s="844">
        <f t="shared" si="10"/>
        <v>78</v>
      </c>
      <c r="H93" s="845">
        <f>G93+'22'!H93</f>
        <v>3195</v>
      </c>
      <c r="I93" s="864"/>
      <c r="J93" s="847">
        <f>H93/DAY(B2)</f>
        <v>138.91304347826087</v>
      </c>
      <c r="K93" s="943"/>
      <c r="L93" s="822"/>
      <c r="O93" s="849"/>
    </row>
    <row r="94" spans="1:15">
      <c r="A94" s="1594" t="s">
        <v>208</v>
      </c>
      <c r="B94" s="1595"/>
      <c r="C94" s="1596"/>
      <c r="D94" s="842"/>
      <c r="E94" s="843">
        <f>'22'!F94</f>
        <v>0</v>
      </c>
      <c r="F94" s="873"/>
      <c r="G94" s="844">
        <f>G92+G93</f>
        <v>144</v>
      </c>
      <c r="H94" s="845">
        <f>G94+'22'!H94</f>
        <v>4534</v>
      </c>
      <c r="I94" s="864"/>
      <c r="J94" s="847">
        <f>H94/DAY(B2)</f>
        <v>197.13043478260869</v>
      </c>
      <c r="K94" s="943"/>
      <c r="L94" s="822"/>
      <c r="O94" s="849"/>
    </row>
    <row r="95" spans="1:15">
      <c r="A95" s="1602" t="s">
        <v>209</v>
      </c>
      <c r="B95" s="1603"/>
      <c r="C95" s="1604"/>
      <c r="D95" s="842" t="s">
        <v>144</v>
      </c>
      <c r="E95" s="843">
        <f>'22'!F95</f>
        <v>412357</v>
      </c>
      <c r="F95" s="873">
        <v>412422</v>
      </c>
      <c r="G95" s="844">
        <f t="shared" ref="G95:G100" si="11">F95-E95</f>
        <v>65</v>
      </c>
      <c r="H95" s="845">
        <f>G95+'22'!H95</f>
        <v>1637</v>
      </c>
      <c r="I95" s="864"/>
      <c r="J95" s="847">
        <f>H95/DAY(B2)</f>
        <v>71.173913043478265</v>
      </c>
      <c r="K95" s="943"/>
      <c r="L95" s="822"/>
      <c r="O95" s="849"/>
    </row>
    <row r="96" spans="1:15">
      <c r="A96" s="871" t="s">
        <v>210</v>
      </c>
      <c r="B96" s="872"/>
      <c r="C96" s="872"/>
      <c r="D96" s="842" t="s">
        <v>144</v>
      </c>
      <c r="E96" s="843">
        <f>'22'!F96</f>
        <v>102215</v>
      </c>
      <c r="F96" s="873">
        <v>102234</v>
      </c>
      <c r="G96" s="844">
        <f t="shared" si="11"/>
        <v>19</v>
      </c>
      <c r="H96" s="845">
        <f>G96+'22'!H96</f>
        <v>403</v>
      </c>
      <c r="I96" s="864"/>
      <c r="J96" s="847">
        <f>H96/DAY(B2)</f>
        <v>17.521739130434781</v>
      </c>
      <c r="K96" s="839"/>
      <c r="L96" s="822"/>
      <c r="O96" s="849"/>
    </row>
    <row r="97" spans="1:15">
      <c r="A97" s="871" t="s">
        <v>211</v>
      </c>
      <c r="B97" s="872"/>
      <c r="C97" s="872"/>
      <c r="D97" s="842" t="s">
        <v>144</v>
      </c>
      <c r="E97" s="843">
        <f>'22'!F97</f>
        <v>97312</v>
      </c>
      <c r="F97" s="873">
        <v>97333</v>
      </c>
      <c r="G97" s="844">
        <f t="shared" si="11"/>
        <v>21</v>
      </c>
      <c r="H97" s="845">
        <f>G97+'22'!H97</f>
        <v>405</v>
      </c>
      <c r="I97" s="864"/>
      <c r="J97" s="847">
        <f>H97/DAY(B2)</f>
        <v>17.608695652173914</v>
      </c>
      <c r="K97" s="959"/>
      <c r="L97" s="822"/>
      <c r="O97" s="849"/>
    </row>
    <row r="98" spans="1:15">
      <c r="A98" s="871" t="s">
        <v>212</v>
      </c>
      <c r="B98" s="872"/>
      <c r="C98" s="872"/>
      <c r="D98" s="842" t="s">
        <v>144</v>
      </c>
      <c r="E98" s="843">
        <f>'22'!F98</f>
        <v>149479</v>
      </c>
      <c r="F98" s="873">
        <v>149485</v>
      </c>
      <c r="G98" s="844">
        <f t="shared" si="11"/>
        <v>6</v>
      </c>
      <c r="H98" s="845">
        <f>G98+'22'!H98</f>
        <v>576</v>
      </c>
      <c r="I98" s="864"/>
      <c r="J98" s="847">
        <f>H98/DAY(B2)</f>
        <v>25.043478260869566</v>
      </c>
      <c r="K98" s="943"/>
      <c r="L98" s="822"/>
      <c r="O98" s="849"/>
    </row>
    <row r="99" spans="1:15">
      <c r="A99" s="871" t="s">
        <v>213</v>
      </c>
      <c r="B99" s="872"/>
      <c r="C99" s="872"/>
      <c r="D99" s="842" t="s">
        <v>144</v>
      </c>
      <c r="E99" s="843">
        <f>'22'!F99</f>
        <v>7135</v>
      </c>
      <c r="F99" s="873">
        <v>7149</v>
      </c>
      <c r="G99" s="844">
        <f t="shared" si="11"/>
        <v>14</v>
      </c>
      <c r="H99" s="845">
        <f>G99+'22'!H99</f>
        <v>294</v>
      </c>
      <c r="I99" s="864"/>
      <c r="J99" s="847">
        <f>H99/DAY(B2)</f>
        <v>12.782608695652174</v>
      </c>
      <c r="K99" s="943"/>
      <c r="L99" s="822"/>
      <c r="O99" s="849"/>
    </row>
    <row r="100" spans="1:15">
      <c r="A100" s="871" t="s">
        <v>214</v>
      </c>
      <c r="B100" s="872"/>
      <c r="C100" s="872"/>
      <c r="D100" s="842" t="s">
        <v>144</v>
      </c>
      <c r="E100" s="843">
        <f>'22'!F100</f>
        <v>5094</v>
      </c>
      <c r="F100" s="873">
        <v>5100</v>
      </c>
      <c r="G100" s="844">
        <f t="shared" si="11"/>
        <v>6</v>
      </c>
      <c r="H100" s="845">
        <f>G100+'22'!H100</f>
        <v>157</v>
      </c>
      <c r="I100" s="864"/>
      <c r="J100" s="847">
        <f>H100/DAY(B2)</f>
        <v>6.8260869565217392</v>
      </c>
      <c r="K100" s="943"/>
      <c r="L100" s="822"/>
      <c r="O100" s="849"/>
    </row>
    <row r="101" spans="1:15">
      <c r="A101" s="1594" t="s">
        <v>216</v>
      </c>
      <c r="B101" s="1595"/>
      <c r="C101" s="1596"/>
      <c r="D101" s="876"/>
      <c r="E101" s="876"/>
      <c r="F101" s="876"/>
      <c r="G101" s="960">
        <f>SUM(G95:G100)</f>
        <v>131</v>
      </c>
      <c r="H101" s="845">
        <f>G101+'22'!H101</f>
        <v>3472</v>
      </c>
      <c r="I101" s="961"/>
      <c r="J101" s="847">
        <f>H101/DAY(B2)</f>
        <v>150.95652173913044</v>
      </c>
      <c r="K101" s="943"/>
      <c r="L101" s="822"/>
      <c r="O101" s="849"/>
    </row>
    <row r="102" spans="1:15" s="894" customFormat="1">
      <c r="A102" s="962" t="s">
        <v>217</v>
      </c>
      <c r="B102" s="963"/>
      <c r="C102" s="963"/>
      <c r="D102" s="964"/>
      <c r="E102" s="965"/>
      <c r="F102" s="966"/>
      <c r="G102" s="967"/>
      <c r="H102" s="968"/>
      <c r="I102" s="969"/>
      <c r="J102" s="970"/>
      <c r="N102" s="1012"/>
      <c r="O102" s="849"/>
    </row>
    <row r="103" spans="1:15" s="894" customFormat="1">
      <c r="A103" s="1591" t="s">
        <v>218</v>
      </c>
      <c r="B103" s="1592"/>
      <c r="C103" s="971"/>
      <c r="D103" s="972"/>
      <c r="E103" s="973"/>
      <c r="F103" s="973"/>
      <c r="G103" s="973"/>
      <c r="H103" s="974"/>
      <c r="I103" s="973"/>
      <c r="J103" s="975"/>
      <c r="N103" s="1012"/>
      <c r="O103" s="849"/>
    </row>
    <row r="104" spans="1:15" s="894" customFormat="1">
      <c r="A104" s="1585" t="s">
        <v>219</v>
      </c>
      <c r="B104" s="1586"/>
      <c r="C104" s="976"/>
      <c r="D104" s="972" t="s">
        <v>144</v>
      </c>
      <c r="E104" s="973">
        <f>'22'!F104</f>
        <v>7405</v>
      </c>
      <c r="F104" s="973">
        <v>7409</v>
      </c>
      <c r="G104" s="973">
        <f>F104-E104</f>
        <v>4</v>
      </c>
      <c r="H104" s="974">
        <f>SUM(G104+'1'!G76)</f>
        <v>63</v>
      </c>
      <c r="I104" s="973"/>
      <c r="J104" s="975">
        <f>H104/DAY(B2)</f>
        <v>2.7391304347826089</v>
      </c>
      <c r="N104" s="1012"/>
      <c r="O104" s="849"/>
    </row>
    <row r="105" spans="1:15" s="894" customFormat="1">
      <c r="A105" s="1585" t="s">
        <v>77</v>
      </c>
      <c r="B105" s="1586"/>
      <c r="C105" s="976"/>
      <c r="D105" s="972" t="s">
        <v>144</v>
      </c>
      <c r="E105" s="973">
        <f>'22'!F105</f>
        <v>35779</v>
      </c>
      <c r="F105" s="1279">
        <v>35788</v>
      </c>
      <c r="G105" s="973">
        <f t="shared" ref="G105:G106" si="12">F105-E105</f>
        <v>9</v>
      </c>
      <c r="H105" s="974">
        <f>SUM(G105+'1'!G77)</f>
        <v>59</v>
      </c>
      <c r="I105" s="973"/>
      <c r="J105" s="975">
        <f>H105/DAY(B2)</f>
        <v>2.5652173913043477</v>
      </c>
      <c r="N105" s="1012"/>
      <c r="O105" s="849"/>
    </row>
    <row r="106" spans="1:15" s="894" customFormat="1">
      <c r="A106" s="1585" t="s">
        <v>78</v>
      </c>
      <c r="B106" s="1593"/>
      <c r="C106" s="1586"/>
      <c r="D106" s="972" t="s">
        <v>144</v>
      </c>
      <c r="E106" s="973">
        <f>'22'!F106</f>
        <v>19571</v>
      </c>
      <c r="F106" s="973">
        <v>19577</v>
      </c>
      <c r="G106" s="973">
        <f t="shared" si="12"/>
        <v>6</v>
      </c>
      <c r="H106" s="974">
        <f>SUM(G106+'1'!G78)</f>
        <v>401</v>
      </c>
      <c r="I106" s="973"/>
      <c r="J106" s="975">
        <f>H106/DAY(B2)</f>
        <v>17.434782608695652</v>
      </c>
      <c r="N106" s="1012"/>
      <c r="O106" s="849"/>
    </row>
    <row r="107" spans="1:15" s="894" customFormat="1">
      <c r="A107" s="1587" t="s">
        <v>202</v>
      </c>
      <c r="B107" s="1588"/>
      <c r="C107" s="976"/>
      <c r="D107" s="972"/>
      <c r="E107" s="973">
        <f>'22'!F107</f>
        <v>0</v>
      </c>
      <c r="F107" s="973"/>
      <c r="G107" s="973">
        <f>SUM(G104:G106)</f>
        <v>19</v>
      </c>
      <c r="H107" s="974">
        <f>SUM(G107+'1'!G79)</f>
        <v>213</v>
      </c>
      <c r="I107" s="973"/>
      <c r="J107" s="975">
        <f>H107/DAY(B2)</f>
        <v>9.2608695652173907</v>
      </c>
      <c r="N107" s="1012"/>
      <c r="O107" s="849"/>
    </row>
    <row r="108" spans="1:15" s="894" customFormat="1">
      <c r="A108" s="1583" t="s">
        <v>79</v>
      </c>
      <c r="B108" s="1584"/>
      <c r="C108" s="976"/>
      <c r="D108" s="972" t="s">
        <v>144</v>
      </c>
      <c r="E108" s="973">
        <f>'22'!F108</f>
        <v>0</v>
      </c>
      <c r="F108" s="973"/>
      <c r="G108" s="973"/>
      <c r="H108" s="974"/>
      <c r="I108" s="973"/>
      <c r="J108" s="975"/>
      <c r="N108" s="1012"/>
      <c r="O108" s="849"/>
    </row>
    <row r="109" spans="1:15" s="894" customFormat="1">
      <c r="A109" s="1585" t="s">
        <v>220</v>
      </c>
      <c r="B109" s="1586"/>
      <c r="C109" s="976"/>
      <c r="D109" s="972" t="s">
        <v>144</v>
      </c>
      <c r="E109" s="973">
        <f>'22'!F109</f>
        <v>60541</v>
      </c>
      <c r="F109" s="973">
        <v>60602</v>
      </c>
      <c r="G109" s="973">
        <f>F109-E109</f>
        <v>61</v>
      </c>
      <c r="H109" s="974">
        <f>SUM(G109+'1'!G81)</f>
        <v>259</v>
      </c>
      <c r="I109" s="973"/>
      <c r="J109" s="975">
        <f>H109/DAY(B2)</f>
        <v>11.260869565217391</v>
      </c>
      <c r="N109" s="1012"/>
      <c r="O109" s="849"/>
    </row>
    <row r="110" spans="1:15" s="894" customFormat="1">
      <c r="A110" s="1585" t="s">
        <v>221</v>
      </c>
      <c r="B110" s="1586"/>
      <c r="C110" s="976"/>
      <c r="D110" s="972" t="s">
        <v>144</v>
      </c>
      <c r="E110" s="973">
        <f>'22'!F110</f>
        <v>32156</v>
      </c>
      <c r="F110" s="1279">
        <v>32165</v>
      </c>
      <c r="G110" s="973">
        <f t="shared" ref="G110:G111" si="13">F110-E110</f>
        <v>9</v>
      </c>
      <c r="H110" s="974">
        <f>SUM(G110+'1'!G82)</f>
        <v>32</v>
      </c>
      <c r="I110" s="973"/>
      <c r="J110" s="975">
        <f>H110/DAY(B2)</f>
        <v>1.3913043478260869</v>
      </c>
      <c r="N110" s="1012"/>
      <c r="O110" s="849"/>
    </row>
    <row r="111" spans="1:15" s="894" customFormat="1">
      <c r="A111" s="1585" t="s">
        <v>222</v>
      </c>
      <c r="B111" s="1586"/>
      <c r="C111" s="976"/>
      <c r="D111" s="972" t="s">
        <v>144</v>
      </c>
      <c r="E111" s="973">
        <f>'22'!F111</f>
        <v>4326</v>
      </c>
      <c r="F111" s="1279">
        <v>4346</v>
      </c>
      <c r="G111" s="973">
        <f t="shared" si="13"/>
        <v>20</v>
      </c>
      <c r="H111" s="974">
        <f>SUM(G111+'1'!G83)</f>
        <v>259</v>
      </c>
      <c r="I111" s="973"/>
      <c r="J111" s="975">
        <f>H111/DAY(B2)</f>
        <v>11.260869565217391</v>
      </c>
      <c r="N111" s="1012"/>
      <c r="O111" s="849"/>
    </row>
    <row r="112" spans="1:15" s="894" customFormat="1">
      <c r="A112" s="1589" t="s">
        <v>110</v>
      </c>
      <c r="B112" s="1590"/>
      <c r="C112" s="976"/>
      <c r="D112" s="972"/>
      <c r="E112" s="973">
        <f>'22'!F112</f>
        <v>0</v>
      </c>
      <c r="F112" s="973"/>
      <c r="G112" s="973">
        <f>SUM(G109:G111)</f>
        <v>90</v>
      </c>
      <c r="H112" s="974">
        <f>SUM(G112+'1'!G84)</f>
        <v>1005</v>
      </c>
      <c r="I112" s="973"/>
      <c r="J112" s="975">
        <f>H112/DAY(B2)</f>
        <v>43.695652173913047</v>
      </c>
      <c r="N112" s="1012"/>
      <c r="O112" s="849"/>
    </row>
    <row r="113" spans="1:15" s="894" customFormat="1">
      <c r="A113" s="1583" t="s">
        <v>223</v>
      </c>
      <c r="B113" s="1584"/>
      <c r="C113" s="976"/>
      <c r="D113" s="972"/>
      <c r="E113" s="973">
        <f>'22'!F113</f>
        <v>0</v>
      </c>
      <c r="F113" s="973"/>
      <c r="G113" s="973"/>
      <c r="H113" s="974"/>
      <c r="I113" s="973"/>
      <c r="J113" s="975">
        <f>H113/DAY(B2)</f>
        <v>0</v>
      </c>
      <c r="N113" s="1012"/>
      <c r="O113" s="849"/>
    </row>
    <row r="114" spans="1:15" s="894" customFormat="1">
      <c r="A114" s="1585" t="s">
        <v>224</v>
      </c>
      <c r="B114" s="1586"/>
      <c r="C114" s="978"/>
      <c r="D114" s="972" t="s">
        <v>144</v>
      </c>
      <c r="E114" s="973">
        <f>'22'!F114</f>
        <v>11195</v>
      </c>
      <c r="F114" s="977">
        <v>11212</v>
      </c>
      <c r="G114" s="977">
        <f>F114-E114</f>
        <v>17</v>
      </c>
      <c r="H114" s="974">
        <f>SUM(G114+'1'!G91)</f>
        <v>17</v>
      </c>
      <c r="I114" s="973"/>
      <c r="J114" s="975">
        <f>H114/DAY(B2)</f>
        <v>0.73913043478260865</v>
      </c>
      <c r="N114" s="1012"/>
      <c r="O114" s="849"/>
    </row>
    <row r="115" spans="1:15" s="894" customFormat="1">
      <c r="A115" s="1585" t="s">
        <v>225</v>
      </c>
      <c r="B115" s="1586"/>
      <c r="C115" s="978"/>
      <c r="D115" s="972" t="s">
        <v>144</v>
      </c>
      <c r="E115" s="973">
        <f>'22'!F115</f>
        <v>8094</v>
      </c>
      <c r="F115" s="977">
        <v>8098</v>
      </c>
      <c r="G115" s="977">
        <f t="shared" ref="G115:G116" si="14">F115-E115</f>
        <v>4</v>
      </c>
      <c r="H115" s="974">
        <f>SUM(G115+'1'!G92)</f>
        <v>96</v>
      </c>
      <c r="I115" s="973"/>
      <c r="J115" s="975">
        <f>H115/DAY(B2)</f>
        <v>4.1739130434782608</v>
      </c>
      <c r="N115" s="1012"/>
      <c r="O115" s="849"/>
    </row>
    <row r="116" spans="1:15" s="894" customFormat="1">
      <c r="A116" s="1585" t="s">
        <v>226</v>
      </c>
      <c r="B116" s="1586"/>
      <c r="C116" s="978"/>
      <c r="D116" s="972" t="s">
        <v>144</v>
      </c>
      <c r="E116" s="977"/>
      <c r="F116" s="977"/>
      <c r="G116" s="977">
        <f t="shared" si="14"/>
        <v>0</v>
      </c>
      <c r="H116" s="974">
        <f>SUM(G116+'1'!G93)</f>
        <v>127</v>
      </c>
      <c r="I116" s="973"/>
      <c r="J116" s="975">
        <f>H116/DAY(B2)</f>
        <v>5.5217391304347823</v>
      </c>
      <c r="N116" s="1012"/>
      <c r="O116" s="849"/>
    </row>
    <row r="117" spans="1:15" s="980" customFormat="1">
      <c r="A117" s="1587" t="s">
        <v>202</v>
      </c>
      <c r="B117" s="1588"/>
      <c r="C117" s="978"/>
      <c r="D117" s="979"/>
      <c r="E117" s="977"/>
      <c r="F117" s="977"/>
      <c r="G117" s="977">
        <f>SUM(G114:G116)</f>
        <v>21</v>
      </c>
      <c r="H117" s="974">
        <f>SUM(G117+'1'!G95)</f>
        <v>98</v>
      </c>
      <c r="I117" s="977"/>
      <c r="J117" s="975">
        <f>H117/DAY(B2)</f>
        <v>4.2608695652173916</v>
      </c>
      <c r="N117" s="1017"/>
      <c r="O117" s="849"/>
    </row>
    <row r="118" spans="1:15" s="772" customFormat="1">
      <c r="A118" s="1579" t="s">
        <v>227</v>
      </c>
      <c r="B118" s="1580"/>
      <c r="C118" s="981"/>
      <c r="D118" s="982" t="s">
        <v>144</v>
      </c>
      <c r="E118" s="983"/>
      <c r="F118" s="984"/>
      <c r="G118" s="984">
        <f>SUM(G19+G92)</f>
        <v>124</v>
      </c>
      <c r="H118" s="974">
        <f>SUM(G118+'1'!G96)</f>
        <v>141</v>
      </c>
      <c r="I118" s="983"/>
      <c r="J118" s="985">
        <f>H118/DAY(B2)</f>
        <v>6.1304347826086953</v>
      </c>
      <c r="N118" s="1018" t="s">
        <v>215</v>
      </c>
      <c r="O118" s="849"/>
    </row>
    <row r="119" spans="1:15" s="772" customFormat="1">
      <c r="A119" s="1579" t="s">
        <v>228</v>
      </c>
      <c r="B119" s="1580"/>
      <c r="C119" s="981"/>
      <c r="D119" s="982" t="s">
        <v>144</v>
      </c>
      <c r="E119" s="983"/>
      <c r="F119" s="984"/>
      <c r="G119" s="984">
        <f>SUM(G95,G96,G97,G99,G100)</f>
        <v>125</v>
      </c>
      <c r="H119" s="974">
        <f>SUM(G119+'1'!G98)</f>
        <v>153</v>
      </c>
      <c r="I119" s="983"/>
      <c r="J119" s="985">
        <f>H119/DAY(B2)</f>
        <v>6.6521739130434785</v>
      </c>
      <c r="N119" s="1018"/>
      <c r="O119" s="849"/>
    </row>
    <row r="120" spans="1:15" s="772" customFormat="1">
      <c r="A120" s="1579" t="s">
        <v>229</v>
      </c>
      <c r="B120" s="1580"/>
      <c r="C120" s="981"/>
      <c r="D120" s="982" t="s">
        <v>144</v>
      </c>
      <c r="E120" s="983"/>
      <c r="F120" s="977"/>
      <c r="G120" s="977">
        <f>SUM(G112)</f>
        <v>90</v>
      </c>
      <c r="H120" s="974">
        <f>SUM(G120+'1'!G100)</f>
        <v>96</v>
      </c>
      <c r="I120" s="983"/>
      <c r="J120" s="985">
        <f>H120/DAY(B2)</f>
        <v>4.1739130434782608</v>
      </c>
      <c r="N120" s="1018"/>
      <c r="O120" s="849"/>
    </row>
    <row r="121" spans="1:15" s="894" customFormat="1">
      <c r="A121" s="1581"/>
      <c r="B121" s="1582"/>
      <c r="C121" s="976"/>
      <c r="D121" s="971"/>
      <c r="E121" s="971"/>
      <c r="F121" s="971"/>
      <c r="G121" s="971"/>
      <c r="H121" s="986"/>
      <c r="I121" s="971"/>
      <c r="J121" s="987"/>
      <c r="N121" s="1012"/>
      <c r="O121" s="849"/>
    </row>
    <row r="122" spans="1:15">
      <c r="A122" s="1597" t="s">
        <v>230</v>
      </c>
      <c r="B122" s="1598"/>
      <c r="C122" s="1599"/>
      <c r="D122" s="837"/>
      <c r="E122" s="837"/>
      <c r="F122" s="837"/>
      <c r="G122" s="869"/>
      <c r="H122" s="869"/>
      <c r="I122" s="869"/>
      <c r="J122" s="988"/>
      <c r="K122" s="943"/>
      <c r="L122" s="822"/>
      <c r="O122" s="849"/>
    </row>
    <row r="123" spans="1:15">
      <c r="A123" s="871" t="s">
        <v>231</v>
      </c>
      <c r="B123" s="872"/>
      <c r="C123" s="872"/>
      <c r="D123" s="842" t="s">
        <v>141</v>
      </c>
      <c r="E123" s="843">
        <f>'22'!F123</f>
        <v>824293</v>
      </c>
      <c r="F123" s="877">
        <v>824552.41</v>
      </c>
      <c r="G123" s="844">
        <f>F123-E123</f>
        <v>259.4100000000326</v>
      </c>
      <c r="H123" s="845">
        <f>G123+'22'!H123</f>
        <v>5742.4100000000326</v>
      </c>
      <c r="I123" s="961"/>
      <c r="J123" s="847">
        <f>H123/DAY(B2)</f>
        <v>249.67000000000141</v>
      </c>
      <c r="K123" s="943"/>
      <c r="L123" s="822"/>
      <c r="O123" s="849"/>
    </row>
    <row r="124" spans="1:15">
      <c r="A124" s="871" t="s">
        <v>232</v>
      </c>
      <c r="B124" s="872"/>
      <c r="C124" s="872"/>
      <c r="D124" s="842" t="s">
        <v>141</v>
      </c>
      <c r="E124" s="843">
        <f>'22'!F124</f>
        <v>73583</v>
      </c>
      <c r="F124" s="877">
        <v>73583.399999999994</v>
      </c>
      <c r="G124" s="844">
        <f t="shared" ref="G124:G127" si="15">F124-E124</f>
        <v>0.39999999999417923</v>
      </c>
      <c r="H124" s="845">
        <f>G124+'22'!H124</f>
        <v>0</v>
      </c>
      <c r="I124" s="961"/>
      <c r="J124" s="847">
        <f>H124/DAY(B2)</f>
        <v>0</v>
      </c>
      <c r="K124" s="943"/>
      <c r="L124" s="822"/>
      <c r="O124" s="849"/>
    </row>
    <row r="125" spans="1:15">
      <c r="A125" s="1608" t="s">
        <v>233</v>
      </c>
      <c r="B125" s="1609"/>
      <c r="C125" s="1610"/>
      <c r="D125" s="842" t="s">
        <v>141</v>
      </c>
      <c r="E125" s="843">
        <f>'22'!F125</f>
        <v>144083</v>
      </c>
      <c r="F125" s="877">
        <v>144172.07</v>
      </c>
      <c r="G125" s="844">
        <f t="shared" si="15"/>
        <v>89.070000000006985</v>
      </c>
      <c r="H125" s="845">
        <f>G125+'22'!H125</f>
        <v>2036.070000000007</v>
      </c>
      <c r="I125" s="961"/>
      <c r="J125" s="847">
        <f>H125/DAY(B2)</f>
        <v>88.524782608695958</v>
      </c>
      <c r="K125" s="943"/>
      <c r="L125" s="822"/>
      <c r="O125" s="849"/>
    </row>
    <row r="126" spans="1:15">
      <c r="A126" s="990" t="s">
        <v>234</v>
      </c>
      <c r="B126" s="872"/>
      <c r="C126" s="872"/>
      <c r="D126" s="842" t="s">
        <v>141</v>
      </c>
      <c r="E126" s="843">
        <f>'22'!F126</f>
        <v>31404</v>
      </c>
      <c r="F126" s="877">
        <v>31404.2</v>
      </c>
      <c r="G126" s="844">
        <f t="shared" si="15"/>
        <v>0.2000000000007276</v>
      </c>
      <c r="H126" s="845">
        <f>G126+'22'!H126</f>
        <v>85.5</v>
      </c>
      <c r="I126" s="961"/>
      <c r="J126" s="847">
        <f>H126/DAY(B2)</f>
        <v>3.7173913043478262</v>
      </c>
      <c r="K126" s="943"/>
      <c r="L126" s="822"/>
      <c r="O126" s="849"/>
    </row>
    <row r="127" spans="1:15">
      <c r="A127" s="990" t="s">
        <v>235</v>
      </c>
      <c r="B127" s="872"/>
      <c r="C127" s="872"/>
      <c r="D127" s="842" t="s">
        <v>141</v>
      </c>
      <c r="E127" s="843">
        <f>'22'!F127</f>
        <v>8938.4</v>
      </c>
      <c r="F127" s="877">
        <v>8969.2999999999993</v>
      </c>
      <c r="G127" s="844">
        <f t="shared" si="15"/>
        <v>30.899999999999636</v>
      </c>
      <c r="H127" s="845">
        <f>G127+'22'!H127</f>
        <v>7.2999999999992724</v>
      </c>
      <c r="I127" s="864"/>
      <c r="J127" s="847">
        <f>H127/DAY(B2)</f>
        <v>0.31739130434779445</v>
      </c>
      <c r="K127" s="943"/>
      <c r="L127" s="822"/>
      <c r="O127" s="849"/>
    </row>
    <row r="128" spans="1:15">
      <c r="A128" s="990" t="s">
        <v>236</v>
      </c>
      <c r="B128" s="872"/>
      <c r="C128" s="872"/>
      <c r="D128" s="842"/>
      <c r="E128" s="843"/>
      <c r="F128" s="861"/>
      <c r="G128" s="844">
        <f>G15-SUM(G123:G127)</f>
        <v>444.39599999989696</v>
      </c>
      <c r="H128" s="845">
        <f>G128+'22'!H128</f>
        <v>3550.6459999998915</v>
      </c>
      <c r="I128" s="864"/>
      <c r="J128" s="847">
        <f>H128/DAY(B2)</f>
        <v>154.37591304347353</v>
      </c>
      <c r="K128" s="943"/>
      <c r="L128" s="822"/>
      <c r="O128" s="849"/>
    </row>
    <row r="129" spans="1:15">
      <c r="A129" s="991" t="s">
        <v>237</v>
      </c>
      <c r="B129" s="836"/>
      <c r="C129" s="836"/>
      <c r="D129" s="836"/>
      <c r="E129" s="836"/>
      <c r="F129" s="836"/>
      <c r="G129" s="992"/>
      <c r="H129" s="992"/>
      <c r="I129" s="992"/>
      <c r="J129" s="993"/>
      <c r="O129" s="849"/>
    </row>
    <row r="130" spans="1:15">
      <c r="A130" s="871" t="s">
        <v>238</v>
      </c>
      <c r="B130" s="872"/>
      <c r="C130" s="872"/>
      <c r="D130" s="842" t="s">
        <v>239</v>
      </c>
      <c r="E130" s="843">
        <f>'22'!F130</f>
        <v>0</v>
      </c>
      <c r="F130" s="873">
        <v>0</v>
      </c>
      <c r="G130" s="844">
        <f t="shared" ref="G130:G140" si="16">F130-E130</f>
        <v>0</v>
      </c>
      <c r="H130" s="845">
        <f>G130+'22'!H130</f>
        <v>0</v>
      </c>
      <c r="I130" s="864"/>
      <c r="J130" s="847">
        <f>H130/DAY(B2)</f>
        <v>0</v>
      </c>
      <c r="O130" s="849"/>
    </row>
    <row r="131" spans="1:15">
      <c r="A131" s="871" t="s">
        <v>240</v>
      </c>
      <c r="B131" s="872"/>
      <c r="C131" s="872"/>
      <c r="D131" s="842" t="s">
        <v>239</v>
      </c>
      <c r="E131" s="843">
        <f>'22'!F131</f>
        <v>0</v>
      </c>
      <c r="F131" s="873">
        <v>0</v>
      </c>
      <c r="G131" s="844">
        <f t="shared" si="16"/>
        <v>0</v>
      </c>
      <c r="H131" s="845">
        <f>G131+'22'!H131</f>
        <v>0</v>
      </c>
      <c r="I131" s="864"/>
      <c r="J131" s="847">
        <f>H131/DAY(B2)</f>
        <v>0</v>
      </c>
      <c r="O131" s="849"/>
    </row>
    <row r="132" spans="1:15">
      <c r="A132" s="871" t="s">
        <v>241</v>
      </c>
      <c r="B132" s="872"/>
      <c r="C132" s="872"/>
      <c r="D132" s="842" t="s">
        <v>239</v>
      </c>
      <c r="E132" s="843">
        <f>'22'!F132</f>
        <v>39659.230000000003</v>
      </c>
      <c r="F132" s="994">
        <v>39659</v>
      </c>
      <c r="G132" s="844">
        <f t="shared" si="16"/>
        <v>-0.23000000000320142</v>
      </c>
      <c r="H132" s="845">
        <f>G132+'22'!H132</f>
        <v>126</v>
      </c>
      <c r="I132" s="864"/>
      <c r="J132" s="847">
        <f>H132/DAY(B2)</f>
        <v>5.4782608695652177</v>
      </c>
      <c r="O132" s="849"/>
    </row>
    <row r="133" spans="1:15">
      <c r="A133" s="871" t="s">
        <v>242</v>
      </c>
      <c r="B133" s="872"/>
      <c r="C133" s="872"/>
      <c r="D133" s="842" t="s">
        <v>239</v>
      </c>
      <c r="E133" s="843">
        <f>'22'!F133</f>
        <v>300</v>
      </c>
      <c r="F133" s="994">
        <v>300</v>
      </c>
      <c r="G133" s="844">
        <f t="shared" si="16"/>
        <v>0</v>
      </c>
      <c r="H133" s="845">
        <f>G133+'22'!H133</f>
        <v>0</v>
      </c>
      <c r="I133" s="864">
        <f>G130+G131+G132+G133</f>
        <v>-0.23000000000320142</v>
      </c>
      <c r="J133" s="847">
        <f>H133/DAY(B2)</f>
        <v>0</v>
      </c>
      <c r="O133" s="849"/>
    </row>
    <row r="134" spans="1:15">
      <c r="A134" s="871" t="s">
        <v>243</v>
      </c>
      <c r="B134" s="872"/>
      <c r="C134" s="872"/>
      <c r="D134" s="842" t="s">
        <v>239</v>
      </c>
      <c r="E134" s="843">
        <f>'22'!F134</f>
        <v>41271</v>
      </c>
      <c r="F134" s="994">
        <f>41271+24</f>
        <v>41295</v>
      </c>
      <c r="G134" s="844">
        <f t="shared" si="16"/>
        <v>24</v>
      </c>
      <c r="H134" s="845">
        <v>24</v>
      </c>
      <c r="I134" s="864"/>
      <c r="J134" s="847">
        <f>H134/DAY(B2)</f>
        <v>1.0434782608695652</v>
      </c>
      <c r="O134" s="849"/>
    </row>
    <row r="135" spans="1:15">
      <c r="A135" s="871" t="s">
        <v>244</v>
      </c>
      <c r="B135" s="872"/>
      <c r="C135" s="872"/>
      <c r="D135" s="842" t="s">
        <v>239</v>
      </c>
      <c r="E135" s="843">
        <f>'22'!F135</f>
        <v>32582.93</v>
      </c>
      <c r="F135" s="994">
        <v>32582.93</v>
      </c>
      <c r="G135" s="844">
        <f t="shared" si="16"/>
        <v>0</v>
      </c>
      <c r="H135" s="845">
        <v>13</v>
      </c>
      <c r="I135" s="864"/>
      <c r="J135" s="847">
        <f>H135/DAY(B2)</f>
        <v>0.56521739130434778</v>
      </c>
      <c r="O135" s="849"/>
    </row>
    <row r="136" spans="1:15">
      <c r="A136" s="871" t="s">
        <v>245</v>
      </c>
      <c r="B136" s="872"/>
      <c r="C136" s="872"/>
      <c r="D136" s="842" t="s">
        <v>239</v>
      </c>
      <c r="E136" s="843">
        <f>'22'!F136</f>
        <v>22691.85</v>
      </c>
      <c r="F136" s="994">
        <v>22701.06</v>
      </c>
      <c r="G136" s="844">
        <f t="shared" si="16"/>
        <v>9.2100000000027649</v>
      </c>
      <c r="H136" s="845">
        <f>G136+'22'!H136</f>
        <v>212.40999999999985</v>
      </c>
      <c r="I136" s="864">
        <f>G134+G135+G136</f>
        <v>33.210000000002765</v>
      </c>
      <c r="J136" s="847">
        <f>H136/DAY(B2)</f>
        <v>9.2352173913043423</v>
      </c>
      <c r="O136" s="849"/>
    </row>
    <row r="137" spans="1:15">
      <c r="A137" s="871" t="s">
        <v>246</v>
      </c>
      <c r="B137" s="872"/>
      <c r="C137" s="872"/>
      <c r="D137" s="842" t="s">
        <v>239</v>
      </c>
      <c r="E137" s="843">
        <f>'22'!F137</f>
        <v>25050</v>
      </c>
      <c r="F137" s="994">
        <v>25051.49</v>
      </c>
      <c r="G137" s="844">
        <f t="shared" si="16"/>
        <v>1.4900000000016007</v>
      </c>
      <c r="H137" s="845">
        <v>8</v>
      </c>
      <c r="I137" s="864"/>
      <c r="J137" s="847">
        <f>H137/DAY(B2)</f>
        <v>0.34782608695652173</v>
      </c>
      <c r="O137" s="849"/>
    </row>
    <row r="138" spans="1:15">
      <c r="A138" s="871" t="s">
        <v>247</v>
      </c>
      <c r="B138" s="872"/>
      <c r="C138" s="872"/>
      <c r="D138" s="842" t="s">
        <v>239</v>
      </c>
      <c r="E138" s="843">
        <f>'22'!F138</f>
        <v>70295.23</v>
      </c>
      <c r="F138" s="994">
        <v>70295.23</v>
      </c>
      <c r="G138" s="844">
        <f t="shared" si="16"/>
        <v>0</v>
      </c>
      <c r="H138" s="845">
        <v>15</v>
      </c>
      <c r="I138" s="864">
        <f>G137+G138</f>
        <v>1.4900000000016007</v>
      </c>
      <c r="J138" s="847">
        <f>H138/DAY(B2)</f>
        <v>0.65217391304347827</v>
      </c>
      <c r="O138" s="849"/>
    </row>
    <row r="139" spans="1:15">
      <c r="A139" s="871" t="s">
        <v>248</v>
      </c>
      <c r="B139" s="872"/>
      <c r="C139" s="872"/>
      <c r="D139" s="842" t="s">
        <v>239</v>
      </c>
      <c r="E139" s="843">
        <f>'22'!F139</f>
        <v>1549.83</v>
      </c>
      <c r="F139" s="873">
        <v>1559.4</v>
      </c>
      <c r="G139" s="844">
        <f t="shared" si="16"/>
        <v>9.5700000000001637</v>
      </c>
      <c r="H139" s="845">
        <f>G139+'22'!H139</f>
        <v>22.880000000000109</v>
      </c>
      <c r="I139" s="995"/>
      <c r="J139" s="847">
        <f>H139/DAY(B2)</f>
        <v>0.99478260869565693</v>
      </c>
      <c r="O139" s="849"/>
    </row>
    <row r="140" spans="1:15">
      <c r="A140" s="871" t="s">
        <v>249</v>
      </c>
      <c r="B140" s="872"/>
      <c r="C140" s="872"/>
      <c r="D140" s="842" t="s">
        <v>239</v>
      </c>
      <c r="E140" s="843">
        <f>'22'!F140</f>
        <v>4636.8599999999997</v>
      </c>
      <c r="F140" s="873">
        <v>4636.88</v>
      </c>
      <c r="G140" s="844">
        <f t="shared" si="16"/>
        <v>2.0000000000436557E-2</v>
      </c>
      <c r="H140" s="845">
        <f>G140+'22'!H140</f>
        <v>168.34000000000015</v>
      </c>
      <c r="I140" s="995"/>
      <c r="J140" s="847">
        <f>H140/DAY(B2)</f>
        <v>7.3191304347826147</v>
      </c>
      <c r="O140" s="849"/>
    </row>
    <row r="141" spans="1:15">
      <c r="A141" s="1600" t="s">
        <v>250</v>
      </c>
      <c r="B141" s="1601"/>
      <c r="C141" s="837"/>
      <c r="D141" s="837"/>
      <c r="E141" s="837"/>
      <c r="F141" s="837"/>
      <c r="G141" s="869"/>
      <c r="H141" s="869"/>
      <c r="I141" s="869"/>
      <c r="J141" s="988"/>
      <c r="K141" s="943"/>
      <c r="L141" s="822"/>
      <c r="O141" s="849"/>
    </row>
    <row r="142" spans="1:15">
      <c r="A142" s="1602" t="s">
        <v>251</v>
      </c>
      <c r="B142" s="1603"/>
      <c r="C142" s="1604"/>
      <c r="D142" s="842" t="s">
        <v>132</v>
      </c>
      <c r="E142" s="842"/>
      <c r="F142" s="842"/>
      <c r="G142" s="845">
        <f>G35+G43+G49+G57</f>
        <v>5169.8200000000652</v>
      </c>
      <c r="H142" s="845">
        <f>G142+'22'!H142</f>
        <v>123308.95000000007</v>
      </c>
      <c r="I142" s="864"/>
      <c r="J142" s="847">
        <f>H142/DAY(B2)</f>
        <v>5361.2586956521773</v>
      </c>
      <c r="K142" s="943"/>
      <c r="L142" s="822"/>
      <c r="O142" s="849"/>
    </row>
    <row r="143" spans="1:15">
      <c r="A143" s="1602" t="s">
        <v>252</v>
      </c>
      <c r="B143" s="1603"/>
      <c r="C143" s="1604"/>
      <c r="D143" s="842" t="s">
        <v>24</v>
      </c>
      <c r="E143" s="829"/>
      <c r="F143" s="829"/>
      <c r="G143" s="996">
        <f>G142/G7</f>
        <v>0.25938588129045531</v>
      </c>
      <c r="H143" s="845">
        <f>G143+'22'!H143</f>
        <v>5.90084524083254</v>
      </c>
      <c r="I143" s="997"/>
      <c r="J143" s="847">
        <f>H143/DAY(B2)</f>
        <v>0.25655848873184955</v>
      </c>
      <c r="K143" s="943"/>
      <c r="L143" s="822"/>
      <c r="O143" s="849"/>
    </row>
    <row r="144" spans="1:15">
      <c r="A144" s="1602" t="s">
        <v>253</v>
      </c>
      <c r="B144" s="1603"/>
      <c r="C144" s="1604"/>
      <c r="D144" s="842" t="s">
        <v>132</v>
      </c>
      <c r="E144" s="843"/>
      <c r="F144" s="843"/>
      <c r="G144" s="845">
        <f>G41+G42+G55+G56</f>
        <v>5802.1230000000505</v>
      </c>
      <c r="H144" s="845">
        <f>G144+'22'!H144</f>
        <v>139048.96300000005</v>
      </c>
      <c r="I144" s="864"/>
      <c r="J144" s="847">
        <f>H144/DAY(B2)</f>
        <v>6045.6070869565237</v>
      </c>
      <c r="K144" s="943"/>
      <c r="L144" s="822"/>
      <c r="O144" s="849"/>
    </row>
    <row r="145" spans="1:15">
      <c r="A145" s="1602" t="s">
        <v>254</v>
      </c>
      <c r="B145" s="1603"/>
      <c r="C145" s="1604"/>
      <c r="D145" s="842" t="s">
        <v>24</v>
      </c>
      <c r="E145" s="843"/>
      <c r="F145" s="843"/>
      <c r="G145" s="996">
        <f>G144/G7</f>
        <v>0.29111048116000454</v>
      </c>
      <c r="H145" s="845">
        <f>G145+'22'!H145</f>
        <v>6.6668712275649993</v>
      </c>
      <c r="I145" s="997"/>
      <c r="J145" s="847">
        <f>H145/DAY(B2)</f>
        <v>0.28986396641586953</v>
      </c>
      <c r="K145" s="943"/>
      <c r="L145" s="822"/>
      <c r="O145" s="849"/>
    </row>
    <row r="146" spans="1:15">
      <c r="A146" s="1602" t="s">
        <v>255</v>
      </c>
      <c r="B146" s="1603"/>
      <c r="C146" s="1604"/>
      <c r="D146" s="842" t="s">
        <v>132</v>
      </c>
      <c r="E146" s="843"/>
      <c r="F146" s="843"/>
      <c r="G146" s="845">
        <f>G39+G53</f>
        <v>3567.1199999999953</v>
      </c>
      <c r="H146" s="845">
        <f>G146+'22'!H146</f>
        <v>83851.12</v>
      </c>
      <c r="I146" s="998"/>
      <c r="J146" s="847">
        <f>H146/DAY(B2)</f>
        <v>3645.7008695652171</v>
      </c>
      <c r="K146" s="943"/>
      <c r="L146" s="822"/>
      <c r="O146" s="849"/>
    </row>
    <row r="147" spans="1:15">
      <c r="A147" s="1602" t="s">
        <v>256</v>
      </c>
      <c r="B147" s="1603"/>
      <c r="C147" s="1604"/>
      <c r="D147" s="842" t="s">
        <v>24</v>
      </c>
      <c r="E147" s="843"/>
      <c r="F147" s="843"/>
      <c r="G147" s="996">
        <f>G146/G7</f>
        <v>0.17897345843158874</v>
      </c>
      <c r="H147" s="845">
        <f>G147+'22'!H147</f>
        <v>4.0068131441036963</v>
      </c>
      <c r="I147" s="998"/>
      <c r="J147" s="847">
        <f>H147/DAY(B2)</f>
        <v>0.17420926713494331</v>
      </c>
      <c r="O147" s="849"/>
    </row>
    <row r="148" spans="1:15">
      <c r="A148" s="1602" t="s">
        <v>257</v>
      </c>
      <c r="B148" s="1603"/>
      <c r="C148" s="1604"/>
      <c r="D148" s="842" t="s">
        <v>183</v>
      </c>
      <c r="E148" s="843"/>
      <c r="F148" s="843"/>
      <c r="G148" s="845">
        <f>G38+G52</f>
        <v>1433.2400000000052</v>
      </c>
      <c r="H148" s="845">
        <f>G148+'22'!H148</f>
        <v>37539.309999999954</v>
      </c>
      <c r="I148" s="864"/>
      <c r="J148" s="847">
        <f>H148/DAY(B2)</f>
        <v>1632.1439130434762</v>
      </c>
      <c r="K148" s="999"/>
      <c r="O148" s="849"/>
    </row>
    <row r="149" spans="1:15">
      <c r="A149" s="1602" t="s">
        <v>258</v>
      </c>
      <c r="B149" s="1603"/>
      <c r="C149" s="1604"/>
      <c r="D149" s="842" t="s">
        <v>24</v>
      </c>
      <c r="E149" s="843"/>
      <c r="F149" s="843"/>
      <c r="G149" s="996">
        <f>G148/G7</f>
        <v>7.191008980984423E-2</v>
      </c>
      <c r="H149" s="845">
        <f>G149+'22'!H149</f>
        <v>1.7984284470788368</v>
      </c>
      <c r="I149" s="998"/>
      <c r="J149" s="847">
        <f>H149/DAY(B2)</f>
        <v>7.819254117734073E-2</v>
      </c>
      <c r="O149" s="849"/>
    </row>
    <row r="150" spans="1:15">
      <c r="A150" s="1602" t="s">
        <v>259</v>
      </c>
      <c r="B150" s="1603"/>
      <c r="C150" s="1604"/>
      <c r="D150" s="842" t="s">
        <v>183</v>
      </c>
      <c r="E150" s="843"/>
      <c r="F150" s="843"/>
      <c r="G150" s="845">
        <f>G36+G50</f>
        <v>2227.2200000000303</v>
      </c>
      <c r="H150" s="845">
        <f>G150+'22'!H150</f>
        <v>47997.22000000003</v>
      </c>
      <c r="I150" s="998"/>
      <c r="J150" s="847">
        <f>H150/DAY(B2)</f>
        <v>2086.8356521739142</v>
      </c>
      <c r="O150" s="849"/>
    </row>
    <row r="151" spans="1:15">
      <c r="A151" s="1602" t="s">
        <v>260</v>
      </c>
      <c r="B151" s="1603"/>
      <c r="C151" s="1604"/>
      <c r="D151" s="842" t="s">
        <v>24</v>
      </c>
      <c r="E151" s="843"/>
      <c r="F151" s="843"/>
      <c r="G151" s="996">
        <f>G150/G7</f>
        <v>0.11174652551302144</v>
      </c>
      <c r="H151" s="845">
        <f>G151+'22'!H151</f>
        <v>2.3039963121412272</v>
      </c>
      <c r="I151" s="864"/>
      <c r="J151" s="847">
        <f>H151/DAY(B2)</f>
        <v>0.10017375270179249</v>
      </c>
      <c r="O151" s="849"/>
    </row>
    <row r="152" spans="1:15">
      <c r="A152" s="1602" t="s">
        <v>261</v>
      </c>
      <c r="B152" s="1603"/>
      <c r="C152" s="1604"/>
      <c r="D152" s="842" t="s">
        <v>183</v>
      </c>
      <c r="E152" s="843"/>
      <c r="F152" s="843"/>
      <c r="G152" s="845">
        <f>G37+G51</f>
        <v>1398.7599999999948</v>
      </c>
      <c r="H152" s="845">
        <f>G152+'22'!H152</f>
        <v>31468.759999999995</v>
      </c>
      <c r="I152" s="864"/>
      <c r="J152" s="847">
        <f>H152/DAY(B2)</f>
        <v>1368.2069565217389</v>
      </c>
      <c r="O152" s="849"/>
    </row>
    <row r="153" spans="1:15" ht="21" thickBot="1">
      <c r="A153" s="1605" t="s">
        <v>262</v>
      </c>
      <c r="B153" s="1606"/>
      <c r="C153" s="1607"/>
      <c r="D153" s="1000" t="s">
        <v>24</v>
      </c>
      <c r="E153" s="1001"/>
      <c r="F153" s="1001"/>
      <c r="G153" s="1002">
        <f>G152/G7</f>
        <v>7.0180121418894931E-2</v>
      </c>
      <c r="H153" s="845">
        <f>G153+'22'!H153</f>
        <v>1.5095874302620191</v>
      </c>
      <c r="I153" s="1003"/>
      <c r="J153" s="1004">
        <f>H153/DAY(B2)</f>
        <v>6.5634236098348661E-2</v>
      </c>
      <c r="O153" s="849"/>
    </row>
    <row r="154" spans="1:15">
      <c r="A154" s="1005"/>
      <c r="B154" s="1005"/>
      <c r="C154" s="1005"/>
      <c r="D154" s="1005"/>
      <c r="E154" s="1005"/>
      <c r="F154" s="1005"/>
      <c r="G154" s="1005"/>
      <c r="H154" s="1006"/>
      <c r="I154" s="1005"/>
      <c r="J154" s="1007"/>
      <c r="O154" s="849"/>
    </row>
    <row r="160" spans="1:15">
      <c r="A160" s="995" t="s">
        <v>263</v>
      </c>
      <c r="B160" s="995"/>
      <c r="C160" s="995"/>
      <c r="D160" s="829" t="s">
        <v>187</v>
      </c>
      <c r="E160" s="843">
        <f>'22'!F160</f>
        <v>35278</v>
      </c>
      <c r="F160" s="1019">
        <v>35361.440000000002</v>
      </c>
      <c r="G160" s="844">
        <f t="shared" ref="G160:G163" si="17">F160-E160</f>
        <v>83.440000000002328</v>
      </c>
    </row>
    <row r="161" spans="1:10" ht="21.75" customHeight="1">
      <c r="A161" s="995" t="s">
        <v>264</v>
      </c>
      <c r="B161" s="995"/>
      <c r="C161" s="995"/>
      <c r="D161" s="829" t="s">
        <v>187</v>
      </c>
      <c r="E161" s="843">
        <f>'22'!F161</f>
        <v>78687</v>
      </c>
      <c r="F161" s="1019">
        <v>79158.990000000005</v>
      </c>
      <c r="G161" s="844">
        <f t="shared" si="17"/>
        <v>471.99000000000524</v>
      </c>
    </row>
    <row r="162" spans="1:10" ht="21.75" customHeight="1">
      <c r="A162" s="995" t="s">
        <v>265</v>
      </c>
      <c r="B162" s="995"/>
      <c r="C162" s="995"/>
      <c r="D162" s="829" t="s">
        <v>187</v>
      </c>
      <c r="E162" s="843">
        <f>'22'!F162</f>
        <v>35411</v>
      </c>
      <c r="F162" s="1019">
        <v>35685.31</v>
      </c>
      <c r="G162" s="844">
        <f t="shared" si="17"/>
        <v>274.30999999999767</v>
      </c>
    </row>
    <row r="163" spans="1:10" ht="21.75" customHeight="1">
      <c r="A163" s="995" t="s">
        <v>266</v>
      </c>
      <c r="B163" s="995"/>
      <c r="C163" s="995"/>
      <c r="D163" s="829" t="s">
        <v>187</v>
      </c>
      <c r="E163" s="843">
        <f>'22'!F163</f>
        <v>6082</v>
      </c>
      <c r="F163" s="1019">
        <v>6102.29</v>
      </c>
      <c r="G163" s="844">
        <f t="shared" si="17"/>
        <v>20.289999999999964</v>
      </c>
    </row>
    <row r="164" spans="1:10" ht="21.75" customHeight="1">
      <c r="A164" s="925" t="s">
        <v>98</v>
      </c>
      <c r="B164" s="925"/>
      <c r="C164" s="925"/>
      <c r="D164" s="829" t="s">
        <v>187</v>
      </c>
      <c r="E164" s="926">
        <f>E62</f>
        <v>20419.2</v>
      </c>
      <c r="F164" s="926">
        <f>F62</f>
        <v>20419</v>
      </c>
      <c r="G164" s="844">
        <f t="shared" ref="G164:G171" si="18">F164-E164</f>
        <v>-0.2000000000007276</v>
      </c>
      <c r="J164" s="1077"/>
    </row>
    <row r="165" spans="1:10" ht="21.75" customHeight="1">
      <c r="A165" s="925" t="s">
        <v>188</v>
      </c>
      <c r="B165" s="925"/>
      <c r="C165" s="925"/>
      <c r="D165" s="829" t="s">
        <v>187</v>
      </c>
      <c r="E165" s="926">
        <f t="shared" ref="E165:E171" si="19">E63</f>
        <v>2318</v>
      </c>
      <c r="F165" s="926">
        <f t="shared" ref="F165:F171" si="20">F63</f>
        <v>2322</v>
      </c>
      <c r="G165" s="844">
        <f t="shared" si="18"/>
        <v>4</v>
      </c>
    </row>
    <row r="166" spans="1:10" ht="21.75" customHeight="1">
      <c r="A166" s="1578" t="s">
        <v>99</v>
      </c>
      <c r="B166" s="1578"/>
      <c r="C166" s="1578"/>
      <c r="D166" s="842" t="s">
        <v>187</v>
      </c>
      <c r="E166" s="926">
        <f t="shared" si="19"/>
        <v>149809</v>
      </c>
      <c r="F166" s="926">
        <f t="shared" si="20"/>
        <v>150314.51999999999</v>
      </c>
      <c r="G166" s="844">
        <f t="shared" si="18"/>
        <v>505.51999999998952</v>
      </c>
    </row>
    <row r="167" spans="1:10" ht="21.75" customHeight="1">
      <c r="A167" s="1578" t="s">
        <v>100</v>
      </c>
      <c r="B167" s="1578"/>
      <c r="C167" s="1578"/>
      <c r="D167" s="842" t="s">
        <v>187</v>
      </c>
      <c r="E167" s="926">
        <f t="shared" si="19"/>
        <v>152128</v>
      </c>
      <c r="F167" s="926">
        <f t="shared" si="20"/>
        <v>152510.07</v>
      </c>
      <c r="G167" s="844">
        <f t="shared" si="18"/>
        <v>382.07000000000698</v>
      </c>
    </row>
    <row r="168" spans="1:10" ht="21.75" customHeight="1">
      <c r="A168" s="1578" t="s">
        <v>101</v>
      </c>
      <c r="B168" s="1578"/>
      <c r="C168" s="1578"/>
      <c r="D168" s="842" t="s">
        <v>187</v>
      </c>
      <c r="E168" s="926">
        <f t="shared" si="19"/>
        <v>45757</v>
      </c>
      <c r="F168" s="926">
        <f t="shared" si="20"/>
        <v>46186.53</v>
      </c>
      <c r="G168" s="844">
        <f t="shared" si="18"/>
        <v>429.52999999999884</v>
      </c>
    </row>
    <row r="169" spans="1:10">
      <c r="A169" s="1578" t="s">
        <v>102</v>
      </c>
      <c r="B169" s="1578"/>
      <c r="C169" s="1578"/>
      <c r="D169" s="842" t="s">
        <v>187</v>
      </c>
      <c r="E169" s="926">
        <f t="shared" si="19"/>
        <v>240310</v>
      </c>
      <c r="F169" s="926">
        <f t="shared" si="20"/>
        <v>240763.33</v>
      </c>
      <c r="G169" s="844">
        <f t="shared" si="18"/>
        <v>453.32999999998719</v>
      </c>
    </row>
    <row r="170" spans="1:10" ht="24" customHeight="1">
      <c r="A170" s="1578" t="s">
        <v>103</v>
      </c>
      <c r="B170" s="1578"/>
      <c r="C170" s="1578"/>
      <c r="D170" s="842" t="s">
        <v>187</v>
      </c>
      <c r="E170" s="926">
        <f t="shared" si="19"/>
        <v>85321</v>
      </c>
      <c r="F170" s="926">
        <f t="shared" si="20"/>
        <v>85321</v>
      </c>
      <c r="G170" s="844">
        <f t="shared" si="18"/>
        <v>0</v>
      </c>
      <c r="J170" s="1078"/>
    </row>
    <row r="171" spans="1:10">
      <c r="A171" s="1578" t="s">
        <v>104</v>
      </c>
      <c r="B171" s="1578"/>
      <c r="C171" s="1578"/>
      <c r="D171" s="842" t="s">
        <v>187</v>
      </c>
      <c r="E171" s="926">
        <f t="shared" si="19"/>
        <v>78385</v>
      </c>
      <c r="F171" s="926">
        <f t="shared" si="20"/>
        <v>78426.3</v>
      </c>
      <c r="G171" s="844">
        <f t="shared" si="18"/>
        <v>41.30000000000291</v>
      </c>
    </row>
    <row r="172" spans="1:10">
      <c r="G172" s="1010">
        <f>SUM(G160:G171)</f>
        <v>2665.5799999999899</v>
      </c>
    </row>
    <row r="173" spans="1:10">
      <c r="J173" s="1079"/>
    </row>
    <row r="176" spans="1:10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43" zoomScale="68" zoomScaleNormal="44" zoomScaleSheetLayoutView="68" workbookViewId="0">
      <selection activeCell="G78" sqref="G78"/>
    </sheetView>
  </sheetViews>
  <sheetFormatPr defaultColWidth="22.33203125" defaultRowHeight="20.25"/>
  <cols>
    <col min="1" max="1" width="51.21875" style="1008" customWidth="1"/>
    <col min="2" max="2" width="24.88671875" style="1008" customWidth="1"/>
    <col min="3" max="3" width="12.44140625" style="1008" customWidth="1"/>
    <col min="4" max="4" width="13.6640625" style="1008" customWidth="1"/>
    <col min="5" max="5" width="28.109375" style="1008" customWidth="1"/>
    <col min="6" max="6" width="23.77734375" style="1008" customWidth="1"/>
    <col min="7" max="7" width="17.88671875" style="1008" customWidth="1"/>
    <col min="8" max="8" width="39.21875" style="1009" customWidth="1"/>
    <col min="9" max="9" width="15.77734375" style="1008" customWidth="1"/>
    <col min="10" max="10" width="24" style="1010" customWidth="1"/>
    <col min="11" max="11" width="43.21875" style="809" hidden="1" customWidth="1"/>
    <col min="12" max="13" width="0" style="809" hidden="1" customWidth="1"/>
    <col min="14" max="14" width="25.109375" style="1011" customWidth="1"/>
    <col min="15" max="15" width="6.77734375" style="809" bestFit="1" customWidth="1"/>
    <col min="16" max="16384" width="22.33203125" style="809"/>
  </cols>
  <sheetData>
    <row r="1" spans="1:15" ht="22.5">
      <c r="A1" s="1629" t="s">
        <v>117</v>
      </c>
      <c r="B1" s="1630"/>
      <c r="C1" s="1630"/>
      <c r="D1" s="1630"/>
      <c r="E1" s="1630"/>
      <c r="F1" s="1630"/>
      <c r="G1" s="1630"/>
      <c r="H1" s="1630"/>
      <c r="I1" s="1630"/>
      <c r="J1" s="1631"/>
    </row>
    <row r="2" spans="1:15">
      <c r="A2" s="810" t="s">
        <v>349</v>
      </c>
      <c r="B2" s="1081">
        <v>43914</v>
      </c>
      <c r="C2" s="811" t="s">
        <v>69</v>
      </c>
      <c r="D2" s="812">
        <v>0.63</v>
      </c>
      <c r="E2" s="813"/>
      <c r="F2" s="813"/>
      <c r="G2" s="813" t="s">
        <v>118</v>
      </c>
      <c r="H2" s="813" t="s">
        <v>6</v>
      </c>
      <c r="I2" s="813" t="s">
        <v>8</v>
      </c>
      <c r="J2" s="814" t="s">
        <v>119</v>
      </c>
    </row>
    <row r="3" spans="1:15">
      <c r="A3" s="815"/>
      <c r="B3" s="816"/>
      <c r="C3" s="811" t="s">
        <v>120</v>
      </c>
      <c r="D3" s="817">
        <v>28</v>
      </c>
      <c r="E3" s="1632" t="s">
        <v>121</v>
      </c>
      <c r="F3" s="1633"/>
      <c r="G3" s="818">
        <f>'1'!G3</f>
        <v>0</v>
      </c>
      <c r="H3" s="819">
        <f>'1'!H3</f>
        <v>0</v>
      </c>
      <c r="I3" s="819">
        <f>'1'!I3</f>
        <v>0</v>
      </c>
      <c r="J3" s="820">
        <f>'1'!J3</f>
        <v>0</v>
      </c>
      <c r="K3" s="821"/>
      <c r="L3" s="822"/>
    </row>
    <row r="4" spans="1:15">
      <c r="A4" s="823"/>
      <c r="B4" s="824"/>
      <c r="C4" s="811" t="s">
        <v>122</v>
      </c>
      <c r="D4" s="812">
        <v>0.8</v>
      </c>
      <c r="E4" s="825"/>
      <c r="F4" s="825"/>
      <c r="G4" s="825"/>
      <c r="H4" s="825"/>
      <c r="I4" s="826"/>
      <c r="J4" s="820"/>
      <c r="K4" s="827"/>
      <c r="L4" s="822"/>
    </row>
    <row r="5" spans="1:15">
      <c r="A5" s="828" t="s">
        <v>123</v>
      </c>
      <c r="B5" s="829"/>
      <c r="C5" s="829"/>
      <c r="D5" s="829" t="s">
        <v>124</v>
      </c>
      <c r="E5" s="830" t="s">
        <v>125</v>
      </c>
      <c r="F5" s="830" t="s">
        <v>112</v>
      </c>
      <c r="G5" s="831" t="s">
        <v>126</v>
      </c>
      <c r="H5" s="832" t="s">
        <v>127</v>
      </c>
      <c r="I5" s="833" t="s">
        <v>128</v>
      </c>
      <c r="J5" s="834" t="s">
        <v>129</v>
      </c>
      <c r="K5" s="835"/>
      <c r="L5" s="822"/>
    </row>
    <row r="6" spans="1:15">
      <c r="A6" s="1626" t="s">
        <v>130</v>
      </c>
      <c r="B6" s="1627"/>
      <c r="C6" s="1628"/>
      <c r="D6" s="836"/>
      <c r="E6" s="836"/>
      <c r="F6" s="836"/>
      <c r="G6" s="836"/>
      <c r="H6" s="837"/>
      <c r="I6" s="837"/>
      <c r="J6" s="838"/>
      <c r="K6" s="839"/>
      <c r="L6" s="822"/>
    </row>
    <row r="7" spans="1:15" ht="21" thickBot="1">
      <c r="A7" s="840" t="s">
        <v>131</v>
      </c>
      <c r="B7" s="841"/>
      <c r="C7" s="841"/>
      <c r="D7" s="842" t="s">
        <v>132</v>
      </c>
      <c r="E7" s="843">
        <f>'23'!F7</f>
        <v>5593969</v>
      </c>
      <c r="F7" s="843">
        <v>5613933</v>
      </c>
      <c r="G7" s="844">
        <f>F7-E7</f>
        <v>19964</v>
      </c>
      <c r="H7" s="845">
        <f>G7+'23'!H7</f>
        <v>500010</v>
      </c>
      <c r="I7" s="846">
        <f>'1'!I7</f>
        <v>12000</v>
      </c>
      <c r="J7" s="847">
        <f>H7/DAY(B2)</f>
        <v>20833.75</v>
      </c>
      <c r="K7" s="848"/>
      <c r="L7" s="822"/>
      <c r="O7" s="849"/>
    </row>
    <row r="8" spans="1:15" ht="21" thickBot="1">
      <c r="A8" s="850" t="s">
        <v>133</v>
      </c>
      <c r="B8" s="851"/>
      <c r="C8" s="852"/>
      <c r="D8" s="853" t="s">
        <v>25</v>
      </c>
      <c r="E8" s="843">
        <f>'23'!F8</f>
        <v>5627215</v>
      </c>
      <c r="F8" s="854">
        <v>5647231</v>
      </c>
      <c r="G8" s="855">
        <f>F8-E8</f>
        <v>20016</v>
      </c>
      <c r="H8" s="845">
        <f>G8+'23'!H8</f>
        <v>501913</v>
      </c>
      <c r="I8" s="856">
        <f>'1'!I8</f>
        <v>12000</v>
      </c>
      <c r="J8" s="847">
        <f>H8/DAY(B2)</f>
        <v>20913.041666666668</v>
      </c>
      <c r="K8" s="848"/>
      <c r="L8" s="857"/>
      <c r="M8" s="858"/>
      <c r="O8" s="849"/>
    </row>
    <row r="9" spans="1:15">
      <c r="A9" s="859" t="s">
        <v>134</v>
      </c>
      <c r="B9" s="860"/>
      <c r="C9" s="860"/>
      <c r="D9" s="842" t="s">
        <v>132</v>
      </c>
      <c r="E9" s="843">
        <f>'23'!F9</f>
        <v>861439.59</v>
      </c>
      <c r="F9" s="861">
        <v>880786.95</v>
      </c>
      <c r="G9" s="844">
        <f t="shared" ref="G9:G12" si="0">F9-E9</f>
        <v>19347.359999999986</v>
      </c>
      <c r="H9" s="845">
        <f>G9+'23'!H9</f>
        <v>484717.94999999995</v>
      </c>
      <c r="I9" s="862">
        <f>I8-J8</f>
        <v>-8913.0416666666679</v>
      </c>
      <c r="J9" s="847">
        <f>H9/DAY(B2)</f>
        <v>20196.581249999999</v>
      </c>
      <c r="K9" s="863"/>
      <c r="L9" s="822"/>
      <c r="O9" s="849"/>
    </row>
    <row r="10" spans="1:15">
      <c r="A10" s="840" t="s">
        <v>135</v>
      </c>
      <c r="B10" s="841"/>
      <c r="C10" s="841"/>
      <c r="D10" s="842" t="s">
        <v>132</v>
      </c>
      <c r="E10" s="843">
        <f>'23'!F10</f>
        <v>2322.58</v>
      </c>
      <c r="F10" s="861">
        <v>2322.58</v>
      </c>
      <c r="G10" s="844">
        <f t="shared" si="0"/>
        <v>0</v>
      </c>
      <c r="H10" s="845">
        <f>G10+'23'!H10</f>
        <v>0</v>
      </c>
      <c r="I10" s="864"/>
      <c r="J10" s="847">
        <f>H10/DAY(B2)</f>
        <v>0</v>
      </c>
      <c r="K10" s="863"/>
      <c r="L10" s="822"/>
      <c r="M10" s="809" t="s">
        <v>277</v>
      </c>
      <c r="O10" s="849"/>
    </row>
    <row r="11" spans="1:15">
      <c r="A11" s="840" t="s">
        <v>136</v>
      </c>
      <c r="B11" s="841"/>
      <c r="C11" s="841"/>
      <c r="D11" s="842" t="s">
        <v>132</v>
      </c>
      <c r="E11" s="843">
        <f>'5'!E11</f>
        <v>37000</v>
      </c>
      <c r="F11" s="843">
        <v>37000</v>
      </c>
      <c r="G11" s="844">
        <f t="shared" si="0"/>
        <v>0</v>
      </c>
      <c r="H11" s="845">
        <f>G11+'23'!H11</f>
        <v>0</v>
      </c>
      <c r="I11" s="864"/>
      <c r="J11" s="847">
        <f>H11/DAY(B2)</f>
        <v>0</v>
      </c>
      <c r="K11" s="863"/>
      <c r="L11" s="822"/>
      <c r="O11" s="849"/>
    </row>
    <row r="12" spans="1:15">
      <c r="A12" s="840" t="s">
        <v>137</v>
      </c>
      <c r="B12" s="841"/>
      <c r="C12" s="841"/>
      <c r="D12" s="842" t="s">
        <v>132</v>
      </c>
      <c r="E12" s="843">
        <f>'5'!E12</f>
        <v>40010</v>
      </c>
      <c r="F12" s="861">
        <v>40010</v>
      </c>
      <c r="G12" s="844">
        <f t="shared" si="0"/>
        <v>0</v>
      </c>
      <c r="H12" s="845">
        <f>G12+'23'!H12</f>
        <v>0</v>
      </c>
      <c r="I12" s="864"/>
      <c r="J12" s="847">
        <f>H12/DAY(B2)</f>
        <v>0</v>
      </c>
      <c r="K12" s="863"/>
      <c r="L12" s="822"/>
      <c r="O12" s="849"/>
    </row>
    <row r="13" spans="1:15">
      <c r="A13" s="865" t="s">
        <v>138</v>
      </c>
      <c r="B13" s="866"/>
      <c r="C13" s="866"/>
      <c r="D13" s="842"/>
      <c r="E13" s="843"/>
      <c r="F13" s="843"/>
      <c r="G13" s="867">
        <f>G9+G10+G11+G12</f>
        <v>19347.359999999986</v>
      </c>
      <c r="H13" s="845">
        <f>G13+'23'!H13</f>
        <v>464527.31000000006</v>
      </c>
      <c r="I13" s="868">
        <f>G7-G13</f>
        <v>616.64000000001397</v>
      </c>
      <c r="J13" s="847">
        <f>H13/DAY(B2)</f>
        <v>19355.304583333334</v>
      </c>
      <c r="K13" s="863"/>
      <c r="L13" s="822"/>
      <c r="O13" s="849"/>
    </row>
    <row r="14" spans="1:15">
      <c r="A14" s="1620" t="s">
        <v>139</v>
      </c>
      <c r="B14" s="1621"/>
      <c r="C14" s="1622"/>
      <c r="D14" s="837"/>
      <c r="E14" s="837"/>
      <c r="F14" s="837"/>
      <c r="G14" s="869"/>
      <c r="H14" s="837"/>
      <c r="I14" s="837"/>
      <c r="J14" s="838"/>
      <c r="K14" s="870"/>
      <c r="L14" s="822"/>
      <c r="O14" s="849"/>
    </row>
    <row r="15" spans="1:15">
      <c r="A15" s="871" t="s">
        <v>140</v>
      </c>
      <c r="B15" s="872"/>
      <c r="C15" s="872"/>
      <c r="D15" s="842" t="s">
        <v>141</v>
      </c>
      <c r="E15" s="843">
        <f>'23'!F15</f>
        <v>1666243.3759999999</v>
      </c>
      <c r="F15" s="873">
        <v>1667060.6680000001</v>
      </c>
      <c r="G15" s="1020">
        <f>(F15-E15)</f>
        <v>817.29200000013225</v>
      </c>
      <c r="H15" s="845">
        <f>G15+'23'!H15</f>
        <v>20371.668000000063</v>
      </c>
      <c r="I15" s="846">
        <f>'1'!I15</f>
        <v>800</v>
      </c>
      <c r="J15" s="847">
        <f>H15/DAY(B2)</f>
        <v>848.81950000000268</v>
      </c>
      <c r="K15" s="863"/>
      <c r="L15" s="822"/>
      <c r="O15" s="849"/>
    </row>
    <row r="16" spans="1:15">
      <c r="A16" s="874"/>
      <c r="B16" s="875"/>
      <c r="C16" s="875"/>
      <c r="D16" s="876"/>
      <c r="E16" s="877"/>
      <c r="F16" s="877"/>
      <c r="G16" s="844"/>
      <c r="H16" s="878"/>
      <c r="I16" s="879">
        <f>I15-J15</f>
        <v>-48.819500000002677</v>
      </c>
      <c r="J16" s="880"/>
      <c r="K16" s="863"/>
      <c r="L16" s="822"/>
      <c r="N16" s="1013"/>
      <c r="O16" s="849"/>
    </row>
    <row r="17" spans="1:15">
      <c r="A17" s="1620" t="s">
        <v>142</v>
      </c>
      <c r="B17" s="1621"/>
      <c r="C17" s="1622"/>
      <c r="D17" s="837"/>
      <c r="E17" s="837"/>
      <c r="F17" s="837"/>
      <c r="G17" s="881"/>
      <c r="H17" s="837">
        <f>G17+'22'!H17</f>
        <v>0</v>
      </c>
      <c r="I17" s="837"/>
      <c r="J17" s="838"/>
      <c r="K17" s="863"/>
      <c r="L17" s="822"/>
      <c r="O17" s="849"/>
    </row>
    <row r="18" spans="1:15">
      <c r="A18" s="1602" t="s">
        <v>143</v>
      </c>
      <c r="B18" s="1603"/>
      <c r="C18" s="1604"/>
      <c r="D18" s="842" t="s">
        <v>144</v>
      </c>
      <c r="E18" s="843">
        <f>'23'!F18</f>
        <v>8</v>
      </c>
      <c r="F18" s="873">
        <v>10</v>
      </c>
      <c r="G18" s="867">
        <f>F18*10</f>
        <v>100</v>
      </c>
      <c r="H18" s="845">
        <f>G18+'23'!H18</f>
        <v>2260</v>
      </c>
      <c r="I18" s="846">
        <f>'1'!I18</f>
        <v>65</v>
      </c>
      <c r="J18" s="847">
        <f>H18/DAY(B2)</f>
        <v>94.166666666666671</v>
      </c>
      <c r="K18" s="863"/>
      <c r="L18" s="822"/>
      <c r="O18" s="849"/>
    </row>
    <row r="19" spans="1:15">
      <c r="A19" s="1602" t="s">
        <v>71</v>
      </c>
      <c r="B19" s="1603"/>
      <c r="C19" s="1604"/>
      <c r="D19" s="842" t="s">
        <v>144</v>
      </c>
      <c r="E19" s="843">
        <f>'23'!F19</f>
        <v>137425</v>
      </c>
      <c r="F19" s="873">
        <v>137483</v>
      </c>
      <c r="G19" s="844">
        <f t="shared" ref="G19" si="1">F19-E19</f>
        <v>58</v>
      </c>
      <c r="H19" s="845">
        <f>G19+'23'!H19</f>
        <v>1393</v>
      </c>
      <c r="I19" s="882"/>
      <c r="J19" s="847">
        <f>H19/DAY(B2)</f>
        <v>58.041666666666664</v>
      </c>
      <c r="K19" s="863"/>
      <c r="L19" s="822"/>
      <c r="O19" s="849"/>
    </row>
    <row r="20" spans="1:15">
      <c r="A20" s="865" t="s">
        <v>145</v>
      </c>
      <c r="B20" s="866"/>
      <c r="C20" s="866"/>
      <c r="D20" s="883"/>
      <c r="E20" s="883"/>
      <c r="F20" s="883"/>
      <c r="G20" s="844">
        <v>194</v>
      </c>
      <c r="H20" s="845">
        <f>G20+'23'!H20</f>
        <v>3689</v>
      </c>
      <c r="I20" s="885">
        <f>I18-J20</f>
        <v>-88.708333333333343</v>
      </c>
      <c r="J20" s="847">
        <f>H20/DAY(B2)</f>
        <v>153.70833333333334</v>
      </c>
      <c r="K20" s="863"/>
      <c r="L20" s="822"/>
      <c r="O20" s="849"/>
    </row>
    <row r="21" spans="1:15">
      <c r="A21" s="1620" t="s">
        <v>146</v>
      </c>
      <c r="B21" s="1621"/>
      <c r="C21" s="1622"/>
      <c r="D21" s="837"/>
      <c r="E21" s="837"/>
      <c r="F21" s="837"/>
      <c r="G21" s="869"/>
      <c r="H21" s="837"/>
      <c r="I21" s="837"/>
      <c r="J21" s="838"/>
      <c r="K21" s="863"/>
      <c r="L21" s="822"/>
      <c r="O21" s="849"/>
    </row>
    <row r="22" spans="1:15">
      <c r="A22" s="871" t="s">
        <v>147</v>
      </c>
      <c r="B22" s="872"/>
      <c r="C22" s="872"/>
      <c r="D22" s="842" t="s">
        <v>148</v>
      </c>
      <c r="E22" s="873">
        <f>'23'!F22</f>
        <v>2970</v>
      </c>
      <c r="F22" s="873">
        <v>1680</v>
      </c>
      <c r="G22" s="867">
        <v>1290</v>
      </c>
      <c r="H22" s="845">
        <f>G22+'23'!H22</f>
        <v>1290</v>
      </c>
      <c r="I22" s="864"/>
      <c r="J22" s="847">
        <f>H22/DAY(B2)</f>
        <v>53.75</v>
      </c>
      <c r="K22" s="863"/>
      <c r="L22" s="822"/>
      <c r="O22" s="849"/>
    </row>
    <row r="23" spans="1:15">
      <c r="A23" s="871" t="s">
        <v>149</v>
      </c>
      <c r="B23" s="872"/>
      <c r="C23" s="872"/>
      <c r="D23" s="842" t="s">
        <v>148</v>
      </c>
      <c r="E23" s="873">
        <f>'23'!F23</f>
        <v>2000</v>
      </c>
      <c r="F23" s="873">
        <v>2000</v>
      </c>
      <c r="G23" s="867">
        <f t="shared" ref="G23" si="2">(F23-E23)</f>
        <v>0</v>
      </c>
      <c r="H23" s="845">
        <f>G23+'23'!H23</f>
        <v>0</v>
      </c>
      <c r="I23" s="864"/>
      <c r="J23" s="847">
        <f>H23/DAY(B2)</f>
        <v>0</v>
      </c>
      <c r="K23" s="863"/>
      <c r="L23" s="822"/>
      <c r="O23" s="849"/>
    </row>
    <row r="24" spans="1:15">
      <c r="A24" s="886" t="s">
        <v>150</v>
      </c>
      <c r="B24" s="887"/>
      <c r="C24" s="887"/>
      <c r="D24" s="829" t="s">
        <v>148</v>
      </c>
      <c r="E24" s="873">
        <f>'23'!F24</f>
        <v>4970</v>
      </c>
      <c r="F24" s="888">
        <v>3680</v>
      </c>
      <c r="G24" s="867">
        <v>1290</v>
      </c>
      <c r="H24" s="845">
        <f>G24+'23'!H24</f>
        <v>1290</v>
      </c>
      <c r="I24" s="864"/>
      <c r="J24" s="847">
        <f>H24/DAY(B2)</f>
        <v>53.75</v>
      </c>
      <c r="K24" s="863"/>
      <c r="L24" s="822"/>
      <c r="O24" s="849"/>
    </row>
    <row r="25" spans="1:15" s="894" customFormat="1">
      <c r="A25" s="1626" t="s">
        <v>151</v>
      </c>
      <c r="B25" s="1627"/>
      <c r="C25" s="1628"/>
      <c r="D25" s="836"/>
      <c r="E25" s="836"/>
      <c r="F25" s="836"/>
      <c r="G25" s="889"/>
      <c r="H25" s="890"/>
      <c r="I25" s="891"/>
      <c r="J25" s="892"/>
      <c r="K25" s="863"/>
      <c r="L25" s="893"/>
      <c r="N25" s="1012"/>
      <c r="O25" s="849"/>
    </row>
    <row r="26" spans="1:15" s="894" customFormat="1">
      <c r="A26" s="895" t="s">
        <v>152</v>
      </c>
      <c r="B26" s="896"/>
      <c r="C26" s="897"/>
      <c r="D26" s="898" t="s">
        <v>153</v>
      </c>
      <c r="E26" s="899"/>
      <c r="F26" s="899"/>
      <c r="G26" s="900"/>
      <c r="H26" s="845"/>
      <c r="I26" s="901"/>
      <c r="J26" s="847"/>
      <c r="K26" s="870"/>
      <c r="L26" s="893"/>
      <c r="N26" s="1012"/>
      <c r="O26" s="849"/>
    </row>
    <row r="27" spans="1:15" s="894" customFormat="1" ht="22.5">
      <c r="A27" s="895" t="s">
        <v>6</v>
      </c>
      <c r="B27" s="896"/>
      <c r="C27" s="897"/>
      <c r="D27" s="902" t="s">
        <v>25</v>
      </c>
      <c r="E27" s="903">
        <f>G8</f>
        <v>20016</v>
      </c>
      <c r="F27" s="501">
        <v>9</v>
      </c>
      <c r="G27" s="905">
        <f>E27*F27</f>
        <v>180144</v>
      </c>
      <c r="H27" s="845">
        <f>G27+'23'!H27</f>
        <v>4517217</v>
      </c>
      <c r="I27" s="906"/>
      <c r="J27" s="847">
        <f>H27/DAY(B2)</f>
        <v>188217.375</v>
      </c>
      <c r="K27" s="863"/>
      <c r="L27" s="893"/>
      <c r="N27" s="1012"/>
      <c r="O27" s="849"/>
    </row>
    <row r="28" spans="1:15" s="894" customFormat="1" ht="22.5">
      <c r="A28" s="895" t="s">
        <v>154</v>
      </c>
      <c r="B28" s="896"/>
      <c r="C28" s="897"/>
      <c r="D28" s="902" t="s">
        <v>155</v>
      </c>
      <c r="E28" s="903">
        <f>G15</f>
        <v>817.29200000013225</v>
      </c>
      <c r="F28" s="501">
        <v>51.45</v>
      </c>
      <c r="G28" s="905">
        <f>E28*F28</f>
        <v>42049.67340000681</v>
      </c>
      <c r="H28" s="845">
        <f>G28+'23'!H28</f>
        <v>1048122.3186000033</v>
      </c>
      <c r="I28" s="907"/>
      <c r="J28" s="847">
        <f>H28/DAY(B2)</f>
        <v>43671.763275000136</v>
      </c>
      <c r="K28" s="863"/>
      <c r="L28" s="893"/>
      <c r="N28" s="1012"/>
      <c r="O28" s="849"/>
    </row>
    <row r="29" spans="1:15" s="894" customFormat="1">
      <c r="A29" s="895" t="s">
        <v>156</v>
      </c>
      <c r="B29" s="896"/>
      <c r="C29" s="897"/>
      <c r="D29" s="902" t="s">
        <v>157</v>
      </c>
      <c r="E29" s="903">
        <v>1290</v>
      </c>
      <c r="F29" s="904">
        <v>69</v>
      </c>
      <c r="G29" s="905">
        <f>E29*F29</f>
        <v>89010</v>
      </c>
      <c r="H29" s="845">
        <f>G29+'23'!H29</f>
        <v>89010</v>
      </c>
      <c r="I29" s="907"/>
      <c r="J29" s="847">
        <f>H29/DAY(B2)</f>
        <v>3708.75</v>
      </c>
      <c r="K29" s="863"/>
      <c r="L29" s="893"/>
      <c r="N29" s="1012"/>
      <c r="O29" s="849"/>
    </row>
    <row r="30" spans="1:15" s="894" customFormat="1">
      <c r="A30" s="895" t="s">
        <v>158</v>
      </c>
      <c r="B30" s="896"/>
      <c r="C30" s="897"/>
      <c r="D30" s="902" t="s">
        <v>159</v>
      </c>
      <c r="E30" s="903">
        <f>G19</f>
        <v>58</v>
      </c>
      <c r="F30" s="904">
        <v>134</v>
      </c>
      <c r="G30" s="905">
        <f>E30*F30</f>
        <v>7772</v>
      </c>
      <c r="H30" s="845">
        <f>G30+'23'!H30</f>
        <v>188030</v>
      </c>
      <c r="I30" s="907"/>
      <c r="J30" s="847">
        <f>H30/DAY(B2)</f>
        <v>7834.583333333333</v>
      </c>
      <c r="K30" s="863"/>
      <c r="L30" s="893"/>
      <c r="N30" s="1012"/>
      <c r="O30" s="849"/>
    </row>
    <row r="31" spans="1:15" s="894" customFormat="1">
      <c r="A31" s="895" t="s">
        <v>160</v>
      </c>
      <c r="B31" s="896"/>
      <c r="C31" s="897"/>
      <c r="D31" s="902" t="s">
        <v>144</v>
      </c>
      <c r="E31" s="903">
        <f>G18</f>
        <v>100</v>
      </c>
      <c r="F31" s="904">
        <v>80</v>
      </c>
      <c r="G31" s="905">
        <f>E31*F31</f>
        <v>8000</v>
      </c>
      <c r="H31" s="845">
        <f>G31+'23'!H31</f>
        <v>180800</v>
      </c>
      <c r="I31" s="907"/>
      <c r="J31" s="847"/>
      <c r="K31" s="863"/>
      <c r="L31" s="893"/>
      <c r="N31" s="1012"/>
      <c r="O31" s="849"/>
    </row>
    <row r="32" spans="1:15" s="894" customFormat="1">
      <c r="A32" s="908" t="s">
        <v>161</v>
      </c>
      <c r="B32" s="909"/>
      <c r="C32" s="910"/>
      <c r="D32" s="911"/>
      <c r="E32" s="911"/>
      <c r="F32" s="911"/>
      <c r="G32" s="912">
        <f>G27+G28+G29+G30+G31</f>
        <v>326975.67340000684</v>
      </c>
      <c r="H32" s="845">
        <f>G32+'23'!H32</f>
        <v>6023179.3186000045</v>
      </c>
      <c r="I32" s="913"/>
      <c r="J32" s="847">
        <f>H32/DAY(B2)</f>
        <v>250965.80494166687</v>
      </c>
      <c r="K32" s="863"/>
      <c r="L32" s="893"/>
      <c r="N32" s="1012"/>
      <c r="O32" s="849"/>
    </row>
    <row r="33" spans="1:15" ht="18.75">
      <c r="A33" s="1623" t="s">
        <v>162</v>
      </c>
      <c r="B33" s="1624"/>
      <c r="C33" s="1624"/>
      <c r="D33" s="1624"/>
      <c r="E33" s="1624"/>
      <c r="F33" s="1624"/>
      <c r="G33" s="1624"/>
      <c r="H33" s="1624"/>
      <c r="I33" s="1624"/>
      <c r="J33" s="1625"/>
      <c r="K33" s="863"/>
      <c r="L33" s="822"/>
      <c r="O33" s="849"/>
    </row>
    <row r="34" spans="1:15">
      <c r="A34" s="914" t="s">
        <v>163</v>
      </c>
      <c r="B34" s="915"/>
      <c r="C34" s="915"/>
      <c r="D34" s="837"/>
      <c r="E34" s="836"/>
      <c r="F34" s="836"/>
      <c r="G34" s="837"/>
      <c r="H34" s="837"/>
      <c r="I34" s="837"/>
      <c r="J34" s="838"/>
      <c r="K34" s="863"/>
      <c r="L34" s="822"/>
      <c r="O34" s="849"/>
    </row>
    <row r="35" spans="1:15">
      <c r="A35" s="840" t="s">
        <v>164</v>
      </c>
      <c r="B35" s="841"/>
      <c r="C35" s="841"/>
      <c r="D35" s="842" t="s">
        <v>132</v>
      </c>
      <c r="E35" s="843">
        <f>'23'!F35</f>
        <v>868202.39</v>
      </c>
      <c r="F35" s="916">
        <v>871033.75</v>
      </c>
      <c r="G35" s="844">
        <f t="shared" ref="G35:G46" si="3">F35-E35</f>
        <v>2831.359999999986</v>
      </c>
      <c r="H35" s="845">
        <f>G35+'23'!H35</f>
        <v>72644.75</v>
      </c>
      <c r="I35" s="843"/>
      <c r="J35" s="847">
        <f>H35/DAY(B2)</f>
        <v>3026.8645833333335</v>
      </c>
      <c r="K35" s="863"/>
      <c r="L35" s="822"/>
      <c r="O35" s="849"/>
    </row>
    <row r="36" spans="1:15">
      <c r="A36" s="840" t="s">
        <v>165</v>
      </c>
      <c r="B36" s="841"/>
      <c r="C36" s="841"/>
      <c r="D36" s="842" t="s">
        <v>132</v>
      </c>
      <c r="E36" s="843">
        <f>'23'!F36</f>
        <v>339907.95</v>
      </c>
      <c r="F36" s="916">
        <v>340886.35</v>
      </c>
      <c r="G36" s="844">
        <f t="shared" si="3"/>
        <v>978.39999999996508</v>
      </c>
      <c r="H36" s="845">
        <f>G36+'23'!H36</f>
        <v>23450.349999999977</v>
      </c>
      <c r="I36" s="843"/>
      <c r="J36" s="847">
        <f>H36/DAY(B2)</f>
        <v>977.0979166666657</v>
      </c>
      <c r="K36" s="863"/>
      <c r="L36" s="822"/>
      <c r="O36" s="849"/>
    </row>
    <row r="37" spans="1:15">
      <c r="A37" s="840" t="s">
        <v>166</v>
      </c>
      <c r="B37" s="841"/>
      <c r="C37" s="841"/>
      <c r="D37" s="842" t="s">
        <v>132</v>
      </c>
      <c r="E37" s="843">
        <f>'23'!F37</f>
        <v>86265.89</v>
      </c>
      <c r="F37" s="916">
        <v>87603.34</v>
      </c>
      <c r="G37" s="844">
        <f t="shared" si="3"/>
        <v>1337.4499999999971</v>
      </c>
      <c r="H37" s="845">
        <f>G37+'23'!H37</f>
        <v>32806.339999999997</v>
      </c>
      <c r="I37" s="843"/>
      <c r="J37" s="847">
        <f>H37/DAY(B2)</f>
        <v>1366.9308333333331</v>
      </c>
      <c r="K37" s="863"/>
      <c r="L37" s="822"/>
      <c r="O37" s="849"/>
    </row>
    <row r="38" spans="1:15">
      <c r="A38" s="840" t="s">
        <v>167</v>
      </c>
      <c r="B38" s="841"/>
      <c r="C38" s="841"/>
      <c r="D38" s="842" t="s">
        <v>132</v>
      </c>
      <c r="E38" s="843">
        <f>'23'!F38</f>
        <v>109849.24</v>
      </c>
      <c r="F38" s="832">
        <v>111354.81</v>
      </c>
      <c r="G38" s="844">
        <f t="shared" si="3"/>
        <v>1505.5699999999924</v>
      </c>
      <c r="H38" s="845">
        <f>G38+'23'!H38</f>
        <v>39046.81</v>
      </c>
      <c r="I38" s="843"/>
      <c r="J38" s="847">
        <f>H38/DAY(B2)</f>
        <v>1626.9504166666666</v>
      </c>
      <c r="K38" s="863"/>
      <c r="L38" s="822"/>
      <c r="O38" s="849"/>
    </row>
    <row r="39" spans="1:15">
      <c r="A39" s="840" t="s">
        <v>168</v>
      </c>
      <c r="B39" s="841"/>
      <c r="C39" s="841"/>
      <c r="D39" s="842" t="s">
        <v>132</v>
      </c>
      <c r="E39" s="843">
        <f>'23'!F39</f>
        <v>227992.89</v>
      </c>
      <c r="F39" s="916">
        <v>230931.05</v>
      </c>
      <c r="G39" s="844">
        <f t="shared" si="3"/>
        <v>2938.1599999999744</v>
      </c>
      <c r="H39" s="845">
        <f>G39+'23'!H39</f>
        <v>78109.049999999988</v>
      </c>
      <c r="I39" s="843"/>
      <c r="J39" s="847">
        <f>H39/DAY(B2)</f>
        <v>3254.5437499999994</v>
      </c>
      <c r="K39" s="863"/>
      <c r="L39" s="822"/>
      <c r="N39" s="1011">
        <f>20*38.64</f>
        <v>772.8</v>
      </c>
      <c r="O39" s="849"/>
    </row>
    <row r="40" spans="1:15">
      <c r="A40" s="917" t="s">
        <v>169</v>
      </c>
      <c r="B40" s="918"/>
      <c r="C40" s="918"/>
      <c r="D40" s="842" t="s">
        <v>132</v>
      </c>
      <c r="E40" s="843">
        <f>'23'!F40</f>
        <v>0.23</v>
      </c>
      <c r="F40" s="916">
        <v>0.23</v>
      </c>
      <c r="G40" s="844">
        <f t="shared" si="3"/>
        <v>0</v>
      </c>
      <c r="H40" s="845">
        <f>G40+'23'!H40</f>
        <v>0.4</v>
      </c>
      <c r="I40" s="843"/>
      <c r="J40" s="847">
        <f>H40/DAY(B2)</f>
        <v>1.6666666666666666E-2</v>
      </c>
      <c r="K40" s="870"/>
      <c r="L40" s="822"/>
      <c r="O40" s="849"/>
    </row>
    <row r="41" spans="1:15">
      <c r="A41" s="840" t="s">
        <v>170</v>
      </c>
      <c r="B41" s="841"/>
      <c r="C41" s="841"/>
      <c r="D41" s="842" t="s">
        <v>132</v>
      </c>
      <c r="E41" s="843">
        <f>'23'!F41</f>
        <v>161910.42000000001</v>
      </c>
      <c r="F41" s="916">
        <v>161910.42000000001</v>
      </c>
      <c r="G41" s="844">
        <f t="shared" si="3"/>
        <v>0</v>
      </c>
      <c r="H41" s="845">
        <f>G41+'23'!H41</f>
        <v>28769.420000000013</v>
      </c>
      <c r="I41" s="843"/>
      <c r="J41" s="847">
        <f>H41/DAY(B2)</f>
        <v>1198.7258333333339</v>
      </c>
      <c r="K41" s="863"/>
      <c r="L41" s="822"/>
      <c r="O41" s="849"/>
    </row>
    <row r="42" spans="1:15">
      <c r="A42" s="840" t="s">
        <v>171</v>
      </c>
      <c r="B42" s="841"/>
      <c r="C42" s="841"/>
      <c r="D42" s="842" t="s">
        <v>132</v>
      </c>
      <c r="E42" s="843">
        <f>'23'!F42</f>
        <v>59128.163</v>
      </c>
      <c r="F42" s="916">
        <v>59128.163</v>
      </c>
      <c r="G42" s="844">
        <f t="shared" si="3"/>
        <v>0</v>
      </c>
      <c r="H42" s="845">
        <f>G42+'23'!H42</f>
        <v>2.9999999969732016E-3</v>
      </c>
      <c r="I42" s="843"/>
      <c r="J42" s="847">
        <f>H42/DAY(B2)</f>
        <v>1.2499999987388341E-4</v>
      </c>
      <c r="K42" s="863"/>
      <c r="L42" s="822"/>
      <c r="O42" s="849"/>
    </row>
    <row r="43" spans="1:15">
      <c r="A43" s="840" t="s">
        <v>172</v>
      </c>
      <c r="B43" s="841"/>
      <c r="C43" s="841"/>
      <c r="D43" s="842" t="s">
        <v>132</v>
      </c>
      <c r="E43" s="843">
        <f>'23'!F43</f>
        <v>957153.43</v>
      </c>
      <c r="F43" s="916">
        <v>959497.85</v>
      </c>
      <c r="G43" s="844">
        <f t="shared" si="3"/>
        <v>2344.4199999999255</v>
      </c>
      <c r="H43" s="845">
        <f>G43+'23'!H43</f>
        <v>57449.849999999977</v>
      </c>
      <c r="I43" s="843"/>
      <c r="J43" s="847">
        <f>H43/DAY(B2)</f>
        <v>2393.7437499999992</v>
      </c>
      <c r="K43" s="863"/>
      <c r="L43" s="822"/>
      <c r="O43" s="849"/>
    </row>
    <row r="44" spans="1:15">
      <c r="A44" s="840" t="s">
        <v>173</v>
      </c>
      <c r="B44" s="841"/>
      <c r="C44" s="841"/>
      <c r="D44" s="842" t="s">
        <v>132</v>
      </c>
      <c r="E44" s="843">
        <f>'23'!F44</f>
        <v>0</v>
      </c>
      <c r="F44" s="916">
        <v>0</v>
      </c>
      <c r="G44" s="844">
        <f t="shared" si="3"/>
        <v>0</v>
      </c>
      <c r="H44" s="845">
        <f>G44+'23'!H44</f>
        <v>0</v>
      </c>
      <c r="I44" s="843"/>
      <c r="J44" s="847">
        <f>H44/DAY(B2)</f>
        <v>0</v>
      </c>
      <c r="K44" s="863"/>
      <c r="L44" s="822"/>
      <c r="O44" s="849"/>
    </row>
    <row r="45" spans="1:15">
      <c r="A45" s="840" t="s">
        <v>174</v>
      </c>
      <c r="B45" s="841"/>
      <c r="C45" s="841"/>
      <c r="D45" s="842" t="s">
        <v>132</v>
      </c>
      <c r="E45" s="843">
        <f>'23'!F45</f>
        <v>614</v>
      </c>
      <c r="F45" s="916">
        <v>614</v>
      </c>
      <c r="G45" s="844">
        <f t="shared" si="3"/>
        <v>0</v>
      </c>
      <c r="H45" s="845">
        <f>G45+'23'!H45</f>
        <v>614</v>
      </c>
      <c r="I45" s="843"/>
      <c r="J45" s="847">
        <f>H45/DAY(B2)</f>
        <v>25.583333333333332</v>
      </c>
      <c r="K45" s="863"/>
      <c r="L45" s="822"/>
      <c r="O45" s="849"/>
    </row>
    <row r="46" spans="1:15">
      <c r="A46" s="840" t="s">
        <v>175</v>
      </c>
      <c r="B46" s="841"/>
      <c r="C46" s="841"/>
      <c r="D46" s="842" t="s">
        <v>132</v>
      </c>
      <c r="E46" s="843">
        <f>'23'!F46</f>
        <v>187</v>
      </c>
      <c r="F46" s="916">
        <v>187</v>
      </c>
      <c r="G46" s="844">
        <f t="shared" si="3"/>
        <v>0</v>
      </c>
      <c r="H46" s="845">
        <f>G46+'23'!H46</f>
        <v>186.95</v>
      </c>
      <c r="I46" s="843"/>
      <c r="J46" s="847">
        <f>H46/DAY(B2)</f>
        <v>7.7895833333333329</v>
      </c>
      <c r="K46" s="863"/>
      <c r="L46" s="822"/>
      <c r="O46" s="849"/>
    </row>
    <row r="47" spans="1:15">
      <c r="A47" s="865" t="s">
        <v>176</v>
      </c>
      <c r="B47" s="866"/>
      <c r="C47" s="866"/>
      <c r="D47" s="833"/>
      <c r="E47" s="829"/>
      <c r="F47" s="829"/>
      <c r="G47" s="867">
        <f>G35+G36+G37+G38+G39+G40+G41+G42+G43+G44+G45+G46</f>
        <v>11935.359999999841</v>
      </c>
      <c r="H47" s="845">
        <f>G47+'23'!H47</f>
        <v>333879.41299999994</v>
      </c>
      <c r="I47" s="843"/>
      <c r="J47" s="847">
        <f>H47/DAY(B2)</f>
        <v>13911.642208333331</v>
      </c>
      <c r="K47" s="863"/>
      <c r="L47" s="822"/>
      <c r="N47" s="1013"/>
      <c r="O47" s="849"/>
    </row>
    <row r="48" spans="1:15">
      <c r="A48" s="914" t="s">
        <v>177</v>
      </c>
      <c r="B48" s="915"/>
      <c r="C48" s="915"/>
      <c r="D48" s="837"/>
      <c r="E48" s="836"/>
      <c r="F48" s="836"/>
      <c r="G48" s="837"/>
      <c r="H48" s="837"/>
      <c r="I48" s="837"/>
      <c r="J48" s="838"/>
      <c r="K48" s="863"/>
      <c r="L48" s="822"/>
      <c r="O48" s="849"/>
    </row>
    <row r="49" spans="1:15">
      <c r="A49" s="840" t="s">
        <v>164</v>
      </c>
      <c r="B49" s="919"/>
      <c r="C49" s="919"/>
      <c r="D49" s="842" t="s">
        <v>132</v>
      </c>
      <c r="E49" s="843">
        <f>'23'!F49</f>
        <v>260732.13</v>
      </c>
      <c r="F49" s="916">
        <v>260732</v>
      </c>
      <c r="G49" s="844">
        <f t="shared" ref="G49:G58" si="4">F49-E49</f>
        <v>-0.13000000000465661</v>
      </c>
      <c r="H49" s="845">
        <f>G49+'23'!H49</f>
        <v>0</v>
      </c>
      <c r="I49" s="843"/>
      <c r="J49" s="847">
        <f>H49/DAY(B2)</f>
        <v>0</v>
      </c>
      <c r="K49" s="863"/>
      <c r="L49" s="822"/>
      <c r="O49" s="849"/>
    </row>
    <row r="50" spans="1:15">
      <c r="A50" s="840" t="s">
        <v>178</v>
      </c>
      <c r="B50" s="919"/>
      <c r="C50" s="919"/>
      <c r="D50" s="842" t="s">
        <v>132</v>
      </c>
      <c r="E50" s="843">
        <f>'23'!F50</f>
        <v>466757.27</v>
      </c>
      <c r="F50" s="916">
        <v>467654.87</v>
      </c>
      <c r="G50" s="844">
        <f t="shared" si="4"/>
        <v>897.59999999997672</v>
      </c>
      <c r="H50" s="845">
        <f>G50+'23'!H50</f>
        <v>25380.829999999958</v>
      </c>
      <c r="I50" s="843"/>
      <c r="J50" s="847">
        <f>H50/DAY(B2)</f>
        <v>1057.5345833333315</v>
      </c>
      <c r="K50" s="863"/>
      <c r="L50" s="822"/>
      <c r="O50" s="849"/>
    </row>
    <row r="51" spans="1:15">
      <c r="A51" s="840" t="s">
        <v>166</v>
      </c>
      <c r="B51" s="919"/>
      <c r="C51" s="919"/>
      <c r="D51" s="842" t="s">
        <v>132</v>
      </c>
      <c r="E51" s="843">
        <f>'23'!F51</f>
        <v>144639.87</v>
      </c>
      <c r="F51" s="916">
        <v>144639.87</v>
      </c>
      <c r="G51" s="844">
        <f t="shared" si="4"/>
        <v>0</v>
      </c>
      <c r="H51" s="845">
        <f>G51+'23'!H51</f>
        <v>-0.13000000000465661</v>
      </c>
      <c r="I51" s="843"/>
      <c r="J51" s="847">
        <f>H51/DAY(B2)</f>
        <v>-5.4166666668606922E-3</v>
      </c>
      <c r="K51" s="863"/>
      <c r="L51" s="822"/>
      <c r="O51" s="849"/>
    </row>
    <row r="52" spans="1:15">
      <c r="A52" s="840" t="s">
        <v>179</v>
      </c>
      <c r="B52" s="919"/>
      <c r="C52" s="919"/>
      <c r="D52" s="842" t="s">
        <v>132</v>
      </c>
      <c r="E52" s="843">
        <f>'23'!F52</f>
        <v>539606.06999999995</v>
      </c>
      <c r="F52" s="916">
        <v>539606</v>
      </c>
      <c r="G52" s="844">
        <f t="shared" si="4"/>
        <v>-6.9999999948777258E-2</v>
      </c>
      <c r="H52" s="845">
        <f>G52+'23'!H52</f>
        <v>0</v>
      </c>
      <c r="I52" s="843"/>
      <c r="J52" s="847">
        <f>H52/DAY(B2)</f>
        <v>0</v>
      </c>
      <c r="K52" s="863"/>
      <c r="L52" s="822"/>
      <c r="O52" s="849"/>
    </row>
    <row r="53" spans="1:15">
      <c r="A53" s="840" t="s">
        <v>168</v>
      </c>
      <c r="B53" s="919"/>
      <c r="C53" s="919"/>
      <c r="D53" s="842" t="s">
        <v>132</v>
      </c>
      <c r="E53" s="843">
        <f>'23'!F53</f>
        <v>412290.23</v>
      </c>
      <c r="F53" s="916">
        <v>412867.99</v>
      </c>
      <c r="G53" s="844">
        <f t="shared" si="4"/>
        <v>577.76000000000931</v>
      </c>
      <c r="H53" s="845">
        <f>G53+'23'!H53</f>
        <v>8688.1900000000023</v>
      </c>
      <c r="I53" s="843"/>
      <c r="J53" s="847">
        <f>H53/DAY(B2)</f>
        <v>362.00791666666674</v>
      </c>
      <c r="K53" s="863"/>
      <c r="L53" s="822"/>
      <c r="O53" s="849"/>
    </row>
    <row r="54" spans="1:15">
      <c r="A54" s="840" t="s">
        <v>180</v>
      </c>
      <c r="B54" s="919"/>
      <c r="C54" s="919"/>
      <c r="D54" s="842" t="s">
        <v>132</v>
      </c>
      <c r="E54" s="843">
        <f>'23'!F54</f>
        <v>10862.81</v>
      </c>
      <c r="F54" s="916">
        <v>10937.606</v>
      </c>
      <c r="G54" s="844">
        <f t="shared" si="4"/>
        <v>74.796000000000276</v>
      </c>
      <c r="H54" s="845">
        <f>G54+'23'!H54</f>
        <v>4712.6360000000004</v>
      </c>
      <c r="I54" s="843"/>
      <c r="J54" s="847">
        <f>H54/DAY(B2)</f>
        <v>196.35983333333334</v>
      </c>
      <c r="K54" s="863"/>
      <c r="L54" s="822"/>
      <c r="O54" s="849"/>
    </row>
    <row r="55" spans="1:15">
      <c r="A55" s="840" t="s">
        <v>181</v>
      </c>
      <c r="B55" s="919"/>
      <c r="C55" s="919"/>
      <c r="D55" s="842" t="s">
        <v>132</v>
      </c>
      <c r="E55" s="843">
        <f>'23'!F55</f>
        <v>326156.15000000002</v>
      </c>
      <c r="F55" s="916">
        <v>331982.77</v>
      </c>
      <c r="G55" s="844">
        <f t="shared" si="4"/>
        <v>5826.6199999999953</v>
      </c>
      <c r="H55" s="845">
        <f>G55+'23'!H55</f>
        <v>110529.57</v>
      </c>
      <c r="I55" s="843"/>
      <c r="J55" s="847">
        <f>H55/DAY(B2)</f>
        <v>4605.3987500000003</v>
      </c>
      <c r="K55" s="863"/>
      <c r="L55" s="822"/>
      <c r="O55" s="849"/>
    </row>
    <row r="56" spans="1:15">
      <c r="A56" s="840" t="s">
        <v>182</v>
      </c>
      <c r="B56" s="919"/>
      <c r="C56" s="919"/>
      <c r="D56" s="842" t="s">
        <v>183</v>
      </c>
      <c r="E56" s="843">
        <f>'23'!F56</f>
        <v>589187.39</v>
      </c>
      <c r="F56" s="916">
        <v>589197.03</v>
      </c>
      <c r="G56" s="844">
        <f t="shared" si="4"/>
        <v>9.6400000000139698</v>
      </c>
      <c r="H56" s="845">
        <f>G56+'23'!H56</f>
        <v>220.86999999999534</v>
      </c>
      <c r="I56" s="843"/>
      <c r="J56" s="847">
        <f>H56/DAY(B2)</f>
        <v>9.2029166666664732</v>
      </c>
      <c r="K56" s="839"/>
      <c r="L56" s="822"/>
      <c r="O56" s="849"/>
    </row>
    <row r="57" spans="1:15">
      <c r="A57" s="840" t="s">
        <v>172</v>
      </c>
      <c r="B57" s="919"/>
      <c r="C57" s="919"/>
      <c r="D57" s="842" t="s">
        <v>132</v>
      </c>
      <c r="E57" s="843">
        <f>'23'!F57</f>
        <v>7711</v>
      </c>
      <c r="F57" s="916">
        <v>7711</v>
      </c>
      <c r="G57" s="844">
        <f t="shared" si="4"/>
        <v>0</v>
      </c>
      <c r="H57" s="845">
        <f>G57+'23'!H57</f>
        <v>0</v>
      </c>
      <c r="I57" s="843"/>
      <c r="J57" s="847">
        <f>H57/DAY(B2)</f>
        <v>0</v>
      </c>
      <c r="K57" s="863"/>
      <c r="L57" s="822"/>
      <c r="O57" s="849"/>
    </row>
    <row r="58" spans="1:15">
      <c r="A58" s="840" t="s">
        <v>184</v>
      </c>
      <c r="B58" s="919"/>
      <c r="C58" s="919"/>
      <c r="D58" s="842" t="s">
        <v>132</v>
      </c>
      <c r="E58" s="843">
        <f>'23'!F58</f>
        <v>45721.17</v>
      </c>
      <c r="F58" s="916">
        <v>45903.750999999997</v>
      </c>
      <c r="G58" s="844">
        <f t="shared" si="4"/>
        <v>182.58099999999831</v>
      </c>
      <c r="H58" s="845">
        <f>G58+'23'!H58</f>
        <v>4202.4109999999928</v>
      </c>
      <c r="I58" s="843"/>
      <c r="J58" s="847">
        <f>H58/DAY(B2)</f>
        <v>175.10045833333302</v>
      </c>
      <c r="K58" s="863"/>
      <c r="L58" s="822"/>
      <c r="O58" s="849"/>
    </row>
    <row r="59" spans="1:15">
      <c r="A59" s="865" t="s">
        <v>176</v>
      </c>
      <c r="B59" s="866"/>
      <c r="C59" s="866"/>
      <c r="D59" s="829"/>
      <c r="E59" s="829"/>
      <c r="F59" s="829"/>
      <c r="G59" s="867">
        <f>G49+G50+G51+G52+G53+G54+G55+G56+G57+G58</f>
        <v>7568.7970000000405</v>
      </c>
      <c r="H59" s="845">
        <f>G59+'23'!H59</f>
        <v>153732.37699999998</v>
      </c>
      <c r="I59" s="843">
        <f>G7-G60</f>
        <v>459.84300000011717</v>
      </c>
      <c r="J59" s="847">
        <f>H59/DAY(B2)</f>
        <v>6405.5157083333324</v>
      </c>
      <c r="K59" s="863"/>
      <c r="L59" s="822"/>
      <c r="O59" s="849"/>
    </row>
    <row r="60" spans="1:15">
      <c r="A60" s="840"/>
      <c r="B60" s="841"/>
      <c r="C60" s="841"/>
      <c r="D60" s="829" t="s">
        <v>185</v>
      </c>
      <c r="E60" s="829"/>
      <c r="F60" s="829"/>
      <c r="G60" s="867">
        <f>G47+G59</f>
        <v>19504.156999999883</v>
      </c>
      <c r="H60" s="845">
        <f>G60+'23'!H60</f>
        <v>494811.33999999997</v>
      </c>
      <c r="I60" s="843">
        <f>G13-G60</f>
        <v>-156.7969999998968</v>
      </c>
      <c r="J60" s="847">
        <f>H60/DAY(B2)</f>
        <v>20617.139166666664</v>
      </c>
      <c r="K60" s="863"/>
      <c r="L60" s="822"/>
      <c r="O60" s="849"/>
    </row>
    <row r="61" spans="1:15">
      <c r="A61" s="920" t="s">
        <v>186</v>
      </c>
      <c r="B61" s="921"/>
      <c r="C61" s="921"/>
      <c r="D61" s="921"/>
      <c r="E61" s="922"/>
      <c r="F61" s="922"/>
      <c r="G61" s="921"/>
      <c r="H61" s="921"/>
      <c r="I61" s="921"/>
      <c r="J61" s="923"/>
      <c r="K61" s="863"/>
      <c r="L61" s="822"/>
      <c r="O61" s="849"/>
    </row>
    <row r="62" spans="1:15">
      <c r="A62" s="924" t="s">
        <v>98</v>
      </c>
      <c r="B62" s="925"/>
      <c r="C62" s="925"/>
      <c r="D62" s="829" t="s">
        <v>187</v>
      </c>
      <c r="E62" s="843">
        <f>'23'!F62</f>
        <v>20419</v>
      </c>
      <c r="F62" s="926">
        <v>20419</v>
      </c>
      <c r="G62" s="844">
        <f t="shared" ref="G62:G69" si="5">F62-E62</f>
        <v>0</v>
      </c>
      <c r="H62" s="845">
        <f>G62+'23'!H62</f>
        <v>0.18199999999706051</v>
      </c>
      <c r="I62" s="927"/>
      <c r="J62" s="847">
        <f>H62/DAY(B2)</f>
        <v>7.583333333210855E-3</v>
      </c>
      <c r="K62" s="863"/>
      <c r="L62" s="822"/>
      <c r="O62" s="849"/>
    </row>
    <row r="63" spans="1:15">
      <c r="A63" s="924" t="s">
        <v>188</v>
      </c>
      <c r="B63" s="925"/>
      <c r="C63" s="925"/>
      <c r="D63" s="829" t="s">
        <v>187</v>
      </c>
      <c r="E63" s="843">
        <f>'23'!F63</f>
        <v>2322</v>
      </c>
      <c r="F63" s="926">
        <v>2327.1959000000002</v>
      </c>
      <c r="G63" s="844">
        <f t="shared" si="5"/>
        <v>5.1959000000001652</v>
      </c>
      <c r="H63" s="845">
        <f>G63+'23'!H63</f>
        <v>231.19590000000017</v>
      </c>
      <c r="I63" s="927"/>
      <c r="J63" s="847">
        <f>H63/DAY(B2)</f>
        <v>9.6331625000000063</v>
      </c>
      <c r="K63" s="863"/>
      <c r="L63" s="822"/>
      <c r="O63" s="849"/>
    </row>
    <row r="64" spans="1:15">
      <c r="A64" s="1608" t="s">
        <v>99</v>
      </c>
      <c r="B64" s="1609"/>
      <c r="C64" s="1610"/>
      <c r="D64" s="842" t="s">
        <v>187</v>
      </c>
      <c r="E64" s="843">
        <f>'23'!F64</f>
        <v>150314.51999999999</v>
      </c>
      <c r="F64" s="873">
        <v>150822.72</v>
      </c>
      <c r="G64" s="844">
        <f t="shared" si="5"/>
        <v>508.20000000001164</v>
      </c>
      <c r="H64" s="845">
        <f>G64+'23'!H64</f>
        <v>11642.720000000001</v>
      </c>
      <c r="I64" s="864"/>
      <c r="J64" s="847">
        <f>H64/DAY(B2)</f>
        <v>485.1133333333334</v>
      </c>
      <c r="K64" s="863"/>
      <c r="L64" s="822"/>
      <c r="O64" s="849"/>
    </row>
    <row r="65" spans="1:15">
      <c r="A65" s="1608" t="s">
        <v>100</v>
      </c>
      <c r="B65" s="1609"/>
      <c r="C65" s="1610"/>
      <c r="D65" s="842" t="s">
        <v>187</v>
      </c>
      <c r="E65" s="843">
        <f>'23'!F65</f>
        <v>152510.07</v>
      </c>
      <c r="F65" s="873">
        <v>152863.67000000001</v>
      </c>
      <c r="G65" s="844">
        <f t="shared" si="5"/>
        <v>353.60000000000582</v>
      </c>
      <c r="H65" s="845">
        <f>G65+'23'!H65</f>
        <v>8658.6700000000128</v>
      </c>
      <c r="I65" s="882"/>
      <c r="J65" s="847">
        <f>H65/DAY(B2)</f>
        <v>360.77791666666718</v>
      </c>
      <c r="K65" s="863"/>
      <c r="L65" s="822"/>
      <c r="O65" s="849"/>
    </row>
    <row r="66" spans="1:15">
      <c r="A66" s="1608" t="s">
        <v>101</v>
      </c>
      <c r="B66" s="1609"/>
      <c r="C66" s="1610"/>
      <c r="D66" s="842" t="s">
        <v>187</v>
      </c>
      <c r="E66" s="843">
        <f>'23'!F66</f>
        <v>46186.53</v>
      </c>
      <c r="F66" s="873">
        <v>46586.239999999998</v>
      </c>
      <c r="G66" s="844">
        <f t="shared" si="5"/>
        <v>399.70999999999913</v>
      </c>
      <c r="H66" s="845">
        <f>G66+'23'!H66</f>
        <v>9378.239999999998</v>
      </c>
      <c r="I66" s="864"/>
      <c r="J66" s="847">
        <f>H66/DAY(B2)</f>
        <v>390.75999999999993</v>
      </c>
      <c r="K66" s="863"/>
      <c r="L66" s="822"/>
      <c r="O66" s="849"/>
    </row>
    <row r="67" spans="1:15">
      <c r="A67" s="1608" t="s">
        <v>102</v>
      </c>
      <c r="B67" s="1609"/>
      <c r="C67" s="1610"/>
      <c r="D67" s="842" t="s">
        <v>187</v>
      </c>
      <c r="E67" s="843">
        <f>'23'!F67</f>
        <v>240763.33</v>
      </c>
      <c r="F67" s="873">
        <v>241200.61</v>
      </c>
      <c r="G67" s="844">
        <f t="shared" si="5"/>
        <v>437.27999999999884</v>
      </c>
      <c r="H67" s="845">
        <f>G67+'23'!H67</f>
        <v>12100.609999999986</v>
      </c>
      <c r="I67" s="882"/>
      <c r="J67" s="847">
        <f>H67/DAY(B2)</f>
        <v>504.19208333333273</v>
      </c>
      <c r="K67" s="870"/>
      <c r="L67" s="822"/>
      <c r="O67" s="849"/>
    </row>
    <row r="68" spans="1:15">
      <c r="A68" s="1608" t="s">
        <v>103</v>
      </c>
      <c r="B68" s="1609"/>
      <c r="C68" s="1610"/>
      <c r="D68" s="842" t="s">
        <v>187</v>
      </c>
      <c r="E68" s="843">
        <f>'23'!F68</f>
        <v>85321</v>
      </c>
      <c r="F68" s="873">
        <v>85321</v>
      </c>
      <c r="G68" s="844">
        <f t="shared" si="5"/>
        <v>0</v>
      </c>
      <c r="H68" s="845">
        <f>G68+'23'!H68</f>
        <v>2234</v>
      </c>
      <c r="I68" s="928"/>
      <c r="J68" s="847">
        <f>H68/DAY(B2)</f>
        <v>93.083333333333329</v>
      </c>
      <c r="K68" s="929"/>
      <c r="L68" s="822"/>
      <c r="O68" s="849"/>
    </row>
    <row r="69" spans="1:15">
      <c r="A69" s="1608" t="s">
        <v>104</v>
      </c>
      <c r="B69" s="1609"/>
      <c r="C69" s="1610"/>
      <c r="D69" s="842" t="s">
        <v>187</v>
      </c>
      <c r="E69" s="843">
        <f>'23'!F69</f>
        <v>78426.3</v>
      </c>
      <c r="F69" s="873">
        <v>78476.800000000003</v>
      </c>
      <c r="G69" s="844">
        <f t="shared" si="5"/>
        <v>50.5</v>
      </c>
      <c r="H69" s="845">
        <f>G69+'23'!H69</f>
        <v>4147.8000000000029</v>
      </c>
      <c r="I69" s="928"/>
      <c r="J69" s="847">
        <f>H69/DAY(B2)</f>
        <v>172.82500000000013</v>
      </c>
      <c r="K69" s="930"/>
      <c r="L69" s="822"/>
      <c r="O69" s="849"/>
    </row>
    <row r="70" spans="1:15">
      <c r="A70" s="1617" t="s">
        <v>189</v>
      </c>
      <c r="B70" s="1618"/>
      <c r="C70" s="1619"/>
      <c r="D70" s="842" t="s">
        <v>187</v>
      </c>
      <c r="E70" s="931"/>
      <c r="F70" s="932"/>
      <c r="G70" s="932"/>
      <c r="H70" s="845">
        <f>G70+'23'!H70</f>
        <v>0</v>
      </c>
      <c r="I70" s="932"/>
      <c r="J70" s="933"/>
      <c r="K70" s="930"/>
      <c r="L70" s="822"/>
      <c r="O70" s="849"/>
    </row>
    <row r="71" spans="1:15" ht="22.5">
      <c r="A71" s="1614" t="s">
        <v>190</v>
      </c>
      <c r="B71" s="1615"/>
      <c r="C71" s="1615"/>
      <c r="D71" s="1615"/>
      <c r="E71" s="1615"/>
      <c r="F71" s="1615"/>
      <c r="G71" s="1615"/>
      <c r="H71" s="1615"/>
      <c r="I71" s="1615"/>
      <c r="J71" s="1616"/>
      <c r="K71" s="929"/>
      <c r="L71" s="822"/>
      <c r="O71" s="849"/>
    </row>
    <row r="72" spans="1:15">
      <c r="A72" s="1608" t="s">
        <v>191</v>
      </c>
      <c r="B72" s="1609"/>
      <c r="C72" s="1610"/>
      <c r="D72" s="842" t="s">
        <v>187</v>
      </c>
      <c r="E72" s="843">
        <f>'23'!F72</f>
        <v>855126</v>
      </c>
      <c r="F72" s="934">
        <v>855182</v>
      </c>
      <c r="G72" s="844">
        <f t="shared" ref="G72:G90" si="6">F72-E72</f>
        <v>56</v>
      </c>
      <c r="H72" s="845">
        <f>G72+'23'!H72</f>
        <v>1919</v>
      </c>
      <c r="I72" s="864"/>
      <c r="J72" s="847">
        <f>H72/DAY(B2)</f>
        <v>79.958333333333329</v>
      </c>
      <c r="K72" s="930"/>
      <c r="L72" s="822"/>
      <c r="O72" s="849"/>
    </row>
    <row r="73" spans="1:15">
      <c r="A73" s="1608" t="s">
        <v>192</v>
      </c>
      <c r="B73" s="1609"/>
      <c r="C73" s="1610"/>
      <c r="D73" s="842" t="s">
        <v>187</v>
      </c>
      <c r="E73" s="843">
        <f>'23'!F73</f>
        <v>885834</v>
      </c>
      <c r="F73" s="935">
        <v>885837</v>
      </c>
      <c r="G73" s="844">
        <f t="shared" si="6"/>
        <v>3</v>
      </c>
      <c r="H73" s="845">
        <f>G73+'23'!H73</f>
        <v>1258</v>
      </c>
      <c r="I73" s="864"/>
      <c r="J73" s="847">
        <f>H73/DAY(B2)</f>
        <v>52.416666666666664</v>
      </c>
      <c r="K73" s="929"/>
      <c r="L73" s="822"/>
      <c r="O73" s="849"/>
    </row>
    <row r="74" spans="1:15">
      <c r="A74" s="1608" t="s">
        <v>193</v>
      </c>
      <c r="B74" s="1609"/>
      <c r="C74" s="1610"/>
      <c r="D74" s="842" t="s">
        <v>187</v>
      </c>
      <c r="E74" s="843">
        <f>'23'!F74</f>
        <v>2054.98</v>
      </c>
      <c r="F74" s="936">
        <v>2090.56</v>
      </c>
      <c r="G74" s="844">
        <f t="shared" si="6"/>
        <v>35.579999999999927</v>
      </c>
      <c r="H74" s="845">
        <f>G74+'23'!H74</f>
        <v>720.56</v>
      </c>
      <c r="I74" s="864"/>
      <c r="J74" s="847">
        <f>H74/DAY(B2)</f>
        <v>30.02333333333333</v>
      </c>
      <c r="K74" s="930"/>
      <c r="L74" s="822"/>
      <c r="O74" s="849"/>
    </row>
    <row r="75" spans="1:15">
      <c r="A75" s="1611" t="s">
        <v>194</v>
      </c>
      <c r="B75" s="1612"/>
      <c r="C75" s="1613"/>
      <c r="D75" s="842" t="s">
        <v>187</v>
      </c>
      <c r="E75" s="843">
        <f>'23'!F75</f>
        <v>10560.05</v>
      </c>
      <c r="F75" s="936">
        <v>10621.99</v>
      </c>
      <c r="G75" s="844">
        <f t="shared" si="6"/>
        <v>61.940000000000509</v>
      </c>
      <c r="H75" s="845">
        <f>G75+'23'!H75</f>
        <v>1941.9899999999998</v>
      </c>
      <c r="I75" s="864"/>
      <c r="J75" s="847">
        <f>H75/DAY(B2)</f>
        <v>80.916249999999991</v>
      </c>
      <c r="K75" s="929"/>
      <c r="L75" s="822"/>
      <c r="O75" s="849"/>
    </row>
    <row r="76" spans="1:15">
      <c r="A76" s="1611" t="s">
        <v>195</v>
      </c>
      <c r="B76" s="1612"/>
      <c r="C76" s="1613"/>
      <c r="D76" s="842" t="s">
        <v>187</v>
      </c>
      <c r="E76" s="843">
        <f>'23'!F76</f>
        <v>5396.8</v>
      </c>
      <c r="F76" s="935">
        <v>5435</v>
      </c>
      <c r="G76" s="844">
        <f t="shared" si="6"/>
        <v>38.199999999999818</v>
      </c>
      <c r="H76" s="845">
        <f>G76+'23'!H76</f>
        <v>1809</v>
      </c>
      <c r="I76" s="907"/>
      <c r="J76" s="847">
        <f>H76/DAY(B2)</f>
        <v>75.375</v>
      </c>
      <c r="K76" s="929"/>
      <c r="L76" s="822"/>
      <c r="O76" s="849"/>
    </row>
    <row r="77" spans="1:15">
      <c r="A77" s="1608" t="s">
        <v>196</v>
      </c>
      <c r="B77" s="1609"/>
      <c r="C77" s="1610"/>
      <c r="D77" s="842" t="s">
        <v>187</v>
      </c>
      <c r="E77" s="843">
        <f>'23'!F77</f>
        <v>701243</v>
      </c>
      <c r="F77" s="935">
        <v>701287</v>
      </c>
      <c r="G77" s="844">
        <f t="shared" si="6"/>
        <v>44</v>
      </c>
      <c r="H77" s="845">
        <f>G77+'23'!H77</f>
        <v>1073</v>
      </c>
      <c r="I77" s="907"/>
      <c r="J77" s="847">
        <f>H77/DAY(B2)</f>
        <v>44.708333333333336</v>
      </c>
      <c r="K77" s="929"/>
      <c r="L77" s="822"/>
      <c r="O77" s="849"/>
    </row>
    <row r="78" spans="1:15">
      <c r="A78" s="937" t="s">
        <v>197</v>
      </c>
      <c r="B78" s="1140"/>
      <c r="C78" s="1140"/>
      <c r="D78" s="842" t="s">
        <v>187</v>
      </c>
      <c r="E78" s="843">
        <f>'23'!F78</f>
        <v>669435</v>
      </c>
      <c r="F78" s="936">
        <v>669539</v>
      </c>
      <c r="G78" s="844">
        <f t="shared" si="6"/>
        <v>104</v>
      </c>
      <c r="H78" s="845">
        <f>G78+'23'!H78</f>
        <v>4159</v>
      </c>
      <c r="I78" s="907"/>
      <c r="J78" s="847">
        <f>H78/DAY(B2)</f>
        <v>173.29166666666666</v>
      </c>
      <c r="K78" s="929"/>
      <c r="L78" s="822"/>
      <c r="O78" s="849"/>
    </row>
    <row r="79" spans="1:15">
      <c r="A79" s="1611" t="s">
        <v>92</v>
      </c>
      <c r="B79" s="1612"/>
      <c r="C79" s="1613"/>
      <c r="D79" s="876" t="s">
        <v>187</v>
      </c>
      <c r="E79" s="843">
        <f>'23'!F79</f>
        <v>825480</v>
      </c>
      <c r="F79" s="936">
        <v>825666</v>
      </c>
      <c r="G79" s="844">
        <f t="shared" si="6"/>
        <v>186</v>
      </c>
      <c r="H79" s="845">
        <f>G79+'23'!H79</f>
        <v>5475</v>
      </c>
      <c r="I79" s="907"/>
      <c r="J79" s="847">
        <f>H79/DAY(B2)</f>
        <v>228.125</v>
      </c>
      <c r="K79" s="929"/>
      <c r="L79" s="822"/>
      <c r="O79" s="849"/>
    </row>
    <row r="80" spans="1:15">
      <c r="A80" s="1611" t="s">
        <v>198</v>
      </c>
      <c r="B80" s="1612"/>
      <c r="C80" s="1613"/>
      <c r="D80" s="876" t="s">
        <v>187</v>
      </c>
      <c r="E80" s="843">
        <f>'23'!F80</f>
        <v>514128.76</v>
      </c>
      <c r="F80" s="1235">
        <v>514501.88</v>
      </c>
      <c r="G80" s="844">
        <f t="shared" si="6"/>
        <v>373.11999999999534</v>
      </c>
      <c r="H80" s="845">
        <f>G80+'23'!H80</f>
        <v>6573.8800000000047</v>
      </c>
      <c r="I80" s="907"/>
      <c r="J80" s="847">
        <f>H80/DAY(B2)</f>
        <v>273.91166666666686</v>
      </c>
      <c r="K80" s="929"/>
      <c r="L80" s="822"/>
      <c r="O80" s="849"/>
    </row>
    <row r="81" spans="1:15">
      <c r="A81" s="1611" t="s">
        <v>199</v>
      </c>
      <c r="B81" s="1612"/>
      <c r="C81" s="1613"/>
      <c r="D81" s="876" t="s">
        <v>187</v>
      </c>
      <c r="E81" s="843">
        <f>'23'!F81</f>
        <v>635688.28</v>
      </c>
      <c r="F81" s="935">
        <v>635856.76</v>
      </c>
      <c r="G81" s="844">
        <f t="shared" si="6"/>
        <v>168.47999999998137</v>
      </c>
      <c r="H81" s="845">
        <f>G81+'23'!H81</f>
        <v>5671.7600000000093</v>
      </c>
      <c r="I81" s="907"/>
      <c r="J81" s="847">
        <f>H81/DAY(B2)</f>
        <v>236.32333333333372</v>
      </c>
      <c r="K81" s="929"/>
      <c r="L81" s="822"/>
      <c r="O81" s="849"/>
    </row>
    <row r="82" spans="1:15">
      <c r="A82" s="1611" t="s">
        <v>93</v>
      </c>
      <c r="B82" s="1612"/>
      <c r="C82" s="1613"/>
      <c r="D82" s="877" t="s">
        <v>132</v>
      </c>
      <c r="E82" s="843">
        <f>'23'!F82</f>
        <v>107450.3</v>
      </c>
      <c r="F82" s="938">
        <v>107475.33</v>
      </c>
      <c r="G82" s="844">
        <f t="shared" si="6"/>
        <v>25.029999999998836</v>
      </c>
      <c r="H82" s="845">
        <f>G82+'23'!H82</f>
        <v>580.33000000000175</v>
      </c>
      <c r="I82" s="878"/>
      <c r="J82" s="847">
        <f>H82/DAY(B2)</f>
        <v>24.180416666666741</v>
      </c>
      <c r="K82" s="929"/>
      <c r="L82" s="822"/>
      <c r="O82" s="849"/>
    </row>
    <row r="83" spans="1:15">
      <c r="A83" s="1611" t="s">
        <v>200</v>
      </c>
      <c r="B83" s="1612"/>
      <c r="C83" s="1613"/>
      <c r="D83" s="939" t="s">
        <v>132</v>
      </c>
      <c r="E83" s="843">
        <f>'23'!F83</f>
        <v>13149</v>
      </c>
      <c r="F83" s="829">
        <v>13394</v>
      </c>
      <c r="G83" s="844">
        <f>F83-E83</f>
        <v>245</v>
      </c>
      <c r="H83" s="845">
        <f>G83+'23'!H83</f>
        <v>6337</v>
      </c>
      <c r="I83" s="867"/>
      <c r="J83" s="847">
        <f>H83/DAY(B2)</f>
        <v>264.04166666666669</v>
      </c>
      <c r="K83" s="870"/>
      <c r="L83" s="822"/>
      <c r="O83" s="849"/>
    </row>
    <row r="84" spans="1:15">
      <c r="A84" s="940" t="s">
        <v>201</v>
      </c>
      <c r="B84" s="941"/>
      <c r="C84" s="941"/>
      <c r="D84" s="861" t="s">
        <v>132</v>
      </c>
      <c r="E84" s="843">
        <f>'23'!F84</f>
        <v>474641</v>
      </c>
      <c r="F84" s="942">
        <v>475428</v>
      </c>
      <c r="G84" s="844">
        <f t="shared" si="6"/>
        <v>787</v>
      </c>
      <c r="H84" s="845">
        <f>G84+'23'!H84</f>
        <v>20744</v>
      </c>
      <c r="I84" s="867"/>
      <c r="J84" s="847">
        <f>H84/DAY(B2)</f>
        <v>864.33333333333337</v>
      </c>
      <c r="K84" s="943"/>
      <c r="L84" s="822"/>
      <c r="O84" s="849"/>
    </row>
    <row r="85" spans="1:15" s="947" customFormat="1">
      <c r="A85" s="944" t="s">
        <v>202</v>
      </c>
      <c r="B85" s="945"/>
      <c r="C85" s="945"/>
      <c r="D85" s="882"/>
      <c r="E85" s="843">
        <f>'23'!F85</f>
        <v>0</v>
      </c>
      <c r="F85" s="842"/>
      <c r="G85" s="845">
        <f xml:space="preserve"> SUM(G72:G84)</f>
        <v>2127.3499999999758</v>
      </c>
      <c r="H85" s="845">
        <f>G85+'23'!H85</f>
        <v>57921.520000000019</v>
      </c>
      <c r="I85" s="867"/>
      <c r="J85" s="847">
        <f>H85/DAY(B2)</f>
        <v>2413.3966666666674</v>
      </c>
      <c r="K85" s="943"/>
      <c r="L85" s="946"/>
      <c r="N85" s="1014"/>
      <c r="O85" s="849"/>
    </row>
    <row r="86" spans="1:15" s="957" customFormat="1">
      <c r="A86" s="948" t="s">
        <v>94</v>
      </c>
      <c r="B86" s="949"/>
      <c r="C86" s="949"/>
      <c r="D86" s="950" t="s">
        <v>183</v>
      </c>
      <c r="E86" s="843">
        <f>'23'!F86</f>
        <v>458356.36</v>
      </c>
      <c r="F86" s="951">
        <v>458386</v>
      </c>
      <c r="G86" s="952">
        <f t="shared" si="6"/>
        <v>29.64000000001397</v>
      </c>
      <c r="H86" s="952">
        <f t="shared" ref="H86:H88" si="7">G86</f>
        <v>29.64000000001397</v>
      </c>
      <c r="I86" s="953"/>
      <c r="J86" s="954">
        <f>H86/DAY(B2)</f>
        <v>1.2350000000005821</v>
      </c>
      <c r="K86" s="955"/>
      <c r="L86" s="956"/>
      <c r="N86" s="1015"/>
      <c r="O86" s="849"/>
    </row>
    <row r="87" spans="1:15" s="957" customFormat="1">
      <c r="A87" s="948" t="s">
        <v>95</v>
      </c>
      <c r="B87" s="949"/>
      <c r="C87" s="949"/>
      <c r="D87" s="950" t="s">
        <v>183</v>
      </c>
      <c r="E87" s="843">
        <f>'23'!F87</f>
        <v>80823</v>
      </c>
      <c r="F87" s="951">
        <v>80835.399999999994</v>
      </c>
      <c r="G87" s="952">
        <f t="shared" si="6"/>
        <v>12.399999999994179</v>
      </c>
      <c r="H87" s="952">
        <f t="shared" si="7"/>
        <v>12.399999999994179</v>
      </c>
      <c r="I87" s="953"/>
      <c r="J87" s="954">
        <f>H87/DAY(B2)</f>
        <v>0.51666666666642413</v>
      </c>
      <c r="K87" s="955"/>
      <c r="L87" s="956"/>
      <c r="N87" s="1015"/>
      <c r="O87" s="849"/>
    </row>
    <row r="88" spans="1:15" s="957" customFormat="1">
      <c r="A88" s="948" t="s">
        <v>96</v>
      </c>
      <c r="B88" s="949"/>
      <c r="C88" s="949"/>
      <c r="D88" s="950" t="s">
        <v>183</v>
      </c>
      <c r="E88" s="843">
        <f>'23'!F88</f>
        <v>151542.20000000001</v>
      </c>
      <c r="F88" s="951">
        <v>151564.82999999999</v>
      </c>
      <c r="G88" s="952">
        <f t="shared" si="6"/>
        <v>22.629999999975553</v>
      </c>
      <c r="H88" s="952">
        <f t="shared" si="7"/>
        <v>22.629999999975553</v>
      </c>
      <c r="I88" s="953"/>
      <c r="J88" s="954">
        <f>H88/DAY(B2)</f>
        <v>0.942916666665648</v>
      </c>
      <c r="K88" s="955"/>
      <c r="L88" s="956"/>
      <c r="N88" s="1015"/>
      <c r="O88" s="849"/>
    </row>
    <row r="89" spans="1:15" s="957" customFormat="1">
      <c r="A89" s="948" t="s">
        <v>204</v>
      </c>
      <c r="B89" s="949"/>
      <c r="C89" s="949"/>
      <c r="D89" s="950" t="s">
        <v>183</v>
      </c>
      <c r="E89" s="843">
        <f>'23'!F89</f>
        <v>64546</v>
      </c>
      <c r="F89" s="951">
        <v>64589.2</v>
      </c>
      <c r="G89" s="952">
        <f t="shared" si="6"/>
        <v>43.19999999999709</v>
      </c>
      <c r="H89" s="952">
        <f>G89</f>
        <v>43.19999999999709</v>
      </c>
      <c r="I89" s="953"/>
      <c r="J89" s="954">
        <f>H89/DAY(B2)</f>
        <v>1.7999999999998788</v>
      </c>
      <c r="K89" s="955"/>
      <c r="L89" s="956"/>
      <c r="N89" s="1016"/>
      <c r="O89" s="849"/>
    </row>
    <row r="90" spans="1:15" s="957" customFormat="1">
      <c r="A90" s="948" t="s">
        <v>204</v>
      </c>
      <c r="B90" s="949"/>
      <c r="C90" s="949"/>
      <c r="D90" s="950" t="s">
        <v>183</v>
      </c>
      <c r="E90" s="843">
        <f>'23'!F90</f>
        <v>3272.7</v>
      </c>
      <c r="F90" s="951">
        <v>3272.3</v>
      </c>
      <c r="G90" s="952">
        <f t="shared" si="6"/>
        <v>-0.3999999999996362</v>
      </c>
      <c r="H90" s="952">
        <f>G90</f>
        <v>-0.3999999999996362</v>
      </c>
      <c r="I90" s="953"/>
      <c r="J90" s="954">
        <f>H90/DAY(B2)</f>
        <v>-1.6666666666651508E-2</v>
      </c>
      <c r="K90" s="955"/>
      <c r="L90" s="956"/>
      <c r="N90" s="1016"/>
      <c r="O90" s="849"/>
    </row>
    <row r="91" spans="1:15" s="947" customFormat="1">
      <c r="A91" s="958" t="s">
        <v>205</v>
      </c>
      <c r="B91" s="837"/>
      <c r="C91" s="837"/>
      <c r="D91" s="837"/>
      <c r="E91" s="837"/>
      <c r="F91" s="837"/>
      <c r="G91" s="881"/>
      <c r="H91" s="837"/>
      <c r="I91" s="837"/>
      <c r="J91" s="838"/>
      <c r="K91" s="943"/>
      <c r="L91" s="946"/>
      <c r="N91" s="1014"/>
      <c r="O91" s="849"/>
    </row>
    <row r="92" spans="1:15">
      <c r="A92" s="1602" t="s">
        <v>206</v>
      </c>
      <c r="B92" s="1603"/>
      <c r="C92" s="1604"/>
      <c r="D92" s="842" t="s">
        <v>144</v>
      </c>
      <c r="E92" s="843">
        <f>'23'!F92</f>
        <v>244204</v>
      </c>
      <c r="F92" s="873">
        <v>244290</v>
      </c>
      <c r="G92" s="844">
        <f t="shared" ref="G92:G93" si="8">F92-E92</f>
        <v>86</v>
      </c>
      <c r="H92" s="845">
        <f>G92+'23'!H92</f>
        <v>1644</v>
      </c>
      <c r="I92" s="864"/>
      <c r="J92" s="847">
        <f>H92/DAY(B2)</f>
        <v>68.5</v>
      </c>
      <c r="K92" s="870"/>
      <c r="L92" s="822"/>
      <c r="O92" s="849"/>
    </row>
    <row r="93" spans="1:15">
      <c r="A93" s="1602" t="s">
        <v>207</v>
      </c>
      <c r="B93" s="1603"/>
      <c r="C93" s="1604"/>
      <c r="D93" s="842" t="s">
        <v>144</v>
      </c>
      <c r="E93" s="843">
        <f>'23'!F93</f>
        <v>182874</v>
      </c>
      <c r="F93" s="873">
        <v>183007</v>
      </c>
      <c r="G93" s="844">
        <f t="shared" si="8"/>
        <v>133</v>
      </c>
      <c r="H93" s="845">
        <f>G93+'23'!H93</f>
        <v>3328</v>
      </c>
      <c r="I93" s="864"/>
      <c r="J93" s="847">
        <f>H93/DAY(B2)</f>
        <v>138.66666666666666</v>
      </c>
      <c r="K93" s="943"/>
      <c r="L93" s="822"/>
      <c r="O93" s="849"/>
    </row>
    <row r="94" spans="1:15">
      <c r="A94" s="1594" t="s">
        <v>208</v>
      </c>
      <c r="B94" s="1595"/>
      <c r="C94" s="1596"/>
      <c r="D94" s="842"/>
      <c r="E94" s="843">
        <f>'23'!F94</f>
        <v>0</v>
      </c>
      <c r="F94" s="873"/>
      <c r="G94" s="844">
        <f>G92+G93</f>
        <v>219</v>
      </c>
      <c r="H94" s="845">
        <f>G94+'23'!H94</f>
        <v>4753</v>
      </c>
      <c r="I94" s="864"/>
      <c r="J94" s="847">
        <f>H94/DAY(B2)</f>
        <v>198.04166666666666</v>
      </c>
      <c r="K94" s="943"/>
      <c r="L94" s="822"/>
      <c r="O94" s="849"/>
    </row>
    <row r="95" spans="1:15">
      <c r="A95" s="1602" t="s">
        <v>209</v>
      </c>
      <c r="B95" s="1603"/>
      <c r="C95" s="1604"/>
      <c r="D95" s="842" t="s">
        <v>144</v>
      </c>
      <c r="E95" s="843">
        <f>'23'!F95</f>
        <v>412422</v>
      </c>
      <c r="F95" s="873">
        <v>412518</v>
      </c>
      <c r="G95" s="844">
        <f t="shared" ref="G95:G100" si="9">F95-E95</f>
        <v>96</v>
      </c>
      <c r="H95" s="845">
        <f>G95+'23'!H95</f>
        <v>1733</v>
      </c>
      <c r="I95" s="864"/>
      <c r="J95" s="847">
        <f>H95/DAY(B2)</f>
        <v>72.208333333333329</v>
      </c>
      <c r="K95" s="943"/>
      <c r="L95" s="822"/>
      <c r="O95" s="849"/>
    </row>
    <row r="96" spans="1:15">
      <c r="A96" s="871" t="s">
        <v>210</v>
      </c>
      <c r="B96" s="872"/>
      <c r="C96" s="872"/>
      <c r="D96" s="842" t="s">
        <v>144</v>
      </c>
      <c r="E96" s="843">
        <f>'23'!F96</f>
        <v>102234</v>
      </c>
      <c r="F96" s="873">
        <v>102255</v>
      </c>
      <c r="G96" s="844">
        <f t="shared" si="9"/>
        <v>21</v>
      </c>
      <c r="H96" s="845">
        <f>G96+'23'!H96</f>
        <v>424</v>
      </c>
      <c r="I96" s="864"/>
      <c r="J96" s="847">
        <f>H96/DAY(B2)</f>
        <v>17.666666666666668</v>
      </c>
      <c r="K96" s="839"/>
      <c r="L96" s="822"/>
      <c r="O96" s="849"/>
    </row>
    <row r="97" spans="1:15">
      <c r="A97" s="871" t="s">
        <v>211</v>
      </c>
      <c r="B97" s="872"/>
      <c r="C97" s="872"/>
      <c r="D97" s="842" t="s">
        <v>144</v>
      </c>
      <c r="E97" s="843">
        <f>'23'!F97</f>
        <v>97333</v>
      </c>
      <c r="F97" s="873">
        <v>97350</v>
      </c>
      <c r="G97" s="844">
        <f t="shared" si="9"/>
        <v>17</v>
      </c>
      <c r="H97" s="845">
        <f>G97+'23'!H97</f>
        <v>422</v>
      </c>
      <c r="I97" s="864"/>
      <c r="J97" s="847">
        <f>H97/DAY(B2)</f>
        <v>17.583333333333332</v>
      </c>
      <c r="K97" s="959"/>
      <c r="L97" s="822"/>
      <c r="O97" s="849"/>
    </row>
    <row r="98" spans="1:15">
      <c r="A98" s="871" t="s">
        <v>212</v>
      </c>
      <c r="B98" s="872"/>
      <c r="C98" s="872"/>
      <c r="D98" s="842" t="s">
        <v>144</v>
      </c>
      <c r="E98" s="843">
        <f>'23'!F98</f>
        <v>149485</v>
      </c>
      <c r="F98" s="873">
        <v>149490</v>
      </c>
      <c r="G98" s="844">
        <f t="shared" si="9"/>
        <v>5</v>
      </c>
      <c r="H98" s="845">
        <f>G98+'23'!H98</f>
        <v>581</v>
      </c>
      <c r="I98" s="864"/>
      <c r="J98" s="847">
        <f>H98/DAY(B2)</f>
        <v>24.208333333333332</v>
      </c>
      <c r="K98" s="943"/>
      <c r="L98" s="822"/>
      <c r="O98" s="849"/>
    </row>
    <row r="99" spans="1:15">
      <c r="A99" s="871" t="s">
        <v>213</v>
      </c>
      <c r="B99" s="872"/>
      <c r="C99" s="872"/>
      <c r="D99" s="842" t="s">
        <v>144</v>
      </c>
      <c r="E99" s="843">
        <f>'23'!F99</f>
        <v>7149</v>
      </c>
      <c r="F99" s="873">
        <v>7157</v>
      </c>
      <c r="G99" s="844">
        <f t="shared" si="9"/>
        <v>8</v>
      </c>
      <c r="H99" s="845">
        <f>G99+'23'!H99</f>
        <v>302</v>
      </c>
      <c r="I99" s="864"/>
      <c r="J99" s="847">
        <f>H99/DAY(B2)</f>
        <v>12.583333333333334</v>
      </c>
      <c r="K99" s="943"/>
      <c r="L99" s="822"/>
      <c r="O99" s="849"/>
    </row>
    <row r="100" spans="1:15">
      <c r="A100" s="871" t="s">
        <v>214</v>
      </c>
      <c r="B100" s="872"/>
      <c r="C100" s="872"/>
      <c r="D100" s="842" t="s">
        <v>144</v>
      </c>
      <c r="E100" s="843">
        <f>'23'!F100</f>
        <v>5100</v>
      </c>
      <c r="F100" s="873">
        <v>5110</v>
      </c>
      <c r="G100" s="844">
        <f t="shared" si="9"/>
        <v>10</v>
      </c>
      <c r="H100" s="845">
        <f>G100+'23'!H100</f>
        <v>167</v>
      </c>
      <c r="I100" s="864"/>
      <c r="J100" s="847">
        <f>H100/DAY(B2)</f>
        <v>6.958333333333333</v>
      </c>
      <c r="K100" s="943"/>
      <c r="L100" s="822"/>
      <c r="O100" s="849"/>
    </row>
    <row r="101" spans="1:15">
      <c r="A101" s="1594" t="s">
        <v>216</v>
      </c>
      <c r="B101" s="1595"/>
      <c r="C101" s="1596"/>
      <c r="D101" s="876"/>
      <c r="E101" s="876"/>
      <c r="F101" s="876"/>
      <c r="G101" s="960">
        <f>SUM(G95:G100)</f>
        <v>157</v>
      </c>
      <c r="H101" s="845">
        <f>G101+'23'!H101</f>
        <v>3629</v>
      </c>
      <c r="I101" s="961"/>
      <c r="J101" s="847">
        <f>H101/DAY(B2)</f>
        <v>151.20833333333334</v>
      </c>
      <c r="K101" s="943"/>
      <c r="L101" s="822"/>
      <c r="O101" s="849"/>
    </row>
    <row r="102" spans="1:15" s="894" customFormat="1">
      <c r="A102" s="962" t="s">
        <v>217</v>
      </c>
      <c r="B102" s="963"/>
      <c r="C102" s="963"/>
      <c r="D102" s="964"/>
      <c r="E102" s="965"/>
      <c r="F102" s="966"/>
      <c r="G102" s="967"/>
      <c r="H102" s="968"/>
      <c r="I102" s="969"/>
      <c r="J102" s="970"/>
      <c r="N102" s="1012"/>
      <c r="O102" s="849"/>
    </row>
    <row r="103" spans="1:15" s="894" customFormat="1">
      <c r="A103" s="1591" t="s">
        <v>218</v>
      </c>
      <c r="B103" s="1592"/>
      <c r="C103" s="971"/>
      <c r="D103" s="972"/>
      <c r="E103" s="973"/>
      <c r="F103" s="973"/>
      <c r="G103" s="973"/>
      <c r="H103" s="974"/>
      <c r="I103" s="973"/>
      <c r="J103" s="975"/>
      <c r="N103" s="1012"/>
      <c r="O103" s="849"/>
    </row>
    <row r="104" spans="1:15" s="894" customFormat="1">
      <c r="A104" s="1585" t="s">
        <v>219</v>
      </c>
      <c r="B104" s="1586"/>
      <c r="C104" s="976"/>
      <c r="D104" s="972" t="s">
        <v>144</v>
      </c>
      <c r="E104" s="973">
        <f>'23'!F104</f>
        <v>7409</v>
      </c>
      <c r="F104" s="973">
        <v>7410</v>
      </c>
      <c r="G104" s="973">
        <f>F104-E104</f>
        <v>1</v>
      </c>
      <c r="H104" s="974">
        <f>SUM(G104+'1'!G76)</f>
        <v>60</v>
      </c>
      <c r="I104" s="973"/>
      <c r="J104" s="975">
        <f>H104/DAY(B2)</f>
        <v>2.5</v>
      </c>
      <c r="N104" s="1012"/>
      <c r="O104" s="849"/>
    </row>
    <row r="105" spans="1:15" s="894" customFormat="1">
      <c r="A105" s="1585" t="s">
        <v>77</v>
      </c>
      <c r="B105" s="1586"/>
      <c r="C105" s="976"/>
      <c r="D105" s="972" t="s">
        <v>144</v>
      </c>
      <c r="E105" s="973">
        <f>'23'!F105</f>
        <v>35788</v>
      </c>
      <c r="F105" s="977">
        <v>35801</v>
      </c>
      <c r="G105" s="973">
        <f t="shared" ref="G105:G106" si="10">F105-E105</f>
        <v>13</v>
      </c>
      <c r="H105" s="974">
        <f>SUM(G105+'1'!G77)</f>
        <v>63</v>
      </c>
      <c r="I105" s="973"/>
      <c r="J105" s="975">
        <f>H105/DAY(B2)</f>
        <v>2.625</v>
      </c>
      <c r="N105" s="1012"/>
      <c r="O105" s="849"/>
    </row>
    <row r="106" spans="1:15" s="894" customFormat="1">
      <c r="A106" s="1585" t="s">
        <v>78</v>
      </c>
      <c r="B106" s="1593"/>
      <c r="C106" s="1586"/>
      <c r="D106" s="972" t="s">
        <v>144</v>
      </c>
      <c r="E106" s="973">
        <f>'23'!F106</f>
        <v>19577</v>
      </c>
      <c r="F106" s="973">
        <v>19586</v>
      </c>
      <c r="G106" s="973">
        <f t="shared" si="10"/>
        <v>9</v>
      </c>
      <c r="H106" s="974">
        <f>SUM(G106+'1'!G78)</f>
        <v>404</v>
      </c>
      <c r="I106" s="973"/>
      <c r="J106" s="975">
        <f>H106/DAY(B2)</f>
        <v>16.833333333333332</v>
      </c>
      <c r="N106" s="1012"/>
      <c r="O106" s="849"/>
    </row>
    <row r="107" spans="1:15" s="894" customFormat="1">
      <c r="A107" s="1587" t="s">
        <v>202</v>
      </c>
      <c r="B107" s="1588"/>
      <c r="C107" s="976"/>
      <c r="D107" s="972"/>
      <c r="E107" s="973"/>
      <c r="F107" s="973"/>
      <c r="G107" s="973">
        <f>SUM(G104:G106)</f>
        <v>23</v>
      </c>
      <c r="H107" s="974">
        <f>SUM(G107+'1'!G79)</f>
        <v>217</v>
      </c>
      <c r="I107" s="973"/>
      <c r="J107" s="975">
        <f>H107/DAY(B2)</f>
        <v>9.0416666666666661</v>
      </c>
      <c r="N107" s="1012"/>
      <c r="O107" s="849"/>
    </row>
    <row r="108" spans="1:15" s="894" customFormat="1">
      <c r="A108" s="1583" t="s">
        <v>79</v>
      </c>
      <c r="B108" s="1584"/>
      <c r="C108" s="976"/>
      <c r="D108" s="972" t="s">
        <v>144</v>
      </c>
      <c r="E108" s="973">
        <f>'23'!F108</f>
        <v>0</v>
      </c>
      <c r="F108" s="973"/>
      <c r="G108" s="973"/>
      <c r="H108" s="974"/>
      <c r="I108" s="973"/>
      <c r="J108" s="975"/>
      <c r="N108" s="1012"/>
      <c r="O108" s="849"/>
    </row>
    <row r="109" spans="1:15" s="894" customFormat="1">
      <c r="A109" s="1585" t="s">
        <v>220</v>
      </c>
      <c r="B109" s="1586"/>
      <c r="C109" s="976"/>
      <c r="D109" s="972" t="s">
        <v>144</v>
      </c>
      <c r="E109" s="973">
        <f>'23'!F109</f>
        <v>60602</v>
      </c>
      <c r="F109" s="973">
        <v>60663</v>
      </c>
      <c r="G109" s="973">
        <f>F109-E109</f>
        <v>61</v>
      </c>
      <c r="H109" s="974">
        <f>SUM(G109+'1'!G81)</f>
        <v>259</v>
      </c>
      <c r="I109" s="973"/>
      <c r="J109" s="975">
        <f>H109/DAY(B2)</f>
        <v>10.791666666666666</v>
      </c>
      <c r="N109" s="1012"/>
      <c r="O109" s="849"/>
    </row>
    <row r="110" spans="1:15" s="894" customFormat="1">
      <c r="A110" s="1585" t="s">
        <v>221</v>
      </c>
      <c r="B110" s="1586"/>
      <c r="C110" s="976"/>
      <c r="D110" s="972" t="s">
        <v>144</v>
      </c>
      <c r="E110" s="973">
        <f>'23'!F110</f>
        <v>32165</v>
      </c>
      <c r="F110" s="973">
        <v>32176</v>
      </c>
      <c r="G110" s="973">
        <f t="shared" ref="G110:G111" si="11">F110-E110</f>
        <v>11</v>
      </c>
      <c r="H110" s="974">
        <f>SUM(G110+'1'!G82)</f>
        <v>34</v>
      </c>
      <c r="I110" s="973"/>
      <c r="J110" s="975">
        <f>H110/DAY(B2)</f>
        <v>1.4166666666666667</v>
      </c>
      <c r="N110" s="1012"/>
      <c r="O110" s="849"/>
    </row>
    <row r="111" spans="1:15" s="894" customFormat="1">
      <c r="A111" s="1585" t="s">
        <v>222</v>
      </c>
      <c r="B111" s="1586"/>
      <c r="C111" s="976"/>
      <c r="D111" s="972" t="s">
        <v>144</v>
      </c>
      <c r="E111" s="973">
        <f>'23'!F111</f>
        <v>4346</v>
      </c>
      <c r="F111" s="973">
        <v>4346</v>
      </c>
      <c r="G111" s="973">
        <f t="shared" si="11"/>
        <v>0</v>
      </c>
      <c r="H111" s="974">
        <f>SUM(G111+'1'!G83)</f>
        <v>239</v>
      </c>
      <c r="I111" s="973"/>
      <c r="J111" s="975">
        <f>H111/DAY(B2)</f>
        <v>9.9583333333333339</v>
      </c>
      <c r="N111" s="1012"/>
      <c r="O111" s="849"/>
    </row>
    <row r="112" spans="1:15" s="894" customFormat="1">
      <c r="A112" s="1589" t="s">
        <v>110</v>
      </c>
      <c r="B112" s="1590"/>
      <c r="C112" s="976"/>
      <c r="D112" s="972"/>
      <c r="E112" s="973">
        <f>'23'!F112</f>
        <v>0</v>
      </c>
      <c r="F112" s="973"/>
      <c r="G112" s="973">
        <f>SUM(G109:G111)</f>
        <v>72</v>
      </c>
      <c r="H112" s="974">
        <f>SUM(G112+'1'!G84)</f>
        <v>987</v>
      </c>
      <c r="I112" s="973"/>
      <c r="J112" s="975">
        <f>H112/DAY(B2)</f>
        <v>41.125</v>
      </c>
      <c r="N112" s="1012"/>
      <c r="O112" s="849"/>
    </row>
    <row r="113" spans="1:15" s="894" customFormat="1">
      <c r="A113" s="1583" t="s">
        <v>223</v>
      </c>
      <c r="B113" s="1584"/>
      <c r="C113" s="976"/>
      <c r="D113" s="972"/>
      <c r="E113" s="973"/>
      <c r="F113" s="973"/>
      <c r="G113" s="973"/>
      <c r="H113" s="974"/>
      <c r="I113" s="973"/>
      <c r="J113" s="975">
        <f>H113/DAY(B2)</f>
        <v>0</v>
      </c>
      <c r="N113" s="1012"/>
      <c r="O113" s="849"/>
    </row>
    <row r="114" spans="1:15" s="894" customFormat="1">
      <c r="A114" s="1585" t="s">
        <v>224</v>
      </c>
      <c r="B114" s="1586"/>
      <c r="C114" s="978"/>
      <c r="D114" s="972" t="s">
        <v>144</v>
      </c>
      <c r="E114" s="973">
        <f>'23'!F114</f>
        <v>11212</v>
      </c>
      <c r="F114" s="977">
        <v>11223</v>
      </c>
      <c r="G114" s="977">
        <f>F114-E114</f>
        <v>11</v>
      </c>
      <c r="H114" s="974">
        <f>SUM(G114+'1'!G91)</f>
        <v>11</v>
      </c>
      <c r="I114" s="973"/>
      <c r="J114" s="975">
        <f>H114/DAY(B2)</f>
        <v>0.45833333333333331</v>
      </c>
      <c r="N114" s="1012"/>
      <c r="O114" s="849"/>
    </row>
    <row r="115" spans="1:15" s="894" customFormat="1">
      <c r="A115" s="1585" t="s">
        <v>225</v>
      </c>
      <c r="B115" s="1586"/>
      <c r="C115" s="978"/>
      <c r="D115" s="972" t="s">
        <v>144</v>
      </c>
      <c r="E115" s="973">
        <f>'23'!F115</f>
        <v>8098</v>
      </c>
      <c r="F115" s="977">
        <v>8102</v>
      </c>
      <c r="G115" s="977">
        <f t="shared" ref="G115:G116" si="12">F115-E115</f>
        <v>4</v>
      </c>
      <c r="H115" s="974">
        <f>SUM(G115+'1'!G92)</f>
        <v>96</v>
      </c>
      <c r="I115" s="973"/>
      <c r="J115" s="975">
        <f>H115/DAY(B2)</f>
        <v>4</v>
      </c>
      <c r="N115" s="1012"/>
      <c r="O115" s="849"/>
    </row>
    <row r="116" spans="1:15" s="894" customFormat="1">
      <c r="A116" s="1585" t="s">
        <v>226</v>
      </c>
      <c r="B116" s="1586"/>
      <c r="C116" s="978"/>
      <c r="D116" s="972" t="s">
        <v>144</v>
      </c>
      <c r="E116" s="977"/>
      <c r="F116" s="977"/>
      <c r="G116" s="977">
        <f t="shared" si="12"/>
        <v>0</v>
      </c>
      <c r="H116" s="974">
        <f>SUM(G116+'1'!G93)</f>
        <v>127</v>
      </c>
      <c r="I116" s="973"/>
      <c r="J116" s="975">
        <f>H116/DAY(B2)</f>
        <v>5.291666666666667</v>
      </c>
      <c r="N116" s="1012"/>
      <c r="O116" s="849"/>
    </row>
    <row r="117" spans="1:15" s="980" customFormat="1">
      <c r="A117" s="1587" t="s">
        <v>202</v>
      </c>
      <c r="B117" s="1588"/>
      <c r="C117" s="978"/>
      <c r="D117" s="979"/>
      <c r="E117" s="977"/>
      <c r="F117" s="977"/>
      <c r="G117" s="977">
        <f>SUM(G114:G116)</f>
        <v>15</v>
      </c>
      <c r="H117" s="974">
        <f>SUM(G117+'1'!G95)</f>
        <v>92</v>
      </c>
      <c r="I117" s="977"/>
      <c r="J117" s="975">
        <f>H117/DAY(B2)</f>
        <v>3.8333333333333335</v>
      </c>
      <c r="N117" s="1017"/>
      <c r="O117" s="849"/>
    </row>
    <row r="118" spans="1:15" s="772" customFormat="1">
      <c r="A118" s="1579" t="s">
        <v>227</v>
      </c>
      <c r="B118" s="1580"/>
      <c r="C118" s="981"/>
      <c r="D118" s="982" t="s">
        <v>144</v>
      </c>
      <c r="E118" s="983"/>
      <c r="F118" s="984"/>
      <c r="G118" s="984">
        <f>SUM(G19+G92)</f>
        <v>144</v>
      </c>
      <c r="H118" s="974">
        <f>SUM(G118+'1'!G96)</f>
        <v>161</v>
      </c>
      <c r="I118" s="983"/>
      <c r="J118" s="985">
        <f>H118/DAY(B2)</f>
        <v>6.708333333333333</v>
      </c>
      <c r="N118" s="1018"/>
      <c r="O118" s="849"/>
    </row>
    <row r="119" spans="1:15" s="772" customFormat="1">
      <c r="A119" s="1579" t="s">
        <v>228</v>
      </c>
      <c r="B119" s="1580"/>
      <c r="C119" s="981"/>
      <c r="D119" s="982" t="s">
        <v>144</v>
      </c>
      <c r="E119" s="983"/>
      <c r="F119" s="984"/>
      <c r="G119" s="984">
        <f>SUM(G95,G96,G97,G99,G100)</f>
        <v>152</v>
      </c>
      <c r="H119" s="974">
        <f>SUM(G119+'1'!G98)</f>
        <v>180</v>
      </c>
      <c r="I119" s="983"/>
      <c r="J119" s="985">
        <f>H119/DAY(B2)</f>
        <v>7.5</v>
      </c>
      <c r="N119" s="1018"/>
      <c r="O119" s="849"/>
    </row>
    <row r="120" spans="1:15" s="772" customFormat="1">
      <c r="A120" s="1579" t="s">
        <v>229</v>
      </c>
      <c r="B120" s="1580"/>
      <c r="C120" s="981"/>
      <c r="D120" s="982" t="s">
        <v>144</v>
      </c>
      <c r="E120" s="983"/>
      <c r="F120" s="977"/>
      <c r="G120" s="977">
        <f>SUM(G112)</f>
        <v>72</v>
      </c>
      <c r="H120" s="974">
        <f>SUM(G120+'1'!G100)</f>
        <v>78</v>
      </c>
      <c r="I120" s="983"/>
      <c r="J120" s="985">
        <f>H120/DAY(B2)</f>
        <v>3.25</v>
      </c>
      <c r="N120" s="1018"/>
      <c r="O120" s="849"/>
    </row>
    <row r="121" spans="1:15" s="894" customFormat="1">
      <c r="A121" s="1581"/>
      <c r="B121" s="1582"/>
      <c r="C121" s="976"/>
      <c r="D121" s="971"/>
      <c r="E121" s="971"/>
      <c r="F121" s="971"/>
      <c r="G121" s="971"/>
      <c r="H121" s="986"/>
      <c r="I121" s="971"/>
      <c r="J121" s="987"/>
      <c r="N121" s="1012"/>
      <c r="O121" s="849"/>
    </row>
    <row r="122" spans="1:15">
      <c r="A122" s="1597" t="s">
        <v>230</v>
      </c>
      <c r="B122" s="1598"/>
      <c r="C122" s="1599"/>
      <c r="D122" s="837"/>
      <c r="E122" s="837"/>
      <c r="F122" s="837"/>
      <c r="G122" s="869"/>
      <c r="H122" s="869"/>
      <c r="I122" s="869"/>
      <c r="J122" s="988"/>
      <c r="K122" s="943"/>
      <c r="L122" s="822"/>
      <c r="O122" s="849"/>
    </row>
    <row r="123" spans="1:15">
      <c r="A123" s="871" t="s">
        <v>231</v>
      </c>
      <c r="B123" s="872"/>
      <c r="C123" s="872"/>
      <c r="D123" s="842" t="s">
        <v>141</v>
      </c>
      <c r="E123" s="843">
        <f>'23'!F123</f>
        <v>824552.41</v>
      </c>
      <c r="F123" s="861">
        <v>824787.44</v>
      </c>
      <c r="G123" s="844">
        <f t="shared" ref="G123:G127" si="13">F123-E123</f>
        <v>235.02999999991152</v>
      </c>
      <c r="H123" s="845">
        <f>G123+'23'!H123</f>
        <v>5977.4399999999441</v>
      </c>
      <c r="I123" s="961"/>
      <c r="J123" s="847">
        <f>H123/DAY(B2)</f>
        <v>249.05999999999767</v>
      </c>
      <c r="K123" s="943"/>
      <c r="L123" s="822"/>
      <c r="O123" s="849"/>
    </row>
    <row r="124" spans="1:15">
      <c r="A124" s="871" t="s">
        <v>232</v>
      </c>
      <c r="B124" s="872"/>
      <c r="C124" s="872"/>
      <c r="D124" s="842" t="s">
        <v>141</v>
      </c>
      <c r="E124" s="843">
        <f>'23'!F124</f>
        <v>73583.399999999994</v>
      </c>
      <c r="F124" s="989">
        <v>73583</v>
      </c>
      <c r="G124" s="844">
        <f t="shared" si="13"/>
        <v>-0.39999999999417923</v>
      </c>
      <c r="H124" s="845">
        <f>G124+'23'!H124</f>
        <v>-0.39999999999417923</v>
      </c>
      <c r="I124" s="961"/>
      <c r="J124" s="847">
        <f>H124/DAY(B2)</f>
        <v>-1.6666666666424135E-2</v>
      </c>
      <c r="K124" s="943"/>
      <c r="L124" s="822"/>
      <c r="O124" s="849"/>
    </row>
    <row r="125" spans="1:15">
      <c r="A125" s="1608" t="s">
        <v>233</v>
      </c>
      <c r="B125" s="1609"/>
      <c r="C125" s="1610"/>
      <c r="D125" s="842" t="s">
        <v>141</v>
      </c>
      <c r="E125" s="843">
        <f>'23'!F125</f>
        <v>144172.07</v>
      </c>
      <c r="F125" s="861">
        <v>144264.04999999999</v>
      </c>
      <c r="G125" s="844">
        <f t="shared" si="13"/>
        <v>91.979999999981374</v>
      </c>
      <c r="H125" s="845">
        <f>G125+'23'!H125</f>
        <v>2128.0499999999884</v>
      </c>
      <c r="I125" s="961"/>
      <c r="J125" s="847">
        <f>H125/DAY(B2)</f>
        <v>88.66874999999952</v>
      </c>
      <c r="K125" s="943"/>
      <c r="L125" s="822"/>
      <c r="O125" s="849"/>
    </row>
    <row r="126" spans="1:15">
      <c r="A126" s="990" t="s">
        <v>234</v>
      </c>
      <c r="B126" s="872"/>
      <c r="C126" s="872"/>
      <c r="D126" s="842" t="s">
        <v>141</v>
      </c>
      <c r="E126" s="843">
        <f>'23'!F126</f>
        <v>31404.2</v>
      </c>
      <c r="F126" s="989">
        <v>31404.2</v>
      </c>
      <c r="G126" s="844">
        <f t="shared" si="13"/>
        <v>0</v>
      </c>
      <c r="H126" s="845">
        <f>G126+'23'!H126</f>
        <v>85.5</v>
      </c>
      <c r="I126" s="961"/>
      <c r="J126" s="847">
        <f>H126/DAY(B2)</f>
        <v>3.5625</v>
      </c>
      <c r="K126" s="943"/>
      <c r="L126" s="822"/>
      <c r="O126" s="849"/>
    </row>
    <row r="127" spans="1:15">
      <c r="A127" s="990" t="s">
        <v>235</v>
      </c>
      <c r="B127" s="872"/>
      <c r="C127" s="872"/>
      <c r="D127" s="842" t="s">
        <v>141</v>
      </c>
      <c r="E127" s="843">
        <f>'23'!F127</f>
        <v>8969.2999999999993</v>
      </c>
      <c r="F127" s="989">
        <v>8969.4</v>
      </c>
      <c r="G127" s="844">
        <f t="shared" si="13"/>
        <v>0.1000000000003638</v>
      </c>
      <c r="H127" s="845">
        <f>G127+'23'!H127</f>
        <v>7.3999999999996362</v>
      </c>
      <c r="I127" s="864"/>
      <c r="J127" s="847">
        <f>H127/DAY(B2)</f>
        <v>0.30833333333331819</v>
      </c>
      <c r="K127" s="943"/>
      <c r="L127" s="822"/>
      <c r="O127" s="849"/>
    </row>
    <row r="128" spans="1:15">
      <c r="A128" s="990" t="s">
        <v>236</v>
      </c>
      <c r="B128" s="872"/>
      <c r="C128" s="872"/>
      <c r="D128" s="842"/>
      <c r="E128" s="843"/>
      <c r="F128" s="861"/>
      <c r="G128" s="844">
        <f>G15-SUM(G123:G127)</f>
        <v>490.58200000023317</v>
      </c>
      <c r="H128" s="845">
        <f>G128+'23'!H128</f>
        <v>4041.2280000001247</v>
      </c>
      <c r="I128" s="864"/>
      <c r="J128" s="847">
        <f>H128/DAY(B2)</f>
        <v>168.3845000000052</v>
      </c>
      <c r="K128" s="943"/>
      <c r="L128" s="822"/>
      <c r="O128" s="849"/>
    </row>
    <row r="129" spans="1:15">
      <c r="A129" s="991" t="s">
        <v>237</v>
      </c>
      <c r="B129" s="836"/>
      <c r="C129" s="836"/>
      <c r="D129" s="836"/>
      <c r="E129" s="836"/>
      <c r="F129" s="836"/>
      <c r="G129" s="992"/>
      <c r="H129" s="992"/>
      <c r="I129" s="992"/>
      <c r="J129" s="993"/>
      <c r="O129" s="849"/>
    </row>
    <row r="130" spans="1:15">
      <c r="A130" s="871" t="s">
        <v>238</v>
      </c>
      <c r="B130" s="872"/>
      <c r="C130" s="872"/>
      <c r="D130" s="842" t="s">
        <v>239</v>
      </c>
      <c r="E130" s="843">
        <f>'23'!F130</f>
        <v>0</v>
      </c>
      <c r="F130" s="873">
        <v>0</v>
      </c>
      <c r="G130" s="844">
        <f t="shared" ref="G130:G140" si="14">F130-E130</f>
        <v>0</v>
      </c>
      <c r="H130" s="845">
        <f>G130+'23'!H130</f>
        <v>0</v>
      </c>
      <c r="I130" s="864"/>
      <c r="J130" s="847">
        <f>H130/DAY(B2)</f>
        <v>0</v>
      </c>
      <c r="O130" s="849"/>
    </row>
    <row r="131" spans="1:15">
      <c r="A131" s="871" t="s">
        <v>240</v>
      </c>
      <c r="B131" s="872"/>
      <c r="C131" s="872"/>
      <c r="D131" s="842" t="s">
        <v>239</v>
      </c>
      <c r="E131" s="843">
        <f>'23'!F131</f>
        <v>0</v>
      </c>
      <c r="F131" s="873">
        <v>0</v>
      </c>
      <c r="G131" s="844">
        <f t="shared" si="14"/>
        <v>0</v>
      </c>
      <c r="H131" s="845">
        <f>G131+'23'!H131</f>
        <v>0</v>
      </c>
      <c r="I131" s="864"/>
      <c r="J131" s="847">
        <f>H131/DAY(B2)</f>
        <v>0</v>
      </c>
      <c r="O131" s="849"/>
    </row>
    <row r="132" spans="1:15">
      <c r="A132" s="871" t="s">
        <v>241</v>
      </c>
      <c r="B132" s="872"/>
      <c r="C132" s="872"/>
      <c r="D132" s="842" t="s">
        <v>239</v>
      </c>
      <c r="E132" s="1470">
        <f>'23'!F132</f>
        <v>39659</v>
      </c>
      <c r="F132" s="994">
        <v>39659</v>
      </c>
      <c r="G132" s="953">
        <f t="shared" si="14"/>
        <v>0</v>
      </c>
      <c r="H132" s="845">
        <f>G132+'23'!H132</f>
        <v>126</v>
      </c>
      <c r="I132" s="864"/>
      <c r="J132" s="847">
        <f>H132/DAY(B2)</f>
        <v>5.25</v>
      </c>
      <c r="O132" s="849"/>
    </row>
    <row r="133" spans="1:15">
      <c r="A133" s="871" t="s">
        <v>242</v>
      </c>
      <c r="B133" s="872"/>
      <c r="C133" s="872"/>
      <c r="D133" s="842" t="s">
        <v>239</v>
      </c>
      <c r="E133" s="1470">
        <f>'23'!F133</f>
        <v>300</v>
      </c>
      <c r="F133" s="994">
        <v>300</v>
      </c>
      <c r="G133" s="953">
        <f t="shared" si="14"/>
        <v>0</v>
      </c>
      <c r="H133" s="845">
        <f>G133+'23'!H133</f>
        <v>0</v>
      </c>
      <c r="I133" s="864">
        <f>G130+G131+G132+G133</f>
        <v>0</v>
      </c>
      <c r="J133" s="847">
        <f>H133/DAY(B2)</f>
        <v>0</v>
      </c>
      <c r="O133" s="849"/>
    </row>
    <row r="134" spans="1:15">
      <c r="A134" s="871" t="s">
        <v>243</v>
      </c>
      <c r="B134" s="872"/>
      <c r="C134" s="872"/>
      <c r="D134" s="842" t="s">
        <v>239</v>
      </c>
      <c r="E134" s="1470">
        <f>'23'!F134</f>
        <v>41295</v>
      </c>
      <c r="F134" s="994">
        <v>41319</v>
      </c>
      <c r="G134" s="953">
        <f t="shared" si="14"/>
        <v>24</v>
      </c>
      <c r="H134" s="845">
        <f>G134+'23'!H134</f>
        <v>48</v>
      </c>
      <c r="I134" s="864"/>
      <c r="J134" s="847">
        <f>H134/DAY(B2)</f>
        <v>2</v>
      </c>
      <c r="O134" s="849"/>
    </row>
    <row r="135" spans="1:15">
      <c r="A135" s="871" t="s">
        <v>244</v>
      </c>
      <c r="B135" s="872"/>
      <c r="C135" s="872"/>
      <c r="D135" s="842" t="s">
        <v>239</v>
      </c>
      <c r="E135" s="1470">
        <f>'23'!F135</f>
        <v>32582.93</v>
      </c>
      <c r="F135" s="994">
        <v>32582.93</v>
      </c>
      <c r="G135" s="953">
        <f t="shared" si="14"/>
        <v>0</v>
      </c>
      <c r="H135" s="845">
        <f>G135+'23'!H135</f>
        <v>13</v>
      </c>
      <c r="I135" s="864"/>
      <c r="J135" s="847">
        <f>H135/DAY(B2)</f>
        <v>0.54166666666666663</v>
      </c>
      <c r="O135" s="849"/>
    </row>
    <row r="136" spans="1:15">
      <c r="A136" s="871" t="s">
        <v>245</v>
      </c>
      <c r="B136" s="872"/>
      <c r="C136" s="872"/>
      <c r="D136" s="842" t="s">
        <v>239</v>
      </c>
      <c r="E136" s="1470">
        <f>'23'!F136</f>
        <v>22701.06</v>
      </c>
      <c r="F136" s="994">
        <v>22710.86</v>
      </c>
      <c r="G136" s="953">
        <f t="shared" si="14"/>
        <v>9.7999999999992724</v>
      </c>
      <c r="H136" s="845">
        <f>G136+'23'!H136</f>
        <v>222.20999999999913</v>
      </c>
      <c r="I136" s="864">
        <f>G134+G135+G136</f>
        <v>33.799999999999272</v>
      </c>
      <c r="J136" s="847">
        <f>H136/DAY(B2)</f>
        <v>9.2587499999999636</v>
      </c>
      <c r="O136" s="849"/>
    </row>
    <row r="137" spans="1:15">
      <c r="A137" s="871" t="s">
        <v>246</v>
      </c>
      <c r="B137" s="872"/>
      <c r="C137" s="872"/>
      <c r="D137" s="842" t="s">
        <v>239</v>
      </c>
      <c r="E137" s="843">
        <f>'23'!F137</f>
        <v>25051.49</v>
      </c>
      <c r="F137" s="994">
        <v>25051.49</v>
      </c>
      <c r="G137" s="844">
        <f t="shared" si="14"/>
        <v>0</v>
      </c>
      <c r="H137" s="845">
        <f>G137+'23'!H137</f>
        <v>8</v>
      </c>
      <c r="I137" s="864"/>
      <c r="J137" s="847">
        <f>H137/DAY(B2)</f>
        <v>0.33333333333333331</v>
      </c>
      <c r="O137" s="849"/>
    </row>
    <row r="138" spans="1:15">
      <c r="A138" s="871" t="s">
        <v>247</v>
      </c>
      <c r="B138" s="872"/>
      <c r="C138" s="872"/>
      <c r="D138" s="842" t="s">
        <v>239</v>
      </c>
      <c r="E138" s="843">
        <f>'23'!F138</f>
        <v>70295.23</v>
      </c>
      <c r="F138" s="994">
        <v>70295.23</v>
      </c>
      <c r="G138" s="844">
        <f t="shared" si="14"/>
        <v>0</v>
      </c>
      <c r="H138" s="845">
        <f>G138+'23'!H138</f>
        <v>15</v>
      </c>
      <c r="I138" s="864">
        <f>G137+G138</f>
        <v>0</v>
      </c>
      <c r="J138" s="847">
        <f>H138/DAY(B2)</f>
        <v>0.625</v>
      </c>
      <c r="O138" s="849"/>
    </row>
    <row r="139" spans="1:15">
      <c r="A139" s="871" t="s">
        <v>248</v>
      </c>
      <c r="B139" s="872"/>
      <c r="C139" s="872"/>
      <c r="D139" s="842" t="s">
        <v>239</v>
      </c>
      <c r="E139" s="843">
        <f>'23'!F139</f>
        <v>1559.4</v>
      </c>
      <c r="F139" s="873">
        <v>1568.08</v>
      </c>
      <c r="G139" s="844">
        <f t="shared" si="14"/>
        <v>8.6799999999998363</v>
      </c>
      <c r="H139" s="845">
        <f>G139+'23'!H139</f>
        <v>31.559999999999945</v>
      </c>
      <c r="I139" s="995"/>
      <c r="J139" s="847">
        <f>H139/DAY(B2)</f>
        <v>1.3149999999999977</v>
      </c>
      <c r="O139" s="849"/>
    </row>
    <row r="140" spans="1:15">
      <c r="A140" s="871" t="s">
        <v>249</v>
      </c>
      <c r="B140" s="872"/>
      <c r="C140" s="872"/>
      <c r="D140" s="842" t="s">
        <v>239</v>
      </c>
      <c r="E140" s="843">
        <f>'23'!F140</f>
        <v>4636.88</v>
      </c>
      <c r="F140" s="873">
        <v>4636.58</v>
      </c>
      <c r="G140" s="844">
        <f t="shared" si="14"/>
        <v>-0.3000000000001819</v>
      </c>
      <c r="H140" s="845">
        <f>G140+'23'!H140</f>
        <v>168.03999999999996</v>
      </c>
      <c r="I140" s="995"/>
      <c r="J140" s="847">
        <f>H140/DAY(B2)</f>
        <v>7.0016666666666652</v>
      </c>
      <c r="O140" s="849"/>
    </row>
    <row r="141" spans="1:15">
      <c r="A141" s="1600" t="s">
        <v>250</v>
      </c>
      <c r="B141" s="1601"/>
      <c r="C141" s="837"/>
      <c r="D141" s="837"/>
      <c r="E141" s="837"/>
      <c r="F141" s="837"/>
      <c r="G141" s="869"/>
      <c r="H141" s="869"/>
      <c r="I141" s="869"/>
      <c r="J141" s="988"/>
      <c r="K141" s="943"/>
      <c r="L141" s="822"/>
      <c r="O141" s="849"/>
    </row>
    <row r="142" spans="1:15">
      <c r="A142" s="1602" t="s">
        <v>251</v>
      </c>
      <c r="B142" s="1603"/>
      <c r="C142" s="1604"/>
      <c r="D142" s="842" t="s">
        <v>132</v>
      </c>
      <c r="E142" s="842"/>
      <c r="F142" s="842"/>
      <c r="G142" s="845">
        <f>G35+G43+G49+G57</f>
        <v>5175.6499999999069</v>
      </c>
      <c r="H142" s="845">
        <f>G142+'23'!H142</f>
        <v>128484.59999999998</v>
      </c>
      <c r="I142" s="864"/>
      <c r="J142" s="847">
        <f>H142/DAY(B2)</f>
        <v>5353.5249999999987</v>
      </c>
      <c r="K142" s="943"/>
      <c r="L142" s="822"/>
      <c r="O142" s="849"/>
    </row>
    <row r="143" spans="1:15">
      <c r="A143" s="1602" t="s">
        <v>252</v>
      </c>
      <c r="B143" s="1603"/>
      <c r="C143" s="1604"/>
      <c r="D143" s="842" t="s">
        <v>24</v>
      </c>
      <c r="E143" s="829"/>
      <c r="F143" s="829"/>
      <c r="G143" s="996">
        <f>G142/G7</f>
        <v>0.25924914846723635</v>
      </c>
      <c r="H143" s="845">
        <f>G143+'23'!H143</f>
        <v>6.1600943892997764</v>
      </c>
      <c r="I143" s="997"/>
      <c r="J143" s="847">
        <f>H143/DAY(B2)</f>
        <v>0.25667059955415733</v>
      </c>
      <c r="K143" s="943"/>
      <c r="L143" s="822"/>
      <c r="O143" s="849"/>
    </row>
    <row r="144" spans="1:15">
      <c r="A144" s="1602" t="s">
        <v>253</v>
      </c>
      <c r="B144" s="1603"/>
      <c r="C144" s="1604"/>
      <c r="D144" s="842" t="s">
        <v>132</v>
      </c>
      <c r="E144" s="843"/>
      <c r="F144" s="843"/>
      <c r="G144" s="845">
        <f>G41+G42+G55+G56</f>
        <v>5836.2600000000093</v>
      </c>
      <c r="H144" s="845">
        <f>G144+'23'!H144</f>
        <v>144885.22300000006</v>
      </c>
      <c r="I144" s="864"/>
      <c r="J144" s="847">
        <f>H144/DAY(B2)</f>
        <v>6036.884291666669</v>
      </c>
      <c r="K144" s="943"/>
      <c r="L144" s="822"/>
      <c r="O144" s="849"/>
    </row>
    <row r="145" spans="1:15">
      <c r="A145" s="1602" t="s">
        <v>254</v>
      </c>
      <c r="B145" s="1603"/>
      <c r="C145" s="1604"/>
      <c r="D145" s="842" t="s">
        <v>24</v>
      </c>
      <c r="E145" s="843"/>
      <c r="F145" s="843"/>
      <c r="G145" s="996">
        <f>G144/G7</f>
        <v>0.29233921057904272</v>
      </c>
      <c r="H145" s="845">
        <f>G145+'23'!H145</f>
        <v>6.9592104381440416</v>
      </c>
      <c r="I145" s="997"/>
      <c r="J145" s="847">
        <f>H145/DAY(B2)</f>
        <v>0.28996710158933509</v>
      </c>
      <c r="K145" s="943"/>
      <c r="L145" s="822"/>
      <c r="O145" s="849"/>
    </row>
    <row r="146" spans="1:15">
      <c r="A146" s="1602" t="s">
        <v>255</v>
      </c>
      <c r="B146" s="1603"/>
      <c r="C146" s="1604"/>
      <c r="D146" s="842" t="s">
        <v>132</v>
      </c>
      <c r="E146" s="843"/>
      <c r="F146" s="843"/>
      <c r="G146" s="845">
        <f>G39+G53</f>
        <v>3515.9199999999837</v>
      </c>
      <c r="H146" s="845">
        <f>G146+'23'!H146</f>
        <v>87367.039999999979</v>
      </c>
      <c r="I146" s="998"/>
      <c r="J146" s="847">
        <f>H146/DAY(B2)</f>
        <v>3640.2933333333326</v>
      </c>
      <c r="K146" s="943"/>
      <c r="L146" s="822"/>
      <c r="O146" s="849"/>
    </row>
    <row r="147" spans="1:15">
      <c r="A147" s="1602" t="s">
        <v>256</v>
      </c>
      <c r="B147" s="1603"/>
      <c r="C147" s="1604"/>
      <c r="D147" s="842" t="s">
        <v>24</v>
      </c>
      <c r="E147" s="843"/>
      <c r="F147" s="843"/>
      <c r="G147" s="996">
        <f>G146/G7</f>
        <v>0.17611300340613023</v>
      </c>
      <c r="H147" s="845">
        <f>G147+'23'!H147</f>
        <v>4.1829261475098267</v>
      </c>
      <c r="I147" s="998"/>
      <c r="J147" s="847">
        <f>H147/DAY(B2)</f>
        <v>0.17428858947957612</v>
      </c>
      <c r="O147" s="849"/>
    </row>
    <row r="148" spans="1:15">
      <c r="A148" s="1602" t="s">
        <v>257</v>
      </c>
      <c r="B148" s="1603"/>
      <c r="C148" s="1604"/>
      <c r="D148" s="842" t="s">
        <v>183</v>
      </c>
      <c r="E148" s="843"/>
      <c r="F148" s="843"/>
      <c r="G148" s="845">
        <f>G38+G52</f>
        <v>1505.5000000000437</v>
      </c>
      <c r="H148" s="845">
        <f>G148+'23'!H148</f>
        <v>39044.81</v>
      </c>
      <c r="I148" s="864"/>
      <c r="J148" s="847">
        <f>H148/DAY(B2)</f>
        <v>1626.8670833333333</v>
      </c>
      <c r="K148" s="999"/>
      <c r="O148" s="849"/>
    </row>
    <row r="149" spans="1:15">
      <c r="A149" s="1602" t="s">
        <v>258</v>
      </c>
      <c r="B149" s="1603"/>
      <c r="C149" s="1604"/>
      <c r="D149" s="842" t="s">
        <v>24</v>
      </c>
      <c r="E149" s="843"/>
      <c r="F149" s="843"/>
      <c r="G149" s="996">
        <f>G148/G7</f>
        <v>7.5410739330797616E-2</v>
      </c>
      <c r="H149" s="845">
        <f>G149+'23'!H149</f>
        <v>1.8738391864096344</v>
      </c>
      <c r="I149" s="998"/>
      <c r="J149" s="847">
        <f>H149/DAY(B2)</f>
        <v>7.8076632767068097E-2</v>
      </c>
      <c r="O149" s="849"/>
    </row>
    <row r="150" spans="1:15">
      <c r="A150" s="1602" t="s">
        <v>259</v>
      </c>
      <c r="B150" s="1603"/>
      <c r="C150" s="1604"/>
      <c r="D150" s="842" t="s">
        <v>183</v>
      </c>
      <c r="E150" s="843"/>
      <c r="F150" s="843"/>
      <c r="G150" s="845">
        <f>G36+G50</f>
        <v>1875.9999999999418</v>
      </c>
      <c r="H150" s="845">
        <f>G150+'23'!H150</f>
        <v>49873.219999999972</v>
      </c>
      <c r="I150" s="998"/>
      <c r="J150" s="847">
        <f>H150/DAY(B2)</f>
        <v>2078.0508333333323</v>
      </c>
      <c r="O150" s="849"/>
    </row>
    <row r="151" spans="1:15">
      <c r="A151" s="1602" t="s">
        <v>260</v>
      </c>
      <c r="B151" s="1603"/>
      <c r="C151" s="1604"/>
      <c r="D151" s="842" t="s">
        <v>24</v>
      </c>
      <c r="E151" s="843"/>
      <c r="F151" s="843"/>
      <c r="G151" s="996">
        <f>G150/G7</f>
        <v>9.3969144460025134E-2</v>
      </c>
      <c r="H151" s="845">
        <f>G151+'23'!H151</f>
        <v>2.3979654566012525</v>
      </c>
      <c r="I151" s="864"/>
      <c r="J151" s="847">
        <f>H151/DAY(B2)</f>
        <v>9.9915227358385525E-2</v>
      </c>
      <c r="O151" s="849"/>
    </row>
    <row r="152" spans="1:15">
      <c r="A152" s="1602" t="s">
        <v>261</v>
      </c>
      <c r="B152" s="1603"/>
      <c r="C152" s="1604"/>
      <c r="D152" s="842" t="s">
        <v>183</v>
      </c>
      <c r="E152" s="843"/>
      <c r="F152" s="843"/>
      <c r="G152" s="845">
        <f>G37+G51</f>
        <v>1337.4499999999971</v>
      </c>
      <c r="H152" s="845">
        <f>G152+'23'!H152</f>
        <v>32806.209999999992</v>
      </c>
      <c r="I152" s="864"/>
      <c r="J152" s="847">
        <f>H152/DAY(B2)</f>
        <v>1366.9254166666663</v>
      </c>
      <c r="O152" s="849"/>
    </row>
    <row r="153" spans="1:15" ht="21" thickBot="1">
      <c r="A153" s="1605" t="s">
        <v>262</v>
      </c>
      <c r="B153" s="1606"/>
      <c r="C153" s="1607"/>
      <c r="D153" s="1000" t="s">
        <v>24</v>
      </c>
      <c r="E153" s="1001"/>
      <c r="F153" s="1001"/>
      <c r="G153" s="1002">
        <f>G152/G7</f>
        <v>6.699308755760354E-2</v>
      </c>
      <c r="H153" s="845">
        <f>G153+'23'!H153</f>
        <v>1.5765805178196226</v>
      </c>
      <c r="I153" s="1003"/>
      <c r="J153" s="1004">
        <f>H153/DAY(B2)</f>
        <v>6.5690854909150942E-2</v>
      </c>
      <c r="O153" s="849"/>
    </row>
    <row r="154" spans="1:15">
      <c r="A154" s="1005"/>
      <c r="B154" s="1005"/>
      <c r="C154" s="1005"/>
      <c r="D154" s="1005"/>
      <c r="E154" s="1005"/>
      <c r="F154" s="1005"/>
      <c r="G154" s="1005"/>
      <c r="H154" s="1006"/>
      <c r="I154" s="1005"/>
      <c r="J154" s="1007"/>
      <c r="O154" s="849"/>
    </row>
    <row r="160" spans="1:15">
      <c r="A160" s="995" t="s">
        <v>263</v>
      </c>
      <c r="B160" s="995"/>
      <c r="C160" s="995"/>
      <c r="D160" s="829" t="s">
        <v>187</v>
      </c>
      <c r="E160" s="843">
        <f>'23'!F160</f>
        <v>35361.440000000002</v>
      </c>
      <c r="F160" s="1019">
        <v>35445.82</v>
      </c>
      <c r="G160" s="844">
        <f t="shared" ref="G160:G163" si="15">F160-E160</f>
        <v>84.379999999997381</v>
      </c>
    </row>
    <row r="161" spans="1:7" ht="21.75" customHeight="1">
      <c r="A161" s="995" t="s">
        <v>264</v>
      </c>
      <c r="B161" s="995"/>
      <c r="C161" s="995"/>
      <c r="D161" s="829" t="s">
        <v>187</v>
      </c>
      <c r="E161" s="843">
        <f>'23'!F161</f>
        <v>79158.990000000005</v>
      </c>
      <c r="F161" s="1019">
        <v>79592.679999999993</v>
      </c>
      <c r="G161" s="844">
        <f t="shared" si="15"/>
        <v>433.68999999998778</v>
      </c>
    </row>
    <row r="162" spans="1:7" ht="21.75" customHeight="1">
      <c r="A162" s="995" t="s">
        <v>265</v>
      </c>
      <c r="B162" s="995"/>
      <c r="C162" s="995"/>
      <c r="D162" s="829" t="s">
        <v>187</v>
      </c>
      <c r="E162" s="843">
        <f>'23'!F162</f>
        <v>35685.31</v>
      </c>
      <c r="F162" s="1019">
        <v>35993.15</v>
      </c>
      <c r="G162" s="844">
        <f t="shared" si="15"/>
        <v>307.84000000000378</v>
      </c>
    </row>
    <row r="163" spans="1:7" ht="21.75" customHeight="1">
      <c r="A163" s="995" t="s">
        <v>266</v>
      </c>
      <c r="B163" s="995"/>
      <c r="C163" s="995"/>
      <c r="D163" s="829" t="s">
        <v>187</v>
      </c>
      <c r="E163" s="843">
        <f>'23'!F163</f>
        <v>6102.29</v>
      </c>
      <c r="F163" s="1019">
        <v>6121</v>
      </c>
      <c r="G163" s="844">
        <f t="shared" si="15"/>
        <v>18.710000000000036</v>
      </c>
    </row>
    <row r="164" spans="1:7" ht="21.75" customHeight="1">
      <c r="A164" s="925" t="s">
        <v>98</v>
      </c>
      <c r="B164" s="925"/>
      <c r="C164" s="925"/>
      <c r="D164" s="829" t="s">
        <v>187</v>
      </c>
      <c r="E164" s="926">
        <f>E62</f>
        <v>20419</v>
      </c>
      <c r="F164" s="926">
        <f>F62</f>
        <v>20419</v>
      </c>
      <c r="G164" s="844">
        <f t="shared" ref="G164:G171" si="16">F164-E164</f>
        <v>0</v>
      </c>
    </row>
    <row r="165" spans="1:7" ht="21.75" customHeight="1">
      <c r="A165" s="925" t="s">
        <v>188</v>
      </c>
      <c r="B165" s="925"/>
      <c r="C165" s="925"/>
      <c r="D165" s="829" t="s">
        <v>187</v>
      </c>
      <c r="E165" s="926">
        <f t="shared" ref="E165:E171" si="17">E63</f>
        <v>2322</v>
      </c>
      <c r="F165" s="926">
        <f t="shared" ref="F165:F171" si="18">F63</f>
        <v>2327.1959000000002</v>
      </c>
      <c r="G165" s="844">
        <f t="shared" si="16"/>
        <v>5.1959000000001652</v>
      </c>
    </row>
    <row r="166" spans="1:7" ht="21.75" customHeight="1">
      <c r="A166" s="1578" t="s">
        <v>99</v>
      </c>
      <c r="B166" s="1578"/>
      <c r="C166" s="1578"/>
      <c r="D166" s="842" t="s">
        <v>187</v>
      </c>
      <c r="E166" s="926">
        <f t="shared" si="17"/>
        <v>150314.51999999999</v>
      </c>
      <c r="F166" s="926">
        <f t="shared" si="18"/>
        <v>150822.72</v>
      </c>
      <c r="G166" s="844">
        <f t="shared" si="16"/>
        <v>508.20000000001164</v>
      </c>
    </row>
    <row r="167" spans="1:7" ht="21.75" customHeight="1">
      <c r="A167" s="1578" t="s">
        <v>100</v>
      </c>
      <c r="B167" s="1578"/>
      <c r="C167" s="1578"/>
      <c r="D167" s="842" t="s">
        <v>187</v>
      </c>
      <c r="E167" s="926">
        <f t="shared" si="17"/>
        <v>152510.07</v>
      </c>
      <c r="F167" s="926">
        <f t="shared" si="18"/>
        <v>152863.67000000001</v>
      </c>
      <c r="G167" s="844">
        <f t="shared" si="16"/>
        <v>353.60000000000582</v>
      </c>
    </row>
    <row r="168" spans="1:7" ht="21.75" customHeight="1">
      <c r="A168" s="1578" t="s">
        <v>101</v>
      </c>
      <c r="B168" s="1578"/>
      <c r="C168" s="1578"/>
      <c r="D168" s="842" t="s">
        <v>187</v>
      </c>
      <c r="E168" s="926">
        <f t="shared" si="17"/>
        <v>46186.53</v>
      </c>
      <c r="F168" s="926">
        <f t="shared" si="18"/>
        <v>46586.239999999998</v>
      </c>
      <c r="G168" s="844">
        <f t="shared" si="16"/>
        <v>399.70999999999913</v>
      </c>
    </row>
    <row r="169" spans="1:7">
      <c r="A169" s="1578" t="s">
        <v>102</v>
      </c>
      <c r="B169" s="1578"/>
      <c r="C169" s="1578"/>
      <c r="D169" s="842" t="s">
        <v>187</v>
      </c>
      <c r="E169" s="926">
        <f t="shared" si="17"/>
        <v>240763.33</v>
      </c>
      <c r="F169" s="926">
        <f t="shared" si="18"/>
        <v>241200.61</v>
      </c>
      <c r="G169" s="844">
        <f t="shared" si="16"/>
        <v>437.27999999999884</v>
      </c>
    </row>
    <row r="170" spans="1:7" ht="24" customHeight="1">
      <c r="A170" s="1578" t="s">
        <v>103</v>
      </c>
      <c r="B170" s="1578"/>
      <c r="C170" s="1578"/>
      <c r="D170" s="842" t="s">
        <v>187</v>
      </c>
      <c r="E170" s="926">
        <f t="shared" si="17"/>
        <v>85321</v>
      </c>
      <c r="F170" s="926">
        <f t="shared" si="18"/>
        <v>85321</v>
      </c>
      <c r="G170" s="844">
        <f t="shared" si="16"/>
        <v>0</v>
      </c>
    </row>
    <row r="171" spans="1:7">
      <c r="A171" s="1578" t="s">
        <v>104</v>
      </c>
      <c r="B171" s="1578"/>
      <c r="C171" s="1578"/>
      <c r="D171" s="842" t="s">
        <v>187</v>
      </c>
      <c r="E171" s="926">
        <f t="shared" si="17"/>
        <v>78426.3</v>
      </c>
      <c r="F171" s="926">
        <f t="shared" si="18"/>
        <v>78476.800000000003</v>
      </c>
      <c r="G171" s="844">
        <f t="shared" si="16"/>
        <v>50.5</v>
      </c>
    </row>
    <row r="172" spans="1:7">
      <c r="G172" s="1010">
        <f>SUM(G160:G171)</f>
        <v>2599.1059000000046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6"/>
  <sheetViews>
    <sheetView view="pageBreakPreview" topLeftCell="A34" zoomScale="70" zoomScaleNormal="49" zoomScaleSheetLayoutView="70" workbookViewId="0">
      <selection activeCell="F56" sqref="F56"/>
    </sheetView>
  </sheetViews>
  <sheetFormatPr defaultColWidth="22.33203125" defaultRowHeight="20.25"/>
  <cols>
    <col min="1" max="1" width="51.21875" style="1008" customWidth="1"/>
    <col min="2" max="2" width="24.88671875" style="1008" customWidth="1"/>
    <col min="3" max="3" width="12.44140625" style="1008" customWidth="1"/>
    <col min="4" max="4" width="13.6640625" style="1008" customWidth="1"/>
    <col min="5" max="5" width="28.109375" style="1008" customWidth="1"/>
    <col min="6" max="6" width="23.77734375" style="1008" customWidth="1"/>
    <col min="7" max="7" width="18.44140625" style="1008" customWidth="1"/>
    <col min="8" max="8" width="39.21875" style="1009" customWidth="1"/>
    <col min="9" max="9" width="12" style="1008" bestFit="1" customWidth="1"/>
    <col min="10" max="10" width="24" style="1010" customWidth="1"/>
    <col min="11" max="11" width="43.21875" style="809" hidden="1" customWidth="1"/>
    <col min="12" max="13" width="0" style="809" hidden="1" customWidth="1"/>
    <col min="14" max="14" width="25.109375" style="1011" customWidth="1"/>
    <col min="15" max="15" width="8" style="809" bestFit="1" customWidth="1"/>
    <col min="16" max="16384" width="22.33203125" style="809"/>
  </cols>
  <sheetData>
    <row r="1" spans="1:15" ht="22.5">
      <c r="A1" s="1629" t="s">
        <v>117</v>
      </c>
      <c r="B1" s="1630"/>
      <c r="C1" s="1630"/>
      <c r="D1" s="1630"/>
      <c r="E1" s="1630"/>
      <c r="F1" s="1630"/>
      <c r="G1" s="1630"/>
      <c r="H1" s="1630"/>
      <c r="I1" s="1630"/>
      <c r="J1" s="1631"/>
    </row>
    <row r="2" spans="1:15">
      <c r="A2" s="810" t="s">
        <v>275</v>
      </c>
      <c r="B2" s="1081">
        <v>43946</v>
      </c>
      <c r="C2" s="811" t="s">
        <v>69</v>
      </c>
      <c r="D2" s="1024">
        <v>0.54</v>
      </c>
      <c r="E2" s="813"/>
      <c r="F2" s="813"/>
      <c r="G2" s="813" t="s">
        <v>118</v>
      </c>
      <c r="H2" s="813" t="s">
        <v>6</v>
      </c>
      <c r="I2" s="813" t="s">
        <v>8</v>
      </c>
      <c r="J2" s="814" t="s">
        <v>119</v>
      </c>
    </row>
    <row r="3" spans="1:15">
      <c r="A3" s="815"/>
      <c r="B3" s="816"/>
      <c r="C3" s="811" t="s">
        <v>120</v>
      </c>
      <c r="D3" s="811">
        <v>31</v>
      </c>
      <c r="E3" s="1632" t="s">
        <v>121</v>
      </c>
      <c r="F3" s="1633"/>
      <c r="G3" s="818">
        <f>'1'!G3</f>
        <v>0</v>
      </c>
      <c r="H3" s="819">
        <f>'1'!H3</f>
        <v>0</v>
      </c>
      <c r="I3" s="819">
        <f>'1'!I3</f>
        <v>0</v>
      </c>
      <c r="J3" s="820">
        <f>'1'!J3</f>
        <v>0</v>
      </c>
      <c r="K3" s="821"/>
      <c r="L3" s="822"/>
    </row>
    <row r="4" spans="1:15">
      <c r="A4" s="823"/>
      <c r="B4" s="824"/>
      <c r="C4" s="811" t="s">
        <v>122</v>
      </c>
      <c r="D4" s="1024">
        <v>0.8</v>
      </c>
      <c r="E4" s="825"/>
      <c r="F4" s="825"/>
      <c r="G4" s="825"/>
      <c r="H4" s="825"/>
      <c r="I4" s="826"/>
      <c r="J4" s="820"/>
      <c r="K4" s="827"/>
      <c r="L4" s="822"/>
    </row>
    <row r="5" spans="1:15">
      <c r="A5" s="828" t="s">
        <v>123</v>
      </c>
      <c r="B5" s="829"/>
      <c r="C5" s="829"/>
      <c r="D5" s="829" t="s">
        <v>124</v>
      </c>
      <c r="E5" s="830" t="s">
        <v>125</v>
      </c>
      <c r="F5" s="830" t="s">
        <v>112</v>
      </c>
      <c r="G5" s="831" t="s">
        <v>126</v>
      </c>
      <c r="H5" s="832" t="s">
        <v>127</v>
      </c>
      <c r="I5" s="833" t="s">
        <v>128</v>
      </c>
      <c r="J5" s="834" t="s">
        <v>129</v>
      </c>
      <c r="K5" s="835"/>
      <c r="L5" s="822"/>
    </row>
    <row r="6" spans="1:15">
      <c r="A6" s="1626" t="s">
        <v>130</v>
      </c>
      <c r="B6" s="1627"/>
      <c r="C6" s="1628"/>
      <c r="D6" s="836"/>
      <c r="E6" s="836"/>
      <c r="F6" s="836"/>
      <c r="G6" s="836"/>
      <c r="H6" s="837"/>
      <c r="I6" s="837"/>
      <c r="J6" s="838"/>
      <c r="K6" s="839"/>
      <c r="L6" s="822"/>
    </row>
    <row r="7" spans="1:15" ht="21" thickBot="1">
      <c r="A7" s="840" t="s">
        <v>131</v>
      </c>
      <c r="B7" s="841"/>
      <c r="C7" s="841"/>
      <c r="D7" s="842" t="s">
        <v>132</v>
      </c>
      <c r="E7" s="843">
        <f>'24'!F7</f>
        <v>5613933</v>
      </c>
      <c r="F7" s="843">
        <v>5636229</v>
      </c>
      <c r="G7" s="844">
        <f>F7-E7</f>
        <v>22296</v>
      </c>
      <c r="H7" s="845">
        <f>G7+'24'!H7</f>
        <v>522306</v>
      </c>
      <c r="I7" s="846">
        <f>'1'!I7</f>
        <v>12000</v>
      </c>
      <c r="J7" s="847">
        <f>H7/DAY(B2)</f>
        <v>20892.240000000002</v>
      </c>
      <c r="K7" s="848"/>
      <c r="L7" s="822"/>
      <c r="N7" s="1022">
        <f>G7/G8</f>
        <v>0.99580169718624389</v>
      </c>
      <c r="O7" s="849"/>
    </row>
    <row r="8" spans="1:15" ht="21" thickBot="1">
      <c r="A8" s="850" t="s">
        <v>133</v>
      </c>
      <c r="B8" s="851"/>
      <c r="C8" s="852"/>
      <c r="D8" s="853" t="s">
        <v>25</v>
      </c>
      <c r="E8" s="843">
        <f>'24'!F8</f>
        <v>5647231</v>
      </c>
      <c r="F8" s="854">
        <v>5669621</v>
      </c>
      <c r="G8" s="855">
        <f>F8-E8</f>
        <v>22390</v>
      </c>
      <c r="H8" s="845">
        <f>G8+'24'!H8</f>
        <v>524303</v>
      </c>
      <c r="I8" s="856">
        <f>'1'!I8</f>
        <v>12000</v>
      </c>
      <c r="J8" s="847">
        <f>H8/DAY(B2)</f>
        <v>20972.12</v>
      </c>
      <c r="K8" s="848">
        <v>1375467</v>
      </c>
      <c r="L8" s="857">
        <v>1667461</v>
      </c>
      <c r="M8" s="858"/>
      <c r="O8" s="849"/>
    </row>
    <row r="9" spans="1:15">
      <c r="A9" s="859" t="s">
        <v>134</v>
      </c>
      <c r="B9" s="860"/>
      <c r="C9" s="860"/>
      <c r="D9" s="842" t="s">
        <v>132</v>
      </c>
      <c r="E9" s="843">
        <f>'24'!F9</f>
        <v>880786.95</v>
      </c>
      <c r="F9" s="861">
        <v>902394.95</v>
      </c>
      <c r="G9" s="844">
        <f t="shared" ref="G9:G12" si="0">F9-E9</f>
        <v>21608</v>
      </c>
      <c r="H9" s="845">
        <f>G9+'24'!H9</f>
        <v>506325.94999999995</v>
      </c>
      <c r="I9" s="862">
        <f>I8-J8</f>
        <v>-8972.119999999999</v>
      </c>
      <c r="J9" s="847">
        <f>H9/DAY(B2)</f>
        <v>20253.037999999997</v>
      </c>
      <c r="K9" s="863"/>
      <c r="L9" s="822"/>
      <c r="O9" s="849"/>
    </row>
    <row r="10" spans="1:15">
      <c r="A10" s="840" t="s">
        <v>135</v>
      </c>
      <c r="B10" s="841"/>
      <c r="C10" s="841"/>
      <c r="D10" s="842" t="s">
        <v>132</v>
      </c>
      <c r="E10" s="843">
        <f>'24'!F10</f>
        <v>2322.58</v>
      </c>
      <c r="F10" s="861">
        <v>2322.58</v>
      </c>
      <c r="G10" s="844">
        <f t="shared" si="0"/>
        <v>0</v>
      </c>
      <c r="H10" s="845">
        <f>G10+'24'!H10</f>
        <v>0</v>
      </c>
      <c r="I10" s="864"/>
      <c r="J10" s="847">
        <f>H10/DAY(B2)</f>
        <v>0</v>
      </c>
      <c r="K10" s="863"/>
      <c r="L10" s="822">
        <f>L8-K8</f>
        <v>291994</v>
      </c>
      <c r="O10" s="849"/>
    </row>
    <row r="11" spans="1:15">
      <c r="A11" s="840" t="s">
        <v>136</v>
      </c>
      <c r="B11" s="841"/>
      <c r="C11" s="841"/>
      <c r="D11" s="842" t="s">
        <v>132</v>
      </c>
      <c r="E11" s="843">
        <f>'5'!E11</f>
        <v>37000</v>
      </c>
      <c r="F11" s="843">
        <v>37000</v>
      </c>
      <c r="G11" s="844">
        <f t="shared" si="0"/>
        <v>0</v>
      </c>
      <c r="H11" s="845">
        <f>G11+'24'!H11</f>
        <v>0</v>
      </c>
      <c r="I11" s="864"/>
      <c r="J11" s="847">
        <f>H11/DAY(B2)</f>
        <v>0</v>
      </c>
      <c r="K11" s="863"/>
      <c r="L11" s="822"/>
      <c r="N11" s="1023">
        <f>G7*N7</f>
        <v>22202.394640464492</v>
      </c>
      <c r="O11" s="849"/>
    </row>
    <row r="12" spans="1:15">
      <c r="A12" s="840" t="s">
        <v>137</v>
      </c>
      <c r="B12" s="841"/>
      <c r="C12" s="841"/>
      <c r="D12" s="842" t="s">
        <v>132</v>
      </c>
      <c r="E12" s="843">
        <f>'5'!E12</f>
        <v>40010</v>
      </c>
      <c r="F12" s="861">
        <v>40010</v>
      </c>
      <c r="G12" s="844">
        <f t="shared" si="0"/>
        <v>0</v>
      </c>
      <c r="H12" s="845">
        <f>G12+'24'!H12</f>
        <v>0</v>
      </c>
      <c r="I12" s="864"/>
      <c r="J12" s="847">
        <f>H12/DAY(B2)</f>
        <v>0</v>
      </c>
      <c r="K12" s="863"/>
      <c r="L12" s="822"/>
      <c r="O12" s="849"/>
    </row>
    <row r="13" spans="1:15">
      <c r="A13" s="865" t="s">
        <v>138</v>
      </c>
      <c r="B13" s="866"/>
      <c r="C13" s="866"/>
      <c r="D13" s="842"/>
      <c r="E13" s="843"/>
      <c r="F13" s="843"/>
      <c r="G13" s="867">
        <f>G9+G10+G11+G12</f>
        <v>21608</v>
      </c>
      <c r="H13" s="845">
        <f>G13+'24'!H13</f>
        <v>486135.31000000006</v>
      </c>
      <c r="I13" s="868">
        <f>G7-G13</f>
        <v>688</v>
      </c>
      <c r="J13" s="847">
        <f>H13/DAY(B2)</f>
        <v>19445.412400000001</v>
      </c>
      <c r="K13" s="863"/>
      <c r="L13" s="822">
        <f>L10-H7</f>
        <v>-230312</v>
      </c>
      <c r="O13" s="849"/>
    </row>
    <row r="14" spans="1:15">
      <c r="A14" s="1620" t="s">
        <v>139</v>
      </c>
      <c r="B14" s="1621"/>
      <c r="C14" s="1622"/>
      <c r="D14" s="837"/>
      <c r="E14" s="837"/>
      <c r="F14" s="837"/>
      <c r="G14" s="869"/>
      <c r="H14" s="837"/>
      <c r="I14" s="837"/>
      <c r="J14" s="838"/>
      <c r="K14" s="870"/>
      <c r="L14" s="822"/>
      <c r="O14" s="849"/>
    </row>
    <row r="15" spans="1:15">
      <c r="A15" s="871" t="s">
        <v>140</v>
      </c>
      <c r="B15" s="872"/>
      <c r="C15" s="872"/>
      <c r="D15" s="842" t="s">
        <v>141</v>
      </c>
      <c r="E15" s="843">
        <f>'24'!F15</f>
        <v>1667060.6680000001</v>
      </c>
      <c r="F15" s="938">
        <v>1667759.5419999999</v>
      </c>
      <c r="G15" s="1020">
        <f>(F15-E15)</f>
        <v>698.87399999983609</v>
      </c>
      <c r="H15" s="845">
        <f>G15+'24'!H15</f>
        <v>21070.541999999899</v>
      </c>
      <c r="I15" s="846">
        <f>'1'!I15</f>
        <v>800</v>
      </c>
      <c r="J15" s="847">
        <f>H15/DAY(B2)</f>
        <v>842.82167999999592</v>
      </c>
      <c r="K15" s="863"/>
      <c r="L15" s="822"/>
      <c r="O15" s="849"/>
    </row>
    <row r="16" spans="1:15">
      <c r="A16" s="874"/>
      <c r="B16" s="875"/>
      <c r="C16" s="875"/>
      <c r="D16" s="876"/>
      <c r="E16" s="877"/>
      <c r="F16" s="877"/>
      <c r="G16" s="844"/>
      <c r="H16" s="878"/>
      <c r="I16" s="879">
        <f>I15-J15</f>
        <v>-42.821679999995922</v>
      </c>
      <c r="J16" s="880"/>
      <c r="K16" s="863"/>
      <c r="L16" s="822"/>
      <c r="O16" s="849">
        <f>580-990</f>
        <v>-410</v>
      </c>
    </row>
    <row r="17" spans="1:15">
      <c r="A17" s="1620" t="s">
        <v>142</v>
      </c>
      <c r="B17" s="1621"/>
      <c r="C17" s="1622"/>
      <c r="D17" s="837"/>
      <c r="E17" s="837"/>
      <c r="F17" s="837"/>
      <c r="G17" s="881"/>
      <c r="H17" s="837"/>
      <c r="I17" s="837"/>
      <c r="J17" s="838"/>
      <c r="K17" s="863"/>
      <c r="L17" s="822"/>
      <c r="O17" s="1385">
        <f>O16*3</f>
        <v>-1230</v>
      </c>
    </row>
    <row r="18" spans="1:15">
      <c r="A18" s="1602" t="s">
        <v>143</v>
      </c>
      <c r="B18" s="1603"/>
      <c r="C18" s="1604"/>
      <c r="D18" s="842" t="s">
        <v>144</v>
      </c>
      <c r="E18" s="843">
        <f>'24'!F18</f>
        <v>10</v>
      </c>
      <c r="F18" s="873">
        <v>8</v>
      </c>
      <c r="G18" s="867">
        <f>F18*10</f>
        <v>80</v>
      </c>
      <c r="H18" s="845">
        <f>G18+'24'!H18</f>
        <v>2340</v>
      </c>
      <c r="I18" s="846">
        <f>'1'!I18</f>
        <v>65</v>
      </c>
      <c r="J18" s="847">
        <f>H18/DAY(B2)</f>
        <v>93.6</v>
      </c>
      <c r="K18" s="863"/>
      <c r="L18" s="822"/>
      <c r="O18" s="849"/>
    </row>
    <row r="19" spans="1:15">
      <c r="A19" s="1602" t="s">
        <v>71</v>
      </c>
      <c r="B19" s="1603"/>
      <c r="C19" s="1604"/>
      <c r="D19" s="842" t="s">
        <v>144</v>
      </c>
      <c r="E19" s="843">
        <f>'24'!F19</f>
        <v>137483</v>
      </c>
      <c r="F19" s="873">
        <v>137536</v>
      </c>
      <c r="G19" s="844">
        <f t="shared" ref="G19" si="1">F19-E19</f>
        <v>53</v>
      </c>
      <c r="H19" s="845">
        <f>G19+'24'!H19</f>
        <v>1446</v>
      </c>
      <c r="I19" s="882"/>
      <c r="J19" s="847">
        <f>H19/DAY(B2)</f>
        <v>57.84</v>
      </c>
      <c r="K19" s="863"/>
      <c r="L19" s="822"/>
      <c r="O19" s="849"/>
    </row>
    <row r="20" spans="1:15">
      <c r="A20" s="865" t="s">
        <v>145</v>
      </c>
      <c r="B20" s="866"/>
      <c r="C20" s="866"/>
      <c r="D20" s="883"/>
      <c r="E20" s="883"/>
      <c r="F20" s="883"/>
      <c r="G20" s="884">
        <f>G18+G19</f>
        <v>133</v>
      </c>
      <c r="H20" s="845">
        <f>G20+'24'!H20</f>
        <v>3822</v>
      </c>
      <c r="I20" s="885">
        <f>I18-J20</f>
        <v>-87.88</v>
      </c>
      <c r="J20" s="847">
        <f>H20/DAY(B2)</f>
        <v>152.88</v>
      </c>
      <c r="K20" s="863"/>
      <c r="L20" s="822"/>
      <c r="O20" s="849"/>
    </row>
    <row r="21" spans="1:15">
      <c r="A21" s="1620" t="s">
        <v>146</v>
      </c>
      <c r="B21" s="1621"/>
      <c r="C21" s="1622"/>
      <c r="D21" s="837"/>
      <c r="E21" s="837"/>
      <c r="F21" s="837"/>
      <c r="G21" s="869"/>
      <c r="H21" s="837"/>
      <c r="I21" s="837"/>
      <c r="J21" s="838"/>
      <c r="K21" s="863"/>
      <c r="L21" s="822"/>
      <c r="O21" s="849"/>
    </row>
    <row r="22" spans="1:15">
      <c r="A22" s="871" t="s">
        <v>147</v>
      </c>
      <c r="B22" s="872"/>
      <c r="C22" s="872"/>
      <c r="D22" s="842" t="s">
        <v>148</v>
      </c>
      <c r="E22" s="1381">
        <f>'24'!G22</f>
        <v>1290</v>
      </c>
      <c r="F22" s="1382">
        <v>1290</v>
      </c>
      <c r="G22" s="1383">
        <f t="shared" ref="G22" si="2">(F22-E22)</f>
        <v>0</v>
      </c>
      <c r="H22" s="845">
        <f>G22+'24'!H22</f>
        <v>1290</v>
      </c>
      <c r="I22" s="864"/>
      <c r="J22" s="847">
        <f>H22/DAY(B2)</f>
        <v>51.6</v>
      </c>
      <c r="K22" s="863"/>
      <c r="L22" s="822"/>
      <c r="O22" s="849"/>
    </row>
    <row r="23" spans="1:15">
      <c r="A23" s="871" t="s">
        <v>149</v>
      </c>
      <c r="B23" s="872"/>
      <c r="C23" s="872"/>
      <c r="D23" s="842" t="s">
        <v>148</v>
      </c>
      <c r="E23" s="873">
        <f>'24'!F23</f>
        <v>2000</v>
      </c>
      <c r="F23" s="873">
        <v>2000</v>
      </c>
      <c r="G23" s="867">
        <v>0</v>
      </c>
      <c r="H23" s="845">
        <f>G23+'24'!H23</f>
        <v>0</v>
      </c>
      <c r="I23" s="864"/>
      <c r="J23" s="847">
        <f>H23/DAY(B2)</f>
        <v>0</v>
      </c>
      <c r="K23" s="863"/>
      <c r="L23" s="822"/>
      <c r="O23" s="849"/>
    </row>
    <row r="24" spans="1:15">
      <c r="A24" s="886" t="s">
        <v>150</v>
      </c>
      <c r="B24" s="887"/>
      <c r="C24" s="887"/>
      <c r="D24" s="829" t="s">
        <v>148</v>
      </c>
      <c r="E24" s="873">
        <f>'24'!F24</f>
        <v>3680</v>
      </c>
      <c r="F24" s="888">
        <v>4970</v>
      </c>
      <c r="G24" s="867">
        <v>0</v>
      </c>
      <c r="H24" s="845">
        <f>G24+'24'!H24</f>
        <v>1290</v>
      </c>
      <c r="I24" s="864"/>
      <c r="J24" s="847">
        <f>H24/DAY(B2)</f>
        <v>51.6</v>
      </c>
      <c r="K24" s="863"/>
      <c r="L24" s="822"/>
      <c r="O24" s="849"/>
    </row>
    <row r="25" spans="1:15" s="894" customFormat="1">
      <c r="A25" s="1626" t="s">
        <v>151</v>
      </c>
      <c r="B25" s="1627"/>
      <c r="C25" s="1628"/>
      <c r="D25" s="836"/>
      <c r="E25" s="836"/>
      <c r="F25" s="836"/>
      <c r="G25" s="889"/>
      <c r="H25" s="890"/>
      <c r="I25" s="891"/>
      <c r="J25" s="892"/>
      <c r="K25" s="863"/>
      <c r="L25" s="893"/>
      <c r="N25" s="1012"/>
      <c r="O25" s="849"/>
    </row>
    <row r="26" spans="1:15" s="894" customFormat="1">
      <c r="A26" s="895" t="s">
        <v>152</v>
      </c>
      <c r="B26" s="896"/>
      <c r="C26" s="897"/>
      <c r="D26" s="898" t="s">
        <v>153</v>
      </c>
      <c r="E26" s="899"/>
      <c r="F26" s="899"/>
      <c r="G26" s="900"/>
      <c r="H26" s="845"/>
      <c r="I26" s="901"/>
      <c r="J26" s="847"/>
      <c r="K26" s="870"/>
      <c r="L26" s="893"/>
      <c r="N26" s="1012"/>
      <c r="O26" s="849"/>
    </row>
    <row r="27" spans="1:15" s="894" customFormat="1" ht="22.5">
      <c r="A27" s="895" t="s">
        <v>6</v>
      </c>
      <c r="B27" s="896"/>
      <c r="C27" s="897"/>
      <c r="D27" s="902" t="s">
        <v>25</v>
      </c>
      <c r="E27" s="903">
        <f>G8</f>
        <v>22390</v>
      </c>
      <c r="F27" s="501">
        <v>9</v>
      </c>
      <c r="G27" s="905">
        <f>E27*F27</f>
        <v>201510</v>
      </c>
      <c r="H27" s="845">
        <f>G27+'24'!H27</f>
        <v>4718727</v>
      </c>
      <c r="I27" s="906"/>
      <c r="J27" s="847">
        <f>H27/DAY(B2)</f>
        <v>188749.08</v>
      </c>
      <c r="K27" s="863"/>
      <c r="L27" s="893"/>
      <c r="N27" s="1012"/>
      <c r="O27" s="849"/>
    </row>
    <row r="28" spans="1:15" s="894" customFormat="1" ht="22.5">
      <c r="A28" s="895" t="s">
        <v>154</v>
      </c>
      <c r="B28" s="896"/>
      <c r="C28" s="897"/>
      <c r="D28" s="902" t="s">
        <v>155</v>
      </c>
      <c r="E28" s="903">
        <f>G15</f>
        <v>698.87399999983609</v>
      </c>
      <c r="F28" s="501">
        <v>51.45</v>
      </c>
      <c r="G28" s="905">
        <f>E28*F28</f>
        <v>35957.06729999157</v>
      </c>
      <c r="H28" s="845">
        <f>G28+'24'!H28</f>
        <v>1084079.3858999948</v>
      </c>
      <c r="I28" s="907"/>
      <c r="J28" s="847">
        <f>H28/DAY(B2)</f>
        <v>43363.175435999787</v>
      </c>
      <c r="K28" s="863"/>
      <c r="L28" s="893"/>
      <c r="N28" s="1012"/>
      <c r="O28" s="849"/>
    </row>
    <row r="29" spans="1:15" s="894" customFormat="1">
      <c r="A29" s="895" t="s">
        <v>156</v>
      </c>
      <c r="B29" s="896"/>
      <c r="C29" s="897"/>
      <c r="D29" s="902" t="s">
        <v>157</v>
      </c>
      <c r="E29" s="903">
        <f>G24</f>
        <v>0</v>
      </c>
      <c r="F29" s="904">
        <v>69</v>
      </c>
      <c r="G29" s="905">
        <f>E29*F29</f>
        <v>0</v>
      </c>
      <c r="H29" s="845">
        <f>G29+'24'!H29</f>
        <v>89010</v>
      </c>
      <c r="I29" s="907"/>
      <c r="J29" s="847">
        <f>H29/DAY(B2)</f>
        <v>3560.4</v>
      </c>
      <c r="K29" s="863"/>
      <c r="L29" s="893"/>
      <c r="N29" s="1012"/>
      <c r="O29" s="849"/>
    </row>
    <row r="30" spans="1:15" s="894" customFormat="1">
      <c r="A30" s="895" t="s">
        <v>158</v>
      </c>
      <c r="B30" s="896"/>
      <c r="C30" s="897"/>
      <c r="D30" s="902" t="s">
        <v>159</v>
      </c>
      <c r="E30" s="903">
        <f>G19</f>
        <v>53</v>
      </c>
      <c r="F30" s="904">
        <v>134</v>
      </c>
      <c r="G30" s="905">
        <f>E30*F30</f>
        <v>7102</v>
      </c>
      <c r="H30" s="845">
        <f>G30+'24'!H30</f>
        <v>195132</v>
      </c>
      <c r="I30" s="907"/>
      <c r="J30" s="847">
        <f>H30/DAY(B2)</f>
        <v>7805.28</v>
      </c>
      <c r="K30" s="863"/>
      <c r="L30" s="893"/>
      <c r="N30" s="1012"/>
      <c r="O30" s="849"/>
    </row>
    <row r="31" spans="1:15" s="894" customFormat="1">
      <c r="A31" s="895" t="s">
        <v>160</v>
      </c>
      <c r="B31" s="896"/>
      <c r="C31" s="897"/>
      <c r="D31" s="902" t="s">
        <v>144</v>
      </c>
      <c r="E31" s="903">
        <f>G18</f>
        <v>80</v>
      </c>
      <c r="F31" s="904">
        <v>80</v>
      </c>
      <c r="G31" s="905">
        <f>E31*F31</f>
        <v>6400</v>
      </c>
      <c r="H31" s="845">
        <f>G31+'24'!H31</f>
        <v>187200</v>
      </c>
      <c r="I31" s="907"/>
      <c r="J31" s="847"/>
      <c r="K31" s="863"/>
      <c r="L31" s="893"/>
      <c r="N31" s="1012"/>
      <c r="O31" s="849"/>
    </row>
    <row r="32" spans="1:15" s="894" customFormat="1">
      <c r="A32" s="908" t="s">
        <v>161</v>
      </c>
      <c r="B32" s="909"/>
      <c r="C32" s="910"/>
      <c r="D32" s="911"/>
      <c r="E32" s="911"/>
      <c r="F32" s="911"/>
      <c r="G32" s="912">
        <f>G27+G28+G29+G30+G31</f>
        <v>250969.06729999156</v>
      </c>
      <c r="H32" s="845">
        <f>G32+'24'!H32</f>
        <v>6274148.3858999964</v>
      </c>
      <c r="I32" s="913"/>
      <c r="J32" s="847">
        <f>H32/DAY(B2)</f>
        <v>250965.93543599985</v>
      </c>
      <c r="K32" s="863"/>
      <c r="L32" s="893"/>
      <c r="N32" s="1012"/>
      <c r="O32" s="849">
        <f>340*3</f>
        <v>1020</v>
      </c>
    </row>
    <row r="33" spans="1:15" ht="18.75">
      <c r="A33" s="1623" t="s">
        <v>162</v>
      </c>
      <c r="B33" s="1624"/>
      <c r="C33" s="1624"/>
      <c r="D33" s="1624"/>
      <c r="E33" s="1624"/>
      <c r="F33" s="1624"/>
      <c r="G33" s="1624"/>
      <c r="H33" s="1624"/>
      <c r="I33" s="1624"/>
      <c r="J33" s="1625"/>
      <c r="K33" s="863"/>
      <c r="L33" s="822"/>
      <c r="O33" s="849">
        <f>O32/3</f>
        <v>340</v>
      </c>
    </row>
    <row r="34" spans="1:15">
      <c r="A34" s="914" t="s">
        <v>163</v>
      </c>
      <c r="B34" s="915"/>
      <c r="C34" s="915"/>
      <c r="D34" s="837"/>
      <c r="E34" s="836"/>
      <c r="F34" s="836"/>
      <c r="G34" s="837"/>
      <c r="H34" s="837"/>
      <c r="I34" s="837"/>
      <c r="J34" s="838"/>
      <c r="K34" s="863"/>
      <c r="L34" s="822"/>
      <c r="O34" s="849"/>
    </row>
    <row r="35" spans="1:15">
      <c r="A35" s="840" t="s">
        <v>164</v>
      </c>
      <c r="B35" s="841"/>
      <c r="C35" s="841"/>
      <c r="D35" s="842" t="s">
        <v>132</v>
      </c>
      <c r="E35" s="843">
        <f>'24'!F35</f>
        <v>871033.75</v>
      </c>
      <c r="F35" s="916">
        <v>874087</v>
      </c>
      <c r="G35" s="844">
        <f t="shared" ref="G35:G46" si="3">F35-E35</f>
        <v>3053.25</v>
      </c>
      <c r="H35" s="845">
        <f>G35+'24'!H35</f>
        <v>75698</v>
      </c>
      <c r="I35" s="843"/>
      <c r="J35" s="847">
        <f>H35/DAY(B2)</f>
        <v>3027.92</v>
      </c>
      <c r="K35" s="863"/>
      <c r="L35" s="822"/>
      <c r="O35" s="849"/>
    </row>
    <row r="36" spans="1:15">
      <c r="A36" s="840" t="s">
        <v>165</v>
      </c>
      <c r="B36" s="841"/>
      <c r="C36" s="841"/>
      <c r="D36" s="842" t="s">
        <v>132</v>
      </c>
      <c r="E36" s="843">
        <f>'24'!F36</f>
        <v>340886.35</v>
      </c>
      <c r="F36" s="916">
        <v>341901.27</v>
      </c>
      <c r="G36" s="844">
        <f t="shared" si="3"/>
        <v>1014.9200000000419</v>
      </c>
      <c r="H36" s="845">
        <f>G36+'24'!H36</f>
        <v>24465.270000000019</v>
      </c>
      <c r="I36" s="843"/>
      <c r="J36" s="847">
        <f>H36/DAY(B2)</f>
        <v>978.61080000000072</v>
      </c>
      <c r="K36" s="863"/>
      <c r="L36" s="822"/>
      <c r="O36" s="849"/>
    </row>
    <row r="37" spans="1:15">
      <c r="A37" s="840" t="s">
        <v>166</v>
      </c>
      <c r="B37" s="841"/>
      <c r="C37" s="841"/>
      <c r="D37" s="842" t="s">
        <v>132</v>
      </c>
      <c r="E37" s="843">
        <f>'24'!F37</f>
        <v>87603.34</v>
      </c>
      <c r="F37" s="916">
        <v>88949.67</v>
      </c>
      <c r="G37" s="844">
        <f t="shared" si="3"/>
        <v>1346.3300000000017</v>
      </c>
      <c r="H37" s="845">
        <f>G37+'24'!H37</f>
        <v>34152.67</v>
      </c>
      <c r="I37" s="843"/>
      <c r="J37" s="847">
        <f>H37/DAY(B2)</f>
        <v>1366.1068</v>
      </c>
      <c r="K37" s="863"/>
      <c r="L37" s="822"/>
      <c r="O37" s="849"/>
    </row>
    <row r="38" spans="1:15">
      <c r="A38" s="840" t="s">
        <v>167</v>
      </c>
      <c r="B38" s="841"/>
      <c r="C38" s="841"/>
      <c r="D38" s="842" t="s">
        <v>132</v>
      </c>
      <c r="E38" s="843">
        <f>'24'!F38</f>
        <v>111354.81</v>
      </c>
      <c r="F38" s="832">
        <v>112810.42</v>
      </c>
      <c r="G38" s="844">
        <f t="shared" si="3"/>
        <v>1455.6100000000006</v>
      </c>
      <c r="H38" s="845">
        <f>G38+'24'!H38</f>
        <v>40502.42</v>
      </c>
      <c r="I38" s="843"/>
      <c r="J38" s="847">
        <f>H38/DAY(B2)</f>
        <v>1620.0968</v>
      </c>
      <c r="K38" s="863"/>
      <c r="L38" s="822"/>
      <c r="O38" s="849"/>
    </row>
    <row r="39" spans="1:15">
      <c r="A39" s="840" t="s">
        <v>168</v>
      </c>
      <c r="B39" s="841"/>
      <c r="C39" s="841"/>
      <c r="D39" s="842" t="s">
        <v>132</v>
      </c>
      <c r="E39" s="843">
        <f>'24'!F39</f>
        <v>230931.05</v>
      </c>
      <c r="F39" s="916">
        <v>233993.75</v>
      </c>
      <c r="G39" s="844">
        <f t="shared" si="3"/>
        <v>3062.7000000000116</v>
      </c>
      <c r="H39" s="845">
        <f>G39+'24'!H39</f>
        <v>81171.75</v>
      </c>
      <c r="I39" s="843"/>
      <c r="J39" s="847">
        <f>H39/DAY(B2)</f>
        <v>3246.87</v>
      </c>
      <c r="K39" s="863"/>
      <c r="L39" s="822"/>
      <c r="O39" s="849"/>
    </row>
    <row r="40" spans="1:15">
      <c r="A40" s="917" t="s">
        <v>169</v>
      </c>
      <c r="B40" s="918"/>
      <c r="C40" s="918"/>
      <c r="D40" s="842" t="s">
        <v>132</v>
      </c>
      <c r="E40" s="843">
        <f>'24'!F40</f>
        <v>0.23</v>
      </c>
      <c r="F40" s="916">
        <v>0.23</v>
      </c>
      <c r="G40" s="844">
        <f t="shared" si="3"/>
        <v>0</v>
      </c>
      <c r="H40" s="845">
        <f>G40+'24'!H40</f>
        <v>0.4</v>
      </c>
      <c r="I40" s="843"/>
      <c r="J40" s="847">
        <f>H40/DAY(B2)</f>
        <v>1.6E-2</v>
      </c>
      <c r="K40" s="870"/>
      <c r="L40" s="822"/>
      <c r="O40" s="849"/>
    </row>
    <row r="41" spans="1:15">
      <c r="A41" s="840" t="s">
        <v>170</v>
      </c>
      <c r="B41" s="841"/>
      <c r="C41" s="841"/>
      <c r="D41" s="842" t="s">
        <v>132</v>
      </c>
      <c r="E41" s="843">
        <f>'24'!F41</f>
        <v>161910.42000000001</v>
      </c>
      <c r="F41" s="916">
        <v>164737.54999999999</v>
      </c>
      <c r="G41" s="844">
        <f t="shared" si="3"/>
        <v>2827.1299999999756</v>
      </c>
      <c r="H41" s="845">
        <f>G41+'24'!H41</f>
        <v>31596.549999999988</v>
      </c>
      <c r="I41" s="843"/>
      <c r="J41" s="847">
        <f>H41/DAY(B2)</f>
        <v>1263.8619999999996</v>
      </c>
      <c r="K41" s="863"/>
      <c r="L41" s="822"/>
      <c r="O41" s="849"/>
    </row>
    <row r="42" spans="1:15">
      <c r="A42" s="840" t="s">
        <v>171</v>
      </c>
      <c r="B42" s="841"/>
      <c r="C42" s="841"/>
      <c r="D42" s="842" t="s">
        <v>132</v>
      </c>
      <c r="E42" s="843">
        <f>'24'!F42</f>
        <v>59128.163</v>
      </c>
      <c r="F42" s="916">
        <v>59128.163</v>
      </c>
      <c r="G42" s="844">
        <f t="shared" si="3"/>
        <v>0</v>
      </c>
      <c r="H42" s="845">
        <f>G42+'24'!H42</f>
        <v>2.9999999969732016E-3</v>
      </c>
      <c r="I42" s="843"/>
      <c r="J42" s="847">
        <f>H42/DAY(B2)</f>
        <v>1.1999999987892807E-4</v>
      </c>
      <c r="K42" s="863"/>
      <c r="L42" s="822"/>
      <c r="O42" s="849"/>
    </row>
    <row r="43" spans="1:15">
      <c r="A43" s="840" t="s">
        <v>172</v>
      </c>
      <c r="B43" s="841"/>
      <c r="C43" s="841"/>
      <c r="D43" s="842" t="s">
        <v>132</v>
      </c>
      <c r="E43" s="843">
        <f>'24'!F43</f>
        <v>959497.85</v>
      </c>
      <c r="F43" s="916">
        <v>962093.07</v>
      </c>
      <c r="G43" s="844">
        <f t="shared" si="3"/>
        <v>2595.2199999999721</v>
      </c>
      <c r="H43" s="845">
        <f>G43+'24'!H43</f>
        <v>60045.069999999949</v>
      </c>
      <c r="I43" s="843"/>
      <c r="J43" s="847">
        <f>H43/DAY(B2)</f>
        <v>2401.8027999999981</v>
      </c>
      <c r="K43" s="863"/>
      <c r="L43" s="822"/>
      <c r="O43" s="849"/>
    </row>
    <row r="44" spans="1:15">
      <c r="A44" s="840" t="s">
        <v>173</v>
      </c>
      <c r="B44" s="841"/>
      <c r="C44" s="841"/>
      <c r="D44" s="842" t="s">
        <v>132</v>
      </c>
      <c r="E44" s="843">
        <f>'24'!F44</f>
        <v>0</v>
      </c>
      <c r="F44" s="916">
        <v>0</v>
      </c>
      <c r="G44" s="844">
        <f t="shared" si="3"/>
        <v>0</v>
      </c>
      <c r="H44" s="845">
        <f>G44+'24'!H44</f>
        <v>0</v>
      </c>
      <c r="I44" s="843"/>
      <c r="J44" s="847">
        <f>H44/DAY(B2)</f>
        <v>0</v>
      </c>
      <c r="K44" s="863"/>
      <c r="L44" s="822"/>
      <c r="O44" s="849"/>
    </row>
    <row r="45" spans="1:15">
      <c r="A45" s="840" t="s">
        <v>174</v>
      </c>
      <c r="B45" s="841"/>
      <c r="C45" s="841"/>
      <c r="D45" s="842" t="s">
        <v>132</v>
      </c>
      <c r="E45" s="843">
        <f>'24'!F45</f>
        <v>614</v>
      </c>
      <c r="F45" s="916">
        <v>614</v>
      </c>
      <c r="G45" s="844">
        <f t="shared" si="3"/>
        <v>0</v>
      </c>
      <c r="H45" s="845">
        <f>G45+'24'!H45</f>
        <v>614</v>
      </c>
      <c r="I45" s="843"/>
      <c r="J45" s="847">
        <f>H45/DAY(B2)</f>
        <v>24.56</v>
      </c>
      <c r="K45" s="863"/>
      <c r="L45" s="822"/>
      <c r="O45" s="849"/>
    </row>
    <row r="46" spans="1:15">
      <c r="A46" s="840" t="s">
        <v>175</v>
      </c>
      <c r="B46" s="841"/>
      <c r="C46" s="841"/>
      <c r="D46" s="842" t="s">
        <v>132</v>
      </c>
      <c r="E46" s="843">
        <f>'24'!F46</f>
        <v>187</v>
      </c>
      <c r="F46" s="916">
        <v>187</v>
      </c>
      <c r="G46" s="844">
        <f t="shared" si="3"/>
        <v>0</v>
      </c>
      <c r="H46" s="845">
        <f>G46+'24'!H46</f>
        <v>186.95</v>
      </c>
      <c r="I46" s="843"/>
      <c r="J46" s="847">
        <f>H46/DAY(B2)</f>
        <v>7.4779999999999998</v>
      </c>
      <c r="K46" s="863"/>
      <c r="L46" s="822"/>
      <c r="O46" s="849"/>
    </row>
    <row r="47" spans="1:15">
      <c r="A47" s="865" t="s">
        <v>176</v>
      </c>
      <c r="B47" s="866"/>
      <c r="C47" s="866"/>
      <c r="D47" s="833"/>
      <c r="E47" s="829"/>
      <c r="F47" s="829"/>
      <c r="G47" s="867">
        <f>G35+G36+G37+G38+G39+G40+G41+G42+G43+G44+G45+G46</f>
        <v>15355.160000000003</v>
      </c>
      <c r="H47" s="845">
        <f>G47+'24'!H47</f>
        <v>349234.57299999997</v>
      </c>
      <c r="I47" s="843"/>
      <c r="J47" s="847">
        <f>H47/DAY(B2)</f>
        <v>13969.382919999998</v>
      </c>
      <c r="K47" s="863"/>
      <c r="L47" s="822"/>
      <c r="N47" s="1013"/>
      <c r="O47" s="849"/>
    </row>
    <row r="48" spans="1:15">
      <c r="A48" s="914" t="s">
        <v>177</v>
      </c>
      <c r="B48" s="915"/>
      <c r="C48" s="915"/>
      <c r="D48" s="837"/>
      <c r="E48" s="836"/>
      <c r="F48" s="836"/>
      <c r="G48" s="837"/>
      <c r="H48" s="837"/>
      <c r="I48" s="837"/>
      <c r="J48" s="838"/>
      <c r="K48" s="863"/>
      <c r="L48" s="822"/>
      <c r="O48" s="849"/>
    </row>
    <row r="49" spans="1:15">
      <c r="A49" s="840" t="s">
        <v>164</v>
      </c>
      <c r="B49" s="919"/>
      <c r="C49" s="919"/>
      <c r="D49" s="842" t="s">
        <v>132</v>
      </c>
      <c r="E49" s="1470">
        <f>'24'!F49</f>
        <v>260732</v>
      </c>
      <c r="F49" s="1471">
        <v>260732.13</v>
      </c>
      <c r="G49" s="1020">
        <f t="shared" ref="G49:G58" si="4">F49-E49</f>
        <v>0.13000000000465661</v>
      </c>
      <c r="H49" s="845">
        <f>G49+'24'!H49</f>
        <v>0.13000000000465661</v>
      </c>
      <c r="I49" s="843"/>
      <c r="J49" s="847">
        <f>H49/DAY(B2)</f>
        <v>5.2000000001862648E-3</v>
      </c>
      <c r="K49" s="863"/>
      <c r="L49" s="822"/>
      <c r="O49" s="849"/>
    </row>
    <row r="50" spans="1:15">
      <c r="A50" s="840" t="s">
        <v>178</v>
      </c>
      <c r="B50" s="919"/>
      <c r="C50" s="919"/>
      <c r="D50" s="842" t="s">
        <v>132</v>
      </c>
      <c r="E50" s="843">
        <f>'24'!F50</f>
        <v>467654.87</v>
      </c>
      <c r="F50" s="916">
        <v>469023.11</v>
      </c>
      <c r="G50" s="844">
        <f t="shared" si="4"/>
        <v>1368.2399999999907</v>
      </c>
      <c r="H50" s="845">
        <f>G50+'24'!H50</f>
        <v>26749.069999999949</v>
      </c>
      <c r="I50" s="843"/>
      <c r="J50" s="847">
        <f>H50/DAY(B2)</f>
        <v>1069.962799999998</v>
      </c>
      <c r="K50" s="863"/>
      <c r="L50" s="822"/>
      <c r="O50" s="849"/>
    </row>
    <row r="51" spans="1:15">
      <c r="A51" s="840" t="s">
        <v>166</v>
      </c>
      <c r="B51" s="919"/>
      <c r="C51" s="919"/>
      <c r="D51" s="842" t="s">
        <v>132</v>
      </c>
      <c r="E51" s="843">
        <f>'24'!F51</f>
        <v>144639.87</v>
      </c>
      <c r="F51" s="916">
        <v>144639.87</v>
      </c>
      <c r="G51" s="844">
        <f t="shared" si="4"/>
        <v>0</v>
      </c>
      <c r="H51" s="845">
        <f>G51+'24'!H51</f>
        <v>-0.13000000000465661</v>
      </c>
      <c r="I51" s="843"/>
      <c r="J51" s="847">
        <f>H51/DAY(B2)</f>
        <v>-5.2000000001862648E-3</v>
      </c>
      <c r="K51" s="863"/>
      <c r="L51" s="822"/>
      <c r="O51" s="849"/>
    </row>
    <row r="52" spans="1:15">
      <c r="A52" s="840" t="s">
        <v>179</v>
      </c>
      <c r="B52" s="919"/>
      <c r="C52" s="919"/>
      <c r="D52" s="842" t="s">
        <v>132</v>
      </c>
      <c r="E52" s="843">
        <f>'24'!F52</f>
        <v>539606</v>
      </c>
      <c r="F52" s="916">
        <v>539606.06999999995</v>
      </c>
      <c r="G52" s="844">
        <f t="shared" si="4"/>
        <v>6.9999999948777258E-2</v>
      </c>
      <c r="H52" s="845">
        <f>G52+'24'!H52</f>
        <v>6.9999999948777258E-2</v>
      </c>
      <c r="I52" s="843"/>
      <c r="J52" s="847">
        <f>H52/DAY(B2)</f>
        <v>2.7999999979510903E-3</v>
      </c>
      <c r="K52" s="863"/>
      <c r="L52" s="822"/>
      <c r="O52" s="849"/>
    </row>
    <row r="53" spans="1:15">
      <c r="A53" s="840" t="s">
        <v>168</v>
      </c>
      <c r="B53" s="919"/>
      <c r="C53" s="919"/>
      <c r="D53" s="842" t="s">
        <v>132</v>
      </c>
      <c r="E53" s="843">
        <f>'24'!F53</f>
        <v>412867.99</v>
      </c>
      <c r="F53" s="916">
        <v>413435.81</v>
      </c>
      <c r="G53" s="844">
        <f t="shared" si="4"/>
        <v>567.82000000000698</v>
      </c>
      <c r="H53" s="845">
        <f>G53+'24'!H53</f>
        <v>9256.0100000000093</v>
      </c>
      <c r="I53" s="843"/>
      <c r="J53" s="847">
        <f>H53/DAY(B2)</f>
        <v>370.24040000000036</v>
      </c>
      <c r="K53" s="863"/>
      <c r="L53" s="822"/>
      <c r="O53" s="849"/>
    </row>
    <row r="54" spans="1:15">
      <c r="A54" s="840" t="s">
        <v>180</v>
      </c>
      <c r="B54" s="919"/>
      <c r="C54" s="919"/>
      <c r="D54" s="842" t="s">
        <v>132</v>
      </c>
      <c r="E54" s="843">
        <f>'24'!F54</f>
        <v>10937.606</v>
      </c>
      <c r="F54" s="916">
        <v>11007.63</v>
      </c>
      <c r="G54" s="844">
        <f t="shared" si="4"/>
        <v>70.023999999999432</v>
      </c>
      <c r="H54" s="845">
        <f>G54+'24'!H54</f>
        <v>4782.66</v>
      </c>
      <c r="I54" s="843"/>
      <c r="J54" s="847">
        <f>H54/DAY(B2)</f>
        <v>191.3064</v>
      </c>
      <c r="K54" s="863"/>
      <c r="L54" s="822"/>
      <c r="O54" s="849"/>
    </row>
    <row r="55" spans="1:15">
      <c r="A55" s="840" t="s">
        <v>181</v>
      </c>
      <c r="B55" s="919"/>
      <c r="C55" s="919"/>
      <c r="D55" s="842" t="s">
        <v>132</v>
      </c>
      <c r="E55" s="843">
        <f>'24'!F55</f>
        <v>331982.77</v>
      </c>
      <c r="F55" s="916">
        <v>336375.99</v>
      </c>
      <c r="G55" s="844">
        <f t="shared" si="4"/>
        <v>4393.2199999999721</v>
      </c>
      <c r="H55" s="845">
        <f>G55+'24'!H55</f>
        <v>114922.78999999998</v>
      </c>
      <c r="I55" s="843"/>
      <c r="J55" s="847">
        <f>H55/DAY(B2)</f>
        <v>4596.9115999999995</v>
      </c>
      <c r="K55" s="863"/>
      <c r="L55" s="822"/>
      <c r="O55" s="849"/>
    </row>
    <row r="56" spans="1:15">
      <c r="A56" s="840" t="s">
        <v>182</v>
      </c>
      <c r="B56" s="919"/>
      <c r="C56" s="919"/>
      <c r="D56" s="842" t="s">
        <v>183</v>
      </c>
      <c r="E56" s="843">
        <f>'24'!F56</f>
        <v>589197.03</v>
      </c>
      <c r="F56" s="1471">
        <v>589206.43000000005</v>
      </c>
      <c r="G56" s="844">
        <f t="shared" si="4"/>
        <v>9.4000000000232831</v>
      </c>
      <c r="H56" s="845">
        <f>G56+'24'!H56</f>
        <v>230.27000000001863</v>
      </c>
      <c r="I56" s="843"/>
      <c r="J56" s="847">
        <f>H56/DAY(B2)</f>
        <v>9.2108000000007451</v>
      </c>
      <c r="K56" s="839"/>
      <c r="L56" s="822"/>
      <c r="O56" s="849"/>
    </row>
    <row r="57" spans="1:15">
      <c r="A57" s="840" t="s">
        <v>172</v>
      </c>
      <c r="B57" s="919"/>
      <c r="C57" s="919"/>
      <c r="D57" s="842" t="s">
        <v>132</v>
      </c>
      <c r="E57" s="843">
        <f>'24'!F57</f>
        <v>7711</v>
      </c>
      <c r="F57" s="916">
        <v>7711</v>
      </c>
      <c r="G57" s="844">
        <f t="shared" si="4"/>
        <v>0</v>
      </c>
      <c r="H57" s="845">
        <f>G57+'24'!H57</f>
        <v>0</v>
      </c>
      <c r="I57" s="843"/>
      <c r="J57" s="847">
        <f>H57/DAY(B2)</f>
        <v>0</v>
      </c>
      <c r="K57" s="863"/>
      <c r="L57" s="822"/>
      <c r="O57" s="849"/>
    </row>
    <row r="58" spans="1:15">
      <c r="A58" s="840" t="s">
        <v>184</v>
      </c>
      <c r="B58" s="919"/>
      <c r="C58" s="919"/>
      <c r="D58" s="842" t="s">
        <v>132</v>
      </c>
      <c r="E58" s="843">
        <f>'24'!F58</f>
        <v>45903.750999999997</v>
      </c>
      <c r="F58" s="916">
        <v>46057.65</v>
      </c>
      <c r="G58" s="844">
        <f t="shared" si="4"/>
        <v>153.89900000000489</v>
      </c>
      <c r="H58" s="845">
        <f>G58+'24'!H58</f>
        <v>4356.3099999999977</v>
      </c>
      <c r="I58" s="843"/>
      <c r="J58" s="847">
        <f>H58/DAY(B2)</f>
        <v>174.25239999999991</v>
      </c>
      <c r="K58" s="863"/>
      <c r="L58" s="822"/>
      <c r="O58" s="849"/>
    </row>
    <row r="59" spans="1:15">
      <c r="A59" s="865" t="s">
        <v>176</v>
      </c>
      <c r="B59" s="866"/>
      <c r="C59" s="866"/>
      <c r="D59" s="829"/>
      <c r="E59" s="829"/>
      <c r="F59" s="829"/>
      <c r="G59" s="867">
        <f>G49+G50+G51+G52+G53+G54+G55+G56+G57+G58</f>
        <v>6562.8029999999508</v>
      </c>
      <c r="H59" s="845">
        <f>G59+'24'!H59</f>
        <v>160295.17999999993</v>
      </c>
      <c r="I59" s="843">
        <f>G7-G60</f>
        <v>378.03700000004756</v>
      </c>
      <c r="J59" s="847">
        <f>H59/DAY(B2)</f>
        <v>6411.8071999999975</v>
      </c>
      <c r="K59" s="863"/>
      <c r="L59" s="822"/>
      <c r="O59" s="849"/>
    </row>
    <row r="60" spans="1:15">
      <c r="A60" s="840"/>
      <c r="B60" s="841"/>
      <c r="C60" s="841"/>
      <c r="D60" s="829" t="s">
        <v>185</v>
      </c>
      <c r="E60" s="829"/>
      <c r="F60" s="829"/>
      <c r="G60" s="867">
        <f>G47+G59</f>
        <v>21917.962999999952</v>
      </c>
      <c r="H60" s="845">
        <f>G60+'24'!H60</f>
        <v>516729.3029999999</v>
      </c>
      <c r="I60" s="843">
        <f>G13-G60</f>
        <v>-309.96299999995244</v>
      </c>
      <c r="J60" s="847">
        <f>H60/DAY(B2)</f>
        <v>20669.172119999996</v>
      </c>
      <c r="K60" s="863"/>
      <c r="L60" s="822"/>
      <c r="O60" s="849"/>
    </row>
    <row r="61" spans="1:15">
      <c r="A61" s="920" t="s">
        <v>186</v>
      </c>
      <c r="B61" s="921"/>
      <c r="C61" s="921"/>
      <c r="D61" s="921"/>
      <c r="E61" s="922"/>
      <c r="F61" s="922"/>
      <c r="G61" s="921"/>
      <c r="H61" s="921"/>
      <c r="I61" s="921"/>
      <c r="J61" s="923"/>
      <c r="K61" s="863"/>
      <c r="L61" s="822"/>
      <c r="O61" s="849"/>
    </row>
    <row r="62" spans="1:15">
      <c r="A62" s="924" t="s">
        <v>98</v>
      </c>
      <c r="B62" s="925"/>
      <c r="C62" s="925"/>
      <c r="D62" s="829" t="s">
        <v>187</v>
      </c>
      <c r="E62" s="843">
        <f>'24'!F62</f>
        <v>20419</v>
      </c>
      <c r="F62" s="926">
        <v>20419</v>
      </c>
      <c r="G62" s="844">
        <f t="shared" ref="G62:G69" si="5">F62-E62</f>
        <v>0</v>
      </c>
      <c r="H62" s="845">
        <f>G62+'24'!H62</f>
        <v>0.18199999999706051</v>
      </c>
      <c r="I62" s="927"/>
      <c r="J62" s="847">
        <f>H62/DAY(B2)</f>
        <v>7.2799999998824205E-3</v>
      </c>
      <c r="K62" s="863"/>
      <c r="L62" s="822"/>
      <c r="O62" s="849"/>
    </row>
    <row r="63" spans="1:15">
      <c r="A63" s="924" t="s">
        <v>188</v>
      </c>
      <c r="B63" s="925"/>
      <c r="C63" s="925"/>
      <c r="D63" s="829" t="s">
        <v>187</v>
      </c>
      <c r="E63" s="843">
        <f>'24'!F63</f>
        <v>2327.1959000000002</v>
      </c>
      <c r="F63" s="926">
        <v>2333.34</v>
      </c>
      <c r="G63" s="844">
        <f t="shared" si="5"/>
        <v>6.1440999999999804</v>
      </c>
      <c r="H63" s="845">
        <f>G63+'24'!H63</f>
        <v>237.34000000000015</v>
      </c>
      <c r="I63" s="927"/>
      <c r="J63" s="847">
        <f>H63/DAY(B2)</f>
        <v>9.493600000000006</v>
      </c>
      <c r="K63" s="863"/>
      <c r="L63" s="822"/>
      <c r="O63" s="849"/>
    </row>
    <row r="64" spans="1:15">
      <c r="A64" s="1608" t="s">
        <v>99</v>
      </c>
      <c r="B64" s="1609"/>
      <c r="C64" s="1610"/>
      <c r="D64" s="842" t="s">
        <v>187</v>
      </c>
      <c r="E64" s="843">
        <f>'24'!F64</f>
        <v>150822.72</v>
      </c>
      <c r="F64" s="873">
        <v>151332.69</v>
      </c>
      <c r="G64" s="844">
        <f t="shared" si="5"/>
        <v>509.97000000000116</v>
      </c>
      <c r="H64" s="845">
        <f>G64+'24'!H64</f>
        <v>12152.690000000002</v>
      </c>
      <c r="I64" s="864"/>
      <c r="J64" s="847">
        <f>H64/DAY(B2)</f>
        <v>486.1076000000001</v>
      </c>
      <c r="K64" s="863"/>
      <c r="L64" s="822"/>
      <c r="O64" s="849"/>
    </row>
    <row r="65" spans="1:15">
      <c r="A65" s="1608" t="s">
        <v>100</v>
      </c>
      <c r="B65" s="1609"/>
      <c r="C65" s="1610"/>
      <c r="D65" s="842" t="s">
        <v>187</v>
      </c>
      <c r="E65" s="843">
        <f>'24'!F65</f>
        <v>152863.67000000001</v>
      </c>
      <c r="F65" s="873">
        <v>153226.18</v>
      </c>
      <c r="G65" s="844">
        <f t="shared" si="5"/>
        <v>362.50999999998021</v>
      </c>
      <c r="H65" s="845">
        <f>G65+'24'!H65</f>
        <v>9021.179999999993</v>
      </c>
      <c r="I65" s="882"/>
      <c r="J65" s="847">
        <f>H65/DAY(B2)</f>
        <v>360.8471999999997</v>
      </c>
      <c r="K65" s="863"/>
      <c r="L65" s="822"/>
      <c r="O65" s="849"/>
    </row>
    <row r="66" spans="1:15">
      <c r="A66" s="1608" t="s">
        <v>101</v>
      </c>
      <c r="B66" s="1609"/>
      <c r="C66" s="1610"/>
      <c r="D66" s="842" t="s">
        <v>187</v>
      </c>
      <c r="E66" s="843">
        <f>'24'!F66</f>
        <v>46586.239999999998</v>
      </c>
      <c r="F66" s="873">
        <v>46974.400000000001</v>
      </c>
      <c r="G66" s="844">
        <f t="shared" si="5"/>
        <v>388.16000000000349</v>
      </c>
      <c r="H66" s="845">
        <f>G66+'24'!H66</f>
        <v>9766.4000000000015</v>
      </c>
      <c r="I66" s="864"/>
      <c r="J66" s="847">
        <f>H66/DAY(B2)</f>
        <v>390.65600000000006</v>
      </c>
      <c r="K66" s="863"/>
      <c r="L66" s="822"/>
      <c r="O66" s="849"/>
    </row>
    <row r="67" spans="1:15">
      <c r="A67" s="1608" t="s">
        <v>102</v>
      </c>
      <c r="B67" s="1609"/>
      <c r="C67" s="1610"/>
      <c r="D67" s="842" t="s">
        <v>187</v>
      </c>
      <c r="E67" s="843">
        <f>'24'!F67</f>
        <v>241200.61</v>
      </c>
      <c r="F67" s="873">
        <v>241583.11</v>
      </c>
      <c r="G67" s="844">
        <f t="shared" si="5"/>
        <v>382.5</v>
      </c>
      <c r="H67" s="845">
        <f>G67+'24'!H67</f>
        <v>12483.109999999986</v>
      </c>
      <c r="I67" s="882"/>
      <c r="J67" s="847">
        <f>H67/DAY(B2)</f>
        <v>499.32439999999946</v>
      </c>
      <c r="K67" s="870"/>
      <c r="L67" s="822"/>
      <c r="O67" s="849"/>
    </row>
    <row r="68" spans="1:15">
      <c r="A68" s="1608" t="s">
        <v>103</v>
      </c>
      <c r="B68" s="1609"/>
      <c r="C68" s="1610"/>
      <c r="D68" s="842" t="s">
        <v>187</v>
      </c>
      <c r="E68" s="843">
        <f>'24'!F68</f>
        <v>85321</v>
      </c>
      <c r="F68" s="873">
        <v>85321</v>
      </c>
      <c r="G68" s="844">
        <f t="shared" si="5"/>
        <v>0</v>
      </c>
      <c r="H68" s="845">
        <f>G68+'24'!H68</f>
        <v>2234</v>
      </c>
      <c r="I68" s="928"/>
      <c r="J68" s="847">
        <f>H68/DAY(B2)</f>
        <v>89.36</v>
      </c>
      <c r="K68" s="929"/>
      <c r="L68" s="822"/>
      <c r="O68" s="849"/>
    </row>
    <row r="69" spans="1:15">
      <c r="A69" s="1608" t="s">
        <v>104</v>
      </c>
      <c r="B69" s="1609"/>
      <c r="C69" s="1610"/>
      <c r="D69" s="842" t="s">
        <v>187</v>
      </c>
      <c r="E69" s="843">
        <f>'24'!F69</f>
        <v>78476.800000000003</v>
      </c>
      <c r="F69" s="873">
        <v>78609.8</v>
      </c>
      <c r="G69" s="844">
        <f t="shared" si="5"/>
        <v>133</v>
      </c>
      <c r="H69" s="845">
        <f>G69+'24'!H69</f>
        <v>4280.8000000000029</v>
      </c>
      <c r="I69" s="928"/>
      <c r="J69" s="847">
        <f>H69/DAY(B2)</f>
        <v>171.23200000000011</v>
      </c>
      <c r="K69" s="930"/>
      <c r="L69" s="822"/>
      <c r="O69" s="849"/>
    </row>
    <row r="70" spans="1:15">
      <c r="A70" s="1617" t="s">
        <v>189</v>
      </c>
      <c r="B70" s="1618"/>
      <c r="C70" s="1619"/>
      <c r="D70" s="842" t="s">
        <v>187</v>
      </c>
      <c r="E70" s="931"/>
      <c r="F70" s="932"/>
      <c r="G70" s="932"/>
      <c r="H70" s="845">
        <f>G70+'13'!H70</f>
        <v>0</v>
      </c>
      <c r="I70" s="932"/>
      <c r="J70" s="933"/>
      <c r="K70" s="930"/>
      <c r="L70" s="822"/>
      <c r="O70" s="849"/>
    </row>
    <row r="71" spans="1:15" ht="22.5">
      <c r="A71" s="1614" t="s">
        <v>190</v>
      </c>
      <c r="B71" s="1615"/>
      <c r="C71" s="1615"/>
      <c r="D71" s="1615"/>
      <c r="E71" s="1615"/>
      <c r="F71" s="1615"/>
      <c r="G71" s="1615"/>
      <c r="H71" s="1615"/>
      <c r="I71" s="1615"/>
      <c r="J71" s="1616"/>
      <c r="K71" s="929"/>
      <c r="L71" s="822"/>
      <c r="O71" s="849"/>
    </row>
    <row r="72" spans="1:15">
      <c r="A72" s="1608" t="s">
        <v>191</v>
      </c>
      <c r="B72" s="1609"/>
      <c r="C72" s="1610"/>
      <c r="D72" s="842" t="s">
        <v>187</v>
      </c>
      <c r="E72" s="843">
        <f>'24'!F72</f>
        <v>855182</v>
      </c>
      <c r="F72" s="934">
        <v>855240</v>
      </c>
      <c r="G72" s="844">
        <f t="shared" ref="G72:G84" si="6">F72-E72</f>
        <v>58</v>
      </c>
      <c r="H72" s="845">
        <f>G72+'24'!H72</f>
        <v>1977</v>
      </c>
      <c r="I72" s="864"/>
      <c r="J72" s="847">
        <f>H72/DAY(B2)</f>
        <v>79.08</v>
      </c>
      <c r="K72" s="930"/>
      <c r="L72" s="822"/>
      <c r="O72" s="849"/>
    </row>
    <row r="73" spans="1:15">
      <c r="A73" s="1608" t="s">
        <v>192</v>
      </c>
      <c r="B73" s="1609"/>
      <c r="C73" s="1610"/>
      <c r="D73" s="842" t="s">
        <v>187</v>
      </c>
      <c r="E73" s="843">
        <f>'24'!F73</f>
        <v>885837</v>
      </c>
      <c r="F73" s="935">
        <v>885866</v>
      </c>
      <c r="G73" s="844">
        <f t="shared" si="6"/>
        <v>29</v>
      </c>
      <c r="H73" s="845">
        <f>G73+'24'!H73</f>
        <v>1287</v>
      </c>
      <c r="I73" s="864"/>
      <c r="J73" s="847">
        <f>H73/DAY(B2)</f>
        <v>51.48</v>
      </c>
      <c r="K73" s="929"/>
      <c r="L73" s="822"/>
      <c r="O73" s="849"/>
    </row>
    <row r="74" spans="1:15">
      <c r="A74" s="1608" t="s">
        <v>193</v>
      </c>
      <c r="B74" s="1609"/>
      <c r="C74" s="1610"/>
      <c r="D74" s="842" t="s">
        <v>187</v>
      </c>
      <c r="E74" s="843">
        <f>'24'!F74</f>
        <v>2090.56</v>
      </c>
      <c r="F74" s="936">
        <v>2124.8000000000002</v>
      </c>
      <c r="G74" s="844">
        <f t="shared" si="6"/>
        <v>34.240000000000236</v>
      </c>
      <c r="H74" s="845">
        <f>G74+'24'!H74</f>
        <v>754.80000000000018</v>
      </c>
      <c r="I74" s="864"/>
      <c r="J74" s="847">
        <f>H74/DAY(B2)</f>
        <v>30.192000000000007</v>
      </c>
      <c r="K74" s="930"/>
      <c r="L74" s="822"/>
      <c r="O74" s="849"/>
    </row>
    <row r="75" spans="1:15">
      <c r="A75" s="1611" t="s">
        <v>194</v>
      </c>
      <c r="B75" s="1612"/>
      <c r="C75" s="1613"/>
      <c r="D75" s="842" t="s">
        <v>187</v>
      </c>
      <c r="E75" s="843">
        <f>'24'!F75</f>
        <v>10621.99</v>
      </c>
      <c r="F75" s="936">
        <v>10686.62</v>
      </c>
      <c r="G75" s="844">
        <f t="shared" si="6"/>
        <v>64.630000000001019</v>
      </c>
      <c r="H75" s="845">
        <f>G75+'24'!H75</f>
        <v>2006.6200000000008</v>
      </c>
      <c r="I75" s="864"/>
      <c r="J75" s="847">
        <f>H75/DAY(B2)</f>
        <v>80.264800000000037</v>
      </c>
      <c r="K75" s="929"/>
      <c r="L75" s="822"/>
      <c r="O75" s="849"/>
    </row>
    <row r="76" spans="1:15">
      <c r="A76" s="1611" t="s">
        <v>195</v>
      </c>
      <c r="B76" s="1612"/>
      <c r="C76" s="1613"/>
      <c r="D76" s="842" t="s">
        <v>187</v>
      </c>
      <c r="E76" s="843">
        <f>'24'!F76</f>
        <v>5435</v>
      </c>
      <c r="F76" s="935">
        <v>5466.88</v>
      </c>
      <c r="G76" s="844">
        <f t="shared" si="6"/>
        <v>31.880000000000109</v>
      </c>
      <c r="H76" s="845">
        <f>G76+'24'!H76</f>
        <v>1840.88</v>
      </c>
      <c r="I76" s="907"/>
      <c r="J76" s="847">
        <f>H76/DAY(B2)</f>
        <v>73.635199999999998</v>
      </c>
      <c r="K76" s="929"/>
      <c r="L76" s="822"/>
      <c r="O76" s="849"/>
    </row>
    <row r="77" spans="1:15">
      <c r="A77" s="1608" t="s">
        <v>196</v>
      </c>
      <c r="B77" s="1609"/>
      <c r="C77" s="1610"/>
      <c r="D77" s="842" t="s">
        <v>187</v>
      </c>
      <c r="E77" s="843">
        <f>'24'!F77</f>
        <v>701287</v>
      </c>
      <c r="F77" s="935">
        <v>701332</v>
      </c>
      <c r="G77" s="844">
        <f t="shared" si="6"/>
        <v>45</v>
      </c>
      <c r="H77" s="845">
        <f>G77+'24'!H77</f>
        <v>1118</v>
      </c>
      <c r="I77" s="907"/>
      <c r="J77" s="847">
        <f>H77/DAY(B2)</f>
        <v>44.72</v>
      </c>
      <c r="K77" s="929"/>
      <c r="L77" s="822"/>
      <c r="O77" s="849"/>
    </row>
    <row r="78" spans="1:15">
      <c r="A78" s="937" t="s">
        <v>197</v>
      </c>
      <c r="B78" s="1140"/>
      <c r="C78" s="1140"/>
      <c r="D78" s="842" t="s">
        <v>187</v>
      </c>
      <c r="E78" s="843">
        <f>'24'!F78</f>
        <v>669539</v>
      </c>
      <c r="F78" s="936">
        <v>669581</v>
      </c>
      <c r="G78" s="844">
        <f t="shared" si="6"/>
        <v>42</v>
      </c>
      <c r="H78" s="845">
        <f>G78+'24'!H78</f>
        <v>4201</v>
      </c>
      <c r="I78" s="907"/>
      <c r="J78" s="847">
        <f>H78/DAY(B2)</f>
        <v>168.04</v>
      </c>
      <c r="K78" s="929"/>
      <c r="L78" s="822"/>
      <c r="O78" s="849"/>
    </row>
    <row r="79" spans="1:15">
      <c r="A79" s="1611" t="s">
        <v>92</v>
      </c>
      <c r="B79" s="1612"/>
      <c r="C79" s="1613"/>
      <c r="D79" s="876" t="s">
        <v>187</v>
      </c>
      <c r="E79" s="843">
        <f>'24'!F79</f>
        <v>825666</v>
      </c>
      <c r="F79" s="936">
        <v>825837</v>
      </c>
      <c r="G79" s="844">
        <f t="shared" si="6"/>
        <v>171</v>
      </c>
      <c r="H79" s="845">
        <f>G79+'24'!H79</f>
        <v>5646</v>
      </c>
      <c r="I79" s="907"/>
      <c r="J79" s="847">
        <f>H79/DAY(B2)</f>
        <v>225.84</v>
      </c>
      <c r="K79" s="929"/>
      <c r="L79" s="822"/>
      <c r="O79" s="849"/>
    </row>
    <row r="80" spans="1:15">
      <c r="A80" s="1611" t="s">
        <v>198</v>
      </c>
      <c r="B80" s="1612"/>
      <c r="C80" s="1613"/>
      <c r="D80" s="876" t="s">
        <v>187</v>
      </c>
      <c r="E80" s="843">
        <f>'24'!F80</f>
        <v>514501.88</v>
      </c>
      <c r="F80" s="934">
        <v>514920.64</v>
      </c>
      <c r="G80" s="844">
        <f t="shared" si="6"/>
        <v>418.76000000000931</v>
      </c>
      <c r="H80" s="845">
        <f>G80+'24'!H80</f>
        <v>6992.640000000014</v>
      </c>
      <c r="I80" s="907"/>
      <c r="J80" s="847">
        <f>H80/DAY(B2)</f>
        <v>279.70560000000057</v>
      </c>
      <c r="K80" s="929"/>
      <c r="L80" s="822"/>
      <c r="O80" s="849"/>
    </row>
    <row r="81" spans="1:15">
      <c r="A81" s="1611" t="s">
        <v>199</v>
      </c>
      <c r="B81" s="1612"/>
      <c r="C81" s="1613"/>
      <c r="D81" s="876" t="s">
        <v>187</v>
      </c>
      <c r="E81" s="843">
        <f>'24'!F81</f>
        <v>635856.76</v>
      </c>
      <c r="F81" s="935">
        <v>636054.64</v>
      </c>
      <c r="G81" s="844">
        <f t="shared" si="6"/>
        <v>197.88000000000466</v>
      </c>
      <c r="H81" s="845">
        <f>G81+'24'!H81</f>
        <v>5869.640000000014</v>
      </c>
      <c r="I81" s="907"/>
      <c r="J81" s="847">
        <f>H81/DAY(B2)</f>
        <v>234.78560000000056</v>
      </c>
      <c r="K81" s="929"/>
      <c r="L81" s="822"/>
      <c r="O81" s="849"/>
    </row>
    <row r="82" spans="1:15">
      <c r="A82" s="1611" t="s">
        <v>93</v>
      </c>
      <c r="B82" s="1612"/>
      <c r="C82" s="1613"/>
      <c r="D82" s="877" t="s">
        <v>132</v>
      </c>
      <c r="E82" s="843">
        <f>'24'!F82</f>
        <v>107475.33</v>
      </c>
      <c r="F82" s="938">
        <v>107499.91</v>
      </c>
      <c r="G82" s="844">
        <f t="shared" si="6"/>
        <v>24.580000000001746</v>
      </c>
      <c r="H82" s="845">
        <f>G82+'24'!H82</f>
        <v>604.91000000000349</v>
      </c>
      <c r="I82" s="878"/>
      <c r="J82" s="847">
        <f>H82/DAY(B2)</f>
        <v>24.196400000000139</v>
      </c>
      <c r="K82" s="929"/>
      <c r="L82" s="822"/>
      <c r="N82" s="1011">
        <f>371*0.99</f>
        <v>367.29</v>
      </c>
      <c r="O82" s="849"/>
    </row>
    <row r="83" spans="1:15">
      <c r="A83" s="1611" t="s">
        <v>200</v>
      </c>
      <c r="B83" s="1612"/>
      <c r="C83" s="1613"/>
      <c r="D83" s="939" t="s">
        <v>132</v>
      </c>
      <c r="E83" s="843">
        <f>'24'!F83</f>
        <v>13394</v>
      </c>
      <c r="F83" s="829">
        <v>13581</v>
      </c>
      <c r="G83" s="844">
        <f t="shared" si="6"/>
        <v>187</v>
      </c>
      <c r="H83" s="845">
        <f>G83+'24'!H83</f>
        <v>6524</v>
      </c>
      <c r="I83" s="867"/>
      <c r="J83" s="847">
        <f>H83/DAY(B2)</f>
        <v>260.95999999999998</v>
      </c>
      <c r="K83" s="870"/>
      <c r="L83" s="822"/>
      <c r="O83" s="849"/>
    </row>
    <row r="84" spans="1:15">
      <c r="A84" s="940" t="s">
        <v>201</v>
      </c>
      <c r="B84" s="941"/>
      <c r="C84" s="941"/>
      <c r="D84" s="861" t="s">
        <v>132</v>
      </c>
      <c r="E84" s="843">
        <f>'24'!F84</f>
        <v>475428</v>
      </c>
      <c r="F84" s="942">
        <v>476318</v>
      </c>
      <c r="G84" s="844">
        <f t="shared" si="6"/>
        <v>890</v>
      </c>
      <c r="H84" s="845">
        <f>G84+'24'!H84</f>
        <v>21634</v>
      </c>
      <c r="I84" s="867"/>
      <c r="J84" s="847">
        <f>H84/DAY(B2)</f>
        <v>865.36</v>
      </c>
      <c r="K84" s="943"/>
      <c r="L84" s="822"/>
      <c r="O84" s="849"/>
    </row>
    <row r="85" spans="1:15" s="947" customFormat="1">
      <c r="A85" s="944" t="s">
        <v>202</v>
      </c>
      <c r="B85" s="945"/>
      <c r="C85" s="945"/>
      <c r="D85" s="882"/>
      <c r="E85" s="843"/>
      <c r="F85" s="842"/>
      <c r="G85" s="845">
        <f xml:space="preserve"> SUM(G72:G84)</f>
        <v>2193.9700000000171</v>
      </c>
      <c r="H85" s="845">
        <f>G85+'24'!H85</f>
        <v>60115.490000000034</v>
      </c>
      <c r="I85" s="867"/>
      <c r="J85" s="847">
        <f>H85/DAY(B2)</f>
        <v>2404.6196000000014</v>
      </c>
      <c r="K85" s="943"/>
      <c r="L85" s="946"/>
      <c r="N85" s="1014"/>
      <c r="O85" s="849"/>
    </row>
    <row r="86" spans="1:15" s="957" customFormat="1">
      <c r="A86" s="948" t="s">
        <v>94</v>
      </c>
      <c r="B86" s="949"/>
      <c r="C86" s="949"/>
      <c r="D86" s="950" t="s">
        <v>183</v>
      </c>
      <c r="E86" s="843">
        <f>'24'!F86</f>
        <v>458386</v>
      </c>
      <c r="F86" s="951">
        <v>458418.44</v>
      </c>
      <c r="G86" s="952">
        <f t="shared" ref="G86:G90" si="7">F86-E86</f>
        <v>32.440000000002328</v>
      </c>
      <c r="H86" s="952">
        <f t="shared" ref="H86:H88" si="8">G86</f>
        <v>32.440000000002328</v>
      </c>
      <c r="I86" s="953"/>
      <c r="J86" s="954">
        <f>H86/DAY(B2)</f>
        <v>1.2976000000000931</v>
      </c>
      <c r="K86" s="955"/>
      <c r="L86" s="956"/>
      <c r="N86" s="1015">
        <f>G86/0.995</f>
        <v>32.603015075379226</v>
      </c>
      <c r="O86" s="849"/>
    </row>
    <row r="87" spans="1:15" s="957" customFormat="1">
      <c r="A87" s="948" t="s">
        <v>95</v>
      </c>
      <c r="B87" s="949"/>
      <c r="C87" s="949"/>
      <c r="D87" s="950" t="s">
        <v>183</v>
      </c>
      <c r="E87" s="843">
        <f>'24'!F87</f>
        <v>80835.399999999994</v>
      </c>
      <c r="F87" s="951">
        <v>80847.3</v>
      </c>
      <c r="G87" s="952">
        <f t="shared" si="7"/>
        <v>11.900000000008731</v>
      </c>
      <c r="H87" s="952">
        <f t="shared" si="8"/>
        <v>11.900000000008731</v>
      </c>
      <c r="I87" s="953"/>
      <c r="J87" s="954">
        <f>H87/DAY(B2)</f>
        <v>0.47600000000034925</v>
      </c>
      <c r="K87" s="955"/>
      <c r="L87" s="956"/>
      <c r="N87" s="1015"/>
      <c r="O87" s="849"/>
    </row>
    <row r="88" spans="1:15" s="957" customFormat="1">
      <c r="A88" s="948" t="s">
        <v>96</v>
      </c>
      <c r="B88" s="949"/>
      <c r="C88" s="949"/>
      <c r="D88" s="950" t="s">
        <v>183</v>
      </c>
      <c r="E88" s="843">
        <f>'24'!F88</f>
        <v>151564.82999999999</v>
      </c>
      <c r="F88" s="951">
        <v>151589.5</v>
      </c>
      <c r="G88" s="952">
        <f t="shared" si="7"/>
        <v>24.670000000012806</v>
      </c>
      <c r="H88" s="952">
        <f t="shared" si="8"/>
        <v>24.670000000012806</v>
      </c>
      <c r="I88" s="953"/>
      <c r="J88" s="954">
        <f>H88/DAY(B2)</f>
        <v>0.98680000000051227</v>
      </c>
      <c r="K88" s="955"/>
      <c r="L88" s="956"/>
      <c r="N88" s="1015"/>
      <c r="O88" s="849"/>
    </row>
    <row r="89" spans="1:15" s="957" customFormat="1">
      <c r="A89" s="948" t="s">
        <v>204</v>
      </c>
      <c r="B89" s="949"/>
      <c r="C89" s="949"/>
      <c r="D89" s="950" t="s">
        <v>183</v>
      </c>
      <c r="E89" s="843">
        <f>'24'!F89</f>
        <v>64589.2</v>
      </c>
      <c r="F89" s="951">
        <v>64633.7</v>
      </c>
      <c r="G89" s="952">
        <f t="shared" si="7"/>
        <v>44.5</v>
      </c>
      <c r="H89" s="952">
        <f>G89</f>
        <v>44.5</v>
      </c>
      <c r="I89" s="953"/>
      <c r="J89" s="954">
        <f>H89/DAY(B2)</f>
        <v>1.78</v>
      </c>
      <c r="K89" s="955"/>
      <c r="L89" s="956"/>
      <c r="N89" s="1021">
        <f>204/205</f>
        <v>0.99512195121951219</v>
      </c>
      <c r="O89" s="849"/>
    </row>
    <row r="90" spans="1:15" s="957" customFormat="1">
      <c r="A90" s="948" t="s">
        <v>204</v>
      </c>
      <c r="B90" s="949"/>
      <c r="C90" s="949"/>
      <c r="D90" s="950" t="s">
        <v>183</v>
      </c>
      <c r="E90" s="843">
        <f>'24'!F90</f>
        <v>3272.3</v>
      </c>
      <c r="F90" s="951">
        <v>3272.3</v>
      </c>
      <c r="G90" s="952">
        <f t="shared" si="7"/>
        <v>0</v>
      </c>
      <c r="H90" s="952">
        <f>G90</f>
        <v>0</v>
      </c>
      <c r="I90" s="953"/>
      <c r="J90" s="954">
        <f>H90/DAY(B2)</f>
        <v>0</v>
      </c>
      <c r="K90" s="955"/>
      <c r="L90" s="956"/>
      <c r="N90" s="1016"/>
      <c r="O90" s="849"/>
    </row>
    <row r="91" spans="1:15" s="947" customFormat="1">
      <c r="A91" s="958" t="s">
        <v>205</v>
      </c>
      <c r="B91" s="837"/>
      <c r="C91" s="837"/>
      <c r="D91" s="837"/>
      <c r="E91" s="837"/>
      <c r="F91" s="837"/>
      <c r="G91" s="881"/>
      <c r="H91" s="837"/>
      <c r="I91" s="837"/>
      <c r="J91" s="838"/>
      <c r="K91" s="943"/>
      <c r="L91" s="946"/>
      <c r="N91" s="1014"/>
      <c r="O91" s="849"/>
    </row>
    <row r="92" spans="1:15">
      <c r="A92" s="1602" t="s">
        <v>206</v>
      </c>
      <c r="B92" s="1603"/>
      <c r="C92" s="1604"/>
      <c r="D92" s="842" t="s">
        <v>144</v>
      </c>
      <c r="E92" s="843">
        <f>'24'!F92</f>
        <v>244290</v>
      </c>
      <c r="F92" s="873">
        <v>244360</v>
      </c>
      <c r="G92" s="844">
        <f t="shared" ref="G92:G93" si="9">F92-E92</f>
        <v>70</v>
      </c>
      <c r="H92" s="845">
        <f>G92+'24'!H92</f>
        <v>1714</v>
      </c>
      <c r="I92" s="864"/>
      <c r="J92" s="847">
        <f>H92/DAY(B2)</f>
        <v>68.56</v>
      </c>
      <c r="K92" s="870"/>
      <c r="L92" s="822"/>
      <c r="O92" s="849"/>
    </row>
    <row r="93" spans="1:15">
      <c r="A93" s="1602" t="s">
        <v>207</v>
      </c>
      <c r="B93" s="1603"/>
      <c r="C93" s="1604"/>
      <c r="D93" s="842" t="s">
        <v>144</v>
      </c>
      <c r="E93" s="843">
        <f>'24'!F93</f>
        <v>183007</v>
      </c>
      <c r="F93" s="873">
        <v>183107</v>
      </c>
      <c r="G93" s="844">
        <f t="shared" si="9"/>
        <v>100</v>
      </c>
      <c r="H93" s="845">
        <f>G93+'24'!H93</f>
        <v>3428</v>
      </c>
      <c r="I93" s="864"/>
      <c r="J93" s="847">
        <f>H93/DAY(B2)</f>
        <v>137.12</v>
      </c>
      <c r="K93" s="943"/>
      <c r="L93" s="822"/>
      <c r="O93" s="849"/>
    </row>
    <row r="94" spans="1:15">
      <c r="A94" s="1594" t="s">
        <v>208</v>
      </c>
      <c r="B94" s="1595"/>
      <c r="C94" s="1596"/>
      <c r="D94" s="842"/>
      <c r="E94" s="843">
        <f>'24'!F94</f>
        <v>0</v>
      </c>
      <c r="F94" s="873"/>
      <c r="G94" s="844">
        <f>G92+G93</f>
        <v>170</v>
      </c>
      <c r="H94" s="845">
        <f>G94+'24'!H94</f>
        <v>4923</v>
      </c>
      <c r="I94" s="864"/>
      <c r="J94" s="847">
        <f>H94/DAY(B2)</f>
        <v>196.92</v>
      </c>
      <c r="K94" s="943"/>
      <c r="L94" s="822"/>
      <c r="O94" s="849"/>
    </row>
    <row r="95" spans="1:15">
      <c r="A95" s="1602" t="s">
        <v>209</v>
      </c>
      <c r="B95" s="1603"/>
      <c r="C95" s="1604"/>
      <c r="D95" s="842" t="s">
        <v>144</v>
      </c>
      <c r="E95" s="843">
        <f>'24'!F95</f>
        <v>412518</v>
      </c>
      <c r="F95" s="873">
        <v>412574</v>
      </c>
      <c r="G95" s="844">
        <f t="shared" ref="G95:G100" si="10">F95-E95</f>
        <v>56</v>
      </c>
      <c r="H95" s="845">
        <f>G95+'24'!H95</f>
        <v>1789</v>
      </c>
      <c r="I95" s="864"/>
      <c r="J95" s="847">
        <f>H95/DAY(B2)</f>
        <v>71.56</v>
      </c>
      <c r="K95" s="943"/>
      <c r="L95" s="822"/>
      <c r="O95" s="849"/>
    </row>
    <row r="96" spans="1:15">
      <c r="A96" s="871" t="s">
        <v>210</v>
      </c>
      <c r="B96" s="872"/>
      <c r="C96" s="872"/>
      <c r="D96" s="842" t="s">
        <v>144</v>
      </c>
      <c r="E96" s="843">
        <f>'24'!F96</f>
        <v>102255</v>
      </c>
      <c r="F96" s="873">
        <v>102282</v>
      </c>
      <c r="G96" s="844">
        <f t="shared" si="10"/>
        <v>27</v>
      </c>
      <c r="H96" s="845">
        <f>G96+'24'!H96</f>
        <v>451</v>
      </c>
      <c r="I96" s="864"/>
      <c r="J96" s="847">
        <f>H96/DAY(B2)</f>
        <v>18.04</v>
      </c>
      <c r="K96" s="839"/>
      <c r="L96" s="822"/>
      <c r="O96" s="849"/>
    </row>
    <row r="97" spans="1:15">
      <c r="A97" s="871" t="s">
        <v>211</v>
      </c>
      <c r="B97" s="872"/>
      <c r="C97" s="872"/>
      <c r="D97" s="842" t="s">
        <v>144</v>
      </c>
      <c r="E97" s="843">
        <f>'24'!F97</f>
        <v>97350</v>
      </c>
      <c r="F97" s="994">
        <v>97367</v>
      </c>
      <c r="G97" s="844">
        <f t="shared" si="10"/>
        <v>17</v>
      </c>
      <c r="H97" s="845">
        <f>G97+'24'!H97</f>
        <v>439</v>
      </c>
      <c r="I97" s="864"/>
      <c r="J97" s="847">
        <f>H97/DAY(B2)</f>
        <v>17.559999999999999</v>
      </c>
      <c r="K97" s="959"/>
      <c r="L97" s="822"/>
      <c r="O97" s="849"/>
    </row>
    <row r="98" spans="1:15">
      <c r="A98" s="871" t="s">
        <v>212</v>
      </c>
      <c r="B98" s="872"/>
      <c r="C98" s="872"/>
      <c r="D98" s="842" t="s">
        <v>144</v>
      </c>
      <c r="E98" s="843">
        <f>'24'!F98</f>
        <v>149490</v>
      </c>
      <c r="F98" s="873">
        <v>149495</v>
      </c>
      <c r="G98" s="844">
        <f t="shared" si="10"/>
        <v>5</v>
      </c>
      <c r="H98" s="845">
        <f>G98+'24'!H98</f>
        <v>586</v>
      </c>
      <c r="I98" s="864"/>
      <c r="J98" s="847">
        <f>H98/DAY(B2)</f>
        <v>23.44</v>
      </c>
      <c r="K98" s="943"/>
      <c r="L98" s="822"/>
      <c r="O98" s="849"/>
    </row>
    <row r="99" spans="1:15">
      <c r="A99" s="871" t="s">
        <v>213</v>
      </c>
      <c r="B99" s="872"/>
      <c r="C99" s="872"/>
      <c r="D99" s="842" t="s">
        <v>144</v>
      </c>
      <c r="E99" s="843">
        <f>'24'!F99</f>
        <v>7157</v>
      </c>
      <c r="F99" s="873">
        <v>7163</v>
      </c>
      <c r="G99" s="844">
        <f t="shared" si="10"/>
        <v>6</v>
      </c>
      <c r="H99" s="845">
        <f>G99+'24'!H99</f>
        <v>308</v>
      </c>
      <c r="I99" s="864"/>
      <c r="J99" s="847">
        <f>H99/DAY(B2)</f>
        <v>12.32</v>
      </c>
      <c r="K99" s="943"/>
      <c r="L99" s="822"/>
      <c r="O99" s="849"/>
    </row>
    <row r="100" spans="1:15">
      <c r="A100" s="871" t="s">
        <v>214</v>
      </c>
      <c r="B100" s="872"/>
      <c r="C100" s="872"/>
      <c r="D100" s="842" t="s">
        <v>144</v>
      </c>
      <c r="E100" s="843">
        <f>'24'!F100</f>
        <v>5110</v>
      </c>
      <c r="F100" s="873">
        <v>5121</v>
      </c>
      <c r="G100" s="844">
        <f t="shared" si="10"/>
        <v>11</v>
      </c>
      <c r="H100" s="845">
        <f>G100+'24'!H100</f>
        <v>178</v>
      </c>
      <c r="I100" s="864"/>
      <c r="J100" s="847">
        <f>H100/DAY(B2)</f>
        <v>7.12</v>
      </c>
      <c r="K100" s="943"/>
      <c r="L100" s="822"/>
      <c r="O100" s="849"/>
    </row>
    <row r="101" spans="1:15">
      <c r="A101" s="1594" t="s">
        <v>216</v>
      </c>
      <c r="B101" s="1595"/>
      <c r="C101" s="1596"/>
      <c r="D101" s="876"/>
      <c r="E101" s="876"/>
      <c r="F101" s="876"/>
      <c r="G101" s="960">
        <f>SUM(G95:G100)</f>
        <v>122</v>
      </c>
      <c r="H101" s="845">
        <f>G101+'24'!H101</f>
        <v>3751</v>
      </c>
      <c r="I101" s="961"/>
      <c r="J101" s="847">
        <f>H101/DAY(B2)</f>
        <v>150.04</v>
      </c>
      <c r="K101" s="943"/>
      <c r="L101" s="822"/>
      <c r="O101" s="849"/>
    </row>
    <row r="102" spans="1:15" s="894" customFormat="1">
      <c r="A102" s="962" t="s">
        <v>217</v>
      </c>
      <c r="B102" s="963"/>
      <c r="C102" s="963"/>
      <c r="D102" s="964"/>
      <c r="E102" s="965"/>
      <c r="F102" s="966"/>
      <c r="G102" s="967"/>
      <c r="H102" s="968"/>
      <c r="I102" s="969"/>
      <c r="J102" s="970"/>
      <c r="N102" s="1012"/>
      <c r="O102" s="849"/>
    </row>
    <row r="103" spans="1:15" s="894" customFormat="1">
      <c r="A103" s="1591" t="s">
        <v>218</v>
      </c>
      <c r="B103" s="1592"/>
      <c r="C103" s="971"/>
      <c r="D103" s="972"/>
      <c r="E103" s="973"/>
      <c r="F103" s="973"/>
      <c r="G103" s="973"/>
      <c r="H103" s="974"/>
      <c r="I103" s="973"/>
      <c r="J103" s="975"/>
      <c r="N103" s="1012"/>
      <c r="O103" s="849"/>
    </row>
    <row r="104" spans="1:15" s="894" customFormat="1">
      <c r="A104" s="1585" t="s">
        <v>219</v>
      </c>
      <c r="B104" s="1586"/>
      <c r="C104" s="976"/>
      <c r="D104" s="972" t="s">
        <v>144</v>
      </c>
      <c r="E104" s="973">
        <f>'24'!F104</f>
        <v>7410</v>
      </c>
      <c r="F104" s="1384">
        <v>7423</v>
      </c>
      <c r="G104" s="973">
        <f>F104-E104</f>
        <v>13</v>
      </c>
      <c r="H104" s="974">
        <f>SUM(G104+'1'!G76)</f>
        <v>72</v>
      </c>
      <c r="I104" s="973"/>
      <c r="J104" s="975">
        <f>H104/DAY(B2)</f>
        <v>2.88</v>
      </c>
      <c r="N104" s="1012"/>
      <c r="O104" s="849"/>
    </row>
    <row r="105" spans="1:15" s="894" customFormat="1">
      <c r="A105" s="1585" t="s">
        <v>77</v>
      </c>
      <c r="B105" s="1586"/>
      <c r="C105" s="976"/>
      <c r="D105" s="972" t="s">
        <v>144</v>
      </c>
      <c r="E105" s="973">
        <f>'24'!F105</f>
        <v>35801</v>
      </c>
      <c r="F105" s="977">
        <v>35806</v>
      </c>
      <c r="G105" s="973">
        <f t="shared" ref="G105:G106" si="11">F105-E105</f>
        <v>5</v>
      </c>
      <c r="H105" s="974">
        <f>SUM(G105+'1'!G77)</f>
        <v>55</v>
      </c>
      <c r="I105" s="973"/>
      <c r="J105" s="975">
        <f>H105/DAY(B2)</f>
        <v>2.2000000000000002</v>
      </c>
      <c r="N105" s="1012"/>
      <c r="O105" s="849"/>
    </row>
    <row r="106" spans="1:15" s="894" customFormat="1">
      <c r="A106" s="1585" t="s">
        <v>78</v>
      </c>
      <c r="B106" s="1593"/>
      <c r="C106" s="1586"/>
      <c r="D106" s="972" t="s">
        <v>144</v>
      </c>
      <c r="E106" s="973">
        <f>'24'!F106</f>
        <v>19586</v>
      </c>
      <c r="F106" s="973">
        <v>19593</v>
      </c>
      <c r="G106" s="973">
        <f t="shared" si="11"/>
        <v>7</v>
      </c>
      <c r="H106" s="974">
        <f>SUM(G106+'1'!G78)</f>
        <v>402</v>
      </c>
      <c r="I106" s="973"/>
      <c r="J106" s="975">
        <f>H106/DAY(B2)</f>
        <v>16.079999999999998</v>
      </c>
      <c r="N106" s="1012"/>
      <c r="O106" s="849"/>
    </row>
    <row r="107" spans="1:15" s="894" customFormat="1">
      <c r="A107" s="1587" t="s">
        <v>202</v>
      </c>
      <c r="B107" s="1588"/>
      <c r="C107" s="976"/>
      <c r="D107" s="972"/>
      <c r="E107" s="973">
        <f>'24'!F107</f>
        <v>0</v>
      </c>
      <c r="F107" s="973"/>
      <c r="G107" s="973">
        <f>SUM(G104:G106)</f>
        <v>25</v>
      </c>
      <c r="H107" s="974">
        <f>SUM(G107+'1'!G79)</f>
        <v>219</v>
      </c>
      <c r="I107" s="973"/>
      <c r="J107" s="975">
        <f>H107/DAY(B2)</f>
        <v>8.76</v>
      </c>
      <c r="N107" s="1012"/>
      <c r="O107" s="849"/>
    </row>
    <row r="108" spans="1:15" s="894" customFormat="1">
      <c r="A108" s="1583" t="s">
        <v>79</v>
      </c>
      <c r="B108" s="1584"/>
      <c r="C108" s="976"/>
      <c r="D108" s="972" t="s">
        <v>144</v>
      </c>
      <c r="E108" s="973">
        <f>'24'!F108</f>
        <v>0</v>
      </c>
      <c r="F108" s="973"/>
      <c r="G108" s="973"/>
      <c r="H108" s="974"/>
      <c r="I108" s="973"/>
      <c r="J108" s="975"/>
      <c r="N108" s="1012"/>
      <c r="O108" s="849"/>
    </row>
    <row r="109" spans="1:15" s="894" customFormat="1">
      <c r="A109" s="1585" t="s">
        <v>220</v>
      </c>
      <c r="B109" s="1586"/>
      <c r="C109" s="976"/>
      <c r="D109" s="972" t="s">
        <v>144</v>
      </c>
      <c r="E109" s="973">
        <f>'24'!F109</f>
        <v>60663</v>
      </c>
      <c r="F109" s="973">
        <v>60749</v>
      </c>
      <c r="G109" s="973">
        <f>F109-E109</f>
        <v>86</v>
      </c>
      <c r="H109" s="974">
        <f>SUM(G109+'1'!G81)</f>
        <v>284</v>
      </c>
      <c r="I109" s="973"/>
      <c r="J109" s="975">
        <f>H109/DAY(B2)</f>
        <v>11.36</v>
      </c>
      <c r="N109" s="1012"/>
      <c r="O109" s="849"/>
    </row>
    <row r="110" spans="1:15" s="894" customFormat="1">
      <c r="A110" s="1585" t="s">
        <v>221</v>
      </c>
      <c r="B110" s="1586"/>
      <c r="C110" s="976"/>
      <c r="D110" s="972" t="s">
        <v>144</v>
      </c>
      <c r="E110" s="973">
        <f>'24'!F110</f>
        <v>32176</v>
      </c>
      <c r="F110" s="973">
        <v>32176</v>
      </c>
      <c r="G110" s="973">
        <f t="shared" ref="G110:G111" si="12">F110-E110</f>
        <v>0</v>
      </c>
      <c r="H110" s="974">
        <f>SUM(G110+'1'!G82)</f>
        <v>23</v>
      </c>
      <c r="I110" s="973"/>
      <c r="J110" s="975">
        <f>H110/DAY(B2)</f>
        <v>0.92</v>
      </c>
      <c r="N110" s="1012"/>
      <c r="O110" s="849"/>
    </row>
    <row r="111" spans="1:15" s="894" customFormat="1">
      <c r="A111" s="1585" t="s">
        <v>222</v>
      </c>
      <c r="B111" s="1586"/>
      <c r="C111" s="976"/>
      <c r="D111" s="972" t="s">
        <v>144</v>
      </c>
      <c r="E111" s="973">
        <f>'24'!F111</f>
        <v>4346</v>
      </c>
      <c r="F111" s="973">
        <v>4346</v>
      </c>
      <c r="G111" s="973">
        <f t="shared" si="12"/>
        <v>0</v>
      </c>
      <c r="H111" s="974">
        <f>SUM(G111+'1'!G83)</f>
        <v>239</v>
      </c>
      <c r="I111" s="973"/>
      <c r="J111" s="975">
        <f>H111/DAY(B2)</f>
        <v>9.56</v>
      </c>
      <c r="N111" s="1012"/>
      <c r="O111" s="849"/>
    </row>
    <row r="112" spans="1:15" s="894" customFormat="1">
      <c r="A112" s="1589" t="s">
        <v>110</v>
      </c>
      <c r="B112" s="1590"/>
      <c r="C112" s="976"/>
      <c r="D112" s="972"/>
      <c r="E112" s="973">
        <f>'24'!F112</f>
        <v>0</v>
      </c>
      <c r="F112" s="973"/>
      <c r="G112" s="973">
        <f>SUM(G109:G111)</f>
        <v>86</v>
      </c>
      <c r="H112" s="974">
        <f>SUM(G112+'1'!G84)</f>
        <v>1001</v>
      </c>
      <c r="I112" s="973"/>
      <c r="J112" s="975">
        <f>H112/DAY(B2)</f>
        <v>40.04</v>
      </c>
      <c r="N112" s="1012"/>
      <c r="O112" s="849"/>
    </row>
    <row r="113" spans="1:15" s="894" customFormat="1">
      <c r="A113" s="1583" t="s">
        <v>223</v>
      </c>
      <c r="B113" s="1584"/>
      <c r="C113" s="976"/>
      <c r="D113" s="972"/>
      <c r="E113" s="973">
        <f>'24'!F113</f>
        <v>0</v>
      </c>
      <c r="F113" s="973"/>
      <c r="G113" s="973"/>
      <c r="H113" s="974"/>
      <c r="I113" s="973"/>
      <c r="J113" s="975">
        <f>H113/DAY(B2)</f>
        <v>0</v>
      </c>
      <c r="N113" s="1012"/>
      <c r="O113" s="849"/>
    </row>
    <row r="114" spans="1:15" s="894" customFormat="1">
      <c r="A114" s="1585" t="s">
        <v>224</v>
      </c>
      <c r="B114" s="1586"/>
      <c r="C114" s="978"/>
      <c r="D114" s="972" t="s">
        <v>144</v>
      </c>
      <c r="E114" s="973">
        <f>'24'!F114</f>
        <v>11223</v>
      </c>
      <c r="F114" s="977">
        <v>11230</v>
      </c>
      <c r="G114" s="977">
        <f>F114-E114</f>
        <v>7</v>
      </c>
      <c r="H114" s="974">
        <f>SUM(G114+'1'!G91)</f>
        <v>7</v>
      </c>
      <c r="I114" s="973"/>
      <c r="J114" s="975">
        <f>H114/DAY(B2)</f>
        <v>0.28000000000000003</v>
      </c>
      <c r="N114" s="1012"/>
      <c r="O114" s="849"/>
    </row>
    <row r="115" spans="1:15" s="894" customFormat="1">
      <c r="A115" s="1585" t="s">
        <v>225</v>
      </c>
      <c r="B115" s="1586"/>
      <c r="C115" s="978"/>
      <c r="D115" s="972" t="s">
        <v>144</v>
      </c>
      <c r="E115" s="973">
        <f>'24'!F115</f>
        <v>8102</v>
      </c>
      <c r="F115" s="977">
        <v>8114</v>
      </c>
      <c r="G115" s="977">
        <f t="shared" ref="G115:G116" si="13">F115-E115</f>
        <v>12</v>
      </c>
      <c r="H115" s="974">
        <f>SUM(G115+'1'!G92)</f>
        <v>104</v>
      </c>
      <c r="I115" s="973"/>
      <c r="J115" s="975">
        <f>H115/DAY(B2)</f>
        <v>4.16</v>
      </c>
      <c r="N115" s="1012"/>
      <c r="O115" s="849"/>
    </row>
    <row r="116" spans="1:15" s="894" customFormat="1">
      <c r="A116" s="1585" t="s">
        <v>226</v>
      </c>
      <c r="B116" s="1586"/>
      <c r="C116" s="978"/>
      <c r="D116" s="972" t="s">
        <v>144</v>
      </c>
      <c r="E116" s="977"/>
      <c r="F116" s="977"/>
      <c r="G116" s="977">
        <f t="shared" si="13"/>
        <v>0</v>
      </c>
      <c r="H116" s="974">
        <f>SUM(G116+'1'!G93)</f>
        <v>127</v>
      </c>
      <c r="I116" s="973"/>
      <c r="J116" s="975">
        <f>H116/DAY(B2)</f>
        <v>5.08</v>
      </c>
      <c r="N116" s="1012"/>
      <c r="O116" s="849"/>
    </row>
    <row r="117" spans="1:15" s="980" customFormat="1">
      <c r="A117" s="1587" t="s">
        <v>202</v>
      </c>
      <c r="B117" s="1588"/>
      <c r="C117" s="978"/>
      <c r="D117" s="979"/>
      <c r="E117" s="977"/>
      <c r="F117" s="977"/>
      <c r="G117" s="977">
        <f>SUM(G114:G116)</f>
        <v>19</v>
      </c>
      <c r="H117" s="974">
        <f>SUM(G117+'1'!G95)</f>
        <v>96</v>
      </c>
      <c r="I117" s="977"/>
      <c r="J117" s="975">
        <f>H117/DAY(B2)</f>
        <v>3.84</v>
      </c>
      <c r="N117" s="1017"/>
      <c r="O117" s="849"/>
    </row>
    <row r="118" spans="1:15" s="772" customFormat="1">
      <c r="A118" s="1579" t="s">
        <v>227</v>
      </c>
      <c r="B118" s="1580"/>
      <c r="C118" s="981"/>
      <c r="D118" s="982" t="s">
        <v>144</v>
      </c>
      <c r="E118" s="983"/>
      <c r="F118" s="984"/>
      <c r="G118" s="984">
        <f>SUM(G19+G92)</f>
        <v>123</v>
      </c>
      <c r="H118" s="974">
        <f>SUM(G118+'1'!G96)</f>
        <v>140</v>
      </c>
      <c r="I118" s="983"/>
      <c r="J118" s="985">
        <f>H118/DAY(B2)</f>
        <v>5.6</v>
      </c>
      <c r="N118" s="1018"/>
      <c r="O118" s="849"/>
    </row>
    <row r="119" spans="1:15" s="772" customFormat="1">
      <c r="A119" s="1579" t="s">
        <v>228</v>
      </c>
      <c r="B119" s="1580"/>
      <c r="C119" s="981"/>
      <c r="D119" s="982" t="s">
        <v>144</v>
      </c>
      <c r="E119" s="983"/>
      <c r="F119" s="984"/>
      <c r="G119" s="984">
        <f>SUM(G95,G96,G97,G99,G100)</f>
        <v>117</v>
      </c>
      <c r="H119" s="974">
        <f>SUM(G119+'1'!G98)</f>
        <v>145</v>
      </c>
      <c r="I119" s="983"/>
      <c r="J119" s="985">
        <f>H119/DAY(B2)</f>
        <v>5.8</v>
      </c>
      <c r="N119" s="1018"/>
      <c r="O119" s="849"/>
    </row>
    <row r="120" spans="1:15" s="772" customFormat="1">
      <c r="A120" s="1579" t="s">
        <v>229</v>
      </c>
      <c r="B120" s="1580"/>
      <c r="C120" s="981"/>
      <c r="D120" s="982" t="s">
        <v>144</v>
      </c>
      <c r="E120" s="983"/>
      <c r="F120" s="977"/>
      <c r="G120" s="977">
        <f>SUM(G112)</f>
        <v>86</v>
      </c>
      <c r="H120" s="974">
        <f>SUM(G120+'1'!G100)</f>
        <v>92</v>
      </c>
      <c r="I120" s="983"/>
      <c r="J120" s="985">
        <f>H120/DAY(B2)</f>
        <v>3.68</v>
      </c>
      <c r="N120" s="1018"/>
      <c r="O120" s="849"/>
    </row>
    <row r="121" spans="1:15" s="894" customFormat="1">
      <c r="A121" s="1581"/>
      <c r="B121" s="1582"/>
      <c r="C121" s="976"/>
      <c r="D121" s="971"/>
      <c r="E121" s="971"/>
      <c r="F121" s="971"/>
      <c r="G121" s="971"/>
      <c r="H121" s="986"/>
      <c r="I121" s="971"/>
      <c r="J121" s="987"/>
      <c r="N121" s="1012"/>
      <c r="O121" s="849"/>
    </row>
    <row r="122" spans="1:15">
      <c r="A122" s="1597" t="s">
        <v>230</v>
      </c>
      <c r="B122" s="1598"/>
      <c r="C122" s="1599"/>
      <c r="D122" s="837"/>
      <c r="E122" s="837"/>
      <c r="F122" s="837"/>
      <c r="G122" s="869"/>
      <c r="H122" s="869"/>
      <c r="I122" s="869"/>
      <c r="J122" s="988"/>
      <c r="K122" s="943"/>
      <c r="L122" s="822"/>
      <c r="O122" s="849"/>
    </row>
    <row r="123" spans="1:15">
      <c r="A123" s="871" t="s">
        <v>231</v>
      </c>
      <c r="B123" s="872"/>
      <c r="C123" s="872"/>
      <c r="D123" s="842" t="s">
        <v>141</v>
      </c>
      <c r="E123" s="843">
        <f>'24'!F123</f>
        <v>824787.44</v>
      </c>
      <c r="F123" s="861">
        <v>825044.82</v>
      </c>
      <c r="G123" s="844">
        <f t="shared" ref="G123:G127" si="14">F123-E123</f>
        <v>257.38000000000466</v>
      </c>
      <c r="H123" s="845">
        <f>G123+'24'!H123</f>
        <v>6234.8199999999488</v>
      </c>
      <c r="I123" s="961"/>
      <c r="J123" s="847">
        <f>H123/DAY(B2)</f>
        <v>249.39279999999795</v>
      </c>
      <c r="K123" s="943"/>
      <c r="L123" s="822"/>
      <c r="O123" s="849"/>
    </row>
    <row r="124" spans="1:15">
      <c r="A124" s="871" t="s">
        <v>232</v>
      </c>
      <c r="B124" s="872"/>
      <c r="C124" s="872"/>
      <c r="D124" s="842" t="s">
        <v>141</v>
      </c>
      <c r="E124" s="843">
        <f>'24'!F124</f>
        <v>73583</v>
      </c>
      <c r="F124" s="989">
        <v>73583.399999999994</v>
      </c>
      <c r="G124" s="844">
        <f t="shared" si="14"/>
        <v>0.39999999999417923</v>
      </c>
      <c r="H124" s="845">
        <f>G124+'24'!H124</f>
        <v>0</v>
      </c>
      <c r="I124" s="961"/>
      <c r="J124" s="847">
        <f>H124/DAY(B2)</f>
        <v>0</v>
      </c>
      <c r="K124" s="943"/>
      <c r="L124" s="822"/>
      <c r="O124" s="849"/>
    </row>
    <row r="125" spans="1:15">
      <c r="A125" s="1608" t="s">
        <v>233</v>
      </c>
      <c r="B125" s="1609"/>
      <c r="C125" s="1610"/>
      <c r="D125" s="842" t="s">
        <v>141</v>
      </c>
      <c r="E125" s="843">
        <f>'24'!F125</f>
        <v>144264.04999999999</v>
      </c>
      <c r="F125" s="861">
        <v>144346.79999999999</v>
      </c>
      <c r="G125" s="844">
        <f t="shared" si="14"/>
        <v>82.75</v>
      </c>
      <c r="H125" s="845">
        <f>G125+'24'!H125</f>
        <v>2210.7999999999884</v>
      </c>
      <c r="I125" s="961"/>
      <c r="J125" s="847">
        <f>H125/DAY(B2)</f>
        <v>88.431999999999533</v>
      </c>
      <c r="K125" s="943"/>
      <c r="L125" s="822"/>
      <c r="O125" s="849"/>
    </row>
    <row r="126" spans="1:15">
      <c r="A126" s="990" t="s">
        <v>234</v>
      </c>
      <c r="B126" s="872"/>
      <c r="C126" s="872"/>
      <c r="D126" s="842" t="s">
        <v>141</v>
      </c>
      <c r="E126" s="843">
        <f>'24'!F126</f>
        <v>31404.2</v>
      </c>
      <c r="F126" s="989">
        <v>31404.2</v>
      </c>
      <c r="G126" s="844">
        <f t="shared" si="14"/>
        <v>0</v>
      </c>
      <c r="H126" s="845">
        <f>G126+'24'!H126</f>
        <v>85.5</v>
      </c>
      <c r="I126" s="961"/>
      <c r="J126" s="847">
        <f>H126/DAY(B2)</f>
        <v>3.42</v>
      </c>
      <c r="K126" s="943"/>
      <c r="L126" s="822"/>
      <c r="O126" s="849"/>
    </row>
    <row r="127" spans="1:15">
      <c r="A127" s="990" t="s">
        <v>235</v>
      </c>
      <c r="B127" s="872"/>
      <c r="C127" s="872"/>
      <c r="D127" s="842" t="s">
        <v>141</v>
      </c>
      <c r="E127" s="843">
        <f>'24'!F127</f>
        <v>8969.4</v>
      </c>
      <c r="F127" s="989">
        <v>8969.6</v>
      </c>
      <c r="G127" s="844">
        <f t="shared" si="14"/>
        <v>0.2000000000007276</v>
      </c>
      <c r="H127" s="845">
        <f>G127+'24'!H127</f>
        <v>7.6000000000003638</v>
      </c>
      <c r="I127" s="864"/>
      <c r="J127" s="847">
        <f>H127/DAY(B2)</f>
        <v>0.30400000000001454</v>
      </c>
      <c r="K127" s="943"/>
      <c r="L127" s="822"/>
      <c r="O127" s="849"/>
    </row>
    <row r="128" spans="1:15">
      <c r="A128" s="990" t="s">
        <v>236</v>
      </c>
      <c r="B128" s="872"/>
      <c r="C128" s="872"/>
      <c r="D128" s="842"/>
      <c r="E128" s="843"/>
      <c r="F128" s="861"/>
      <c r="G128" s="844">
        <f>G15-SUM(G123:G127)</f>
        <v>358.14399999983652</v>
      </c>
      <c r="H128" s="845">
        <f>G128+'24'!H128</f>
        <v>4399.3719999999612</v>
      </c>
      <c r="I128" s="864"/>
      <c r="J128" s="847">
        <f>H128/DAY(B2)</f>
        <v>175.97487999999845</v>
      </c>
      <c r="K128" s="943"/>
      <c r="L128" s="822"/>
      <c r="O128" s="849"/>
    </row>
    <row r="129" spans="1:16">
      <c r="A129" s="991" t="s">
        <v>237</v>
      </c>
      <c r="B129" s="836"/>
      <c r="C129" s="836"/>
      <c r="D129" s="836"/>
      <c r="E129" s="836"/>
      <c r="F129" s="836"/>
      <c r="G129" s="992"/>
      <c r="H129" s="992"/>
      <c r="I129" s="992"/>
      <c r="J129" s="993"/>
      <c r="O129" s="849"/>
    </row>
    <row r="130" spans="1:16">
      <c r="A130" s="871" t="s">
        <v>238</v>
      </c>
      <c r="B130" s="872"/>
      <c r="C130" s="872"/>
      <c r="D130" s="842" t="s">
        <v>239</v>
      </c>
      <c r="E130" s="843">
        <f>'24'!F130</f>
        <v>0</v>
      </c>
      <c r="F130" s="873">
        <v>0</v>
      </c>
      <c r="G130" s="844">
        <f t="shared" ref="G130:G140" si="15">F130-E130</f>
        <v>0</v>
      </c>
      <c r="H130" s="845">
        <f>G130+'24'!H130</f>
        <v>0</v>
      </c>
      <c r="I130" s="864"/>
      <c r="J130" s="847">
        <f>H130/DAY(B2)</f>
        <v>0</v>
      </c>
      <c r="O130" s="849"/>
    </row>
    <row r="131" spans="1:16">
      <c r="A131" s="871" t="s">
        <v>240</v>
      </c>
      <c r="B131" s="872"/>
      <c r="C131" s="872"/>
      <c r="D131" s="842" t="s">
        <v>239</v>
      </c>
      <c r="E131" s="843">
        <f>'24'!F131</f>
        <v>0</v>
      </c>
      <c r="F131" s="873">
        <v>0</v>
      </c>
      <c r="G131" s="844">
        <f t="shared" si="15"/>
        <v>0</v>
      </c>
      <c r="H131" s="845">
        <f>G131+'24'!H131</f>
        <v>0</v>
      </c>
      <c r="I131" s="864"/>
      <c r="J131" s="847">
        <f>H131/DAY(B2)</f>
        <v>0</v>
      </c>
      <c r="O131" s="849"/>
    </row>
    <row r="132" spans="1:16">
      <c r="A132" s="871" t="s">
        <v>241</v>
      </c>
      <c r="B132" s="872"/>
      <c r="C132" s="872"/>
      <c r="D132" s="842" t="s">
        <v>239</v>
      </c>
      <c r="E132" s="843">
        <f>'24'!F132</f>
        <v>39659</v>
      </c>
      <c r="F132" s="994">
        <v>39670.160000000003</v>
      </c>
      <c r="G132" s="844">
        <f t="shared" si="15"/>
        <v>11.160000000003492</v>
      </c>
      <c r="H132" s="845">
        <f>G132+'24'!H132</f>
        <v>137.16000000000349</v>
      </c>
      <c r="I132" s="864"/>
      <c r="J132" s="847">
        <f>H132/DAY(B2)</f>
        <v>5.4864000000001401</v>
      </c>
      <c r="O132" s="849"/>
      <c r="P132" s="809">
        <f>49-24</f>
        <v>25</v>
      </c>
    </row>
    <row r="133" spans="1:16">
      <c r="A133" s="871" t="s">
        <v>242</v>
      </c>
      <c r="B133" s="872"/>
      <c r="C133" s="872"/>
      <c r="D133" s="842" t="s">
        <v>239</v>
      </c>
      <c r="E133" s="843">
        <f>'24'!F133</f>
        <v>300</v>
      </c>
      <c r="F133" s="994">
        <v>300</v>
      </c>
      <c r="G133" s="844">
        <f t="shared" si="15"/>
        <v>0</v>
      </c>
      <c r="H133" s="845">
        <f>G133+'24'!H133</f>
        <v>0</v>
      </c>
      <c r="I133" s="864">
        <f>G130+G131+G132+G133</f>
        <v>11.160000000003492</v>
      </c>
      <c r="J133" s="847">
        <f>H133/DAY(B2)</f>
        <v>0</v>
      </c>
      <c r="O133" s="849"/>
    </row>
    <row r="134" spans="1:16">
      <c r="A134" s="871" t="s">
        <v>243</v>
      </c>
      <c r="B134" s="872"/>
      <c r="C134" s="872"/>
      <c r="D134" s="842" t="s">
        <v>239</v>
      </c>
      <c r="E134" s="843">
        <f>'24'!F134</f>
        <v>41319</v>
      </c>
      <c r="F134" s="994">
        <v>41337.449999999997</v>
      </c>
      <c r="G134" s="844">
        <f t="shared" si="15"/>
        <v>18.44999999999709</v>
      </c>
      <c r="H134" s="845">
        <f>G134+'24'!H134</f>
        <v>66.44999999999709</v>
      </c>
      <c r="I134" s="864"/>
      <c r="J134" s="847">
        <f>H134/DAY(B2)</f>
        <v>2.6579999999998836</v>
      </c>
      <c r="O134" s="849"/>
    </row>
    <row r="135" spans="1:16">
      <c r="A135" s="871" t="s">
        <v>244</v>
      </c>
      <c r="B135" s="872"/>
      <c r="C135" s="872"/>
      <c r="D135" s="842" t="s">
        <v>239</v>
      </c>
      <c r="E135" s="843">
        <f>'24'!F135</f>
        <v>32582.93</v>
      </c>
      <c r="F135" s="994">
        <v>32582.93</v>
      </c>
      <c r="G135" s="844">
        <f t="shared" si="15"/>
        <v>0</v>
      </c>
      <c r="H135" s="845">
        <f>G135+'24'!H135</f>
        <v>13</v>
      </c>
      <c r="I135" s="864"/>
      <c r="J135" s="847">
        <f>H135/DAY(B2)</f>
        <v>0.52</v>
      </c>
      <c r="O135" s="849"/>
    </row>
    <row r="136" spans="1:16">
      <c r="A136" s="871" t="s">
        <v>245</v>
      </c>
      <c r="B136" s="872"/>
      <c r="C136" s="872"/>
      <c r="D136" s="842" t="s">
        <v>239</v>
      </c>
      <c r="E136" s="843">
        <f>'24'!F136</f>
        <v>22710.86</v>
      </c>
      <c r="F136" s="994">
        <v>22716.67</v>
      </c>
      <c r="G136" s="844">
        <f t="shared" si="15"/>
        <v>5.8099999999976717</v>
      </c>
      <c r="H136" s="845">
        <f>G136+'24'!H136</f>
        <v>228.0199999999968</v>
      </c>
      <c r="I136" s="864">
        <f>G134+G135+G136</f>
        <v>24.259999999994761</v>
      </c>
      <c r="J136" s="847">
        <f>H136/DAY(B2)</f>
        <v>9.1207999999998712</v>
      </c>
      <c r="O136" s="849"/>
    </row>
    <row r="137" spans="1:16">
      <c r="A137" s="871" t="s">
        <v>246</v>
      </c>
      <c r="B137" s="872"/>
      <c r="C137" s="872"/>
      <c r="D137" s="842" t="s">
        <v>239</v>
      </c>
      <c r="E137" s="843">
        <f>'24'!F137</f>
        <v>25051.49</v>
      </c>
      <c r="F137" s="994">
        <v>25051.49</v>
      </c>
      <c r="G137" s="844">
        <f t="shared" si="15"/>
        <v>0</v>
      </c>
      <c r="H137" s="845">
        <f>G137+'24'!H137</f>
        <v>8</v>
      </c>
      <c r="I137" s="864"/>
      <c r="J137" s="847">
        <f>H137/DAY(B2)</f>
        <v>0.32</v>
      </c>
      <c r="O137" s="849"/>
    </row>
    <row r="138" spans="1:16">
      <c r="A138" s="871" t="s">
        <v>247</v>
      </c>
      <c r="B138" s="872"/>
      <c r="C138" s="872"/>
      <c r="D138" s="842" t="s">
        <v>239</v>
      </c>
      <c r="E138" s="843">
        <f>'24'!F138</f>
        <v>70295.23</v>
      </c>
      <c r="F138" s="994">
        <v>70299.460000000006</v>
      </c>
      <c r="G138" s="844">
        <f t="shared" si="15"/>
        <v>4.2300000000104774</v>
      </c>
      <c r="H138" s="845">
        <f>G138+'24'!H138</f>
        <v>19.230000000010477</v>
      </c>
      <c r="I138" s="864">
        <f>G137+G138</f>
        <v>4.2300000000104774</v>
      </c>
      <c r="J138" s="847">
        <f>H138/DAY(B2)</f>
        <v>0.7692000000004191</v>
      </c>
      <c r="O138" s="849"/>
    </row>
    <row r="139" spans="1:16">
      <c r="A139" s="871" t="s">
        <v>248</v>
      </c>
      <c r="B139" s="872"/>
      <c r="C139" s="872"/>
      <c r="D139" s="842" t="s">
        <v>239</v>
      </c>
      <c r="E139" s="843">
        <f>'24'!F139</f>
        <v>1568.08</v>
      </c>
      <c r="F139" s="873">
        <v>1577.59</v>
      </c>
      <c r="G139" s="844">
        <f t="shared" si="15"/>
        <v>9.5099999999999909</v>
      </c>
      <c r="H139" s="845">
        <f>G139+'24'!H139</f>
        <v>41.069999999999936</v>
      </c>
      <c r="I139" s="995"/>
      <c r="J139" s="847">
        <f>H139/DAY(B2)</f>
        <v>1.6427999999999974</v>
      </c>
      <c r="O139" s="849"/>
    </row>
    <row r="140" spans="1:16">
      <c r="A140" s="871" t="s">
        <v>249</v>
      </c>
      <c r="B140" s="872"/>
      <c r="C140" s="872"/>
      <c r="D140" s="842" t="s">
        <v>239</v>
      </c>
      <c r="E140" s="843">
        <f>'24'!F140</f>
        <v>4636.58</v>
      </c>
      <c r="F140" s="873">
        <v>4636.88</v>
      </c>
      <c r="G140" s="844">
        <f t="shared" si="15"/>
        <v>0.3000000000001819</v>
      </c>
      <c r="H140" s="845">
        <f>G140+'24'!H140</f>
        <v>168.34000000000015</v>
      </c>
      <c r="I140" s="995"/>
      <c r="J140" s="847">
        <f>H140/DAY(B2)</f>
        <v>6.7336000000000062</v>
      </c>
      <c r="O140" s="849"/>
    </row>
    <row r="141" spans="1:16">
      <c r="A141" s="1600" t="s">
        <v>250</v>
      </c>
      <c r="B141" s="1601"/>
      <c r="C141" s="837"/>
      <c r="D141" s="837"/>
      <c r="E141" s="837"/>
      <c r="F141" s="837"/>
      <c r="G141" s="869"/>
      <c r="H141" s="869"/>
      <c r="I141" s="869"/>
      <c r="J141" s="988"/>
      <c r="K141" s="943"/>
      <c r="L141" s="822"/>
      <c r="O141" s="849"/>
    </row>
    <row r="142" spans="1:16">
      <c r="A142" s="1602" t="s">
        <v>251</v>
      </c>
      <c r="B142" s="1603"/>
      <c r="C142" s="1604"/>
      <c r="D142" s="842" t="s">
        <v>132</v>
      </c>
      <c r="E142" s="842"/>
      <c r="F142" s="842"/>
      <c r="G142" s="845">
        <f>G35+G43+G49+G57</f>
        <v>5648.5999999999767</v>
      </c>
      <c r="H142" s="845">
        <f>G142+'24'!H142</f>
        <v>134133.19999999995</v>
      </c>
      <c r="I142" s="864"/>
      <c r="J142" s="847">
        <f>H142/DAY(B2)</f>
        <v>5365.3279999999977</v>
      </c>
      <c r="K142" s="943"/>
      <c r="L142" s="822"/>
      <c r="O142" s="849"/>
    </row>
    <row r="143" spans="1:16">
      <c r="A143" s="1602" t="s">
        <v>252</v>
      </c>
      <c r="B143" s="1603"/>
      <c r="C143" s="1604"/>
      <c r="D143" s="842" t="s">
        <v>24</v>
      </c>
      <c r="E143" s="829"/>
      <c r="F143" s="829"/>
      <c r="G143" s="996">
        <f>G142/G7</f>
        <v>0.25334589163975496</v>
      </c>
      <c r="H143" s="845">
        <f>G143+'24'!H143</f>
        <v>6.4134402809395317</v>
      </c>
      <c r="I143" s="997"/>
      <c r="J143" s="847">
        <f>H143/DAY(B2)</f>
        <v>0.25653761123758129</v>
      </c>
      <c r="K143" s="943"/>
      <c r="L143" s="822"/>
      <c r="O143" s="849"/>
    </row>
    <row r="144" spans="1:16">
      <c r="A144" s="1602" t="s">
        <v>253</v>
      </c>
      <c r="B144" s="1603"/>
      <c r="C144" s="1604"/>
      <c r="D144" s="842" t="s">
        <v>132</v>
      </c>
      <c r="E144" s="843"/>
      <c r="F144" s="843"/>
      <c r="G144" s="845">
        <f>G41+G42+G55+G56</f>
        <v>7229.7499999999709</v>
      </c>
      <c r="H144" s="845">
        <f>G144+'24'!H144</f>
        <v>152114.97300000003</v>
      </c>
      <c r="I144" s="864"/>
      <c r="J144" s="847">
        <f>H144/DAY(B2)</f>
        <v>6084.5989200000013</v>
      </c>
      <c r="K144" s="943"/>
      <c r="L144" s="822"/>
      <c r="O144" s="849"/>
    </row>
    <row r="145" spans="1:15">
      <c r="A145" s="1602" t="s">
        <v>254</v>
      </c>
      <c r="B145" s="1603"/>
      <c r="C145" s="1604"/>
      <c r="D145" s="842" t="s">
        <v>24</v>
      </c>
      <c r="E145" s="843"/>
      <c r="F145" s="843"/>
      <c r="G145" s="996">
        <f>G144/G7</f>
        <v>0.32426219949766644</v>
      </c>
      <c r="H145" s="845">
        <f>G145+'24'!H145</f>
        <v>7.283472637641708</v>
      </c>
      <c r="I145" s="997"/>
      <c r="J145" s="847">
        <f>H145/DAY(B2)</f>
        <v>0.29133890550566832</v>
      </c>
      <c r="K145" s="943"/>
      <c r="L145" s="822"/>
      <c r="O145" s="849"/>
    </row>
    <row r="146" spans="1:15">
      <c r="A146" s="1602" t="s">
        <v>255</v>
      </c>
      <c r="B146" s="1603"/>
      <c r="C146" s="1604"/>
      <c r="D146" s="842" t="s">
        <v>132</v>
      </c>
      <c r="E146" s="843"/>
      <c r="F146" s="843"/>
      <c r="G146" s="845">
        <f>G39+G53</f>
        <v>3630.5200000000186</v>
      </c>
      <c r="H146" s="845">
        <f>G146+'24'!H146</f>
        <v>90997.56</v>
      </c>
      <c r="I146" s="998"/>
      <c r="J146" s="847">
        <f>H146/DAY(B2)</f>
        <v>3639.9023999999999</v>
      </c>
      <c r="K146" s="943"/>
      <c r="L146" s="822"/>
      <c r="O146" s="849"/>
    </row>
    <row r="147" spans="1:15">
      <c r="A147" s="1602" t="s">
        <v>256</v>
      </c>
      <c r="B147" s="1603"/>
      <c r="C147" s="1604"/>
      <c r="D147" s="842" t="s">
        <v>24</v>
      </c>
      <c r="E147" s="843"/>
      <c r="F147" s="843"/>
      <c r="G147" s="996">
        <f>G146/G7</f>
        <v>0.16283279512020177</v>
      </c>
      <c r="H147" s="845">
        <f>G147+'24'!H147</f>
        <v>4.3457589426300283</v>
      </c>
      <c r="I147" s="998"/>
      <c r="J147" s="847">
        <f>H147/DAY(B2)</f>
        <v>0.17383035770520114</v>
      </c>
      <c r="O147" s="849"/>
    </row>
    <row r="148" spans="1:15">
      <c r="A148" s="1602" t="s">
        <v>257</v>
      </c>
      <c r="B148" s="1603"/>
      <c r="C148" s="1604"/>
      <c r="D148" s="842" t="s">
        <v>183</v>
      </c>
      <c r="E148" s="843"/>
      <c r="F148" s="843"/>
      <c r="G148" s="845">
        <f>G38+G52</f>
        <v>1455.6799999999494</v>
      </c>
      <c r="H148" s="845">
        <f>G148+'24'!H148</f>
        <v>40500.489999999947</v>
      </c>
      <c r="I148" s="864"/>
      <c r="J148" s="847">
        <f>H148/DAY(B2)</f>
        <v>1620.0195999999978</v>
      </c>
      <c r="K148" s="999"/>
      <c r="O148" s="849"/>
    </row>
    <row r="149" spans="1:15">
      <c r="A149" s="1602" t="s">
        <v>258</v>
      </c>
      <c r="B149" s="1603"/>
      <c r="C149" s="1604"/>
      <c r="D149" s="842" t="s">
        <v>24</v>
      </c>
      <c r="E149" s="843"/>
      <c r="F149" s="843"/>
      <c r="G149" s="996">
        <f>G148/G7</f>
        <v>6.5288841047719287E-2</v>
      </c>
      <c r="H149" s="845">
        <f>G149+'24'!H149</f>
        <v>1.9391280274573537</v>
      </c>
      <c r="I149" s="998"/>
      <c r="J149" s="847">
        <f>H149/DAY(B2)</f>
        <v>7.7565121098294151E-2</v>
      </c>
      <c r="O149" s="849"/>
    </row>
    <row r="150" spans="1:15">
      <c r="A150" s="1602" t="s">
        <v>259</v>
      </c>
      <c r="B150" s="1603"/>
      <c r="C150" s="1604"/>
      <c r="D150" s="842" t="s">
        <v>183</v>
      </c>
      <c r="E150" s="843"/>
      <c r="F150" s="843"/>
      <c r="G150" s="845">
        <f>G36+G50</f>
        <v>2383.1600000000326</v>
      </c>
      <c r="H150" s="845">
        <f>G150+'24'!H150</f>
        <v>52256.380000000005</v>
      </c>
      <c r="I150" s="998"/>
      <c r="J150" s="847">
        <f>H150/DAY(B2)</f>
        <v>2090.2552000000001</v>
      </c>
      <c r="O150" s="849"/>
    </row>
    <row r="151" spans="1:15">
      <c r="A151" s="1602" t="s">
        <v>260</v>
      </c>
      <c r="B151" s="1603"/>
      <c r="C151" s="1604"/>
      <c r="D151" s="842" t="s">
        <v>24</v>
      </c>
      <c r="E151" s="843"/>
      <c r="F151" s="843"/>
      <c r="G151" s="996">
        <f>G150/G7</f>
        <v>0.1068873340509523</v>
      </c>
      <c r="H151" s="845">
        <f>G151+'24'!H151</f>
        <v>2.5048527906522047</v>
      </c>
      <c r="I151" s="864"/>
      <c r="J151" s="847">
        <f>H151/DAY(B2)</f>
        <v>0.10019411162608818</v>
      </c>
      <c r="O151" s="849"/>
    </row>
    <row r="152" spans="1:15">
      <c r="A152" s="1602" t="s">
        <v>261</v>
      </c>
      <c r="B152" s="1603"/>
      <c r="C152" s="1604"/>
      <c r="D152" s="842" t="s">
        <v>183</v>
      </c>
      <c r="E152" s="843"/>
      <c r="F152" s="843"/>
      <c r="G152" s="845">
        <f>G37+G51</f>
        <v>1346.3300000000017</v>
      </c>
      <c r="H152" s="845">
        <f>G152+'24'!H152</f>
        <v>34152.539999999994</v>
      </c>
      <c r="I152" s="864"/>
      <c r="J152" s="847">
        <f>H152/DAY(B2)</f>
        <v>1366.1015999999997</v>
      </c>
      <c r="O152" s="849"/>
    </row>
    <row r="153" spans="1:15" ht="21" thickBot="1">
      <c r="A153" s="1605" t="s">
        <v>262</v>
      </c>
      <c r="B153" s="1606"/>
      <c r="C153" s="1607"/>
      <c r="D153" s="1000" t="s">
        <v>24</v>
      </c>
      <c r="E153" s="1001"/>
      <c r="F153" s="1001"/>
      <c r="G153" s="1002">
        <f>G152/G7</f>
        <v>6.0384373878722718E-2</v>
      </c>
      <c r="H153" s="845">
        <f>G153+'24'!H153</f>
        <v>1.6369648916983452</v>
      </c>
      <c r="I153" s="1003"/>
      <c r="J153" s="1004">
        <f>H153/DAY(B2)</f>
        <v>6.5478595667933806E-2</v>
      </c>
      <c r="O153" s="849"/>
    </row>
    <row r="154" spans="1:15">
      <c r="A154" s="1005"/>
      <c r="B154" s="1005"/>
      <c r="C154" s="1005"/>
      <c r="D154" s="1005"/>
      <c r="E154" s="1005"/>
      <c r="F154" s="1005"/>
      <c r="G154" s="1005"/>
      <c r="H154" s="1006"/>
      <c r="I154" s="1005"/>
      <c r="J154" s="1007"/>
      <c r="O154" s="849"/>
    </row>
    <row r="160" spans="1:15">
      <c r="A160" s="995" t="s">
        <v>263</v>
      </c>
      <c r="B160" s="995"/>
      <c r="C160" s="995"/>
      <c r="D160" s="829" t="s">
        <v>187</v>
      </c>
      <c r="E160" s="843">
        <f>'24'!F160</f>
        <v>35445.82</v>
      </c>
      <c r="F160" s="1019">
        <v>35528.67</v>
      </c>
      <c r="G160" s="844">
        <f t="shared" ref="G160:G163" si="16">F160-E160</f>
        <v>82.849999999998545</v>
      </c>
    </row>
    <row r="161" spans="1:7" ht="21.75" customHeight="1">
      <c r="A161" s="995" t="s">
        <v>264</v>
      </c>
      <c r="B161" s="995"/>
      <c r="C161" s="995"/>
      <c r="D161" s="829" t="s">
        <v>187</v>
      </c>
      <c r="E161" s="843">
        <f>'24'!F161</f>
        <v>79592.679999999993</v>
      </c>
      <c r="F161" s="1019">
        <v>80045.19</v>
      </c>
      <c r="G161" s="844">
        <f t="shared" si="16"/>
        <v>452.51000000000931</v>
      </c>
    </row>
    <row r="162" spans="1:7" ht="21.75" customHeight="1">
      <c r="A162" s="995" t="s">
        <v>265</v>
      </c>
      <c r="B162" s="995"/>
      <c r="C162" s="995"/>
      <c r="D162" s="829" t="s">
        <v>187</v>
      </c>
      <c r="E162" s="843">
        <f>'24'!F162</f>
        <v>35993.15</v>
      </c>
      <c r="F162" s="1019">
        <v>36382.11</v>
      </c>
      <c r="G162" s="844">
        <f t="shared" si="16"/>
        <v>388.95999999999913</v>
      </c>
    </row>
    <row r="163" spans="1:7" ht="21.75" customHeight="1">
      <c r="A163" s="995" t="s">
        <v>266</v>
      </c>
      <c r="B163" s="995"/>
      <c r="C163" s="995"/>
      <c r="D163" s="829" t="s">
        <v>187</v>
      </c>
      <c r="E163" s="843">
        <f>'24'!F163</f>
        <v>6121</v>
      </c>
      <c r="F163" s="1019">
        <v>6140.83</v>
      </c>
      <c r="G163" s="844">
        <f t="shared" si="16"/>
        <v>19.829999999999927</v>
      </c>
    </row>
    <row r="164" spans="1:7" ht="21.75" customHeight="1">
      <c r="A164" s="925" t="s">
        <v>98</v>
      </c>
      <c r="B164" s="925"/>
      <c r="C164" s="925"/>
      <c r="D164" s="829" t="s">
        <v>187</v>
      </c>
      <c r="E164" s="926">
        <f>E62</f>
        <v>20419</v>
      </c>
      <c r="F164" s="926">
        <f>F62</f>
        <v>20419</v>
      </c>
      <c r="G164" s="844">
        <f t="shared" ref="G164:G171" si="17">F164-E164</f>
        <v>0</v>
      </c>
    </row>
    <row r="165" spans="1:7" ht="21.75" customHeight="1">
      <c r="A165" s="925" t="s">
        <v>188</v>
      </c>
      <c r="B165" s="925"/>
      <c r="C165" s="925"/>
      <c r="D165" s="829" t="s">
        <v>187</v>
      </c>
      <c r="E165" s="926">
        <f t="shared" ref="E165:E171" si="18">E63</f>
        <v>2327.1959000000002</v>
      </c>
      <c r="F165" s="926">
        <f t="shared" ref="F165:F171" si="19">F63</f>
        <v>2333.34</v>
      </c>
      <c r="G165" s="844">
        <f t="shared" si="17"/>
        <v>6.1440999999999804</v>
      </c>
    </row>
    <row r="166" spans="1:7" ht="21.75" customHeight="1">
      <c r="A166" s="1578" t="s">
        <v>99</v>
      </c>
      <c r="B166" s="1578"/>
      <c r="C166" s="1578"/>
      <c r="D166" s="842" t="s">
        <v>187</v>
      </c>
      <c r="E166" s="926">
        <f t="shared" si="18"/>
        <v>150822.72</v>
      </c>
      <c r="F166" s="926">
        <f t="shared" si="19"/>
        <v>151332.69</v>
      </c>
      <c r="G166" s="844">
        <f t="shared" si="17"/>
        <v>509.97000000000116</v>
      </c>
    </row>
    <row r="167" spans="1:7" ht="21.75" customHeight="1">
      <c r="A167" s="1578" t="s">
        <v>100</v>
      </c>
      <c r="B167" s="1578"/>
      <c r="C167" s="1578"/>
      <c r="D167" s="842" t="s">
        <v>187</v>
      </c>
      <c r="E167" s="926">
        <f t="shared" si="18"/>
        <v>152863.67000000001</v>
      </c>
      <c r="F167" s="926">
        <f t="shared" si="19"/>
        <v>153226.18</v>
      </c>
      <c r="G167" s="844">
        <f t="shared" si="17"/>
        <v>362.50999999998021</v>
      </c>
    </row>
    <row r="168" spans="1:7" ht="21.75" customHeight="1">
      <c r="A168" s="1578" t="s">
        <v>101</v>
      </c>
      <c r="B168" s="1578"/>
      <c r="C168" s="1578"/>
      <c r="D168" s="842" t="s">
        <v>187</v>
      </c>
      <c r="E168" s="926">
        <f t="shared" si="18"/>
        <v>46586.239999999998</v>
      </c>
      <c r="F168" s="926">
        <f t="shared" si="19"/>
        <v>46974.400000000001</v>
      </c>
      <c r="G168" s="844">
        <f t="shared" si="17"/>
        <v>388.16000000000349</v>
      </c>
    </row>
    <row r="169" spans="1:7">
      <c r="A169" s="1578" t="s">
        <v>102</v>
      </c>
      <c r="B169" s="1578"/>
      <c r="C169" s="1578"/>
      <c r="D169" s="842" t="s">
        <v>187</v>
      </c>
      <c r="E169" s="926">
        <f t="shared" si="18"/>
        <v>241200.61</v>
      </c>
      <c r="F169" s="926">
        <f t="shared" si="19"/>
        <v>241583.11</v>
      </c>
      <c r="G169" s="844">
        <f t="shared" si="17"/>
        <v>382.5</v>
      </c>
    </row>
    <row r="170" spans="1:7" ht="24" customHeight="1">
      <c r="A170" s="1578" t="s">
        <v>103</v>
      </c>
      <c r="B170" s="1578"/>
      <c r="C170" s="1578"/>
      <c r="D170" s="842" t="s">
        <v>187</v>
      </c>
      <c r="E170" s="926">
        <f t="shared" si="18"/>
        <v>85321</v>
      </c>
      <c r="F170" s="926">
        <f t="shared" si="19"/>
        <v>85321</v>
      </c>
      <c r="G170" s="844">
        <f t="shared" si="17"/>
        <v>0</v>
      </c>
    </row>
    <row r="171" spans="1:7">
      <c r="A171" s="1578" t="s">
        <v>104</v>
      </c>
      <c r="B171" s="1578"/>
      <c r="C171" s="1578"/>
      <c r="D171" s="842" t="s">
        <v>187</v>
      </c>
      <c r="E171" s="926">
        <f t="shared" si="18"/>
        <v>78476.800000000003</v>
      </c>
      <c r="F171" s="926">
        <f t="shared" si="19"/>
        <v>78609.8</v>
      </c>
      <c r="G171" s="844">
        <f t="shared" si="17"/>
        <v>133</v>
      </c>
    </row>
    <row r="172" spans="1:7">
      <c r="G172" s="1010">
        <f>SUM(G160:G171)</f>
        <v>2726.4340999999918</v>
      </c>
    </row>
    <row r="176" spans="1:7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28" zoomScale="70" zoomScaleSheetLayoutView="70" workbookViewId="0">
      <selection activeCell="G134" sqref="G134"/>
    </sheetView>
  </sheetViews>
  <sheetFormatPr defaultColWidth="22.33203125" defaultRowHeight="20.25"/>
  <cols>
    <col min="1" max="1" width="51.21875" style="1008" customWidth="1"/>
    <col min="2" max="2" width="24.88671875" style="1008" customWidth="1"/>
    <col min="3" max="3" width="12.44140625" style="1008" customWidth="1"/>
    <col min="4" max="4" width="13.6640625" style="1008" customWidth="1"/>
    <col min="5" max="5" width="28.109375" style="1008" customWidth="1"/>
    <col min="6" max="6" width="23.77734375" style="1008" customWidth="1"/>
    <col min="7" max="7" width="19.88671875" style="1008" customWidth="1"/>
    <col min="8" max="8" width="39.21875" style="1009" customWidth="1"/>
    <col min="9" max="9" width="12" style="1008" bestFit="1" customWidth="1"/>
    <col min="10" max="10" width="24" style="1010" customWidth="1"/>
    <col min="11" max="11" width="43.21875" style="809" hidden="1" customWidth="1"/>
    <col min="12" max="13" width="0" style="809" hidden="1" customWidth="1"/>
    <col min="14" max="14" width="25.109375" style="1011" customWidth="1"/>
    <col min="15" max="15" width="6.77734375" style="809" bestFit="1" customWidth="1"/>
    <col min="16" max="16384" width="22.33203125" style="809"/>
  </cols>
  <sheetData>
    <row r="1" spans="1:15" ht="20.100000000000001" customHeight="1">
      <c r="A1" s="1629" t="s">
        <v>117</v>
      </c>
      <c r="B1" s="1630"/>
      <c r="C1" s="1630"/>
      <c r="D1" s="1630"/>
      <c r="E1" s="1630"/>
      <c r="F1" s="1630"/>
      <c r="G1" s="1630"/>
      <c r="H1" s="1630"/>
      <c r="I1" s="1630"/>
      <c r="J1" s="1631"/>
    </row>
    <row r="2" spans="1:15" ht="30.75" customHeight="1">
      <c r="A2" s="810" t="s">
        <v>342</v>
      </c>
      <c r="B2" s="1081">
        <v>43947</v>
      </c>
      <c r="C2" s="811" t="s">
        <v>69</v>
      </c>
      <c r="D2" s="1024">
        <v>0.54</v>
      </c>
      <c r="E2" s="813"/>
      <c r="F2" s="813"/>
      <c r="G2" s="813" t="s">
        <v>118</v>
      </c>
      <c r="H2" s="813" t="s">
        <v>6</v>
      </c>
      <c r="I2" s="813" t="s">
        <v>8</v>
      </c>
      <c r="J2" s="814" t="s">
        <v>119</v>
      </c>
    </row>
    <row r="3" spans="1:15" ht="20.100000000000001" customHeight="1">
      <c r="A3" s="815"/>
      <c r="B3" s="816"/>
      <c r="C3" s="811" t="s">
        <v>120</v>
      </c>
      <c r="D3" s="811">
        <v>28</v>
      </c>
      <c r="E3" s="1632" t="s">
        <v>121</v>
      </c>
      <c r="F3" s="1633"/>
      <c r="G3" s="818"/>
      <c r="H3" s="819"/>
      <c r="I3" s="819"/>
      <c r="J3" s="820"/>
      <c r="K3" s="821"/>
      <c r="L3" s="822"/>
    </row>
    <row r="4" spans="1:15" ht="20.100000000000001" customHeight="1">
      <c r="A4" s="823"/>
      <c r="B4" s="824"/>
      <c r="C4" s="811" t="s">
        <v>122</v>
      </c>
      <c r="D4" s="1024">
        <v>0.74</v>
      </c>
      <c r="E4" s="825"/>
      <c r="F4" s="825"/>
      <c r="G4" s="825"/>
      <c r="H4" s="825"/>
      <c r="I4" s="826"/>
      <c r="J4" s="820"/>
      <c r="K4" s="827"/>
      <c r="L4" s="822"/>
    </row>
    <row r="5" spans="1:15" ht="22.5" customHeight="1">
      <c r="A5" s="828" t="s">
        <v>123</v>
      </c>
      <c r="B5" s="829"/>
      <c r="C5" s="829"/>
      <c r="D5" s="829" t="s">
        <v>124</v>
      </c>
      <c r="E5" s="830" t="s">
        <v>125</v>
      </c>
      <c r="F5" s="830" t="s">
        <v>112</v>
      </c>
      <c r="G5" s="831" t="s">
        <v>126</v>
      </c>
      <c r="H5" s="832" t="s">
        <v>127</v>
      </c>
      <c r="I5" s="833" t="s">
        <v>128</v>
      </c>
      <c r="J5" s="834" t="s">
        <v>129</v>
      </c>
      <c r="K5" s="835"/>
      <c r="L5" s="822"/>
    </row>
    <row r="6" spans="1:15" ht="20.100000000000001" customHeight="1">
      <c r="A6" s="1626" t="s">
        <v>130</v>
      </c>
      <c r="B6" s="1627"/>
      <c r="C6" s="1628"/>
      <c r="D6" s="836"/>
      <c r="E6" s="836"/>
      <c r="F6" s="836"/>
      <c r="G6" s="836"/>
      <c r="H6" s="837"/>
      <c r="I6" s="837"/>
      <c r="J6" s="838"/>
      <c r="K6" s="839"/>
      <c r="L6" s="822"/>
    </row>
    <row r="7" spans="1:15" ht="25.5" customHeight="1" thickBot="1">
      <c r="A7" s="840" t="s">
        <v>131</v>
      </c>
      <c r="B7" s="841"/>
      <c r="C7" s="841"/>
      <c r="D7" s="842" t="s">
        <v>132</v>
      </c>
      <c r="E7" s="843">
        <f>'25'!F7</f>
        <v>5636229</v>
      </c>
      <c r="F7" s="843">
        <v>5656762</v>
      </c>
      <c r="G7" s="844">
        <f>F7-E7</f>
        <v>20533</v>
      </c>
      <c r="H7" s="845">
        <f>G7+'25'!H7</f>
        <v>542839</v>
      </c>
      <c r="I7" s="846">
        <f>'1'!I7</f>
        <v>12000</v>
      </c>
      <c r="J7" s="847">
        <f>H7/DAY(B2)</f>
        <v>20878.423076923078</v>
      </c>
      <c r="K7" s="848"/>
      <c r="L7" s="822"/>
      <c r="N7" s="1022"/>
      <c r="O7" s="849"/>
    </row>
    <row r="8" spans="1:15" ht="20.100000000000001" customHeight="1" thickBot="1">
      <c r="A8" s="850" t="s">
        <v>133</v>
      </c>
      <c r="B8" s="851"/>
      <c r="C8" s="852"/>
      <c r="D8" s="853" t="s">
        <v>25</v>
      </c>
      <c r="E8" s="843">
        <f>'25'!F8</f>
        <v>5669621</v>
      </c>
      <c r="F8" s="854">
        <v>5690250</v>
      </c>
      <c r="G8" s="855">
        <f>F8-E8</f>
        <v>20629</v>
      </c>
      <c r="H8" s="845">
        <f>G8+'25'!H8</f>
        <v>544932</v>
      </c>
      <c r="I8" s="856">
        <f>'1'!I8</f>
        <v>12000</v>
      </c>
      <c r="J8" s="847">
        <f>H8/DAY(B2)</f>
        <v>20958.923076923078</v>
      </c>
      <c r="K8" s="848"/>
      <c r="L8" s="857"/>
      <c r="M8" s="858"/>
      <c r="O8" s="849"/>
    </row>
    <row r="9" spans="1:15" ht="20.100000000000001" customHeight="1">
      <c r="A9" s="859" t="s">
        <v>134</v>
      </c>
      <c r="B9" s="860"/>
      <c r="C9" s="860"/>
      <c r="D9" s="842" t="s">
        <v>132</v>
      </c>
      <c r="E9" s="843">
        <f>'25'!F9</f>
        <v>902394.95</v>
      </c>
      <c r="F9" s="861">
        <v>922288.79</v>
      </c>
      <c r="G9" s="844">
        <f>F9-E9</f>
        <v>19893.840000000084</v>
      </c>
      <c r="H9" s="845">
        <f>G9+'25'!H9</f>
        <v>526219.79</v>
      </c>
      <c r="I9" s="862">
        <f>I8-J8</f>
        <v>-8958.923076923078</v>
      </c>
      <c r="J9" s="847">
        <f>H9/DAY(B2)</f>
        <v>20239.222692307692</v>
      </c>
      <c r="K9" s="863"/>
      <c r="L9" s="822"/>
      <c r="O9" s="849"/>
    </row>
    <row r="10" spans="1:15" ht="20.100000000000001" customHeight="1">
      <c r="A10" s="840" t="s">
        <v>135</v>
      </c>
      <c r="B10" s="841"/>
      <c r="C10" s="841"/>
      <c r="D10" s="842" t="s">
        <v>132</v>
      </c>
      <c r="E10" s="843">
        <f>'25'!F10</f>
        <v>2322.58</v>
      </c>
      <c r="F10" s="861">
        <v>2322.58</v>
      </c>
      <c r="G10" s="844">
        <f t="shared" ref="G10:G12" si="0">F10-E10</f>
        <v>0</v>
      </c>
      <c r="H10" s="845">
        <f>G10+'25'!H10</f>
        <v>0</v>
      </c>
      <c r="I10" s="864"/>
      <c r="J10" s="847">
        <f>H10/DAY(B2)</f>
        <v>0</v>
      </c>
      <c r="K10" s="863"/>
      <c r="L10" s="822"/>
      <c r="O10" s="849"/>
    </row>
    <row r="11" spans="1:15" ht="20.100000000000001" customHeight="1">
      <c r="A11" s="840" t="s">
        <v>136</v>
      </c>
      <c r="B11" s="841"/>
      <c r="C11" s="841"/>
      <c r="D11" s="842" t="s">
        <v>132</v>
      </c>
      <c r="E11" s="843">
        <f>'5'!E11</f>
        <v>37000</v>
      </c>
      <c r="F11" s="843">
        <v>37000</v>
      </c>
      <c r="G11" s="844">
        <f t="shared" si="0"/>
        <v>0</v>
      </c>
      <c r="H11" s="845">
        <f>G11+'25'!H11</f>
        <v>0</v>
      </c>
      <c r="I11" s="864"/>
      <c r="J11" s="847">
        <f>H11/DAY(B2)</f>
        <v>0</v>
      </c>
      <c r="K11" s="863"/>
      <c r="L11" s="822">
        <v>1375467</v>
      </c>
      <c r="N11" s="1023"/>
      <c r="O11" s="849"/>
    </row>
    <row r="12" spans="1:15" ht="20.100000000000001" customHeight="1">
      <c r="A12" s="840" t="s">
        <v>137</v>
      </c>
      <c r="B12" s="841"/>
      <c r="C12" s="841"/>
      <c r="D12" s="842" t="s">
        <v>132</v>
      </c>
      <c r="E12" s="843">
        <f>'5'!E12</f>
        <v>40010</v>
      </c>
      <c r="F12" s="861">
        <v>40010</v>
      </c>
      <c r="G12" s="844">
        <f t="shared" si="0"/>
        <v>0</v>
      </c>
      <c r="H12" s="845">
        <f>G12+'25'!H12</f>
        <v>0</v>
      </c>
      <c r="I12" s="864"/>
      <c r="J12" s="847">
        <f>H12/DAY(B2)</f>
        <v>0</v>
      </c>
      <c r="K12" s="863"/>
      <c r="L12" s="822"/>
      <c r="O12" s="849"/>
    </row>
    <row r="13" spans="1:15" ht="20.100000000000001" customHeight="1">
      <c r="A13" s="865" t="s">
        <v>138</v>
      </c>
      <c r="B13" s="866"/>
      <c r="C13" s="866"/>
      <c r="D13" s="842"/>
      <c r="E13" s="843"/>
      <c r="F13" s="843"/>
      <c r="G13" s="867">
        <f>G9+G10+G11+G12</f>
        <v>19893.840000000084</v>
      </c>
      <c r="H13" s="845">
        <f>G13+'25'!H13</f>
        <v>506029.15000000014</v>
      </c>
      <c r="I13" s="868">
        <f>G7-G13</f>
        <v>639.15999999991618</v>
      </c>
      <c r="J13" s="847">
        <f>H13/DAY(B2)</f>
        <v>19462.659615384622</v>
      </c>
      <c r="K13" s="863"/>
      <c r="L13" s="822"/>
      <c r="O13" s="849"/>
    </row>
    <row r="14" spans="1:15" ht="28.5" customHeight="1">
      <c r="A14" s="1620" t="s">
        <v>139</v>
      </c>
      <c r="B14" s="1621"/>
      <c r="C14" s="1622"/>
      <c r="D14" s="837"/>
      <c r="E14" s="837"/>
      <c r="F14" s="837"/>
      <c r="G14" s="869"/>
      <c r="H14" s="837"/>
      <c r="I14" s="837"/>
      <c r="J14" s="838"/>
      <c r="K14" s="870"/>
      <c r="L14" s="822">
        <v>1679344</v>
      </c>
      <c r="O14" s="849"/>
    </row>
    <row r="15" spans="1:15" ht="30.75" customHeight="1">
      <c r="A15" s="871" t="s">
        <v>140</v>
      </c>
      <c r="B15" s="872"/>
      <c r="C15" s="872"/>
      <c r="D15" s="842" t="s">
        <v>141</v>
      </c>
      <c r="E15" s="843">
        <f>'25'!F15</f>
        <v>1667759.5419999999</v>
      </c>
      <c r="F15" s="873">
        <v>1668448.08</v>
      </c>
      <c r="G15" s="1020">
        <f>(F15-E15)</f>
        <v>688.53800000017509</v>
      </c>
      <c r="H15" s="845">
        <f>G15+'25'!H15</f>
        <v>21759.080000000075</v>
      </c>
      <c r="I15" s="846">
        <f>'1'!I15</f>
        <v>800</v>
      </c>
      <c r="J15" s="847">
        <f>H15/DAY(B2)</f>
        <v>836.88769230769515</v>
      </c>
      <c r="K15" s="863"/>
      <c r="L15" s="822"/>
      <c r="O15" s="849"/>
    </row>
    <row r="16" spans="1:15" ht="20.100000000000001" customHeight="1">
      <c r="A16" s="874"/>
      <c r="B16" s="875"/>
      <c r="C16" s="875"/>
      <c r="D16" s="876"/>
      <c r="E16" s="877"/>
      <c r="F16" s="877"/>
      <c r="G16" s="844"/>
      <c r="H16" s="878"/>
      <c r="I16" s="879">
        <f>I15-J15</f>
        <v>-36.887692307695147</v>
      </c>
      <c r="J16" s="880"/>
      <c r="K16" s="863"/>
      <c r="L16" s="822">
        <f>L14-L11</f>
        <v>303877</v>
      </c>
      <c r="O16" s="849"/>
    </row>
    <row r="17" spans="1:15" ht="20.100000000000001" customHeight="1">
      <c r="A17" s="1620" t="s">
        <v>142</v>
      </c>
      <c r="B17" s="1621"/>
      <c r="C17" s="1622"/>
      <c r="D17" s="837"/>
      <c r="E17" s="837"/>
      <c r="F17" s="837"/>
      <c r="G17" s="881"/>
      <c r="H17" s="837"/>
      <c r="I17" s="837"/>
      <c r="J17" s="838"/>
      <c r="K17" s="863"/>
      <c r="L17" s="822"/>
      <c r="O17" s="849"/>
    </row>
    <row r="18" spans="1:15" ht="20.100000000000001" customHeight="1">
      <c r="A18" s="1602" t="s">
        <v>143</v>
      </c>
      <c r="B18" s="1603"/>
      <c r="C18" s="1604"/>
      <c r="D18" s="842" t="s">
        <v>144</v>
      </c>
      <c r="E18" s="843">
        <f>'25'!F18</f>
        <v>8</v>
      </c>
      <c r="F18" s="873">
        <v>10</v>
      </c>
      <c r="G18" s="867">
        <f>F18*10</f>
        <v>100</v>
      </c>
      <c r="H18" s="845">
        <f>G18+'25'!H18</f>
        <v>2440</v>
      </c>
      <c r="I18" s="846">
        <f>'1'!I18</f>
        <v>65</v>
      </c>
      <c r="J18" s="847">
        <f>H18/DAY(B2)</f>
        <v>93.84615384615384</v>
      </c>
      <c r="K18" s="863"/>
      <c r="L18" s="822"/>
      <c r="O18" s="849"/>
    </row>
    <row r="19" spans="1:15" ht="20.100000000000001" customHeight="1">
      <c r="A19" s="1602" t="s">
        <v>71</v>
      </c>
      <c r="B19" s="1603"/>
      <c r="C19" s="1604"/>
      <c r="D19" s="842" t="s">
        <v>144</v>
      </c>
      <c r="E19" s="843">
        <f>'25'!F19</f>
        <v>137536</v>
      </c>
      <c r="F19" s="873">
        <v>137595</v>
      </c>
      <c r="G19" s="844">
        <f t="shared" ref="G19" si="1">F19-E19</f>
        <v>59</v>
      </c>
      <c r="H19" s="845">
        <f>G19+'25'!H19</f>
        <v>1505</v>
      </c>
      <c r="I19" s="882"/>
      <c r="J19" s="847">
        <f>H19/DAY(B2)</f>
        <v>57.884615384615387</v>
      </c>
      <c r="K19" s="863"/>
      <c r="L19" s="822">
        <f>L16/26</f>
        <v>11687.576923076924</v>
      </c>
      <c r="O19" s="849"/>
    </row>
    <row r="20" spans="1:15" ht="20.100000000000001" customHeight="1">
      <c r="A20" s="865" t="s">
        <v>145</v>
      </c>
      <c r="B20" s="866"/>
      <c r="C20" s="866"/>
      <c r="D20" s="883"/>
      <c r="E20" s="883"/>
      <c r="F20" s="883"/>
      <c r="G20" s="884">
        <f>G18+G19</f>
        <v>159</v>
      </c>
      <c r="H20" s="845">
        <f>G20+'25'!H20</f>
        <v>3981</v>
      </c>
      <c r="I20" s="885">
        <f>I18-J20</f>
        <v>-88.115384615384613</v>
      </c>
      <c r="J20" s="847">
        <f>H20/DAY(B2)</f>
        <v>153.11538461538461</v>
      </c>
      <c r="K20" s="863"/>
      <c r="L20" s="822"/>
      <c r="O20" s="849"/>
    </row>
    <row r="21" spans="1:15" ht="20.100000000000001" customHeight="1">
      <c r="A21" s="1620" t="s">
        <v>146</v>
      </c>
      <c r="B21" s="1621"/>
      <c r="C21" s="1622"/>
      <c r="D21" s="837"/>
      <c r="E21" s="837"/>
      <c r="F21" s="837"/>
      <c r="G21" s="869"/>
      <c r="H21" s="837"/>
      <c r="I21" s="837"/>
      <c r="J21" s="838"/>
      <c r="K21" s="863"/>
      <c r="L21" s="822" t="e">
        <f>#REF!/G11</f>
        <v>#REF!</v>
      </c>
      <c r="O21" s="849"/>
    </row>
    <row r="22" spans="1:15" ht="20.100000000000001" customHeight="1">
      <c r="A22" s="871" t="s">
        <v>147</v>
      </c>
      <c r="B22" s="872"/>
      <c r="C22" s="872"/>
      <c r="D22" s="842" t="s">
        <v>148</v>
      </c>
      <c r="E22" s="873">
        <f>'25'!F22</f>
        <v>1290</v>
      </c>
      <c r="F22" s="873">
        <v>1290</v>
      </c>
      <c r="G22" s="867">
        <f t="shared" ref="G22:G23" si="2">E22-F22</f>
        <v>0</v>
      </c>
      <c r="H22" s="845">
        <f>G22+'25'!H22</f>
        <v>1290</v>
      </c>
      <c r="I22" s="864"/>
      <c r="J22" s="847">
        <f>H22/DAY(B2)</f>
        <v>49.615384615384613</v>
      </c>
      <c r="K22" s="863"/>
      <c r="L22" s="822"/>
      <c r="O22" s="849"/>
    </row>
    <row r="23" spans="1:15" ht="20.100000000000001" customHeight="1">
      <c r="A23" s="871" t="s">
        <v>149</v>
      </c>
      <c r="B23" s="872"/>
      <c r="C23" s="872"/>
      <c r="D23" s="842" t="s">
        <v>148</v>
      </c>
      <c r="E23" s="873">
        <f>'25'!F23</f>
        <v>2000</v>
      </c>
      <c r="F23" s="873">
        <v>2000</v>
      </c>
      <c r="G23" s="867">
        <f t="shared" si="2"/>
        <v>0</v>
      </c>
      <c r="H23" s="845">
        <f>G23+'25'!H23</f>
        <v>0</v>
      </c>
      <c r="I23" s="864"/>
      <c r="J23" s="847">
        <f>H23/DAY(B2)</f>
        <v>0</v>
      </c>
      <c r="K23" s="863"/>
      <c r="L23" s="822"/>
      <c r="O23" s="849"/>
    </row>
    <row r="24" spans="1:15" ht="20.100000000000001" customHeight="1">
      <c r="A24" s="886" t="s">
        <v>150</v>
      </c>
      <c r="B24" s="887"/>
      <c r="C24" s="887"/>
      <c r="D24" s="829" t="s">
        <v>148</v>
      </c>
      <c r="E24" s="873">
        <f>'25'!F24</f>
        <v>4970</v>
      </c>
      <c r="F24" s="888">
        <v>4970</v>
      </c>
      <c r="G24" s="867">
        <f>E24-F24</f>
        <v>0</v>
      </c>
      <c r="H24" s="845">
        <f>G24+'25'!H24</f>
        <v>1290</v>
      </c>
      <c r="I24" s="864"/>
      <c r="J24" s="847">
        <f>H24/DAY(B2)</f>
        <v>49.615384615384613</v>
      </c>
      <c r="K24" s="863"/>
      <c r="L24" s="822"/>
      <c r="O24" s="849"/>
    </row>
    <row r="25" spans="1:15" s="894" customFormat="1" ht="18.75" customHeight="1">
      <c r="A25" s="1626" t="s">
        <v>151</v>
      </c>
      <c r="B25" s="1627"/>
      <c r="C25" s="1628"/>
      <c r="D25" s="836"/>
      <c r="E25" s="836"/>
      <c r="F25" s="836"/>
      <c r="G25" s="889"/>
      <c r="H25" s="890"/>
      <c r="I25" s="891"/>
      <c r="J25" s="892"/>
      <c r="K25" s="863"/>
      <c r="L25" s="893"/>
      <c r="N25" s="1012"/>
      <c r="O25" s="849"/>
    </row>
    <row r="26" spans="1:15" s="894" customFormat="1" ht="18.75" customHeight="1">
      <c r="A26" s="895" t="s">
        <v>152</v>
      </c>
      <c r="B26" s="896"/>
      <c r="C26" s="897"/>
      <c r="D26" s="898" t="s">
        <v>153</v>
      </c>
      <c r="E26" s="899"/>
      <c r="F26" s="899"/>
      <c r="G26" s="900"/>
      <c r="H26" s="845"/>
      <c r="I26" s="901"/>
      <c r="J26" s="847"/>
      <c r="K26" s="870"/>
      <c r="L26" s="893"/>
      <c r="N26" s="1012"/>
      <c r="O26" s="849"/>
    </row>
    <row r="27" spans="1:15" s="894" customFormat="1" ht="18.75" customHeight="1">
      <c r="A27" s="895" t="s">
        <v>6</v>
      </c>
      <c r="B27" s="896"/>
      <c r="C27" s="897"/>
      <c r="D27" s="902" t="s">
        <v>25</v>
      </c>
      <c r="E27" s="903">
        <f>G8</f>
        <v>20629</v>
      </c>
      <c r="F27" s="501">
        <v>9</v>
      </c>
      <c r="G27" s="905">
        <f>E27*F27</f>
        <v>185661</v>
      </c>
      <c r="H27" s="845">
        <f>G27+'25'!H27</f>
        <v>4904388</v>
      </c>
      <c r="I27" s="906"/>
      <c r="J27" s="847">
        <f>H27/DAY(B2)</f>
        <v>188630.30769230769</v>
      </c>
      <c r="K27" s="863"/>
      <c r="L27" s="893"/>
      <c r="N27" s="1012"/>
      <c r="O27" s="849"/>
    </row>
    <row r="28" spans="1:15" s="894" customFormat="1" ht="18.75" customHeight="1">
      <c r="A28" s="895" t="s">
        <v>154</v>
      </c>
      <c r="B28" s="896"/>
      <c r="C28" s="897"/>
      <c r="D28" s="902" t="s">
        <v>155</v>
      </c>
      <c r="E28" s="903">
        <f>G15</f>
        <v>688.53800000017509</v>
      </c>
      <c r="F28" s="501">
        <v>51.45</v>
      </c>
      <c r="G28" s="905">
        <f>E28*F28</f>
        <v>35425.280100009011</v>
      </c>
      <c r="H28" s="845">
        <f>G28+'25'!H28</f>
        <v>1119504.6660000037</v>
      </c>
      <c r="I28" s="907"/>
      <c r="J28" s="847">
        <f>H28/DAY(B2)</f>
        <v>43057.871769230915</v>
      </c>
      <c r="K28" s="863"/>
      <c r="L28" s="893"/>
      <c r="N28" s="1012"/>
      <c r="O28" s="849"/>
    </row>
    <row r="29" spans="1:15" s="894" customFormat="1" ht="18.75" customHeight="1">
      <c r="A29" s="895" t="s">
        <v>156</v>
      </c>
      <c r="B29" s="896"/>
      <c r="C29" s="897"/>
      <c r="D29" s="902" t="s">
        <v>157</v>
      </c>
      <c r="E29" s="903">
        <f>G16</f>
        <v>0</v>
      </c>
      <c r="F29" s="904">
        <v>69</v>
      </c>
      <c r="G29" s="905">
        <f>E29*F29</f>
        <v>0</v>
      </c>
      <c r="H29" s="845">
        <f>G29+'25'!H29</f>
        <v>89010</v>
      </c>
      <c r="I29" s="907"/>
      <c r="J29" s="847">
        <f>H29/DAY(B2)</f>
        <v>3423.4615384615386</v>
      </c>
      <c r="K29" s="863"/>
      <c r="L29" s="893"/>
      <c r="N29" s="1012"/>
      <c r="O29" s="849"/>
    </row>
    <row r="30" spans="1:15" s="894" customFormat="1" ht="18.75" customHeight="1">
      <c r="A30" s="895" t="s">
        <v>158</v>
      </c>
      <c r="B30" s="896"/>
      <c r="C30" s="897"/>
      <c r="D30" s="902" t="s">
        <v>159</v>
      </c>
      <c r="E30" s="903">
        <f>G19</f>
        <v>59</v>
      </c>
      <c r="F30" s="904">
        <v>134</v>
      </c>
      <c r="G30" s="905">
        <f>E30*F30</f>
        <v>7906</v>
      </c>
      <c r="H30" s="845">
        <f>G30+'25'!H30</f>
        <v>203038</v>
      </c>
      <c r="I30" s="907"/>
      <c r="J30" s="847">
        <f>H30/DAY(B2)</f>
        <v>7809.1538461538457</v>
      </c>
      <c r="K30" s="863"/>
      <c r="L30" s="893"/>
      <c r="N30" s="1012"/>
      <c r="O30" s="849"/>
    </row>
    <row r="31" spans="1:15" s="894" customFormat="1" ht="18.75" customHeight="1">
      <c r="A31" s="895" t="s">
        <v>160</v>
      </c>
      <c r="B31" s="896"/>
      <c r="C31" s="897"/>
      <c r="D31" s="902" t="s">
        <v>144</v>
      </c>
      <c r="E31" s="903">
        <f>G18</f>
        <v>100</v>
      </c>
      <c r="F31" s="904">
        <v>80</v>
      </c>
      <c r="G31" s="905">
        <f>E31*F31</f>
        <v>8000</v>
      </c>
      <c r="H31" s="845">
        <f>G31+'25'!H31</f>
        <v>195200</v>
      </c>
      <c r="I31" s="907"/>
      <c r="J31" s="847"/>
      <c r="K31" s="863"/>
      <c r="L31" s="893"/>
      <c r="N31" s="1012"/>
      <c r="O31" s="849"/>
    </row>
    <row r="32" spans="1:15" s="894" customFormat="1" ht="18.75" customHeight="1">
      <c r="A32" s="908" t="s">
        <v>161</v>
      </c>
      <c r="B32" s="909"/>
      <c r="C32" s="910"/>
      <c r="D32" s="911"/>
      <c r="E32" s="911"/>
      <c r="F32" s="911"/>
      <c r="G32" s="912">
        <f>G27+G28+G29+G30+G31</f>
        <v>236992.280100009</v>
      </c>
      <c r="H32" s="845">
        <f>G32+'25'!H32</f>
        <v>6511140.6660000058</v>
      </c>
      <c r="I32" s="913"/>
      <c r="J32" s="847">
        <f>H32/DAY(B2)</f>
        <v>250428.48715384636</v>
      </c>
      <c r="K32" s="863"/>
      <c r="L32" s="893"/>
      <c r="N32" s="1012"/>
      <c r="O32" s="849"/>
    </row>
    <row r="33" spans="1:15" ht="20.100000000000001" customHeight="1">
      <c r="A33" s="1623" t="s">
        <v>162</v>
      </c>
      <c r="B33" s="1624"/>
      <c r="C33" s="1624"/>
      <c r="D33" s="1624"/>
      <c r="E33" s="1624"/>
      <c r="F33" s="1624"/>
      <c r="G33" s="1624"/>
      <c r="H33" s="1624"/>
      <c r="I33" s="1624"/>
      <c r="J33" s="1625"/>
      <c r="K33" s="863"/>
      <c r="L33" s="822"/>
      <c r="O33" s="849"/>
    </row>
    <row r="34" spans="1:15" ht="20.100000000000001" customHeight="1">
      <c r="A34" s="914" t="s">
        <v>163</v>
      </c>
      <c r="B34" s="915"/>
      <c r="C34" s="915"/>
      <c r="D34" s="837"/>
      <c r="E34" s="836"/>
      <c r="F34" s="836"/>
      <c r="G34" s="837"/>
      <c r="H34" s="837"/>
      <c r="I34" s="837"/>
      <c r="J34" s="838"/>
      <c r="K34" s="863"/>
      <c r="L34" s="822"/>
      <c r="O34" s="849"/>
    </row>
    <row r="35" spans="1:15" ht="20.100000000000001" customHeight="1">
      <c r="A35" s="840" t="s">
        <v>164</v>
      </c>
      <c r="B35" s="841"/>
      <c r="C35" s="841"/>
      <c r="D35" s="842" t="s">
        <v>132</v>
      </c>
      <c r="E35" s="843">
        <f>'25'!F35</f>
        <v>874087</v>
      </c>
      <c r="F35" s="916">
        <v>877162.95</v>
      </c>
      <c r="G35" s="844">
        <f t="shared" ref="G35:G46" si="3">F35-E35</f>
        <v>3075.9499999999534</v>
      </c>
      <c r="H35" s="845">
        <f>G35+'25'!H35</f>
        <v>78773.949999999953</v>
      </c>
      <c r="I35" s="843"/>
      <c r="J35" s="847">
        <f>H35/DAY(B2)</f>
        <v>3029.7673076923061</v>
      </c>
      <c r="K35" s="863"/>
      <c r="L35" s="822"/>
      <c r="O35" s="849"/>
    </row>
    <row r="36" spans="1:15" ht="20.100000000000001" customHeight="1">
      <c r="A36" s="840" t="s">
        <v>165</v>
      </c>
      <c r="B36" s="841"/>
      <c r="C36" s="841"/>
      <c r="D36" s="842" t="s">
        <v>132</v>
      </c>
      <c r="E36" s="843">
        <f>'25'!F36</f>
        <v>341901.27</v>
      </c>
      <c r="F36" s="916">
        <v>342668.07</v>
      </c>
      <c r="G36" s="844">
        <f t="shared" si="3"/>
        <v>766.79999999998836</v>
      </c>
      <c r="H36" s="845">
        <f>G36+'25'!H36</f>
        <v>25232.070000000007</v>
      </c>
      <c r="I36" s="843"/>
      <c r="J36" s="847">
        <f>H36/DAY(B2)</f>
        <v>970.46423076923099</v>
      </c>
      <c r="K36" s="863"/>
      <c r="L36" s="822"/>
      <c r="O36" s="849"/>
    </row>
    <row r="37" spans="1:15" ht="20.100000000000001" customHeight="1">
      <c r="A37" s="840" t="s">
        <v>166</v>
      </c>
      <c r="B37" s="841"/>
      <c r="C37" s="841"/>
      <c r="D37" s="842" t="s">
        <v>132</v>
      </c>
      <c r="E37" s="843">
        <f>'25'!F37</f>
        <v>88949.67</v>
      </c>
      <c r="F37" s="916">
        <v>90281.09</v>
      </c>
      <c r="G37" s="844">
        <f t="shared" si="3"/>
        <v>1331.4199999999983</v>
      </c>
      <c r="H37" s="845">
        <f>G37+'25'!H37</f>
        <v>35484.089999999997</v>
      </c>
      <c r="I37" s="843"/>
      <c r="J37" s="847">
        <f>H37/DAY(B2)</f>
        <v>1364.7726923076921</v>
      </c>
      <c r="K37" s="863"/>
      <c r="L37" s="822"/>
      <c r="O37" s="849"/>
    </row>
    <row r="38" spans="1:15" ht="20.100000000000001" customHeight="1">
      <c r="A38" s="840" t="s">
        <v>167</v>
      </c>
      <c r="B38" s="841"/>
      <c r="C38" s="841"/>
      <c r="D38" s="842" t="s">
        <v>132</v>
      </c>
      <c r="E38" s="843">
        <f>'25'!F38</f>
        <v>112810.42</v>
      </c>
      <c r="F38" s="832">
        <v>114244.11</v>
      </c>
      <c r="G38" s="844">
        <f t="shared" si="3"/>
        <v>1433.6900000000023</v>
      </c>
      <c r="H38" s="845">
        <f>G38+'25'!H38</f>
        <v>41936.11</v>
      </c>
      <c r="I38" s="843"/>
      <c r="J38" s="847">
        <f>H38/DAY(B2)</f>
        <v>1612.9273076923077</v>
      </c>
      <c r="K38" s="863"/>
      <c r="L38" s="822"/>
      <c r="O38" s="849"/>
    </row>
    <row r="39" spans="1:15" ht="20.100000000000001" customHeight="1">
      <c r="A39" s="840" t="s">
        <v>168</v>
      </c>
      <c r="B39" s="841"/>
      <c r="C39" s="841"/>
      <c r="D39" s="842" t="s">
        <v>132</v>
      </c>
      <c r="E39" s="843">
        <f>'25'!F39</f>
        <v>233993.75</v>
      </c>
      <c r="F39" s="916">
        <v>236905.11</v>
      </c>
      <c r="G39" s="844">
        <f t="shared" si="3"/>
        <v>2911.359999999986</v>
      </c>
      <c r="H39" s="845">
        <f>G39+'25'!H39</f>
        <v>84083.109999999986</v>
      </c>
      <c r="I39" s="843"/>
      <c r="J39" s="847">
        <f>H39/DAY(B2)</f>
        <v>3233.9657692307687</v>
      </c>
      <c r="K39" s="863"/>
      <c r="L39" s="822"/>
      <c r="O39" s="849"/>
    </row>
    <row r="40" spans="1:15" ht="20.100000000000001" customHeight="1">
      <c r="A40" s="917" t="s">
        <v>169</v>
      </c>
      <c r="B40" s="918"/>
      <c r="C40" s="918"/>
      <c r="D40" s="842" t="s">
        <v>132</v>
      </c>
      <c r="E40" s="843">
        <f>'25'!F40</f>
        <v>0.23</v>
      </c>
      <c r="F40" s="916">
        <v>0.23</v>
      </c>
      <c r="G40" s="844">
        <f t="shared" si="3"/>
        <v>0</v>
      </c>
      <c r="H40" s="845">
        <f>G40+'25'!H40</f>
        <v>0.4</v>
      </c>
      <c r="I40" s="843"/>
      <c r="J40" s="847">
        <f>H40/DAY(B2)</f>
        <v>1.5384615384615385E-2</v>
      </c>
      <c r="K40" s="870"/>
      <c r="L40" s="822"/>
      <c r="O40" s="849"/>
    </row>
    <row r="41" spans="1:15" ht="20.100000000000001" customHeight="1">
      <c r="A41" s="840" t="s">
        <v>170</v>
      </c>
      <c r="B41" s="841"/>
      <c r="C41" s="841"/>
      <c r="D41" s="842" t="s">
        <v>132</v>
      </c>
      <c r="E41" s="843">
        <f>'25'!F41</f>
        <v>164737.54999999999</v>
      </c>
      <c r="F41" s="916">
        <v>164850.88</v>
      </c>
      <c r="G41" s="844">
        <f t="shared" si="3"/>
        <v>113.3300000000163</v>
      </c>
      <c r="H41" s="845">
        <f>G41+'25'!H41</f>
        <v>31709.880000000005</v>
      </c>
      <c r="I41" s="843"/>
      <c r="J41" s="847">
        <f>H41/DAY(B2)</f>
        <v>1219.6107692307694</v>
      </c>
      <c r="K41" s="863"/>
      <c r="L41" s="822"/>
      <c r="O41" s="849"/>
    </row>
    <row r="42" spans="1:15" ht="20.100000000000001" customHeight="1">
      <c r="A42" s="840" t="s">
        <v>171</v>
      </c>
      <c r="B42" s="841"/>
      <c r="C42" s="841"/>
      <c r="D42" s="842" t="s">
        <v>132</v>
      </c>
      <c r="E42" s="843">
        <f>'25'!F42</f>
        <v>59128.163</v>
      </c>
      <c r="F42" s="916">
        <v>59128.163</v>
      </c>
      <c r="G42" s="844">
        <f t="shared" si="3"/>
        <v>0</v>
      </c>
      <c r="H42" s="845">
        <f>G42+'25'!H42</f>
        <v>2.9999999969732016E-3</v>
      </c>
      <c r="I42" s="843"/>
      <c r="J42" s="847">
        <f>H42/DAY(B2)</f>
        <v>1.1538461526820007E-4</v>
      </c>
      <c r="K42" s="863"/>
      <c r="L42" s="822"/>
      <c r="N42" s="1013">
        <f>3450-G42</f>
        <v>3450</v>
      </c>
      <c r="O42" s="849"/>
    </row>
    <row r="43" spans="1:15" ht="20.100000000000001" customHeight="1">
      <c r="A43" s="840" t="s">
        <v>172</v>
      </c>
      <c r="B43" s="841"/>
      <c r="C43" s="841"/>
      <c r="D43" s="842" t="s">
        <v>132</v>
      </c>
      <c r="E43" s="843">
        <f>'25'!F43</f>
        <v>962093.07</v>
      </c>
      <c r="F43" s="916">
        <v>964642.31</v>
      </c>
      <c r="G43" s="844">
        <f t="shared" si="3"/>
        <v>2549.2400000001071</v>
      </c>
      <c r="H43" s="845">
        <f>G43+'25'!H43</f>
        <v>62594.310000000056</v>
      </c>
      <c r="I43" s="843"/>
      <c r="J43" s="847">
        <f>H43/DAY(B2)</f>
        <v>2407.4734615384637</v>
      </c>
      <c r="K43" s="863"/>
      <c r="L43" s="822"/>
      <c r="O43" s="849"/>
    </row>
    <row r="44" spans="1:15" ht="20.100000000000001" customHeight="1">
      <c r="A44" s="840" t="s">
        <v>173</v>
      </c>
      <c r="B44" s="841"/>
      <c r="C44" s="841"/>
      <c r="D44" s="842" t="s">
        <v>132</v>
      </c>
      <c r="E44" s="843">
        <f>'25'!F44</f>
        <v>0</v>
      </c>
      <c r="F44" s="916">
        <v>0</v>
      </c>
      <c r="G44" s="844">
        <f t="shared" si="3"/>
        <v>0</v>
      </c>
      <c r="H44" s="845">
        <f>G44+'25'!H44</f>
        <v>0</v>
      </c>
      <c r="I44" s="843"/>
      <c r="J44" s="847">
        <f>H44/DAY(B2)</f>
        <v>0</v>
      </c>
      <c r="K44" s="863"/>
      <c r="L44" s="822"/>
      <c r="O44" s="849"/>
    </row>
    <row r="45" spans="1:15" ht="20.100000000000001" customHeight="1">
      <c r="A45" s="840" t="s">
        <v>174</v>
      </c>
      <c r="B45" s="841"/>
      <c r="C45" s="841"/>
      <c r="D45" s="842" t="s">
        <v>132</v>
      </c>
      <c r="E45" s="843">
        <f>'25'!F45</f>
        <v>614</v>
      </c>
      <c r="F45" s="916">
        <v>614</v>
      </c>
      <c r="G45" s="844">
        <f t="shared" si="3"/>
        <v>0</v>
      </c>
      <c r="H45" s="845">
        <f>G45+'25'!H45</f>
        <v>614</v>
      </c>
      <c r="I45" s="843"/>
      <c r="J45" s="847">
        <f>H45/DAY(B2)</f>
        <v>23.615384615384617</v>
      </c>
      <c r="K45" s="863"/>
      <c r="L45" s="822"/>
      <c r="O45" s="849"/>
    </row>
    <row r="46" spans="1:15" ht="20.100000000000001" customHeight="1">
      <c r="A46" s="840" t="s">
        <v>175</v>
      </c>
      <c r="B46" s="841"/>
      <c r="C46" s="841"/>
      <c r="D46" s="842" t="s">
        <v>132</v>
      </c>
      <c r="E46" s="843">
        <f>'25'!F46</f>
        <v>187</v>
      </c>
      <c r="F46" s="916">
        <v>187</v>
      </c>
      <c r="G46" s="844">
        <f t="shared" si="3"/>
        <v>0</v>
      </c>
      <c r="H46" s="845">
        <f>G46+'25'!H46</f>
        <v>186.95</v>
      </c>
      <c r="I46" s="843"/>
      <c r="J46" s="847">
        <f>H46/DAY(B2)</f>
        <v>7.1903846153846152</v>
      </c>
      <c r="K46" s="863"/>
      <c r="L46" s="822"/>
      <c r="O46" s="849"/>
    </row>
    <row r="47" spans="1:15" ht="20.100000000000001" customHeight="1">
      <c r="A47" s="865" t="s">
        <v>176</v>
      </c>
      <c r="B47" s="866"/>
      <c r="C47" s="866"/>
      <c r="D47" s="833"/>
      <c r="E47" s="829"/>
      <c r="F47" s="829"/>
      <c r="G47" s="867">
        <f>G35+G36+G37+G38+G39+G40+G41+G42+G43+G44+G45+G46</f>
        <v>12181.790000000052</v>
      </c>
      <c r="H47" s="845">
        <f>G47+'25'!H47</f>
        <v>361416.36300000001</v>
      </c>
      <c r="I47" s="843"/>
      <c r="J47" s="847">
        <f>H47/DAY(B2)</f>
        <v>13900.629346153846</v>
      </c>
      <c r="K47" s="863"/>
      <c r="L47" s="822"/>
      <c r="N47" s="1013"/>
      <c r="O47" s="849"/>
    </row>
    <row r="48" spans="1:15" ht="20.100000000000001" customHeight="1">
      <c r="A48" s="914" t="s">
        <v>177</v>
      </c>
      <c r="B48" s="915"/>
      <c r="C48" s="915"/>
      <c r="D48" s="837"/>
      <c r="E48" s="836"/>
      <c r="F48" s="836"/>
      <c r="G48" s="837"/>
      <c r="H48" s="837"/>
      <c r="I48" s="837"/>
      <c r="J48" s="838"/>
      <c r="K48" s="863"/>
      <c r="L48" s="822"/>
      <c r="O48" s="849"/>
    </row>
    <row r="49" spans="1:15" ht="20.100000000000001" customHeight="1">
      <c r="A49" s="840" t="s">
        <v>164</v>
      </c>
      <c r="B49" s="919"/>
      <c r="C49" s="919"/>
      <c r="D49" s="842" t="s">
        <v>132</v>
      </c>
      <c r="E49" s="843">
        <f>'25'!F49</f>
        <v>260732.13</v>
      </c>
      <c r="F49" s="916">
        <v>260732.13</v>
      </c>
      <c r="G49" s="844">
        <f t="shared" ref="G49:G58" si="4">F49-E49</f>
        <v>0</v>
      </c>
      <c r="H49" s="845">
        <f>G49+'25'!H49</f>
        <v>0.13000000000465661</v>
      </c>
      <c r="I49" s="843"/>
      <c r="J49" s="847">
        <f>H49/DAY(B2)</f>
        <v>5.0000000001791008E-3</v>
      </c>
      <c r="K49" s="863"/>
      <c r="L49" s="822"/>
      <c r="O49" s="849"/>
    </row>
    <row r="50" spans="1:15" ht="20.100000000000001" customHeight="1">
      <c r="A50" s="840" t="s">
        <v>178</v>
      </c>
      <c r="B50" s="919"/>
      <c r="C50" s="919"/>
      <c r="D50" s="842" t="s">
        <v>132</v>
      </c>
      <c r="E50" s="843">
        <f>'25'!F50</f>
        <v>469023.11</v>
      </c>
      <c r="F50" s="916">
        <v>470217.15</v>
      </c>
      <c r="G50" s="844">
        <f t="shared" si="4"/>
        <v>1194.0400000000373</v>
      </c>
      <c r="H50" s="845">
        <f>G50+'25'!H50</f>
        <v>27943.109999999986</v>
      </c>
      <c r="I50" s="843"/>
      <c r="J50" s="847">
        <f>H50/DAY(B2)</f>
        <v>1074.7349999999994</v>
      </c>
      <c r="K50" s="863"/>
      <c r="L50" s="822"/>
      <c r="O50" s="849"/>
    </row>
    <row r="51" spans="1:15" ht="20.100000000000001" customHeight="1">
      <c r="A51" s="840" t="s">
        <v>166</v>
      </c>
      <c r="B51" s="919"/>
      <c r="C51" s="919"/>
      <c r="D51" s="842" t="s">
        <v>132</v>
      </c>
      <c r="E51" s="843">
        <f>'25'!F51</f>
        <v>144639.87</v>
      </c>
      <c r="F51" s="916">
        <v>144639.87</v>
      </c>
      <c r="G51" s="844">
        <f t="shared" si="4"/>
        <v>0</v>
      </c>
      <c r="H51" s="845">
        <f>G51+'25'!H51</f>
        <v>-0.13000000000465661</v>
      </c>
      <c r="I51" s="843"/>
      <c r="J51" s="847">
        <f>H51/DAY(B2)</f>
        <v>-5.0000000001791008E-3</v>
      </c>
      <c r="K51" s="863"/>
      <c r="L51" s="822"/>
      <c r="O51" s="849"/>
    </row>
    <row r="52" spans="1:15" ht="20.100000000000001" customHeight="1">
      <c r="A52" s="840" t="s">
        <v>179</v>
      </c>
      <c r="B52" s="919"/>
      <c r="C52" s="919"/>
      <c r="D52" s="842" t="s">
        <v>132</v>
      </c>
      <c r="E52" s="843">
        <f>'25'!F52</f>
        <v>539606.06999999995</v>
      </c>
      <c r="F52" s="916">
        <v>539606.06999999995</v>
      </c>
      <c r="G52" s="844">
        <f t="shared" si="4"/>
        <v>0</v>
      </c>
      <c r="H52" s="845">
        <f>G52+'25'!H52</f>
        <v>6.9999999948777258E-2</v>
      </c>
      <c r="I52" s="843"/>
      <c r="J52" s="847">
        <f>H52/DAY(B2)</f>
        <v>2.6923076903375867E-3</v>
      </c>
      <c r="K52" s="863"/>
      <c r="L52" s="822"/>
      <c r="O52" s="849"/>
    </row>
    <row r="53" spans="1:15" ht="20.100000000000001" customHeight="1">
      <c r="A53" s="840" t="s">
        <v>168</v>
      </c>
      <c r="B53" s="919"/>
      <c r="C53" s="919"/>
      <c r="D53" s="842" t="s">
        <v>132</v>
      </c>
      <c r="E53" s="843">
        <f>'25'!F53</f>
        <v>413435.81</v>
      </c>
      <c r="F53" s="916">
        <v>414047.95</v>
      </c>
      <c r="G53" s="844">
        <f t="shared" si="4"/>
        <v>612.14000000001397</v>
      </c>
      <c r="H53" s="845">
        <f>G53+'25'!H53</f>
        <v>9868.1500000000233</v>
      </c>
      <c r="I53" s="843"/>
      <c r="J53" s="847">
        <f>H53/DAY(B2)</f>
        <v>379.54423076923166</v>
      </c>
      <c r="K53" s="863"/>
      <c r="L53" s="822"/>
      <c r="O53" s="849"/>
    </row>
    <row r="54" spans="1:15" ht="20.100000000000001" customHeight="1">
      <c r="A54" s="840" t="s">
        <v>180</v>
      </c>
      <c r="B54" s="919"/>
      <c r="C54" s="919"/>
      <c r="D54" s="842" t="s">
        <v>132</v>
      </c>
      <c r="E54" s="843">
        <f>'25'!F54</f>
        <v>11007.63</v>
      </c>
      <c r="F54" s="916">
        <v>11085.133</v>
      </c>
      <c r="G54" s="844">
        <f t="shared" si="4"/>
        <v>77.503000000000611</v>
      </c>
      <c r="H54" s="845">
        <f>G54+'25'!H54</f>
        <v>4860.1630000000005</v>
      </c>
      <c r="I54" s="843"/>
      <c r="J54" s="847">
        <f>H54/DAY(B2)</f>
        <v>186.92934615384618</v>
      </c>
      <c r="K54" s="863"/>
      <c r="L54" s="822"/>
      <c r="O54" s="849"/>
    </row>
    <row r="55" spans="1:15" ht="20.100000000000001" customHeight="1">
      <c r="A55" s="840" t="s">
        <v>181</v>
      </c>
      <c r="B55" s="919"/>
      <c r="C55" s="919"/>
      <c r="D55" s="842" t="s">
        <v>132</v>
      </c>
      <c r="E55" s="843">
        <f>'25'!F55</f>
        <v>336375.99</v>
      </c>
      <c r="F55" s="916">
        <v>342358.67</v>
      </c>
      <c r="G55" s="844">
        <f t="shared" si="4"/>
        <v>5982.679999999993</v>
      </c>
      <c r="H55" s="845">
        <f>G55+'25'!H55</f>
        <v>120905.46999999997</v>
      </c>
      <c r="I55" s="843"/>
      <c r="J55" s="847">
        <f>H55/DAY(B2)</f>
        <v>4650.2103846153832</v>
      </c>
      <c r="K55" s="863"/>
      <c r="L55" s="822"/>
      <c r="O55" s="849"/>
    </row>
    <row r="56" spans="1:15" ht="20.100000000000001" customHeight="1">
      <c r="A56" s="840" t="s">
        <v>182</v>
      </c>
      <c r="B56" s="919"/>
      <c r="C56" s="919"/>
      <c r="D56" s="842" t="s">
        <v>183</v>
      </c>
      <c r="E56" s="843">
        <f>'25'!F56</f>
        <v>589206.43000000005</v>
      </c>
      <c r="F56" s="916">
        <v>589215.75</v>
      </c>
      <c r="G56" s="844">
        <f t="shared" si="4"/>
        <v>9.3199999999487773</v>
      </c>
      <c r="H56" s="845">
        <f>G56+'25'!H56</f>
        <v>239.5899999999674</v>
      </c>
      <c r="I56" s="843"/>
      <c r="J56" s="847">
        <f>H56/DAY(B2)</f>
        <v>9.2149999999987457</v>
      </c>
      <c r="K56" s="839"/>
      <c r="L56" s="822"/>
      <c r="O56" s="849"/>
    </row>
    <row r="57" spans="1:15" ht="20.100000000000001" customHeight="1">
      <c r="A57" s="840" t="s">
        <v>172</v>
      </c>
      <c r="B57" s="919"/>
      <c r="C57" s="919"/>
      <c r="D57" s="842" t="s">
        <v>132</v>
      </c>
      <c r="E57" s="843">
        <f>'25'!F57</f>
        <v>7711</v>
      </c>
      <c r="F57" s="916">
        <v>7711</v>
      </c>
      <c r="G57" s="844">
        <f t="shared" si="4"/>
        <v>0</v>
      </c>
      <c r="H57" s="845">
        <f>G57+'25'!H57</f>
        <v>0</v>
      </c>
      <c r="I57" s="843"/>
      <c r="J57" s="847">
        <f>H57/DAY(B2)</f>
        <v>0</v>
      </c>
      <c r="K57" s="863"/>
      <c r="L57" s="822"/>
      <c r="O57" s="849"/>
    </row>
    <row r="58" spans="1:15" ht="20.100000000000001" customHeight="1">
      <c r="A58" s="840" t="s">
        <v>184</v>
      </c>
      <c r="B58" s="919"/>
      <c r="C58" s="919"/>
      <c r="D58" s="842" t="s">
        <v>132</v>
      </c>
      <c r="E58" s="843">
        <f>'25'!F58</f>
        <v>46057.65</v>
      </c>
      <c r="F58" s="916">
        <v>46210.811000000002</v>
      </c>
      <c r="G58" s="844">
        <f t="shared" si="4"/>
        <v>153.16100000000006</v>
      </c>
      <c r="H58" s="845">
        <f>G58+'25'!H58</f>
        <v>4509.4709999999977</v>
      </c>
      <c r="I58" s="843"/>
      <c r="J58" s="847">
        <f>H58/DAY(B2)</f>
        <v>173.44119230769223</v>
      </c>
      <c r="K58" s="863"/>
      <c r="L58" s="822"/>
      <c r="O58" s="849"/>
    </row>
    <row r="59" spans="1:15" ht="20.100000000000001" customHeight="1">
      <c r="A59" s="865" t="s">
        <v>176</v>
      </c>
      <c r="B59" s="866"/>
      <c r="C59" s="866"/>
      <c r="D59" s="829"/>
      <c r="E59" s="829"/>
      <c r="F59" s="829"/>
      <c r="G59" s="867">
        <f>G49+G50+G51+G52+G53+G54+G55+G56+G57+G58</f>
        <v>8028.8439999999937</v>
      </c>
      <c r="H59" s="845">
        <f>G59+'25'!H59</f>
        <v>168324.02399999992</v>
      </c>
      <c r="I59" s="843">
        <f>G7-G60</f>
        <v>322.36599999995451</v>
      </c>
      <c r="J59" s="847">
        <f>H59/DAY(B2)</f>
        <v>6474.0009230769201</v>
      </c>
      <c r="K59" s="863"/>
      <c r="L59" s="822"/>
      <c r="O59" s="849"/>
    </row>
    <row r="60" spans="1:15" ht="20.100000000000001" customHeight="1">
      <c r="A60" s="840"/>
      <c r="B60" s="841"/>
      <c r="C60" s="841"/>
      <c r="D60" s="829" t="s">
        <v>185</v>
      </c>
      <c r="E60" s="829"/>
      <c r="F60" s="829"/>
      <c r="G60" s="867">
        <f>G47+G59</f>
        <v>20210.634000000045</v>
      </c>
      <c r="H60" s="845">
        <f>G60+'25'!H60</f>
        <v>536939.93699999992</v>
      </c>
      <c r="I60" s="843">
        <f>G13-G60</f>
        <v>-316.79399999996167</v>
      </c>
      <c r="J60" s="847">
        <f>H60/DAY(B2)</f>
        <v>20651.536038461534</v>
      </c>
      <c r="K60" s="863"/>
      <c r="L60" s="822"/>
      <c r="O60" s="849"/>
    </row>
    <row r="61" spans="1:15" ht="20.100000000000001" customHeight="1">
      <c r="A61" s="920" t="s">
        <v>186</v>
      </c>
      <c r="B61" s="921"/>
      <c r="C61" s="921"/>
      <c r="D61" s="921"/>
      <c r="E61" s="922"/>
      <c r="F61" s="922"/>
      <c r="G61" s="921"/>
      <c r="H61" s="921"/>
      <c r="I61" s="921"/>
      <c r="J61" s="923"/>
      <c r="K61" s="863"/>
      <c r="L61" s="822"/>
      <c r="O61" s="849"/>
    </row>
    <row r="62" spans="1:15" ht="20.100000000000001" customHeight="1">
      <c r="A62" s="924" t="s">
        <v>98</v>
      </c>
      <c r="B62" s="925"/>
      <c r="C62" s="925"/>
      <c r="D62" s="829" t="s">
        <v>187</v>
      </c>
      <c r="E62" s="843">
        <f>'25'!F62</f>
        <v>20419</v>
      </c>
      <c r="F62" s="926">
        <v>20419</v>
      </c>
      <c r="G62" s="844">
        <f t="shared" ref="G62:G69" si="5">F62-E62</f>
        <v>0</v>
      </c>
      <c r="H62" s="845">
        <f>G62+'25'!H62</f>
        <v>0.18199999999706051</v>
      </c>
      <c r="I62" s="927"/>
      <c r="J62" s="847">
        <f>H62/DAY(B2)</f>
        <v>6.999999999886943E-3</v>
      </c>
      <c r="K62" s="863"/>
      <c r="L62" s="822"/>
      <c r="O62" s="849"/>
    </row>
    <row r="63" spans="1:15" ht="20.100000000000001" customHeight="1">
      <c r="A63" s="924" t="s">
        <v>188</v>
      </c>
      <c r="B63" s="925"/>
      <c r="C63" s="925"/>
      <c r="D63" s="829" t="s">
        <v>187</v>
      </c>
      <c r="E63" s="843">
        <f>'25'!F63</f>
        <v>2333.34</v>
      </c>
      <c r="F63" s="926">
        <v>2339.09</v>
      </c>
      <c r="G63" s="844">
        <f t="shared" si="5"/>
        <v>5.75</v>
      </c>
      <c r="H63" s="845">
        <f>G63+'25'!H63</f>
        <v>243.09000000000015</v>
      </c>
      <c r="I63" s="927"/>
      <c r="J63" s="847">
        <f>H63/DAY(B2)</f>
        <v>9.3496153846153902</v>
      </c>
      <c r="K63" s="863"/>
      <c r="L63" s="822"/>
      <c r="O63" s="849"/>
    </row>
    <row r="64" spans="1:15" ht="20.100000000000001" customHeight="1">
      <c r="A64" s="1608" t="s">
        <v>99</v>
      </c>
      <c r="B64" s="1609"/>
      <c r="C64" s="1610"/>
      <c r="D64" s="842" t="s">
        <v>187</v>
      </c>
      <c r="E64" s="843">
        <f>'25'!F64</f>
        <v>151332.69</v>
      </c>
      <c r="F64" s="873">
        <v>151828.01999999999</v>
      </c>
      <c r="G64" s="844">
        <f t="shared" si="5"/>
        <v>495.32999999998719</v>
      </c>
      <c r="H64" s="845">
        <f>G64+'25'!H64</f>
        <v>12648.01999999999</v>
      </c>
      <c r="I64" s="864"/>
      <c r="J64" s="847">
        <f>H64/DAY(B2)</f>
        <v>486.46230769230726</v>
      </c>
      <c r="K64" s="863"/>
      <c r="L64" s="822"/>
      <c r="O64" s="849"/>
    </row>
    <row r="65" spans="1:15" ht="20.100000000000001" customHeight="1">
      <c r="A65" s="1608" t="s">
        <v>100</v>
      </c>
      <c r="B65" s="1609"/>
      <c r="C65" s="1610"/>
      <c r="D65" s="842" t="s">
        <v>187</v>
      </c>
      <c r="E65" s="843">
        <f>'25'!F65</f>
        <v>153226.18</v>
      </c>
      <c r="F65" s="873">
        <v>153594.48000000001</v>
      </c>
      <c r="G65" s="844">
        <f t="shared" si="5"/>
        <v>368.30000000001746</v>
      </c>
      <c r="H65" s="845">
        <f>G65+'25'!H65</f>
        <v>9389.4800000000105</v>
      </c>
      <c r="I65" s="882"/>
      <c r="J65" s="847">
        <f>H65/DAY(B2)</f>
        <v>361.13384615384655</v>
      </c>
      <c r="K65" s="863"/>
      <c r="L65" s="822"/>
      <c r="O65" s="849"/>
    </row>
    <row r="66" spans="1:15" ht="20.100000000000001" customHeight="1">
      <c r="A66" s="1608" t="s">
        <v>101</v>
      </c>
      <c r="B66" s="1609"/>
      <c r="C66" s="1610"/>
      <c r="D66" s="842" t="s">
        <v>187</v>
      </c>
      <c r="E66" s="843">
        <f>'25'!F66</f>
        <v>46974.400000000001</v>
      </c>
      <c r="F66" s="873">
        <v>47352.91</v>
      </c>
      <c r="G66" s="844">
        <f t="shared" si="5"/>
        <v>378.51000000000204</v>
      </c>
      <c r="H66" s="845">
        <f>G66+'25'!H66</f>
        <v>10144.910000000003</v>
      </c>
      <c r="I66" s="864"/>
      <c r="J66" s="847">
        <f>H66/DAY(B2)</f>
        <v>390.18884615384627</v>
      </c>
      <c r="K66" s="863"/>
      <c r="L66" s="822"/>
      <c r="O66" s="849"/>
    </row>
    <row r="67" spans="1:15" ht="20.100000000000001" customHeight="1">
      <c r="A67" s="1608" t="s">
        <v>102</v>
      </c>
      <c r="B67" s="1609"/>
      <c r="C67" s="1610"/>
      <c r="D67" s="842" t="s">
        <v>187</v>
      </c>
      <c r="E67" s="843">
        <f>'25'!F67</f>
        <v>241583.11</v>
      </c>
      <c r="F67" s="873">
        <v>241972.13</v>
      </c>
      <c r="G67" s="844">
        <f t="shared" si="5"/>
        <v>389.02000000001863</v>
      </c>
      <c r="H67" s="845">
        <f>G67+'25'!H67</f>
        <v>12872.130000000005</v>
      </c>
      <c r="I67" s="882"/>
      <c r="J67" s="847">
        <f>H67/DAY(B2)</f>
        <v>495.08192307692326</v>
      </c>
      <c r="K67" s="870"/>
      <c r="L67" s="822"/>
      <c r="O67" s="849"/>
    </row>
    <row r="68" spans="1:15" ht="20.100000000000001" customHeight="1">
      <c r="A68" s="1608" t="s">
        <v>103</v>
      </c>
      <c r="B68" s="1609"/>
      <c r="C68" s="1610"/>
      <c r="D68" s="842" t="s">
        <v>187</v>
      </c>
      <c r="E68" s="843">
        <f>'25'!F68</f>
        <v>85321</v>
      </c>
      <c r="F68" s="873">
        <v>85321</v>
      </c>
      <c r="G68" s="844">
        <f t="shared" si="5"/>
        <v>0</v>
      </c>
      <c r="H68" s="845">
        <f>G68+'25'!H68</f>
        <v>2234</v>
      </c>
      <c r="I68" s="928"/>
      <c r="J68" s="847">
        <f>H68/DAY(B2)</f>
        <v>85.92307692307692</v>
      </c>
      <c r="K68" s="929"/>
      <c r="L68" s="822"/>
      <c r="O68" s="849"/>
    </row>
    <row r="69" spans="1:15" ht="20.100000000000001" customHeight="1">
      <c r="A69" s="1608" t="s">
        <v>104</v>
      </c>
      <c r="B69" s="1609"/>
      <c r="C69" s="1610"/>
      <c r="D69" s="842" t="s">
        <v>187</v>
      </c>
      <c r="E69" s="843">
        <f>'25'!F69</f>
        <v>78609.8</v>
      </c>
      <c r="F69" s="873">
        <v>78730.27</v>
      </c>
      <c r="G69" s="844">
        <f t="shared" si="5"/>
        <v>120.47000000000116</v>
      </c>
      <c r="H69" s="845">
        <f>G69+'25'!H69</f>
        <v>4401.2700000000041</v>
      </c>
      <c r="I69" s="928"/>
      <c r="J69" s="847">
        <f>H69/DAY(B2)</f>
        <v>169.27961538461554</v>
      </c>
      <c r="K69" s="930"/>
      <c r="L69" s="822"/>
      <c r="O69" s="849"/>
    </row>
    <row r="70" spans="1:15" ht="20.100000000000001" customHeight="1">
      <c r="A70" s="1617" t="s">
        <v>189</v>
      </c>
      <c r="B70" s="1618"/>
      <c r="C70" s="1619"/>
      <c r="D70" s="842" t="s">
        <v>187</v>
      </c>
      <c r="E70" s="931"/>
      <c r="F70" s="932"/>
      <c r="G70" s="932"/>
      <c r="H70" s="845">
        <f>G70+'13'!H70</f>
        <v>0</v>
      </c>
      <c r="I70" s="932"/>
      <c r="J70" s="933"/>
      <c r="K70" s="930"/>
      <c r="L70" s="822"/>
      <c r="O70" s="849"/>
    </row>
    <row r="71" spans="1:15" ht="20.100000000000001" customHeight="1">
      <c r="A71" s="1614" t="s">
        <v>190</v>
      </c>
      <c r="B71" s="1615"/>
      <c r="C71" s="1615"/>
      <c r="D71" s="1615"/>
      <c r="E71" s="1615"/>
      <c r="F71" s="1615"/>
      <c r="G71" s="1615"/>
      <c r="H71" s="1615"/>
      <c r="I71" s="1615"/>
      <c r="J71" s="1616"/>
      <c r="K71" s="929"/>
      <c r="L71" s="822"/>
      <c r="O71" s="849"/>
    </row>
    <row r="72" spans="1:15" ht="20.100000000000001" customHeight="1">
      <c r="A72" s="1608" t="s">
        <v>191</v>
      </c>
      <c r="B72" s="1609"/>
      <c r="C72" s="1610"/>
      <c r="D72" s="842" t="s">
        <v>187</v>
      </c>
      <c r="E72" s="843">
        <f>'25'!F72</f>
        <v>855240</v>
      </c>
      <c r="F72" s="934">
        <v>855297</v>
      </c>
      <c r="G72" s="844">
        <f t="shared" ref="G72:G84" si="6">F72-E72</f>
        <v>57</v>
      </c>
      <c r="H72" s="845">
        <f>G72+'25'!H72</f>
        <v>2034</v>
      </c>
      <c r="I72" s="864"/>
      <c r="J72" s="847">
        <f>H72/DAY(B2)</f>
        <v>78.230769230769226</v>
      </c>
      <c r="K72" s="930"/>
      <c r="L72" s="822"/>
      <c r="O72" s="849"/>
    </row>
    <row r="73" spans="1:15" ht="20.100000000000001" customHeight="1">
      <c r="A73" s="1608" t="s">
        <v>192</v>
      </c>
      <c r="B73" s="1609"/>
      <c r="C73" s="1610"/>
      <c r="D73" s="842" t="s">
        <v>187</v>
      </c>
      <c r="E73" s="843">
        <f>'25'!F73</f>
        <v>885866</v>
      </c>
      <c r="F73" s="935">
        <v>885867</v>
      </c>
      <c r="G73" s="844">
        <f t="shared" si="6"/>
        <v>1</v>
      </c>
      <c r="H73" s="845">
        <f>G73+'25'!H73</f>
        <v>1288</v>
      </c>
      <c r="I73" s="864"/>
      <c r="J73" s="847">
        <f>H73/DAY(B2)</f>
        <v>49.53846153846154</v>
      </c>
      <c r="K73" s="929"/>
      <c r="L73" s="822"/>
      <c r="O73" s="849"/>
    </row>
    <row r="74" spans="1:15" ht="20.100000000000001" customHeight="1">
      <c r="A74" s="1608" t="s">
        <v>193</v>
      </c>
      <c r="B74" s="1609"/>
      <c r="C74" s="1610"/>
      <c r="D74" s="842" t="s">
        <v>187</v>
      </c>
      <c r="E74" s="843">
        <f>'25'!F74</f>
        <v>2124.8000000000002</v>
      </c>
      <c r="F74" s="936">
        <v>2156.4989999999998</v>
      </c>
      <c r="G74" s="844">
        <f t="shared" si="6"/>
        <v>31.698999999999614</v>
      </c>
      <c r="H74" s="845">
        <f>G74+'25'!H74</f>
        <v>786.4989999999998</v>
      </c>
      <c r="I74" s="864"/>
      <c r="J74" s="847">
        <f>H74/DAY(B2)</f>
        <v>30.24996153846153</v>
      </c>
      <c r="K74" s="930"/>
      <c r="L74" s="822"/>
      <c r="O74" s="849"/>
    </row>
    <row r="75" spans="1:15" ht="20.100000000000001" customHeight="1">
      <c r="A75" s="1611" t="s">
        <v>194</v>
      </c>
      <c r="B75" s="1612"/>
      <c r="C75" s="1613"/>
      <c r="D75" s="842" t="s">
        <v>187</v>
      </c>
      <c r="E75" s="843">
        <f>'25'!F75</f>
        <v>10686.62</v>
      </c>
      <c r="F75" s="936">
        <v>10749.82</v>
      </c>
      <c r="G75" s="844">
        <f t="shared" si="6"/>
        <v>63.199999999998909</v>
      </c>
      <c r="H75" s="845">
        <f>G75+'25'!H75</f>
        <v>2069.8199999999997</v>
      </c>
      <c r="I75" s="864"/>
      <c r="J75" s="847">
        <f>H75/DAY(B2)</f>
        <v>79.608461538461526</v>
      </c>
      <c r="K75" s="929"/>
      <c r="L75" s="822"/>
      <c r="O75" s="849"/>
    </row>
    <row r="76" spans="1:15" ht="20.100000000000001" customHeight="1">
      <c r="A76" s="1611" t="s">
        <v>195</v>
      </c>
      <c r="B76" s="1612"/>
      <c r="C76" s="1613"/>
      <c r="D76" s="842" t="s">
        <v>187</v>
      </c>
      <c r="E76" s="843">
        <f>'25'!F76</f>
        <v>5466.88</v>
      </c>
      <c r="F76" s="935">
        <v>5511.8</v>
      </c>
      <c r="G76" s="844">
        <f t="shared" si="6"/>
        <v>44.920000000000073</v>
      </c>
      <c r="H76" s="845">
        <f>G76+'25'!H76</f>
        <v>1885.8000000000002</v>
      </c>
      <c r="I76" s="907"/>
      <c r="J76" s="847">
        <f>H76/DAY(B2)</f>
        <v>72.530769230769238</v>
      </c>
      <c r="K76" s="929"/>
      <c r="L76" s="822"/>
      <c r="O76" s="849"/>
    </row>
    <row r="77" spans="1:15" ht="20.100000000000001" customHeight="1">
      <c r="A77" s="1608" t="s">
        <v>196</v>
      </c>
      <c r="B77" s="1609"/>
      <c r="C77" s="1610"/>
      <c r="D77" s="842" t="s">
        <v>187</v>
      </c>
      <c r="E77" s="843">
        <f>'25'!F77</f>
        <v>701332</v>
      </c>
      <c r="F77" s="935">
        <v>701376</v>
      </c>
      <c r="G77" s="844">
        <f t="shared" si="6"/>
        <v>44</v>
      </c>
      <c r="H77" s="845">
        <f>G77+'25'!H77</f>
        <v>1162</v>
      </c>
      <c r="I77" s="907"/>
      <c r="J77" s="847">
        <f>H77/DAY(B2)</f>
        <v>44.692307692307693</v>
      </c>
      <c r="K77" s="929"/>
      <c r="L77" s="822"/>
      <c r="O77" s="849"/>
    </row>
    <row r="78" spans="1:15" ht="18.75" customHeight="1">
      <c r="A78" s="937" t="s">
        <v>197</v>
      </c>
      <c r="B78" s="1140"/>
      <c r="C78" s="1140"/>
      <c r="D78" s="842" t="s">
        <v>187</v>
      </c>
      <c r="E78" s="843">
        <f>'25'!F78</f>
        <v>669581</v>
      </c>
      <c r="F78" s="936">
        <v>669638</v>
      </c>
      <c r="G78" s="844">
        <f t="shared" si="6"/>
        <v>57</v>
      </c>
      <c r="H78" s="845">
        <f>G78+'25'!H78</f>
        <v>4258</v>
      </c>
      <c r="I78" s="907"/>
      <c r="J78" s="847">
        <f>H78/DAY(B2)</f>
        <v>163.76923076923077</v>
      </c>
      <c r="K78" s="929"/>
      <c r="L78" s="822"/>
      <c r="O78" s="849"/>
    </row>
    <row r="79" spans="1:15" ht="20.100000000000001" customHeight="1">
      <c r="A79" s="1611" t="s">
        <v>92</v>
      </c>
      <c r="B79" s="1612"/>
      <c r="C79" s="1613"/>
      <c r="D79" s="876" t="s">
        <v>187</v>
      </c>
      <c r="E79" s="843">
        <f>'25'!F79</f>
        <v>825837</v>
      </c>
      <c r="F79" s="936">
        <v>826040</v>
      </c>
      <c r="G79" s="844">
        <f t="shared" si="6"/>
        <v>203</v>
      </c>
      <c r="H79" s="845">
        <f>G79+'25'!H79</f>
        <v>5849</v>
      </c>
      <c r="I79" s="907"/>
      <c r="J79" s="847">
        <f>H79/DAY(B2)</f>
        <v>224.96153846153845</v>
      </c>
      <c r="K79" s="929"/>
      <c r="L79" s="822"/>
      <c r="O79" s="849"/>
    </row>
    <row r="80" spans="1:15" ht="20.100000000000001" customHeight="1">
      <c r="A80" s="1611" t="s">
        <v>198</v>
      </c>
      <c r="B80" s="1612"/>
      <c r="C80" s="1613"/>
      <c r="D80" s="876" t="s">
        <v>187</v>
      </c>
      <c r="E80" s="843">
        <f>'25'!F80</f>
        <v>514920.64</v>
      </c>
      <c r="F80" s="1235">
        <v>515274.04</v>
      </c>
      <c r="G80" s="844">
        <f t="shared" si="6"/>
        <v>353.39999999996508</v>
      </c>
      <c r="H80" s="845">
        <f>G80+'25'!H80</f>
        <v>7346.039999999979</v>
      </c>
      <c r="I80" s="907"/>
      <c r="J80" s="847">
        <f>H80/DAY(B2)</f>
        <v>282.53999999999917</v>
      </c>
      <c r="K80" s="929"/>
      <c r="L80" s="822"/>
      <c r="O80" s="849"/>
    </row>
    <row r="81" spans="1:15" ht="20.100000000000001" customHeight="1">
      <c r="A81" s="1611" t="s">
        <v>199</v>
      </c>
      <c r="B81" s="1612"/>
      <c r="C81" s="1613"/>
      <c r="D81" s="876" t="s">
        <v>187</v>
      </c>
      <c r="E81" s="843">
        <f>'25'!F81</f>
        <v>636054.64</v>
      </c>
      <c r="F81" s="935">
        <v>636188.12</v>
      </c>
      <c r="G81" s="844">
        <f t="shared" si="6"/>
        <v>133.47999999998137</v>
      </c>
      <c r="H81" s="845">
        <f>G81+'25'!H81</f>
        <v>6003.1199999999953</v>
      </c>
      <c r="I81" s="907"/>
      <c r="J81" s="847">
        <f>H81/DAY(B2)</f>
        <v>230.88923076923058</v>
      </c>
      <c r="K81" s="929"/>
      <c r="L81" s="822"/>
      <c r="O81" s="849"/>
    </row>
    <row r="82" spans="1:15" ht="20.100000000000001" customHeight="1">
      <c r="A82" s="1611" t="s">
        <v>93</v>
      </c>
      <c r="B82" s="1612"/>
      <c r="C82" s="1613"/>
      <c r="D82" s="877" t="s">
        <v>132</v>
      </c>
      <c r="E82" s="843">
        <f>'25'!F82</f>
        <v>107499.91</v>
      </c>
      <c r="F82" s="938">
        <v>107517.27</v>
      </c>
      <c r="G82" s="844">
        <f t="shared" si="6"/>
        <v>17.360000000000582</v>
      </c>
      <c r="H82" s="845">
        <f>G82+'25'!H82</f>
        <v>622.27000000000407</v>
      </c>
      <c r="I82" s="878"/>
      <c r="J82" s="847">
        <f>H82/DAY(B2)</f>
        <v>23.933461538461696</v>
      </c>
      <c r="K82" s="929"/>
      <c r="L82" s="822"/>
      <c r="O82" s="849"/>
    </row>
    <row r="83" spans="1:15" ht="20.100000000000001" customHeight="1">
      <c r="A83" s="1611" t="s">
        <v>200</v>
      </c>
      <c r="B83" s="1612"/>
      <c r="C83" s="1613"/>
      <c r="D83" s="939" t="s">
        <v>132</v>
      </c>
      <c r="E83" s="843">
        <f>'25'!F83</f>
        <v>13581</v>
      </c>
      <c r="F83" s="829">
        <v>13858</v>
      </c>
      <c r="G83" s="844">
        <f t="shared" si="6"/>
        <v>277</v>
      </c>
      <c r="H83" s="845">
        <f>G83+'25'!H83</f>
        <v>6801</v>
      </c>
      <c r="I83" s="867"/>
      <c r="J83" s="847">
        <f>H83/DAY(B2)</f>
        <v>261.57692307692309</v>
      </c>
      <c r="K83" s="870"/>
      <c r="L83" s="822"/>
      <c r="O83" s="849"/>
    </row>
    <row r="84" spans="1:15" ht="20.100000000000001" customHeight="1">
      <c r="A84" s="940" t="s">
        <v>201</v>
      </c>
      <c r="B84" s="941"/>
      <c r="C84" s="941"/>
      <c r="D84" s="861" t="s">
        <v>132</v>
      </c>
      <c r="E84" s="843">
        <f>'25'!F84</f>
        <v>476318</v>
      </c>
      <c r="F84" s="942">
        <v>477299</v>
      </c>
      <c r="G84" s="844">
        <f t="shared" si="6"/>
        <v>981</v>
      </c>
      <c r="H84" s="845">
        <f>G84+'25'!H84</f>
        <v>22615</v>
      </c>
      <c r="I84" s="867"/>
      <c r="J84" s="847">
        <f>H84/DAY(B2)</f>
        <v>869.80769230769226</v>
      </c>
      <c r="K84" s="943"/>
      <c r="L84" s="822"/>
      <c r="O84" s="849"/>
    </row>
    <row r="85" spans="1:15" s="947" customFormat="1" ht="20.100000000000001" customHeight="1">
      <c r="A85" s="944" t="s">
        <v>202</v>
      </c>
      <c r="B85" s="945"/>
      <c r="C85" s="945"/>
      <c r="D85" s="882"/>
      <c r="E85" s="843">
        <f>'25'!F85</f>
        <v>0</v>
      </c>
      <c r="F85" s="842"/>
      <c r="G85" s="845">
        <f xml:space="preserve"> SUM(G72:G84)</f>
        <v>2264.0589999999456</v>
      </c>
      <c r="H85" s="845">
        <f>G85+'25'!H85</f>
        <v>62379.548999999977</v>
      </c>
      <c r="I85" s="867"/>
      <c r="J85" s="847">
        <f>H85/DAY(B2)</f>
        <v>2399.213423076922</v>
      </c>
      <c r="K85" s="943"/>
      <c r="L85" s="946"/>
      <c r="N85" s="1014"/>
      <c r="O85" s="849"/>
    </row>
    <row r="86" spans="1:15" s="957" customFormat="1">
      <c r="A86" s="948" t="s">
        <v>94</v>
      </c>
      <c r="B86" s="949"/>
      <c r="C86" s="949"/>
      <c r="D86" s="950" t="s">
        <v>183</v>
      </c>
      <c r="E86" s="843">
        <f>'25'!F86</f>
        <v>458418.44</v>
      </c>
      <c r="F86" s="951">
        <v>458610.04</v>
      </c>
      <c r="G86" s="952">
        <f t="shared" ref="G86:G90" si="7">F86-E86</f>
        <v>191.59999999997672</v>
      </c>
      <c r="H86" s="952">
        <f t="shared" ref="H86:H88" si="8">G86</f>
        <v>191.59999999997672</v>
      </c>
      <c r="I86" s="953"/>
      <c r="J86" s="954">
        <f>H86/DAY(B2)</f>
        <v>7.3692307692298735</v>
      </c>
      <c r="K86" s="955"/>
      <c r="L86" s="956"/>
      <c r="N86" s="1015"/>
      <c r="O86" s="849"/>
    </row>
    <row r="87" spans="1:15" s="957" customFormat="1">
      <c r="A87" s="948" t="s">
        <v>95</v>
      </c>
      <c r="B87" s="949"/>
      <c r="C87" s="949"/>
      <c r="D87" s="950" t="s">
        <v>183</v>
      </c>
      <c r="E87" s="843">
        <f>'25'!F87</f>
        <v>80847.3</v>
      </c>
      <c r="F87" s="1287">
        <v>80862.399999999994</v>
      </c>
      <c r="G87" s="952">
        <f t="shared" si="7"/>
        <v>15.099999999991269</v>
      </c>
      <c r="H87" s="952">
        <f t="shared" si="8"/>
        <v>15.099999999991269</v>
      </c>
      <c r="I87" s="953"/>
      <c r="J87" s="954">
        <f>H87/DAY(B2)</f>
        <v>0.58076923076889497</v>
      </c>
      <c r="K87" s="955"/>
      <c r="L87" s="956"/>
      <c r="N87" s="1015"/>
      <c r="O87" s="849"/>
    </row>
    <row r="88" spans="1:15" s="957" customFormat="1">
      <c r="A88" s="948" t="s">
        <v>96</v>
      </c>
      <c r="B88" s="949"/>
      <c r="C88" s="949"/>
      <c r="D88" s="950" t="s">
        <v>183</v>
      </c>
      <c r="E88" s="843">
        <f>'25'!F88</f>
        <v>151589.5</v>
      </c>
      <c r="F88" s="951">
        <v>151712.71</v>
      </c>
      <c r="G88" s="952">
        <f t="shared" si="7"/>
        <v>123.20999999999185</v>
      </c>
      <c r="H88" s="952">
        <f t="shared" si="8"/>
        <v>123.20999999999185</v>
      </c>
      <c r="I88" s="953"/>
      <c r="J88" s="954">
        <f>H88/DAY(B2)</f>
        <v>4.7388461538458406</v>
      </c>
      <c r="K88" s="955"/>
      <c r="L88" s="956"/>
      <c r="N88" s="1015"/>
      <c r="O88" s="849"/>
    </row>
    <row r="89" spans="1:15" s="957" customFormat="1">
      <c r="A89" s="948" t="s">
        <v>204</v>
      </c>
      <c r="B89" s="949"/>
      <c r="C89" s="949"/>
      <c r="D89" s="950" t="s">
        <v>183</v>
      </c>
      <c r="E89" s="843">
        <f>'25'!F89</f>
        <v>64633.7</v>
      </c>
      <c r="F89" s="951">
        <v>64676</v>
      </c>
      <c r="G89" s="952">
        <f t="shared" si="7"/>
        <v>42.30000000000291</v>
      </c>
      <c r="H89" s="952">
        <f>G89</f>
        <v>42.30000000000291</v>
      </c>
      <c r="I89" s="953"/>
      <c r="J89" s="954">
        <f>H89/DAY(B2)</f>
        <v>1.6269230769231888</v>
      </c>
      <c r="K89" s="955"/>
      <c r="L89" s="956"/>
      <c r="N89" s="1021"/>
      <c r="O89" s="849"/>
    </row>
    <row r="90" spans="1:15" s="957" customFormat="1">
      <c r="A90" s="948" t="s">
        <v>204</v>
      </c>
      <c r="B90" s="949"/>
      <c r="C90" s="949"/>
      <c r="D90" s="950" t="s">
        <v>183</v>
      </c>
      <c r="E90" s="843">
        <f>'25'!F90</f>
        <v>3272.3</v>
      </c>
      <c r="F90" s="951">
        <v>3272.3</v>
      </c>
      <c r="G90" s="952">
        <f t="shared" si="7"/>
        <v>0</v>
      </c>
      <c r="H90" s="952">
        <f>G90</f>
        <v>0</v>
      </c>
      <c r="I90" s="953"/>
      <c r="J90" s="954">
        <f>H90/DAY(B2)</f>
        <v>0</v>
      </c>
      <c r="K90" s="955"/>
      <c r="L90" s="956"/>
      <c r="N90" s="1016"/>
      <c r="O90" s="849"/>
    </row>
    <row r="91" spans="1:15" s="947" customFormat="1" ht="20.100000000000001" customHeight="1">
      <c r="A91" s="958" t="s">
        <v>205</v>
      </c>
      <c r="B91" s="837"/>
      <c r="C91" s="837"/>
      <c r="D91" s="837"/>
      <c r="E91" s="837"/>
      <c r="F91" s="837"/>
      <c r="G91" s="881"/>
      <c r="H91" s="837"/>
      <c r="I91" s="837"/>
      <c r="J91" s="838"/>
      <c r="K91" s="943"/>
      <c r="L91" s="946"/>
      <c r="N91" s="1014"/>
      <c r="O91" s="849"/>
    </row>
    <row r="92" spans="1:15" ht="20.100000000000001" customHeight="1">
      <c r="A92" s="1602" t="s">
        <v>206</v>
      </c>
      <c r="B92" s="1603"/>
      <c r="C92" s="1604"/>
      <c r="D92" s="842" t="s">
        <v>144</v>
      </c>
      <c r="E92" s="843">
        <f>'25'!F92</f>
        <v>244360</v>
      </c>
      <c r="F92" s="873">
        <v>244417</v>
      </c>
      <c r="G92" s="844">
        <f t="shared" ref="G92:G93" si="9">F92-E92</f>
        <v>57</v>
      </c>
      <c r="H92" s="845">
        <f>G92+'25'!H92</f>
        <v>1771</v>
      </c>
      <c r="I92" s="864"/>
      <c r="J92" s="847">
        <f>H92/DAY(B2)</f>
        <v>68.115384615384613</v>
      </c>
      <c r="K92" s="870"/>
      <c r="L92" s="822"/>
      <c r="O92" s="849"/>
    </row>
    <row r="93" spans="1:15" ht="20.100000000000001" customHeight="1">
      <c r="A93" s="1602" t="s">
        <v>207</v>
      </c>
      <c r="B93" s="1603"/>
      <c r="C93" s="1604"/>
      <c r="D93" s="842" t="s">
        <v>144</v>
      </c>
      <c r="E93" s="843">
        <f>'25'!F93</f>
        <v>183107</v>
      </c>
      <c r="F93" s="873">
        <v>183226</v>
      </c>
      <c r="G93" s="844">
        <f t="shared" si="9"/>
        <v>119</v>
      </c>
      <c r="H93" s="845">
        <f>G93+'25'!H93</f>
        <v>3547</v>
      </c>
      <c r="I93" s="864"/>
      <c r="J93" s="847">
        <f>H93/DAY(B2)</f>
        <v>136.42307692307693</v>
      </c>
      <c r="K93" s="943"/>
      <c r="L93" s="822"/>
      <c r="O93" s="849"/>
    </row>
    <row r="94" spans="1:15" ht="20.100000000000001" customHeight="1">
      <c r="A94" s="1594" t="s">
        <v>208</v>
      </c>
      <c r="B94" s="1595"/>
      <c r="C94" s="1596"/>
      <c r="D94" s="842"/>
      <c r="E94" s="843">
        <f>'25'!F94</f>
        <v>0</v>
      </c>
      <c r="F94" s="873"/>
      <c r="G94" s="844">
        <f>G92+G93</f>
        <v>176</v>
      </c>
      <c r="H94" s="845">
        <f>G94+'25'!H94</f>
        <v>5099</v>
      </c>
      <c r="I94" s="864"/>
      <c r="J94" s="847">
        <f>H94/DAY(B2)</f>
        <v>196.11538461538461</v>
      </c>
      <c r="K94" s="943"/>
      <c r="L94" s="822"/>
      <c r="O94" s="849"/>
    </row>
    <row r="95" spans="1:15" ht="20.100000000000001" customHeight="1">
      <c r="A95" s="1602" t="s">
        <v>209</v>
      </c>
      <c r="B95" s="1603"/>
      <c r="C95" s="1604"/>
      <c r="D95" s="842" t="s">
        <v>144</v>
      </c>
      <c r="E95" s="843">
        <f>'25'!F95</f>
        <v>412574</v>
      </c>
      <c r="F95" s="873">
        <v>412654</v>
      </c>
      <c r="G95" s="844">
        <f t="shared" ref="G95:G100" si="10">F95-E95</f>
        <v>80</v>
      </c>
      <c r="H95" s="845">
        <f>G95+'25'!H95</f>
        <v>1869</v>
      </c>
      <c r="I95" s="864"/>
      <c r="J95" s="847">
        <f>H95/DAY(B2)</f>
        <v>71.884615384615387</v>
      </c>
      <c r="K95" s="943"/>
      <c r="L95" s="822"/>
      <c r="O95" s="849"/>
    </row>
    <row r="96" spans="1:15" ht="20.100000000000001" customHeight="1">
      <c r="A96" s="871" t="s">
        <v>210</v>
      </c>
      <c r="B96" s="872"/>
      <c r="C96" s="872"/>
      <c r="D96" s="842" t="s">
        <v>144</v>
      </c>
      <c r="E96" s="843">
        <f>'25'!F96</f>
        <v>102282</v>
      </c>
      <c r="F96" s="873">
        <v>102303</v>
      </c>
      <c r="G96" s="844">
        <f t="shared" si="10"/>
        <v>21</v>
      </c>
      <c r="H96" s="845">
        <f>G96+'25'!H96</f>
        <v>472</v>
      </c>
      <c r="I96" s="864"/>
      <c r="J96" s="847">
        <f>H96/DAY(B2)</f>
        <v>18.153846153846153</v>
      </c>
      <c r="K96" s="839"/>
      <c r="L96" s="822"/>
      <c r="O96" s="849"/>
    </row>
    <row r="97" spans="1:15" ht="20.100000000000001" customHeight="1">
      <c r="A97" s="871" t="s">
        <v>211</v>
      </c>
      <c r="B97" s="872"/>
      <c r="C97" s="872"/>
      <c r="D97" s="842" t="s">
        <v>144</v>
      </c>
      <c r="E97" s="843">
        <f>'25'!F97</f>
        <v>97367</v>
      </c>
      <c r="F97" s="873">
        <v>97381</v>
      </c>
      <c r="G97" s="844">
        <f t="shared" si="10"/>
        <v>14</v>
      </c>
      <c r="H97" s="845">
        <f>G97+'25'!H97</f>
        <v>453</v>
      </c>
      <c r="I97" s="864"/>
      <c r="J97" s="847">
        <f>H97/DAY(B2)</f>
        <v>17.423076923076923</v>
      </c>
      <c r="K97" s="959"/>
      <c r="L97" s="822"/>
      <c r="O97" s="849"/>
    </row>
    <row r="98" spans="1:15" ht="20.100000000000001" customHeight="1">
      <c r="A98" s="871" t="s">
        <v>212</v>
      </c>
      <c r="B98" s="872"/>
      <c r="C98" s="872"/>
      <c r="D98" s="842" t="s">
        <v>144</v>
      </c>
      <c r="E98" s="843">
        <f>'25'!F98</f>
        <v>149495</v>
      </c>
      <c r="F98" s="873">
        <v>149505</v>
      </c>
      <c r="G98" s="844">
        <f t="shared" si="10"/>
        <v>10</v>
      </c>
      <c r="H98" s="845">
        <f>G98+'25'!H98</f>
        <v>596</v>
      </c>
      <c r="I98" s="864"/>
      <c r="J98" s="847">
        <f>H98/DAY(B2)</f>
        <v>22.923076923076923</v>
      </c>
      <c r="K98" s="943"/>
      <c r="L98" s="822"/>
      <c r="O98" s="849"/>
    </row>
    <row r="99" spans="1:15" ht="20.100000000000001" customHeight="1">
      <c r="A99" s="871" t="s">
        <v>213</v>
      </c>
      <c r="B99" s="872"/>
      <c r="C99" s="872"/>
      <c r="D99" s="842" t="s">
        <v>144</v>
      </c>
      <c r="E99" s="843">
        <f>'25'!F99</f>
        <v>7163</v>
      </c>
      <c r="F99" s="873">
        <v>7170</v>
      </c>
      <c r="G99" s="844">
        <f t="shared" si="10"/>
        <v>7</v>
      </c>
      <c r="H99" s="845">
        <f>G99+'25'!H99</f>
        <v>315</v>
      </c>
      <c r="I99" s="864"/>
      <c r="J99" s="847">
        <f>H99/DAY(B2)</f>
        <v>12.115384615384615</v>
      </c>
      <c r="K99" s="943"/>
      <c r="L99" s="822"/>
      <c r="O99" s="849"/>
    </row>
    <row r="100" spans="1:15" ht="20.100000000000001" customHeight="1">
      <c r="A100" s="871" t="s">
        <v>214</v>
      </c>
      <c r="B100" s="872"/>
      <c r="C100" s="872"/>
      <c r="D100" s="842" t="s">
        <v>144</v>
      </c>
      <c r="E100" s="843">
        <f>'25'!F100</f>
        <v>5121</v>
      </c>
      <c r="F100" s="873">
        <v>5124</v>
      </c>
      <c r="G100" s="844">
        <f t="shared" si="10"/>
        <v>3</v>
      </c>
      <c r="H100" s="845">
        <f>G100+'25'!H100</f>
        <v>181</v>
      </c>
      <c r="I100" s="864"/>
      <c r="J100" s="847">
        <f>H100/DAY(B2)</f>
        <v>6.9615384615384617</v>
      </c>
      <c r="K100" s="943"/>
      <c r="L100" s="822"/>
      <c r="O100" s="849"/>
    </row>
    <row r="101" spans="1:15" ht="20.100000000000001" customHeight="1">
      <c r="A101" s="1594" t="s">
        <v>216</v>
      </c>
      <c r="B101" s="1595"/>
      <c r="C101" s="1596"/>
      <c r="D101" s="876"/>
      <c r="E101" s="876"/>
      <c r="F101" s="876"/>
      <c r="G101" s="960">
        <f>SUM(G95:G100)</f>
        <v>135</v>
      </c>
      <c r="H101" s="845">
        <f>G101+'25'!H101</f>
        <v>3886</v>
      </c>
      <c r="I101" s="961"/>
      <c r="J101" s="847">
        <f>H101/DAY(B2)</f>
        <v>149.46153846153845</v>
      </c>
      <c r="K101" s="943"/>
      <c r="L101" s="822"/>
      <c r="O101" s="849"/>
    </row>
    <row r="102" spans="1:15" s="894" customFormat="1" ht="25.5" customHeight="1">
      <c r="A102" s="962" t="s">
        <v>217</v>
      </c>
      <c r="B102" s="963"/>
      <c r="C102" s="963"/>
      <c r="D102" s="964"/>
      <c r="E102" s="965"/>
      <c r="F102" s="966"/>
      <c r="G102" s="967"/>
      <c r="H102" s="968"/>
      <c r="I102" s="969"/>
      <c r="J102" s="970"/>
      <c r="N102" s="1012"/>
      <c r="O102" s="849"/>
    </row>
    <row r="103" spans="1:15" s="894" customFormat="1" ht="21.75" customHeight="1">
      <c r="A103" s="1591" t="s">
        <v>218</v>
      </c>
      <c r="B103" s="1592"/>
      <c r="C103" s="971"/>
      <c r="D103" s="972"/>
      <c r="E103" s="973"/>
      <c r="F103" s="973"/>
      <c r="G103" s="973"/>
      <c r="H103" s="974"/>
      <c r="I103" s="973"/>
      <c r="J103" s="975"/>
      <c r="N103" s="1012"/>
      <c r="O103" s="849"/>
    </row>
    <row r="104" spans="1:15" s="894" customFormat="1" ht="21.75" customHeight="1">
      <c r="A104" s="1585" t="s">
        <v>219</v>
      </c>
      <c r="B104" s="1586"/>
      <c r="C104" s="976"/>
      <c r="D104" s="972" t="s">
        <v>144</v>
      </c>
      <c r="E104" s="973">
        <f>'25'!F104</f>
        <v>7423</v>
      </c>
      <c r="F104" s="973">
        <v>7423</v>
      </c>
      <c r="G104" s="973">
        <f>F104-E104</f>
        <v>0</v>
      </c>
      <c r="H104" s="974">
        <f>SUM(G104+'1'!G76)</f>
        <v>59</v>
      </c>
      <c r="I104" s="973"/>
      <c r="J104" s="975">
        <f>H104/DAY(B2)</f>
        <v>2.2692307692307692</v>
      </c>
      <c r="N104" s="1012"/>
      <c r="O104" s="849"/>
    </row>
    <row r="105" spans="1:15" s="894" customFormat="1" ht="21.75" customHeight="1">
      <c r="A105" s="1585" t="s">
        <v>77</v>
      </c>
      <c r="B105" s="1586"/>
      <c r="C105" s="976"/>
      <c r="D105" s="972" t="s">
        <v>144</v>
      </c>
      <c r="E105" s="973">
        <f>'25'!F105</f>
        <v>35806</v>
      </c>
      <c r="F105" s="977">
        <v>35814</v>
      </c>
      <c r="G105" s="973">
        <f t="shared" ref="G105:G106" si="11">F105-E105</f>
        <v>8</v>
      </c>
      <c r="H105" s="974">
        <f>SUM(G105+'1'!G77)</f>
        <v>58</v>
      </c>
      <c r="I105" s="973"/>
      <c r="J105" s="975">
        <f>H105/DAY(B2)</f>
        <v>2.2307692307692308</v>
      </c>
      <c r="N105" s="1012"/>
      <c r="O105" s="849"/>
    </row>
    <row r="106" spans="1:15" s="894" customFormat="1" ht="21.75" customHeight="1">
      <c r="A106" s="1585" t="s">
        <v>78</v>
      </c>
      <c r="B106" s="1593"/>
      <c r="C106" s="1586"/>
      <c r="D106" s="972" t="s">
        <v>144</v>
      </c>
      <c r="E106" s="973">
        <f>'25'!F106</f>
        <v>19593</v>
      </c>
      <c r="F106" s="973">
        <v>19598</v>
      </c>
      <c r="G106" s="973">
        <f t="shared" si="11"/>
        <v>5</v>
      </c>
      <c r="H106" s="974">
        <f>SUM(G106+'1'!G78)</f>
        <v>400</v>
      </c>
      <c r="I106" s="973"/>
      <c r="J106" s="975">
        <f>H106/DAY(B2)</f>
        <v>15.384615384615385</v>
      </c>
      <c r="N106" s="1012"/>
      <c r="O106" s="849"/>
    </row>
    <row r="107" spans="1:15" s="894" customFormat="1" ht="21.75" customHeight="1">
      <c r="A107" s="1587" t="s">
        <v>202</v>
      </c>
      <c r="B107" s="1588"/>
      <c r="C107" s="976"/>
      <c r="D107" s="972"/>
      <c r="E107" s="973">
        <f>'25'!F107</f>
        <v>0</v>
      </c>
      <c r="F107" s="973"/>
      <c r="G107" s="973">
        <f>SUM(G104:G106)</f>
        <v>13</v>
      </c>
      <c r="H107" s="974">
        <f>SUM(G107+'1'!G79)</f>
        <v>207</v>
      </c>
      <c r="I107" s="973"/>
      <c r="J107" s="975">
        <f>H107/DAY(B2)</f>
        <v>7.9615384615384617</v>
      </c>
      <c r="N107" s="1012"/>
      <c r="O107" s="849"/>
    </row>
    <row r="108" spans="1:15" s="894" customFormat="1" ht="21.75" customHeight="1">
      <c r="A108" s="1583" t="s">
        <v>79</v>
      </c>
      <c r="B108" s="1584"/>
      <c r="C108" s="976"/>
      <c r="D108" s="972" t="s">
        <v>144</v>
      </c>
      <c r="E108" s="973">
        <f>'25'!F108</f>
        <v>0</v>
      </c>
      <c r="F108" s="973"/>
      <c r="G108" s="973"/>
      <c r="H108" s="974"/>
      <c r="I108" s="973"/>
      <c r="J108" s="975"/>
      <c r="N108" s="1012"/>
      <c r="O108" s="849"/>
    </row>
    <row r="109" spans="1:15" s="894" customFormat="1" ht="21.75" customHeight="1">
      <c r="A109" s="1585" t="s">
        <v>220</v>
      </c>
      <c r="B109" s="1586"/>
      <c r="C109" s="976"/>
      <c r="D109" s="972" t="s">
        <v>144</v>
      </c>
      <c r="E109" s="973">
        <f>'25'!F109</f>
        <v>60749</v>
      </c>
      <c r="F109" s="973">
        <v>60813</v>
      </c>
      <c r="G109" s="973">
        <f>F109-E109</f>
        <v>64</v>
      </c>
      <c r="H109" s="974">
        <f>SUM(G109+'1'!G81)</f>
        <v>262</v>
      </c>
      <c r="I109" s="973"/>
      <c r="J109" s="975">
        <f>H109/DAY(B2)</f>
        <v>10.076923076923077</v>
      </c>
      <c r="N109" s="1012"/>
      <c r="O109" s="849"/>
    </row>
    <row r="110" spans="1:15" s="894" customFormat="1" ht="21.75" customHeight="1">
      <c r="A110" s="1585" t="s">
        <v>221</v>
      </c>
      <c r="B110" s="1586"/>
      <c r="C110" s="976"/>
      <c r="D110" s="972" t="s">
        <v>144</v>
      </c>
      <c r="E110" s="973">
        <f>'25'!F110</f>
        <v>32176</v>
      </c>
      <c r="F110" s="973">
        <v>32194</v>
      </c>
      <c r="G110" s="973">
        <f t="shared" ref="G110:G111" si="12">F110-E110</f>
        <v>18</v>
      </c>
      <c r="H110" s="974">
        <f>SUM(G110+'1'!G82)</f>
        <v>41</v>
      </c>
      <c r="I110" s="973"/>
      <c r="J110" s="975">
        <f>H110/DAY(B2)</f>
        <v>1.5769230769230769</v>
      </c>
      <c r="N110" s="1012"/>
      <c r="O110" s="849"/>
    </row>
    <row r="111" spans="1:15" s="894" customFormat="1" ht="21.75" customHeight="1">
      <c r="A111" s="1585" t="s">
        <v>222</v>
      </c>
      <c r="B111" s="1586"/>
      <c r="C111" s="976"/>
      <c r="D111" s="972" t="s">
        <v>144</v>
      </c>
      <c r="E111" s="973">
        <f>'25'!F111</f>
        <v>4346</v>
      </c>
      <c r="F111" s="973">
        <v>4363</v>
      </c>
      <c r="G111" s="973">
        <f t="shared" si="12"/>
        <v>17</v>
      </c>
      <c r="H111" s="974">
        <f>SUM(G111+'1'!G83)</f>
        <v>256</v>
      </c>
      <c r="I111" s="973"/>
      <c r="J111" s="975">
        <f>H111/DAY(B2)</f>
        <v>9.8461538461538467</v>
      </c>
      <c r="N111" s="1012"/>
      <c r="O111" s="849"/>
    </row>
    <row r="112" spans="1:15" s="894" customFormat="1" ht="21.75" customHeight="1">
      <c r="A112" s="1589" t="s">
        <v>110</v>
      </c>
      <c r="B112" s="1590"/>
      <c r="C112" s="976"/>
      <c r="D112" s="972"/>
      <c r="E112" s="973">
        <f>'25'!F112</f>
        <v>0</v>
      </c>
      <c r="F112" s="973"/>
      <c r="G112" s="973">
        <f>SUM(G109:G111)</f>
        <v>99</v>
      </c>
      <c r="H112" s="974">
        <f>SUM(G112+'1'!G84)</f>
        <v>1014</v>
      </c>
      <c r="I112" s="973"/>
      <c r="J112" s="975">
        <f>H112/DAY(B2)</f>
        <v>39</v>
      </c>
      <c r="N112" s="1012"/>
      <c r="O112" s="849"/>
    </row>
    <row r="113" spans="1:15" s="894" customFormat="1" ht="21.75" customHeight="1">
      <c r="A113" s="1583" t="s">
        <v>223</v>
      </c>
      <c r="B113" s="1584"/>
      <c r="C113" s="976"/>
      <c r="D113" s="972"/>
      <c r="E113" s="973">
        <f>'25'!F113</f>
        <v>0</v>
      </c>
      <c r="F113" s="973"/>
      <c r="G113" s="973"/>
      <c r="H113" s="974"/>
      <c r="I113" s="973"/>
      <c r="J113" s="975">
        <f>H113/DAY(B2)</f>
        <v>0</v>
      </c>
      <c r="N113" s="1012"/>
      <c r="O113" s="849"/>
    </row>
    <row r="114" spans="1:15" s="894" customFormat="1" ht="21.75" customHeight="1">
      <c r="A114" s="1585" t="s">
        <v>224</v>
      </c>
      <c r="B114" s="1586"/>
      <c r="C114" s="978"/>
      <c r="D114" s="972" t="s">
        <v>144</v>
      </c>
      <c r="E114" s="973">
        <f>'25'!F114</f>
        <v>11230</v>
      </c>
      <c r="F114" s="977">
        <v>11240</v>
      </c>
      <c r="G114" s="977">
        <f>F114-E114</f>
        <v>10</v>
      </c>
      <c r="H114" s="974">
        <f>SUM(G114+'1'!G91)</f>
        <v>10</v>
      </c>
      <c r="I114" s="973"/>
      <c r="J114" s="975">
        <f>H114/DAY(B2)</f>
        <v>0.38461538461538464</v>
      </c>
      <c r="N114" s="1012"/>
      <c r="O114" s="849"/>
    </row>
    <row r="115" spans="1:15" s="894" customFormat="1" ht="21.75" customHeight="1">
      <c r="A115" s="1585" t="s">
        <v>225</v>
      </c>
      <c r="B115" s="1586"/>
      <c r="C115" s="978"/>
      <c r="D115" s="972" t="s">
        <v>144</v>
      </c>
      <c r="E115" s="973">
        <f>'25'!F115</f>
        <v>8114</v>
      </c>
      <c r="F115" s="977">
        <v>8119</v>
      </c>
      <c r="G115" s="977">
        <f t="shared" ref="G115:G116" si="13">F115-E115</f>
        <v>5</v>
      </c>
      <c r="H115" s="974">
        <f>SUM(G115+'1'!G92)</f>
        <v>97</v>
      </c>
      <c r="I115" s="973"/>
      <c r="J115" s="975">
        <f>H115/DAY(B2)</f>
        <v>3.7307692307692308</v>
      </c>
      <c r="N115" s="1012"/>
      <c r="O115" s="849"/>
    </row>
    <row r="116" spans="1:15" s="894" customFormat="1" ht="21.75" customHeight="1">
      <c r="A116" s="1585" t="s">
        <v>226</v>
      </c>
      <c r="B116" s="1586"/>
      <c r="C116" s="978"/>
      <c r="D116" s="972" t="s">
        <v>144</v>
      </c>
      <c r="E116" s="977"/>
      <c r="F116" s="977"/>
      <c r="G116" s="977">
        <f t="shared" si="13"/>
        <v>0</v>
      </c>
      <c r="H116" s="974">
        <f>SUM(G116+'1'!G93)</f>
        <v>127</v>
      </c>
      <c r="I116" s="973"/>
      <c r="J116" s="975">
        <f>H116/DAY(B2)</f>
        <v>4.884615384615385</v>
      </c>
      <c r="N116" s="1012"/>
      <c r="O116" s="849"/>
    </row>
    <row r="117" spans="1:15" s="980" customFormat="1">
      <c r="A117" s="1587" t="s">
        <v>202</v>
      </c>
      <c r="B117" s="1588"/>
      <c r="C117" s="978"/>
      <c r="D117" s="979"/>
      <c r="E117" s="977"/>
      <c r="F117" s="977"/>
      <c r="G117" s="977">
        <f>SUM(G114:G116)</f>
        <v>15</v>
      </c>
      <c r="H117" s="974">
        <f>SUM(G117+'1'!G95)</f>
        <v>92</v>
      </c>
      <c r="I117" s="977"/>
      <c r="J117" s="975">
        <f>H117/DAY(B2)</f>
        <v>3.5384615384615383</v>
      </c>
      <c r="N117" s="1017"/>
      <c r="O117" s="849"/>
    </row>
    <row r="118" spans="1:15" s="772" customFormat="1">
      <c r="A118" s="1579" t="s">
        <v>227</v>
      </c>
      <c r="B118" s="1580"/>
      <c r="C118" s="981"/>
      <c r="D118" s="982" t="s">
        <v>144</v>
      </c>
      <c r="E118" s="983"/>
      <c r="F118" s="984"/>
      <c r="G118" s="984">
        <f>SUM(G19+G92)</f>
        <v>116</v>
      </c>
      <c r="H118" s="974">
        <f>SUM(G118+'1'!G96)</f>
        <v>133</v>
      </c>
      <c r="I118" s="983"/>
      <c r="J118" s="985">
        <f>H118/DAY(B2)</f>
        <v>5.115384615384615</v>
      </c>
      <c r="N118" s="1018"/>
      <c r="O118" s="849"/>
    </row>
    <row r="119" spans="1:15" s="772" customFormat="1">
      <c r="A119" s="1579" t="s">
        <v>228</v>
      </c>
      <c r="B119" s="1580"/>
      <c r="C119" s="981"/>
      <c r="D119" s="982" t="s">
        <v>144</v>
      </c>
      <c r="E119" s="983"/>
      <c r="F119" s="984"/>
      <c r="G119" s="984">
        <f>SUM(G95,G96,G97,G99,G100)</f>
        <v>125</v>
      </c>
      <c r="H119" s="974">
        <f>SUM(G119+'1'!G98)</f>
        <v>153</v>
      </c>
      <c r="I119" s="983"/>
      <c r="J119" s="985">
        <f>H119/DAY(B2)</f>
        <v>5.884615384615385</v>
      </c>
      <c r="N119" s="1018"/>
      <c r="O119" s="849"/>
    </row>
    <row r="120" spans="1:15" s="772" customFormat="1">
      <c r="A120" s="1579" t="s">
        <v>229</v>
      </c>
      <c r="B120" s="1580"/>
      <c r="C120" s="981"/>
      <c r="D120" s="982" t="s">
        <v>144</v>
      </c>
      <c r="E120" s="983"/>
      <c r="F120" s="977"/>
      <c r="G120" s="977">
        <f>SUM(G112)</f>
        <v>99</v>
      </c>
      <c r="H120" s="974">
        <f>SUM(G120+'1'!G100)</f>
        <v>105</v>
      </c>
      <c r="I120" s="983"/>
      <c r="J120" s="985">
        <f>H120/DAY(B2)</f>
        <v>4.0384615384615383</v>
      </c>
      <c r="N120" s="1018"/>
      <c r="O120" s="849"/>
    </row>
    <row r="121" spans="1:15" s="894" customFormat="1" ht="18.75" customHeight="1">
      <c r="A121" s="1581"/>
      <c r="B121" s="1582"/>
      <c r="C121" s="976"/>
      <c r="D121" s="971"/>
      <c r="E121" s="971"/>
      <c r="F121" s="971"/>
      <c r="G121" s="971"/>
      <c r="H121" s="986"/>
      <c r="I121" s="971"/>
      <c r="J121" s="987"/>
      <c r="N121" s="1012"/>
      <c r="O121" s="849"/>
    </row>
    <row r="122" spans="1:15" ht="20.100000000000001" customHeight="1">
      <c r="A122" s="1597" t="s">
        <v>230</v>
      </c>
      <c r="B122" s="1598"/>
      <c r="C122" s="1599"/>
      <c r="D122" s="837"/>
      <c r="E122" s="837"/>
      <c r="F122" s="837"/>
      <c r="G122" s="869"/>
      <c r="H122" s="869"/>
      <c r="I122" s="869"/>
      <c r="J122" s="988"/>
      <c r="K122" s="943"/>
      <c r="L122" s="822"/>
      <c r="O122" s="849"/>
    </row>
    <row r="123" spans="1:15" ht="22.5" customHeight="1">
      <c r="A123" s="871" t="s">
        <v>231</v>
      </c>
      <c r="B123" s="872"/>
      <c r="C123" s="872"/>
      <c r="D123" s="842" t="s">
        <v>141</v>
      </c>
      <c r="E123" s="843">
        <f>'25'!F123</f>
        <v>825044.82</v>
      </c>
      <c r="F123" s="861">
        <v>825273.45</v>
      </c>
      <c r="G123" s="844">
        <f t="shared" ref="G123:G127" si="14">F123-E123</f>
        <v>228.63000000000466</v>
      </c>
      <c r="H123" s="845">
        <f>G123+'25'!H123</f>
        <v>6463.4499999999534</v>
      </c>
      <c r="I123" s="961"/>
      <c r="J123" s="847">
        <f>H123/DAY(B2)</f>
        <v>248.59423076922897</v>
      </c>
      <c r="K123" s="943"/>
      <c r="L123" s="822"/>
      <c r="O123" s="849"/>
    </row>
    <row r="124" spans="1:15" ht="22.5" customHeight="1">
      <c r="A124" s="871" t="s">
        <v>232</v>
      </c>
      <c r="B124" s="872"/>
      <c r="C124" s="872"/>
      <c r="D124" s="842" t="s">
        <v>141</v>
      </c>
      <c r="E124" s="843">
        <f>'25'!F124</f>
        <v>73583.399999999994</v>
      </c>
      <c r="F124" s="989">
        <v>73583.100000000006</v>
      </c>
      <c r="G124" s="844">
        <f t="shared" si="14"/>
        <v>-0.29999999998835847</v>
      </c>
      <c r="H124" s="845">
        <f>G124+'25'!H124</f>
        <v>-0.29999999998835847</v>
      </c>
      <c r="I124" s="961"/>
      <c r="J124" s="847">
        <f>H124/DAY(B2)</f>
        <v>-1.1538461538013788E-2</v>
      </c>
      <c r="K124" s="943"/>
      <c r="L124" s="822"/>
      <c r="O124" s="849"/>
    </row>
    <row r="125" spans="1:15" ht="22.5" customHeight="1">
      <c r="A125" s="1608" t="s">
        <v>233</v>
      </c>
      <c r="B125" s="1609"/>
      <c r="C125" s="1610"/>
      <c r="D125" s="842" t="s">
        <v>141</v>
      </c>
      <c r="E125" s="843">
        <f>'25'!F125</f>
        <v>144346.79999999999</v>
      </c>
      <c r="F125" s="861">
        <v>144413.22</v>
      </c>
      <c r="G125" s="844">
        <f t="shared" si="14"/>
        <v>66.420000000012806</v>
      </c>
      <c r="H125" s="845">
        <f>G125+'25'!H125</f>
        <v>2277.2200000000012</v>
      </c>
      <c r="I125" s="961"/>
      <c r="J125" s="847">
        <f>H125/DAY(B2)</f>
        <v>87.585384615384655</v>
      </c>
      <c r="K125" s="943"/>
      <c r="L125" s="822"/>
      <c r="O125" s="849"/>
    </row>
    <row r="126" spans="1:15" ht="20.100000000000001" customHeight="1">
      <c r="A126" s="990" t="s">
        <v>234</v>
      </c>
      <c r="B126" s="872"/>
      <c r="C126" s="872"/>
      <c r="D126" s="842" t="s">
        <v>141</v>
      </c>
      <c r="E126" s="843">
        <f>'25'!F126</f>
        <v>31404.2</v>
      </c>
      <c r="F126" s="989">
        <v>31404.2</v>
      </c>
      <c r="G126" s="844">
        <f t="shared" si="14"/>
        <v>0</v>
      </c>
      <c r="H126" s="845">
        <f>G126+'25'!H126</f>
        <v>85.5</v>
      </c>
      <c r="I126" s="961"/>
      <c r="J126" s="847">
        <f>H126/DAY(B2)</f>
        <v>3.2884615384615383</v>
      </c>
      <c r="K126" s="943"/>
      <c r="L126" s="822"/>
      <c r="O126" s="849"/>
    </row>
    <row r="127" spans="1:15" ht="20.100000000000001" customHeight="1">
      <c r="A127" s="990" t="s">
        <v>235</v>
      </c>
      <c r="B127" s="872"/>
      <c r="C127" s="872"/>
      <c r="D127" s="842" t="s">
        <v>141</v>
      </c>
      <c r="E127" s="843">
        <f>'25'!F127</f>
        <v>8969.6</v>
      </c>
      <c r="F127" s="989">
        <v>8969.6</v>
      </c>
      <c r="G127" s="844">
        <f t="shared" si="14"/>
        <v>0</v>
      </c>
      <c r="H127" s="845">
        <f>G127+'25'!H127</f>
        <v>7.6000000000003638</v>
      </c>
      <c r="I127" s="864"/>
      <c r="J127" s="847">
        <f>H127/DAY(B2)</f>
        <v>0.29230769230770631</v>
      </c>
      <c r="K127" s="943"/>
      <c r="L127" s="822"/>
      <c r="O127" s="849"/>
    </row>
    <row r="128" spans="1:15" ht="21.75" customHeight="1">
      <c r="A128" s="990" t="s">
        <v>236</v>
      </c>
      <c r="B128" s="872"/>
      <c r="C128" s="872"/>
      <c r="D128" s="842"/>
      <c r="E128" s="843"/>
      <c r="F128" s="861"/>
      <c r="G128" s="844">
        <f>G15-SUM(G123:G127)</f>
        <v>393.78800000014598</v>
      </c>
      <c r="H128" s="845">
        <f>G128+'25'!H128</f>
        <v>4793.1600000001072</v>
      </c>
      <c r="I128" s="864"/>
      <c r="J128" s="847">
        <f>H128/DAY(B2)</f>
        <v>184.35230769231183</v>
      </c>
      <c r="K128" s="943"/>
      <c r="L128" s="822"/>
      <c r="O128" s="849"/>
    </row>
    <row r="129" spans="1:15">
      <c r="A129" s="991" t="s">
        <v>237</v>
      </c>
      <c r="B129" s="836"/>
      <c r="C129" s="836"/>
      <c r="D129" s="836"/>
      <c r="E129" s="836"/>
      <c r="F129" s="836"/>
      <c r="G129" s="992"/>
      <c r="H129" s="992"/>
      <c r="I129" s="992"/>
      <c r="J129" s="993"/>
      <c r="O129" s="849"/>
    </row>
    <row r="130" spans="1:15">
      <c r="A130" s="871" t="s">
        <v>238</v>
      </c>
      <c r="B130" s="872"/>
      <c r="C130" s="872"/>
      <c r="D130" s="842" t="s">
        <v>239</v>
      </c>
      <c r="E130" s="843">
        <f>'25'!F130</f>
        <v>0</v>
      </c>
      <c r="F130" s="873">
        <v>0</v>
      </c>
      <c r="G130" s="844">
        <f t="shared" ref="G130:G140" si="15">F130-E130</f>
        <v>0</v>
      </c>
      <c r="H130" s="845">
        <f>G130+'25'!H130</f>
        <v>0</v>
      </c>
      <c r="I130" s="864"/>
      <c r="J130" s="847">
        <f>H130/DAY(B2)</f>
        <v>0</v>
      </c>
      <c r="O130" s="849"/>
    </row>
    <row r="131" spans="1:15">
      <c r="A131" s="871" t="s">
        <v>240</v>
      </c>
      <c r="B131" s="872"/>
      <c r="C131" s="872"/>
      <c r="D131" s="842" t="s">
        <v>239</v>
      </c>
      <c r="E131" s="843">
        <f>'25'!F131</f>
        <v>0</v>
      </c>
      <c r="F131" s="873">
        <v>0</v>
      </c>
      <c r="G131" s="844">
        <f t="shared" si="15"/>
        <v>0</v>
      </c>
      <c r="H131" s="845">
        <f>G131+'25'!H131</f>
        <v>0</v>
      </c>
      <c r="I131" s="864"/>
      <c r="J131" s="847">
        <f>H131/DAY(B2)</f>
        <v>0</v>
      </c>
      <c r="O131" s="849"/>
    </row>
    <row r="132" spans="1:15">
      <c r="A132" s="871" t="s">
        <v>241</v>
      </c>
      <c r="B132" s="872"/>
      <c r="C132" s="872"/>
      <c r="D132" s="842" t="s">
        <v>239</v>
      </c>
      <c r="E132" s="843">
        <f>'25'!F132</f>
        <v>39670.160000000003</v>
      </c>
      <c r="F132" s="994">
        <v>39670.160000000003</v>
      </c>
      <c r="G132" s="844">
        <f t="shared" si="15"/>
        <v>0</v>
      </c>
      <c r="H132" s="845">
        <f>G132+'25'!H132</f>
        <v>137.16000000000349</v>
      </c>
      <c r="I132" s="864"/>
      <c r="J132" s="847">
        <f>H132/DAY(B2)</f>
        <v>5.2753846153847501</v>
      </c>
      <c r="O132" s="849"/>
    </row>
    <row r="133" spans="1:15">
      <c r="A133" s="871" t="s">
        <v>242</v>
      </c>
      <c r="B133" s="872"/>
      <c r="C133" s="872"/>
      <c r="D133" s="842" t="s">
        <v>239</v>
      </c>
      <c r="E133" s="843">
        <f>'25'!F133</f>
        <v>300</v>
      </c>
      <c r="F133" s="994">
        <v>300</v>
      </c>
      <c r="G133" s="844">
        <f t="shared" si="15"/>
        <v>0</v>
      </c>
      <c r="H133" s="845">
        <f>G133+'25'!H133</f>
        <v>0</v>
      </c>
      <c r="I133" s="864">
        <f>G130+G131+G132+G133</f>
        <v>0</v>
      </c>
      <c r="J133" s="847">
        <f>H133/DAY(B2)</f>
        <v>0</v>
      </c>
      <c r="O133" s="849"/>
    </row>
    <row r="134" spans="1:15">
      <c r="A134" s="871" t="s">
        <v>243</v>
      </c>
      <c r="B134" s="872"/>
      <c r="C134" s="872"/>
      <c r="D134" s="842" t="s">
        <v>239</v>
      </c>
      <c r="E134" s="843">
        <f>'25'!F134</f>
        <v>41337.449999999997</v>
      </c>
      <c r="F134" s="994">
        <v>41361.25</v>
      </c>
      <c r="G134" s="844">
        <f t="shared" si="15"/>
        <v>23.80000000000291</v>
      </c>
      <c r="H134" s="845">
        <f>G134+'25'!H134</f>
        <v>90.25</v>
      </c>
      <c r="I134" s="864"/>
      <c r="J134" s="847">
        <f>H134/DAY(B2)</f>
        <v>3.4711538461538463</v>
      </c>
      <c r="O134" s="849"/>
    </row>
    <row r="135" spans="1:15">
      <c r="A135" s="871" t="s">
        <v>244</v>
      </c>
      <c r="B135" s="872"/>
      <c r="C135" s="872"/>
      <c r="D135" s="842" t="s">
        <v>239</v>
      </c>
      <c r="E135" s="843">
        <f>'25'!F135</f>
        <v>32582.93</v>
      </c>
      <c r="F135" s="994">
        <v>32582.93</v>
      </c>
      <c r="G135" s="844">
        <f t="shared" si="15"/>
        <v>0</v>
      </c>
      <c r="H135" s="845">
        <f>G135+'25'!H135</f>
        <v>13</v>
      </c>
      <c r="I135" s="864"/>
      <c r="J135" s="847">
        <f>H135/DAY(B2)</f>
        <v>0.5</v>
      </c>
      <c r="O135" s="849"/>
    </row>
    <row r="136" spans="1:15">
      <c r="A136" s="871" t="s">
        <v>245</v>
      </c>
      <c r="B136" s="872"/>
      <c r="C136" s="872"/>
      <c r="D136" s="842" t="s">
        <v>239</v>
      </c>
      <c r="E136" s="843">
        <f>'25'!F136</f>
        <v>22716.67</v>
      </c>
      <c r="F136" s="994">
        <v>22724.3</v>
      </c>
      <c r="G136" s="844">
        <f t="shared" si="15"/>
        <v>7.6300000000010186</v>
      </c>
      <c r="H136" s="845">
        <f>G136+'25'!H136</f>
        <v>235.64999999999782</v>
      </c>
      <c r="I136" s="864">
        <f>G134+G135+G136</f>
        <v>31.430000000003929</v>
      </c>
      <c r="J136" s="847">
        <f>H136/DAY(B2)</f>
        <v>9.0634615384614552</v>
      </c>
      <c r="O136" s="849"/>
    </row>
    <row r="137" spans="1:15">
      <c r="A137" s="871" t="s">
        <v>246</v>
      </c>
      <c r="B137" s="872"/>
      <c r="C137" s="872"/>
      <c r="D137" s="842" t="s">
        <v>239</v>
      </c>
      <c r="E137" s="843">
        <f>'25'!F137</f>
        <v>25051.49</v>
      </c>
      <c r="F137" s="994">
        <v>25051.49</v>
      </c>
      <c r="G137" s="844">
        <f t="shared" si="15"/>
        <v>0</v>
      </c>
      <c r="H137" s="845">
        <f>G137+'25'!H137</f>
        <v>8</v>
      </c>
      <c r="I137" s="864"/>
      <c r="J137" s="847">
        <f>H137/DAY(B2)</f>
        <v>0.30769230769230771</v>
      </c>
      <c r="O137" s="849"/>
    </row>
    <row r="138" spans="1:15">
      <c r="A138" s="871" t="s">
        <v>247</v>
      </c>
      <c r="B138" s="872"/>
      <c r="C138" s="872"/>
      <c r="D138" s="842" t="s">
        <v>239</v>
      </c>
      <c r="E138" s="843">
        <f>'25'!F138</f>
        <v>70299.460000000006</v>
      </c>
      <c r="F138" s="994">
        <v>70299.460000000006</v>
      </c>
      <c r="G138" s="844">
        <f t="shared" si="15"/>
        <v>0</v>
      </c>
      <c r="H138" s="845">
        <f>G138+'25'!H138</f>
        <v>19.230000000010477</v>
      </c>
      <c r="I138" s="864">
        <f>G137+G138</f>
        <v>0</v>
      </c>
      <c r="J138" s="847">
        <f>H138/DAY(B2)</f>
        <v>0.73961538461578757</v>
      </c>
      <c r="O138" s="849"/>
    </row>
    <row r="139" spans="1:15">
      <c r="A139" s="871" t="s">
        <v>248</v>
      </c>
      <c r="B139" s="872"/>
      <c r="C139" s="872"/>
      <c r="D139" s="842" t="s">
        <v>239</v>
      </c>
      <c r="E139" s="843">
        <f>'25'!F139</f>
        <v>1577.59</v>
      </c>
      <c r="F139" s="873">
        <v>1586.34</v>
      </c>
      <c r="G139" s="844">
        <f t="shared" si="15"/>
        <v>8.75</v>
      </c>
      <c r="H139" s="845">
        <f>G139+'25'!H139</f>
        <v>49.819999999999936</v>
      </c>
      <c r="I139" s="995"/>
      <c r="J139" s="847">
        <f>H139/DAY(B2)</f>
        <v>1.9161538461538437</v>
      </c>
      <c r="O139" s="849"/>
    </row>
    <row r="140" spans="1:15">
      <c r="A140" s="871" t="s">
        <v>249</v>
      </c>
      <c r="B140" s="872"/>
      <c r="C140" s="872"/>
      <c r="D140" s="842" t="s">
        <v>239</v>
      </c>
      <c r="E140" s="843">
        <f>'25'!F140</f>
        <v>4636.88</v>
      </c>
      <c r="F140" s="873">
        <v>4636.88</v>
      </c>
      <c r="G140" s="844">
        <f t="shared" si="15"/>
        <v>0</v>
      </c>
      <c r="H140" s="845">
        <f>G140+'25'!H140</f>
        <v>168.34000000000015</v>
      </c>
      <c r="I140" s="995"/>
      <c r="J140" s="847">
        <f>H140/DAY(B2)</f>
        <v>6.4746153846153902</v>
      </c>
      <c r="O140" s="849"/>
    </row>
    <row r="141" spans="1:15">
      <c r="A141" s="1600" t="s">
        <v>250</v>
      </c>
      <c r="B141" s="1601"/>
      <c r="C141" s="837"/>
      <c r="D141" s="837"/>
      <c r="E141" s="837"/>
      <c r="F141" s="837"/>
      <c r="G141" s="869"/>
      <c r="H141" s="869"/>
      <c r="I141" s="869"/>
      <c r="J141" s="988"/>
      <c r="K141" s="943"/>
      <c r="L141" s="822"/>
      <c r="O141" s="849"/>
    </row>
    <row r="142" spans="1:15">
      <c r="A142" s="1602" t="s">
        <v>251</v>
      </c>
      <c r="B142" s="1603"/>
      <c r="C142" s="1604"/>
      <c r="D142" s="842" t="s">
        <v>132</v>
      </c>
      <c r="E142" s="842"/>
      <c r="F142" s="842"/>
      <c r="G142" s="845">
        <f>G35+G43+G49+G57</f>
        <v>5625.1900000000605</v>
      </c>
      <c r="H142" s="845">
        <f>G142+'25'!H142</f>
        <v>139758.39000000001</v>
      </c>
      <c r="I142" s="864"/>
      <c r="J142" s="847">
        <f>H142/DAY(B2)</f>
        <v>5375.3226923076927</v>
      </c>
      <c r="K142" s="943"/>
      <c r="L142" s="822"/>
      <c r="O142" s="849"/>
    </row>
    <row r="143" spans="1:15">
      <c r="A143" s="1602" t="s">
        <v>252</v>
      </c>
      <c r="B143" s="1603"/>
      <c r="C143" s="1604"/>
      <c r="D143" s="842" t="s">
        <v>24</v>
      </c>
      <c r="E143" s="829"/>
      <c r="F143" s="829"/>
      <c r="G143" s="996">
        <f>G142/G7</f>
        <v>0.27395850581990261</v>
      </c>
      <c r="H143" s="845">
        <f>G143+'25'!H143</f>
        <v>6.6873987867594344</v>
      </c>
      <c r="I143" s="997"/>
      <c r="J143" s="847">
        <f>H143/DAY(B2)</f>
        <v>0.25720764564459364</v>
      </c>
      <c r="K143" s="943"/>
      <c r="L143" s="822"/>
      <c r="O143" s="849"/>
    </row>
    <row r="144" spans="1:15">
      <c r="A144" s="1602" t="s">
        <v>253</v>
      </c>
      <c r="B144" s="1603"/>
      <c r="C144" s="1604"/>
      <c r="D144" s="842" t="s">
        <v>132</v>
      </c>
      <c r="E144" s="843"/>
      <c r="F144" s="843"/>
      <c r="G144" s="845">
        <f>G41+G42+G55+G56</f>
        <v>6105.3299999999581</v>
      </c>
      <c r="H144" s="845">
        <f>G144+'25'!H144</f>
        <v>158220.30299999999</v>
      </c>
      <c r="I144" s="864"/>
      <c r="J144" s="847">
        <f>H144/DAY(B2)</f>
        <v>6085.3962692307687</v>
      </c>
      <c r="K144" s="943"/>
      <c r="L144" s="822"/>
      <c r="O144" s="849"/>
    </row>
    <row r="145" spans="1:15" ht="20.100000000000001" customHeight="1">
      <c r="A145" s="1602" t="s">
        <v>254</v>
      </c>
      <c r="B145" s="1603"/>
      <c r="C145" s="1604"/>
      <c r="D145" s="842" t="s">
        <v>24</v>
      </c>
      <c r="E145" s="843"/>
      <c r="F145" s="843"/>
      <c r="G145" s="996">
        <f>G144/G7</f>
        <v>0.29734232698582563</v>
      </c>
      <c r="H145" s="845">
        <f>G145+'25'!H145</f>
        <v>7.5808149646275336</v>
      </c>
      <c r="I145" s="997"/>
      <c r="J145" s="847">
        <f>H145/DAY(B2)</f>
        <v>0.29156980633182822</v>
      </c>
      <c r="K145" s="943"/>
      <c r="L145" s="822"/>
      <c r="O145" s="849"/>
    </row>
    <row r="146" spans="1:15" ht="20.100000000000001" customHeight="1">
      <c r="A146" s="1602" t="s">
        <v>255</v>
      </c>
      <c r="B146" s="1603"/>
      <c r="C146" s="1604"/>
      <c r="D146" s="842" t="s">
        <v>132</v>
      </c>
      <c r="E146" s="843"/>
      <c r="F146" s="843"/>
      <c r="G146" s="845">
        <f>G39+G53</f>
        <v>3523.5</v>
      </c>
      <c r="H146" s="845">
        <f>G146+'25'!H146</f>
        <v>94521.06</v>
      </c>
      <c r="I146" s="998"/>
      <c r="J146" s="847">
        <f>H146/DAY(B2)</f>
        <v>3635.4253846153847</v>
      </c>
      <c r="K146" s="943"/>
      <c r="L146" s="822"/>
      <c r="O146" s="849"/>
    </row>
    <row r="147" spans="1:15" ht="20.100000000000001" customHeight="1">
      <c r="A147" s="1602" t="s">
        <v>256</v>
      </c>
      <c r="B147" s="1603"/>
      <c r="C147" s="1604"/>
      <c r="D147" s="842" t="s">
        <v>24</v>
      </c>
      <c r="E147" s="843"/>
      <c r="F147" s="843"/>
      <c r="G147" s="996">
        <f>G146/G7</f>
        <v>0.17160181171772268</v>
      </c>
      <c r="H147" s="845">
        <f>G147+'25'!H147</f>
        <v>4.5173607543477505</v>
      </c>
      <c r="I147" s="998"/>
      <c r="J147" s="847">
        <f>H147/DAY(B2)</f>
        <v>0.17374464439799039</v>
      </c>
      <c r="O147" s="849"/>
    </row>
    <row r="148" spans="1:15" ht="20.100000000000001" customHeight="1">
      <c r="A148" s="1602" t="s">
        <v>257</v>
      </c>
      <c r="B148" s="1603"/>
      <c r="C148" s="1604"/>
      <c r="D148" s="842" t="s">
        <v>183</v>
      </c>
      <c r="E148" s="843"/>
      <c r="F148" s="843"/>
      <c r="G148" s="845">
        <f>G38+G52</f>
        <v>1433.6900000000023</v>
      </c>
      <c r="H148" s="845">
        <f>G148+'25'!H148</f>
        <v>41934.179999999949</v>
      </c>
      <c r="I148" s="864"/>
      <c r="J148" s="847">
        <f>H148/DAY(B2)</f>
        <v>1612.8530769230749</v>
      </c>
      <c r="K148" s="999"/>
      <c r="O148" s="849"/>
    </row>
    <row r="149" spans="1:15" ht="20.100000000000001" customHeight="1">
      <c r="A149" s="1602" t="s">
        <v>258</v>
      </c>
      <c r="B149" s="1603"/>
      <c r="C149" s="1604"/>
      <c r="D149" s="842" t="s">
        <v>24</v>
      </c>
      <c r="E149" s="843"/>
      <c r="F149" s="843"/>
      <c r="G149" s="996">
        <f>G148/G7</f>
        <v>6.9823698436663043E-2</v>
      </c>
      <c r="H149" s="845">
        <f>G149+'25'!H149</f>
        <v>2.0089517258940166</v>
      </c>
      <c r="I149" s="998"/>
      <c r="J149" s="847">
        <f>H149/DAY(B2)</f>
        <v>7.7267374072846798E-2</v>
      </c>
      <c r="O149" s="849"/>
    </row>
    <row r="150" spans="1:15" ht="20.100000000000001" customHeight="1">
      <c r="A150" s="1602" t="s">
        <v>259</v>
      </c>
      <c r="B150" s="1603"/>
      <c r="C150" s="1604"/>
      <c r="D150" s="842" t="s">
        <v>183</v>
      </c>
      <c r="E150" s="843"/>
      <c r="F150" s="843"/>
      <c r="G150" s="845">
        <f>G36+G50</f>
        <v>1960.8400000000256</v>
      </c>
      <c r="H150" s="845">
        <f>G150+'25'!H150</f>
        <v>54217.22000000003</v>
      </c>
      <c r="I150" s="998"/>
      <c r="J150" s="847">
        <f>H150/DAY(B2)</f>
        <v>2085.2776923076935</v>
      </c>
      <c r="O150" s="849"/>
    </row>
    <row r="151" spans="1:15" ht="20.100000000000001" customHeight="1">
      <c r="A151" s="1602" t="s">
        <v>260</v>
      </c>
      <c r="B151" s="1603"/>
      <c r="C151" s="1604"/>
      <c r="D151" s="842" t="s">
        <v>24</v>
      </c>
      <c r="E151" s="843"/>
      <c r="F151" s="843"/>
      <c r="G151" s="996">
        <f>G150/G7</f>
        <v>9.5497004821508094E-2</v>
      </c>
      <c r="H151" s="845">
        <f>G151+'25'!H151</f>
        <v>2.6003497954737127</v>
      </c>
      <c r="I151" s="864"/>
      <c r="J151" s="847">
        <f>H151/DAY(B2)</f>
        <v>0.10001345367206588</v>
      </c>
      <c r="O151" s="849"/>
    </row>
    <row r="152" spans="1:15" ht="20.100000000000001" customHeight="1">
      <c r="A152" s="1602" t="s">
        <v>261</v>
      </c>
      <c r="B152" s="1603"/>
      <c r="C152" s="1604"/>
      <c r="D152" s="842" t="s">
        <v>183</v>
      </c>
      <c r="E152" s="843"/>
      <c r="F152" s="843"/>
      <c r="G152" s="845">
        <f>G37+G51</f>
        <v>1331.4199999999983</v>
      </c>
      <c r="H152" s="845">
        <f>G152+'25'!H152</f>
        <v>35483.959999999992</v>
      </c>
      <c r="I152" s="864"/>
      <c r="J152" s="847">
        <f>H152/DAY(B2)</f>
        <v>1364.767692307692</v>
      </c>
      <c r="O152" s="849"/>
    </row>
    <row r="153" spans="1:15" ht="20.100000000000001" customHeight="1" thickBot="1">
      <c r="A153" s="1605" t="s">
        <v>262</v>
      </c>
      <c r="B153" s="1606"/>
      <c r="C153" s="1607"/>
      <c r="D153" s="1000" t="s">
        <v>24</v>
      </c>
      <c r="E153" s="1001"/>
      <c r="F153" s="1001"/>
      <c r="G153" s="1002">
        <f>G152/G7</f>
        <v>6.4842935761944095E-2</v>
      </c>
      <c r="H153" s="845">
        <f>G153+'25'!H153</f>
        <v>1.7018078274602892</v>
      </c>
      <c r="I153" s="1003"/>
      <c r="J153" s="1004">
        <f>H153/DAY(B2)</f>
        <v>6.5454147210011124E-2</v>
      </c>
      <c r="O153" s="849"/>
    </row>
    <row r="154" spans="1:15" ht="44.25" customHeight="1">
      <c r="A154" s="1005"/>
      <c r="B154" s="1005"/>
      <c r="C154" s="1005"/>
      <c r="D154" s="1005"/>
      <c r="E154" s="1005"/>
      <c r="F154" s="1005"/>
      <c r="G154" s="1005"/>
      <c r="H154" s="1006"/>
      <c r="I154" s="1005"/>
      <c r="J154" s="1007"/>
      <c r="O154" s="849"/>
    </row>
    <row r="155" spans="1:15" ht="21.75" customHeight="1"/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>
      <c r="A160" s="995" t="s">
        <v>263</v>
      </c>
      <c r="B160" s="995"/>
      <c r="C160" s="995"/>
      <c r="D160" s="829" t="s">
        <v>187</v>
      </c>
      <c r="E160" s="843">
        <f>'25'!F160</f>
        <v>35528.67</v>
      </c>
      <c r="F160" s="1019">
        <v>35613.24</v>
      </c>
      <c r="G160" s="844">
        <f t="shared" ref="G160:G163" si="16">F160-E160</f>
        <v>84.569999999999709</v>
      </c>
    </row>
    <row r="161" spans="1:7" ht="21.75" customHeight="1">
      <c r="A161" s="995" t="s">
        <v>264</v>
      </c>
      <c r="B161" s="995"/>
      <c r="C161" s="995"/>
      <c r="D161" s="829" t="s">
        <v>187</v>
      </c>
      <c r="E161" s="843">
        <f>'25'!F161</f>
        <v>80045.19</v>
      </c>
      <c r="F161" s="1019">
        <v>80521.23</v>
      </c>
      <c r="G161" s="844">
        <f t="shared" si="16"/>
        <v>476.0399999999936</v>
      </c>
    </row>
    <row r="162" spans="1:7" ht="21.75" customHeight="1">
      <c r="A162" s="995" t="s">
        <v>265</v>
      </c>
      <c r="B162" s="995"/>
      <c r="C162" s="995"/>
      <c r="D162" s="829" t="s">
        <v>187</v>
      </c>
      <c r="E162" s="843">
        <f>'25'!F162</f>
        <v>36382.11</v>
      </c>
      <c r="F162" s="1019">
        <v>36653.26</v>
      </c>
      <c r="G162" s="844">
        <f t="shared" si="16"/>
        <v>271.15000000000146</v>
      </c>
    </row>
    <row r="163" spans="1:7" ht="21.75" customHeight="1">
      <c r="A163" s="995" t="s">
        <v>266</v>
      </c>
      <c r="B163" s="995"/>
      <c r="C163" s="995"/>
      <c r="D163" s="829" t="s">
        <v>187</v>
      </c>
      <c r="E163" s="843">
        <f>'25'!F163</f>
        <v>6140.83</v>
      </c>
      <c r="F163" s="1019">
        <v>6144.27</v>
      </c>
      <c r="G163" s="844">
        <f t="shared" si="16"/>
        <v>3.4400000000005093</v>
      </c>
    </row>
    <row r="164" spans="1:7" ht="21.75" customHeight="1">
      <c r="A164" s="925" t="s">
        <v>98</v>
      </c>
      <c r="B164" s="925"/>
      <c r="C164" s="925"/>
      <c r="D164" s="829" t="s">
        <v>187</v>
      </c>
      <c r="E164" s="926">
        <f>E62</f>
        <v>20419</v>
      </c>
      <c r="F164" s="926">
        <f>F62</f>
        <v>20419</v>
      </c>
      <c r="G164" s="844">
        <f t="shared" ref="G164:G171" si="17">F164-E164</f>
        <v>0</v>
      </c>
    </row>
    <row r="165" spans="1:7" ht="21.75" customHeight="1">
      <c r="A165" s="925" t="s">
        <v>188</v>
      </c>
      <c r="B165" s="925"/>
      <c r="C165" s="925"/>
      <c r="D165" s="829" t="s">
        <v>187</v>
      </c>
      <c r="E165" s="926">
        <f t="shared" ref="E165:E171" si="18">E63</f>
        <v>2333.34</v>
      </c>
      <c r="F165" s="926">
        <f t="shared" ref="F165:F171" si="19">F63</f>
        <v>2339.09</v>
      </c>
      <c r="G165" s="844">
        <f t="shared" si="17"/>
        <v>5.75</v>
      </c>
    </row>
    <row r="166" spans="1:7" ht="21.75" customHeight="1">
      <c r="A166" s="1578" t="s">
        <v>99</v>
      </c>
      <c r="B166" s="1578"/>
      <c r="C166" s="1578"/>
      <c r="D166" s="842" t="s">
        <v>187</v>
      </c>
      <c r="E166" s="926">
        <f t="shared" si="18"/>
        <v>151332.69</v>
      </c>
      <c r="F166" s="926">
        <f t="shared" si="19"/>
        <v>151828.01999999999</v>
      </c>
      <c r="G166" s="844">
        <f t="shared" si="17"/>
        <v>495.32999999998719</v>
      </c>
    </row>
    <row r="167" spans="1:7" ht="21.75" customHeight="1">
      <c r="A167" s="1578" t="s">
        <v>100</v>
      </c>
      <c r="B167" s="1578"/>
      <c r="C167" s="1578"/>
      <c r="D167" s="842" t="s">
        <v>187</v>
      </c>
      <c r="E167" s="926">
        <f t="shared" si="18"/>
        <v>153226.18</v>
      </c>
      <c r="F167" s="926">
        <f t="shared" si="19"/>
        <v>153594.48000000001</v>
      </c>
      <c r="G167" s="844">
        <f t="shared" si="17"/>
        <v>368.30000000001746</v>
      </c>
    </row>
    <row r="168" spans="1:7" ht="21.75" customHeight="1">
      <c r="A168" s="1578" t="s">
        <v>101</v>
      </c>
      <c r="B168" s="1578"/>
      <c r="C168" s="1578"/>
      <c r="D168" s="842" t="s">
        <v>187</v>
      </c>
      <c r="E168" s="926">
        <f t="shared" si="18"/>
        <v>46974.400000000001</v>
      </c>
      <c r="F168" s="926">
        <f t="shared" si="19"/>
        <v>47352.91</v>
      </c>
      <c r="G168" s="844">
        <f t="shared" si="17"/>
        <v>378.51000000000204</v>
      </c>
    </row>
    <row r="169" spans="1:7" ht="21.75" customHeight="1">
      <c r="A169" s="1578" t="s">
        <v>102</v>
      </c>
      <c r="B169" s="1578"/>
      <c r="C169" s="1578"/>
      <c r="D169" s="842" t="s">
        <v>187</v>
      </c>
      <c r="E169" s="926">
        <f t="shared" si="18"/>
        <v>241583.11</v>
      </c>
      <c r="F169" s="926">
        <f t="shared" si="19"/>
        <v>241972.13</v>
      </c>
      <c r="G169" s="844">
        <f t="shared" si="17"/>
        <v>389.02000000001863</v>
      </c>
    </row>
    <row r="170" spans="1:7" ht="24" customHeight="1">
      <c r="A170" s="1578" t="s">
        <v>103</v>
      </c>
      <c r="B170" s="1578"/>
      <c r="C170" s="1578"/>
      <c r="D170" s="842" t="s">
        <v>187</v>
      </c>
      <c r="E170" s="926">
        <f t="shared" si="18"/>
        <v>85321</v>
      </c>
      <c r="F170" s="926">
        <f t="shared" si="19"/>
        <v>85321</v>
      </c>
      <c r="G170" s="844">
        <f t="shared" si="17"/>
        <v>0</v>
      </c>
    </row>
    <row r="171" spans="1:7">
      <c r="A171" s="1578" t="s">
        <v>104</v>
      </c>
      <c r="B171" s="1578"/>
      <c r="C171" s="1578"/>
      <c r="D171" s="842" t="s">
        <v>187</v>
      </c>
      <c r="E171" s="926">
        <f t="shared" si="18"/>
        <v>78609.8</v>
      </c>
      <c r="F171" s="926">
        <f t="shared" si="19"/>
        <v>78730.27</v>
      </c>
      <c r="G171" s="844">
        <f t="shared" si="17"/>
        <v>120.47000000000116</v>
      </c>
    </row>
    <row r="172" spans="1:7">
      <c r="G172" s="1010">
        <f>SUM(G160:G171)</f>
        <v>2592.5800000000218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2"/>
  <sheetViews>
    <sheetView view="pageBreakPreview" topLeftCell="A116" zoomScale="55" zoomScaleSheetLayoutView="55" workbookViewId="0">
      <selection activeCell="F136" sqref="F136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528" t="s">
        <v>117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4" s="281" customFormat="1" ht="27">
      <c r="A2" s="575" t="s">
        <v>318</v>
      </c>
      <c r="B2" s="1116">
        <v>43948</v>
      </c>
      <c r="C2" s="1146" t="s">
        <v>69</v>
      </c>
      <c r="D2" s="611">
        <v>0.49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146" t="s">
        <v>120</v>
      </c>
      <c r="D3" s="612">
        <v>22</v>
      </c>
      <c r="E3" s="1537" t="s">
        <v>121</v>
      </c>
      <c r="F3" s="1538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6" t="s">
        <v>122</v>
      </c>
      <c r="D4" s="611">
        <v>0.76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31" t="s">
        <v>130</v>
      </c>
      <c r="B6" s="1532"/>
      <c r="C6" s="1533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'26'!F7</f>
        <v>5656762</v>
      </c>
      <c r="F7" s="455">
        <v>5674757</v>
      </c>
      <c r="G7" s="681">
        <f>F7-E7</f>
        <v>17995</v>
      </c>
      <c r="H7" s="682">
        <f>G7+'26'!H7</f>
        <v>560834</v>
      </c>
      <c r="I7" s="683">
        <f>'1'!I7</f>
        <v>12000</v>
      </c>
      <c r="J7" s="684">
        <f>H7/DAY(B2)</f>
        <v>20771.629629629631</v>
      </c>
      <c r="K7" s="549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5" t="s">
        <v>133</v>
      </c>
      <c r="B8" s="686"/>
      <c r="C8" s="687"/>
      <c r="D8" s="688" t="s">
        <v>25</v>
      </c>
      <c r="E8" s="633">
        <f>'26'!F8</f>
        <v>5690250</v>
      </c>
      <c r="F8" s="475">
        <v>5708341</v>
      </c>
      <c r="G8" s="692">
        <f>F8-E8</f>
        <v>18091</v>
      </c>
      <c r="H8" s="682">
        <f>G8+'26'!H8</f>
        <v>563023</v>
      </c>
      <c r="I8" s="689">
        <f>'1'!I8</f>
        <v>12000</v>
      </c>
      <c r="J8" s="684">
        <f>H8/DAY(B2)</f>
        <v>20852.703703703704</v>
      </c>
      <c r="K8" s="549"/>
      <c r="L8" s="425"/>
      <c r="M8" s="440"/>
      <c r="N8" s="706"/>
    </row>
    <row r="9" spans="1:14">
      <c r="A9" s="690" t="s">
        <v>134</v>
      </c>
      <c r="B9" s="691"/>
      <c r="C9" s="691"/>
      <c r="D9" s="638" t="s">
        <v>132</v>
      </c>
      <c r="E9" s="635">
        <f>'26'!F9</f>
        <v>922288.79</v>
      </c>
      <c r="F9" s="478">
        <v>939717</v>
      </c>
      <c r="G9" s="705">
        <f t="shared" ref="G9:G12" si="0">F9-E9</f>
        <v>17428.209999999963</v>
      </c>
      <c r="H9" s="682">
        <f>G9+'26'!H9</f>
        <v>543648</v>
      </c>
      <c r="I9" s="693">
        <f>I8-J8</f>
        <v>-8852.7037037037044</v>
      </c>
      <c r="J9" s="684">
        <f>H9/DAY(B2)</f>
        <v>20135.111111111109</v>
      </c>
      <c r="K9" s="428"/>
      <c r="L9" s="377"/>
      <c r="N9" s="382"/>
    </row>
    <row r="10" spans="1:14">
      <c r="A10" s="679" t="s">
        <v>135</v>
      </c>
      <c r="B10" s="680"/>
      <c r="C10" s="680"/>
      <c r="D10" s="638" t="s">
        <v>132</v>
      </c>
      <c r="E10" s="635">
        <f>'26'!F10</f>
        <v>2322.58</v>
      </c>
      <c r="F10" s="478">
        <v>2322.58</v>
      </c>
      <c r="G10" s="692">
        <f t="shared" si="0"/>
        <v>0</v>
      </c>
      <c r="H10" s="682">
        <f>G10+'26'!H10</f>
        <v>0</v>
      </c>
      <c r="I10" s="694"/>
      <c r="J10" s="684">
        <f>H10/DAY(B2)</f>
        <v>0</v>
      </c>
      <c r="K10" s="428"/>
      <c r="L10" s="377"/>
      <c r="N10" s="382"/>
    </row>
    <row r="11" spans="1:14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G11+'26'!H11</f>
        <v>0</v>
      </c>
      <c r="I11" s="694"/>
      <c r="J11" s="684">
        <f>H11/DAY(B2)</f>
        <v>0</v>
      </c>
      <c r="K11" s="428"/>
      <c r="L11" s="377"/>
      <c r="N11" s="382"/>
    </row>
    <row r="12" spans="1:14">
      <c r="A12" s="679" t="s">
        <v>137</v>
      </c>
      <c r="B12" s="680"/>
      <c r="C12" s="680"/>
      <c r="D12" s="638" t="s">
        <v>132</v>
      </c>
      <c r="E12" s="635">
        <f>'5'!E12</f>
        <v>40010</v>
      </c>
      <c r="F12" s="478">
        <v>40010</v>
      </c>
      <c r="G12" s="692">
        <f t="shared" si="0"/>
        <v>0</v>
      </c>
      <c r="H12" s="682">
        <f>G12+'26'!H12</f>
        <v>0</v>
      </c>
      <c r="I12" s="694"/>
      <c r="J12" s="684">
        <f>H12/DAY(B2)</f>
        <v>0</v>
      </c>
      <c r="K12" s="428"/>
      <c r="L12" s="377"/>
      <c r="N12" s="382"/>
    </row>
    <row r="13" spans="1:14">
      <c r="A13" s="695" t="s">
        <v>138</v>
      </c>
      <c r="B13" s="696"/>
      <c r="C13" s="696"/>
      <c r="D13" s="638"/>
      <c r="E13" s="633"/>
      <c r="F13" s="455"/>
      <c r="G13" s="697">
        <f>G9+G10+G11+G12</f>
        <v>17428.209999999963</v>
      </c>
      <c r="H13" s="682">
        <f>G13+'26'!H13</f>
        <v>523457.3600000001</v>
      </c>
      <c r="I13" s="698">
        <f>G7-G13</f>
        <v>566.79000000003725</v>
      </c>
      <c r="J13" s="684">
        <f>H13/DAY(B2)</f>
        <v>19387.309629629632</v>
      </c>
      <c r="K13" s="428"/>
      <c r="L13" s="377"/>
      <c r="N13" s="382"/>
    </row>
    <row r="14" spans="1:14">
      <c r="A14" s="1534" t="s">
        <v>139</v>
      </c>
      <c r="B14" s="1535"/>
      <c r="C14" s="1536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668" t="s">
        <v>140</v>
      </c>
      <c r="B15" s="669"/>
      <c r="C15" s="669"/>
      <c r="D15" s="670" t="s">
        <v>141</v>
      </c>
      <c r="E15" s="671">
        <f>'26'!F15</f>
        <v>1668448.08</v>
      </c>
      <c r="F15" s="703">
        <v>1669075.459</v>
      </c>
      <c r="G15" s="667">
        <f>(F15-E15)</f>
        <v>627.37899999995716</v>
      </c>
      <c r="H15" s="673">
        <f>G15+'26'!H15</f>
        <v>22386.459000000032</v>
      </c>
      <c r="I15" s="674">
        <v>800</v>
      </c>
      <c r="J15" s="1288">
        <f>H15/DAY(B2)</f>
        <v>829.12811111111228</v>
      </c>
      <c r="K15" s="428"/>
      <c r="L15" s="377"/>
      <c r="N15" s="382"/>
    </row>
    <row r="16" spans="1:14">
      <c r="A16" s="676"/>
      <c r="B16" s="677"/>
      <c r="C16" s="677"/>
      <c r="D16" s="670"/>
      <c r="E16" s="671"/>
      <c r="F16" s="703"/>
      <c r="G16" s="672"/>
      <c r="H16" s="673"/>
      <c r="I16" s="678">
        <f>I15-J15</f>
        <v>-29.128111111112275</v>
      </c>
      <c r="J16" s="675"/>
      <c r="K16" s="428"/>
      <c r="L16" s="377"/>
      <c r="N16" s="382"/>
    </row>
    <row r="17" spans="1:14">
      <c r="A17" s="1534" t="s">
        <v>142</v>
      </c>
      <c r="B17" s="1535"/>
      <c r="C17" s="1536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60" t="s">
        <v>143</v>
      </c>
      <c r="B18" s="1561"/>
      <c r="C18" s="1562"/>
      <c r="D18" s="638" t="s">
        <v>144</v>
      </c>
      <c r="E18" s="635">
        <f>'26'!F18</f>
        <v>10</v>
      </c>
      <c r="F18" s="478">
        <v>6</v>
      </c>
      <c r="G18" s="697">
        <f>F18*10</f>
        <v>60</v>
      </c>
      <c r="H18" s="682">
        <f>G18+'26'!H18</f>
        <v>2500</v>
      </c>
      <c r="I18" s="683">
        <f>'1'!I18</f>
        <v>65</v>
      </c>
      <c r="J18" s="684">
        <f>H18/DAY(B2)</f>
        <v>92.592592592592595</v>
      </c>
      <c r="K18" s="428"/>
      <c r="L18" s="377"/>
      <c r="N18" s="382"/>
    </row>
    <row r="19" spans="1:14" ht="27.75">
      <c r="A19" s="1560" t="s">
        <v>71</v>
      </c>
      <c r="B19" s="1561"/>
      <c r="C19" s="1562"/>
      <c r="D19" s="638" t="s">
        <v>144</v>
      </c>
      <c r="E19" s="635">
        <f>'26'!F19</f>
        <v>137595</v>
      </c>
      <c r="F19" s="478">
        <v>137647</v>
      </c>
      <c r="G19" s="692">
        <f t="shared" ref="G19" si="1">F19-E19</f>
        <v>52</v>
      </c>
      <c r="H19" s="682">
        <f>G19+'26'!H19</f>
        <v>1557</v>
      </c>
      <c r="I19" s="699"/>
      <c r="J19" s="684">
        <f>H19/DAY(B2)</f>
        <v>57.666666666666664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112</v>
      </c>
      <c r="H20" s="682">
        <f>G20+'26'!H20</f>
        <v>4093</v>
      </c>
      <c r="I20" s="701">
        <f>I18-J20</f>
        <v>-86.592592592592581</v>
      </c>
      <c r="J20" s="684">
        <f>H20/DAY(B2)</f>
        <v>151.59259259259258</v>
      </c>
      <c r="K20" s="428"/>
      <c r="L20" s="377"/>
      <c r="N20" s="382"/>
    </row>
    <row r="21" spans="1:14">
      <c r="A21" s="1534" t="s">
        <v>146</v>
      </c>
      <c r="B21" s="1535"/>
      <c r="C21" s="1536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4" t="s">
        <v>147</v>
      </c>
      <c r="B22" s="589"/>
      <c r="C22" s="589"/>
      <c r="D22" s="523" t="s">
        <v>148</v>
      </c>
      <c r="E22" s="484">
        <f>'26'!F22</f>
        <v>1290</v>
      </c>
      <c r="F22" s="478">
        <v>1290</v>
      </c>
      <c r="G22" s="481">
        <f t="shared" ref="G22" si="2">(F22-E22)</f>
        <v>0</v>
      </c>
      <c r="H22" s="460">
        <f>G22+'26'!H22</f>
        <v>1290</v>
      </c>
      <c r="I22" s="480"/>
      <c r="J22" s="552">
        <f>H22/DAY(B2)</f>
        <v>47.777777777777779</v>
      </c>
      <c r="K22" s="428"/>
      <c r="L22" s="377"/>
      <c r="N22" s="382"/>
    </row>
    <row r="23" spans="1:14">
      <c r="A23" s="1144" t="s">
        <v>149</v>
      </c>
      <c r="B23" s="589"/>
      <c r="C23" s="589"/>
      <c r="D23" s="523" t="s">
        <v>148</v>
      </c>
      <c r="E23" s="484">
        <f>'26'!F23</f>
        <v>2000</v>
      </c>
      <c r="F23" s="478">
        <v>2000</v>
      </c>
      <c r="G23" s="481">
        <v>0</v>
      </c>
      <c r="H23" s="460">
        <f>G23+'26'!H23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f>SUM(E22:E23)</f>
        <v>3290</v>
      </c>
      <c r="F24" s="485">
        <f>SUM(F22:F23)</f>
        <v>3290</v>
      </c>
      <c r="G24" s="481">
        <v>0</v>
      </c>
      <c r="H24" s="460">
        <f>G24+'26'!H24</f>
        <v>1290</v>
      </c>
      <c r="I24" s="480"/>
      <c r="J24" s="552">
        <f>H24/DAY(B2)</f>
        <v>47.777777777777779</v>
      </c>
      <c r="K24" s="428"/>
      <c r="L24" s="377"/>
      <c r="N24" s="382"/>
    </row>
    <row r="25" spans="1:14" s="442" customFormat="1" ht="27">
      <c r="A25" s="1539" t="s">
        <v>151</v>
      </c>
      <c r="B25" s="1540"/>
      <c r="C25" s="1541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18091</v>
      </c>
      <c r="F27" s="501">
        <v>9</v>
      </c>
      <c r="G27" s="502">
        <f>E27*F27</f>
        <v>162819</v>
      </c>
      <c r="H27" s="460">
        <f>G27+'26'!H27</f>
        <v>5067207</v>
      </c>
      <c r="I27" s="503"/>
      <c r="J27" s="552">
        <f>H27/DAY(B2)</f>
        <v>187674.33333333334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627.37899999995716</v>
      </c>
      <c r="F28" s="501">
        <v>51.45</v>
      </c>
      <c r="G28" s="502">
        <f>E28*F28</f>
        <v>32278.649549997797</v>
      </c>
      <c r="H28" s="460">
        <f>G28+'26'!H28</f>
        <v>1151783.3155500016</v>
      </c>
      <c r="I28" s="505"/>
      <c r="J28" s="552">
        <f>H28/DAY(B2)</f>
        <v>42658.641316666726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G29+'26'!H29</f>
        <v>89010</v>
      </c>
      <c r="I29" s="505"/>
      <c r="J29" s="552">
        <f>H29/DAY(B2)</f>
        <v>3296.6666666666665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52</v>
      </c>
      <c r="F30" s="501">
        <v>134</v>
      </c>
      <c r="G30" s="502">
        <f>E30*F30</f>
        <v>6968</v>
      </c>
      <c r="H30" s="460">
        <f>G30+'26'!H30</f>
        <v>210006</v>
      </c>
      <c r="I30" s="505"/>
      <c r="J30" s="552">
        <f>H30/DAY(B2)</f>
        <v>7778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60</v>
      </c>
      <c r="F31" s="501">
        <v>80</v>
      </c>
      <c r="G31" s="502">
        <f>E31*F31</f>
        <v>4800</v>
      </c>
      <c r="H31" s="460">
        <f>G31+'26'!H31</f>
        <v>200000</v>
      </c>
      <c r="I31" s="505"/>
      <c r="J31" s="552"/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206865.64954999779</v>
      </c>
      <c r="H32" s="460">
        <f>G32+'26'!H32</f>
        <v>6718006.3155500032</v>
      </c>
      <c r="I32" s="509"/>
      <c r="J32" s="552">
        <f>H32/DAY(B2)</f>
        <v>248815.04872407418</v>
      </c>
      <c r="K32" s="373"/>
      <c r="L32" s="443"/>
      <c r="N32" s="382"/>
    </row>
    <row r="33" spans="1:14" ht="25.5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  <c r="N33" s="382"/>
    </row>
    <row r="34" spans="1:14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'26'!F35</f>
        <v>877162.95</v>
      </c>
      <c r="F35" s="510">
        <v>879782.31</v>
      </c>
      <c r="G35" s="473">
        <f t="shared" ref="G35:G46" si="3">F35-E35</f>
        <v>2619.3600000001024</v>
      </c>
      <c r="H35" s="460">
        <f>G35+'26'!H35</f>
        <v>81393.310000000056</v>
      </c>
      <c r="I35" s="455"/>
      <c r="J35" s="552">
        <f>H35/DAY(B2)</f>
        <v>3014.567037037039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'26'!F36</f>
        <v>342668.07</v>
      </c>
      <c r="F36" s="510">
        <v>343058.55</v>
      </c>
      <c r="G36" s="473">
        <f t="shared" si="3"/>
        <v>390.47999999998137</v>
      </c>
      <c r="H36" s="460">
        <f>G36+'26'!H36</f>
        <v>25622.549999999988</v>
      </c>
      <c r="I36" s="455"/>
      <c r="J36" s="552">
        <f>H36/DAY(B2)</f>
        <v>948.98333333333289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'26'!F37</f>
        <v>90281.09</v>
      </c>
      <c r="F37" s="510">
        <v>91455.34</v>
      </c>
      <c r="G37" s="473">
        <f t="shared" si="3"/>
        <v>1174.25</v>
      </c>
      <c r="H37" s="460">
        <f>G37+'26'!H37</f>
        <v>36658.339999999997</v>
      </c>
      <c r="I37" s="455"/>
      <c r="J37" s="552">
        <f>H37/DAY(B2)</f>
        <v>1357.7162962962962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'26'!F38</f>
        <v>114244.11</v>
      </c>
      <c r="F38" s="469">
        <v>115500.11</v>
      </c>
      <c r="G38" s="473">
        <f t="shared" si="3"/>
        <v>1256</v>
      </c>
      <c r="H38" s="460">
        <f>G38+'26'!H38</f>
        <v>43192.11</v>
      </c>
      <c r="I38" s="455"/>
      <c r="J38" s="552">
        <f>H38/DAY(B2)</f>
        <v>1599.7077777777779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'26'!F39</f>
        <v>236905.11</v>
      </c>
      <c r="F39" s="510">
        <v>239642.37</v>
      </c>
      <c r="G39" s="473">
        <f t="shared" si="3"/>
        <v>2737.2600000000093</v>
      </c>
      <c r="H39" s="460">
        <f>G39+'26'!H39</f>
        <v>86820.37</v>
      </c>
      <c r="I39" s="455"/>
      <c r="J39" s="552">
        <f>H39/DAY(B2)</f>
        <v>3215.5692592592591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'26'!F40</f>
        <v>0.23</v>
      </c>
      <c r="F40" s="510">
        <v>0.23</v>
      </c>
      <c r="G40" s="473">
        <f t="shared" si="3"/>
        <v>0</v>
      </c>
      <c r="H40" s="460">
        <f>G40+'26'!H40</f>
        <v>0.4</v>
      </c>
      <c r="I40" s="455"/>
      <c r="J40" s="552">
        <f>H40/DAY(B2)</f>
        <v>1.4814814814814815E-2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'26'!F41</f>
        <v>164850.88</v>
      </c>
      <c r="F41" s="510">
        <v>167081.91</v>
      </c>
      <c r="G41" s="473">
        <f t="shared" si="3"/>
        <v>2231.0299999999988</v>
      </c>
      <c r="H41" s="460">
        <f>G41+'26'!H41</f>
        <v>33940.910000000003</v>
      </c>
      <c r="I41" s="455"/>
      <c r="J41" s="552">
        <f>H41/DAY(B2)</f>
        <v>1257.0707407407408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'26'!F42</f>
        <v>59128.163</v>
      </c>
      <c r="F42" s="510">
        <v>59200.087</v>
      </c>
      <c r="G42" s="473">
        <f t="shared" si="3"/>
        <v>71.923999999999069</v>
      </c>
      <c r="H42" s="460">
        <f>G42+'26'!H42</f>
        <v>71.926999999996042</v>
      </c>
      <c r="I42" s="455"/>
      <c r="J42" s="552">
        <f>H42/DAY(B2)</f>
        <v>2.6639629629628163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'26'!F43</f>
        <v>964642.31</v>
      </c>
      <c r="F43" s="510">
        <v>967060.07</v>
      </c>
      <c r="G43" s="473">
        <f t="shared" si="3"/>
        <v>2417.7599999998929</v>
      </c>
      <c r="H43" s="460">
        <f>G43+'26'!H43</f>
        <v>65012.069999999949</v>
      </c>
      <c r="I43" s="455"/>
      <c r="J43" s="552">
        <f>H43/DAY(B2)</f>
        <v>2407.8544444444424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'26'!F45</f>
        <v>614</v>
      </c>
      <c r="F45" s="510">
        <v>614</v>
      </c>
      <c r="G45" s="473">
        <f t="shared" si="3"/>
        <v>0</v>
      </c>
      <c r="H45" s="460">
        <f>G45+'26'!H45</f>
        <v>614</v>
      </c>
      <c r="I45" s="455"/>
      <c r="J45" s="552">
        <f>H45/DAY(B2)</f>
        <v>22.74074074074074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'26'!F46</f>
        <v>187</v>
      </c>
      <c r="F46" s="510">
        <v>187</v>
      </c>
      <c r="G46" s="473">
        <f t="shared" si="3"/>
        <v>0</v>
      </c>
      <c r="H46" s="460">
        <f>G46+'26'!H46</f>
        <v>186.95</v>
      </c>
      <c r="I46" s="455"/>
      <c r="J46" s="552">
        <f>H46/DAY(B2)</f>
        <v>6.924074074074074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12898.063999999984</v>
      </c>
      <c r="H47" s="460">
        <f>G47+'26'!H47</f>
        <v>374314.42700000003</v>
      </c>
      <c r="I47" s="455"/>
      <c r="J47" s="552">
        <f>H47/DAY(B2)</f>
        <v>13863.497296296297</v>
      </c>
      <c r="K47" s="428"/>
      <c r="L47" s="377"/>
      <c r="N47" s="382"/>
    </row>
    <row r="48" spans="1:14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'26'!F49</f>
        <v>260732.13</v>
      </c>
      <c r="F49" s="510">
        <v>260732.13</v>
      </c>
      <c r="G49" s="473">
        <f t="shared" ref="G49:G58" si="4">F49-E49</f>
        <v>0</v>
      </c>
      <c r="H49" s="460">
        <f>G49+'26'!H49</f>
        <v>0.13000000000465661</v>
      </c>
      <c r="I49" s="455"/>
      <c r="J49" s="552">
        <f>H49/DAY(B2)</f>
        <v>4.8148148149872822E-3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'26'!F50</f>
        <v>470217.15</v>
      </c>
      <c r="F50" s="510">
        <v>471166.27</v>
      </c>
      <c r="G50" s="473">
        <f t="shared" si="4"/>
        <v>949.11999999999534</v>
      </c>
      <c r="H50" s="460">
        <f>G50+'26'!H50</f>
        <v>28892.229999999981</v>
      </c>
      <c r="I50" s="455"/>
      <c r="J50" s="552">
        <f>H50/DAY(B2)</f>
        <v>1070.0825925925919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'26'!F51</f>
        <v>144639.87</v>
      </c>
      <c r="F51" s="510">
        <v>144639.87</v>
      </c>
      <c r="G51" s="473">
        <f t="shared" si="4"/>
        <v>0</v>
      </c>
      <c r="H51" s="460">
        <f>G51+'26'!H51</f>
        <v>-0.13000000000465661</v>
      </c>
      <c r="I51" s="455"/>
      <c r="J51" s="552">
        <f>H51/DAY(B2)</f>
        <v>-4.8148148149872822E-3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'26'!F52</f>
        <v>539606.06999999995</v>
      </c>
      <c r="F52" s="510">
        <v>539606.06999999995</v>
      </c>
      <c r="G52" s="473">
        <f t="shared" si="4"/>
        <v>0</v>
      </c>
      <c r="H52" s="460">
        <f>G52+'26'!H52</f>
        <v>6.9999999948777258E-2</v>
      </c>
      <c r="I52" s="455"/>
      <c r="J52" s="552">
        <f>H52/DAY(B2)</f>
        <v>2.5925925906954538E-3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'26'!F53</f>
        <v>414047.95</v>
      </c>
      <c r="F53" s="510">
        <v>414630.31</v>
      </c>
      <c r="G53" s="473">
        <f t="shared" si="4"/>
        <v>582.35999999998603</v>
      </c>
      <c r="H53" s="460">
        <f>G53+'26'!H53</f>
        <v>10450.510000000009</v>
      </c>
      <c r="I53" s="455"/>
      <c r="J53" s="552">
        <f>H53/DAY(B2)</f>
        <v>387.05592592592626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'26'!F54</f>
        <v>11085.133</v>
      </c>
      <c r="F54" s="510">
        <v>11158.36</v>
      </c>
      <c r="G54" s="473">
        <f t="shared" si="4"/>
        <v>73.227000000000771</v>
      </c>
      <c r="H54" s="460">
        <f>G54+'26'!H54</f>
        <v>4933.3900000000012</v>
      </c>
      <c r="I54" s="455"/>
      <c r="J54" s="552">
        <f>H54/DAY(B2)</f>
        <v>182.7181481481482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'26'!F55</f>
        <v>342358.67</v>
      </c>
      <c r="F55" s="656">
        <f>342358.67+2700</f>
        <v>345058.67</v>
      </c>
      <c r="G55" s="473">
        <f t="shared" si="4"/>
        <v>2700</v>
      </c>
      <c r="H55" s="708">
        <f>G55+'26'!H55</f>
        <v>123605.46999999997</v>
      </c>
      <c r="I55" s="709"/>
      <c r="J55" s="710">
        <f>H55/DAY(B2)</f>
        <v>4577.9803703703692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'26'!F56</f>
        <v>589215.75</v>
      </c>
      <c r="F56" s="656">
        <v>589270.27</v>
      </c>
      <c r="G56" s="473">
        <f t="shared" si="4"/>
        <v>54.520000000018626</v>
      </c>
      <c r="H56" s="460">
        <f>G56+'26'!H56</f>
        <v>294.10999999998603</v>
      </c>
      <c r="I56" s="455"/>
      <c r="J56" s="552">
        <f>H56/DAY(B2)</f>
        <v>10.892962962962445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'26'!F57</f>
        <v>7711</v>
      </c>
      <c r="F57" s="510">
        <v>7711</v>
      </c>
      <c r="G57" s="473">
        <f t="shared" si="4"/>
        <v>0</v>
      </c>
      <c r="H57" s="460">
        <f>G57+'26'!H57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'26'!F58</f>
        <v>46210.811000000002</v>
      </c>
      <c r="F58" s="656">
        <v>46372.36</v>
      </c>
      <c r="G58" s="473">
        <f t="shared" si="4"/>
        <v>161.54899999999907</v>
      </c>
      <c r="H58" s="460">
        <f>G58+'26'!H58</f>
        <v>4671.0199999999968</v>
      </c>
      <c r="I58" s="455"/>
      <c r="J58" s="552">
        <f>H58/DAY(B2)</f>
        <v>173.00074074074061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4520.7759999999998</v>
      </c>
      <c r="H59" s="460">
        <f>G59+'26'!H59</f>
        <v>172844.79999999993</v>
      </c>
      <c r="I59" s="455">
        <f>G7-G60</f>
        <v>576.16000000001804</v>
      </c>
      <c r="J59" s="552">
        <f>H59/DAY(B2)</f>
        <v>6401.6592592592569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17418.839999999982</v>
      </c>
      <c r="H60" s="460">
        <f>G60+'26'!H60</f>
        <v>554358.77699999989</v>
      </c>
      <c r="I60" s="455">
        <f>G13-G60</f>
        <v>9.3699999999807915</v>
      </c>
      <c r="J60" s="552">
        <f>H60/DAY(B2)</f>
        <v>20531.806555555551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'26'!F62</f>
        <v>20419</v>
      </c>
      <c r="F62" s="514">
        <v>20419</v>
      </c>
      <c r="G62" s="473">
        <f t="shared" ref="G62:G69" si="5">F62-E62</f>
        <v>0</v>
      </c>
      <c r="H62" s="460">
        <f>G62+'26'!H62</f>
        <v>0.18199999999706051</v>
      </c>
      <c r="I62" s="515"/>
      <c r="J62" s="552">
        <f>H62/DAY(B2)</f>
        <v>6.7407407406318712E-3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'26'!F63</f>
        <v>2339.09</v>
      </c>
      <c r="F63" s="514">
        <v>2344.29</v>
      </c>
      <c r="G63" s="473">
        <f t="shared" si="5"/>
        <v>5.1999999999998181</v>
      </c>
      <c r="H63" s="460">
        <f>G63+'26'!H63</f>
        <v>248.28999999999996</v>
      </c>
      <c r="I63" s="515"/>
      <c r="J63" s="552">
        <f>H63/DAY(B2)</f>
        <v>9.1959259259259252</v>
      </c>
      <c r="K63" s="428"/>
      <c r="L63" s="377"/>
      <c r="N63" s="382"/>
    </row>
    <row r="64" spans="1:14" ht="27.75">
      <c r="A64" s="1499" t="s">
        <v>99</v>
      </c>
      <c r="B64" s="1500"/>
      <c r="C64" s="1501"/>
      <c r="D64" s="523" t="s">
        <v>187</v>
      </c>
      <c r="E64" s="514">
        <f>'26'!F64</f>
        <v>151828.01999999999</v>
      </c>
      <c r="F64" s="478">
        <v>152305.20000000001</v>
      </c>
      <c r="G64" s="473">
        <f t="shared" si="5"/>
        <v>477.18000000002212</v>
      </c>
      <c r="H64" s="460">
        <f>G64+'26'!H64</f>
        <v>13125.200000000012</v>
      </c>
      <c r="I64" s="480"/>
      <c r="J64" s="552">
        <f>H64/DAY(B2)</f>
        <v>486.11851851851895</v>
      </c>
      <c r="K64" s="428"/>
      <c r="L64" s="377"/>
      <c r="N64" s="382"/>
    </row>
    <row r="65" spans="1:14" ht="27.75">
      <c r="A65" s="1499" t="s">
        <v>100</v>
      </c>
      <c r="B65" s="1500"/>
      <c r="C65" s="1501"/>
      <c r="D65" s="523" t="s">
        <v>187</v>
      </c>
      <c r="E65" s="514">
        <f>'26'!F65</f>
        <v>153594.48000000001</v>
      </c>
      <c r="F65" s="626">
        <v>153943.04000000001</v>
      </c>
      <c r="G65" s="473">
        <f t="shared" si="5"/>
        <v>348.55999999999767</v>
      </c>
      <c r="H65" s="460">
        <f>G65+'26'!H65</f>
        <v>9738.0400000000081</v>
      </c>
      <c r="I65" s="489"/>
      <c r="J65" s="552">
        <f>H65/DAY(B2)</f>
        <v>360.66814814814848</v>
      </c>
      <c r="K65" s="428"/>
      <c r="L65" s="377"/>
      <c r="N65" s="382"/>
    </row>
    <row r="66" spans="1:14" ht="27.75">
      <c r="A66" s="1499" t="s">
        <v>101</v>
      </c>
      <c r="B66" s="1500"/>
      <c r="C66" s="1501"/>
      <c r="D66" s="523" t="s">
        <v>187</v>
      </c>
      <c r="E66" s="514">
        <f>'26'!F66</f>
        <v>47352.91</v>
      </c>
      <c r="F66" s="626">
        <v>47716.65</v>
      </c>
      <c r="G66" s="473">
        <f t="shared" si="5"/>
        <v>363.73999999999796</v>
      </c>
      <c r="H66" s="460">
        <f>G66+'26'!H66</f>
        <v>10508.650000000001</v>
      </c>
      <c r="I66" s="480"/>
      <c r="J66" s="552">
        <f>H66/DAY(B2)</f>
        <v>389.20925925925934</v>
      </c>
      <c r="K66" s="428"/>
      <c r="L66" s="377"/>
      <c r="N66" s="382"/>
    </row>
    <row r="67" spans="1:14" ht="27.75">
      <c r="A67" s="1499" t="s">
        <v>102</v>
      </c>
      <c r="B67" s="1500"/>
      <c r="C67" s="1501"/>
      <c r="D67" s="523" t="s">
        <v>187</v>
      </c>
      <c r="E67" s="514">
        <f>'26'!F67</f>
        <v>241972.13</v>
      </c>
      <c r="F67" s="478">
        <v>242354.53</v>
      </c>
      <c r="G67" s="473">
        <f t="shared" si="5"/>
        <v>382.39999999999418</v>
      </c>
      <c r="H67" s="460">
        <f>G67+'26'!H67</f>
        <v>13254.529999999999</v>
      </c>
      <c r="I67" s="489"/>
      <c r="J67" s="552">
        <f>H67/DAY(B2)</f>
        <v>490.90851851851846</v>
      </c>
      <c r="K67" s="429"/>
      <c r="L67" s="377"/>
      <c r="N67" s="382"/>
    </row>
    <row r="68" spans="1:14" ht="27.75">
      <c r="A68" s="1499" t="s">
        <v>103</v>
      </c>
      <c r="B68" s="1500"/>
      <c r="C68" s="1501"/>
      <c r="D68" s="523" t="s">
        <v>187</v>
      </c>
      <c r="E68" s="514">
        <f>'26'!F68</f>
        <v>85321</v>
      </c>
      <c r="F68" s="478">
        <v>85321</v>
      </c>
      <c r="G68" s="473">
        <f t="shared" si="5"/>
        <v>0</v>
      </c>
      <c r="H68" s="460">
        <f>G68+'26'!H68</f>
        <v>2234</v>
      </c>
      <c r="I68" s="516"/>
      <c r="J68" s="552">
        <f>H68/DAY(B2)</f>
        <v>82.740740740740748</v>
      </c>
      <c r="K68" s="430"/>
      <c r="L68" s="377"/>
      <c r="N68" s="382"/>
    </row>
    <row r="69" spans="1:14" ht="27.75">
      <c r="A69" s="1499" t="s">
        <v>104</v>
      </c>
      <c r="B69" s="1500"/>
      <c r="C69" s="1501"/>
      <c r="D69" s="523" t="s">
        <v>187</v>
      </c>
      <c r="E69" s="514">
        <f>'26'!F69</f>
        <v>78730.27</v>
      </c>
      <c r="F69" s="478">
        <v>78766.350000000006</v>
      </c>
      <c r="G69" s="473">
        <f t="shared" si="5"/>
        <v>36.080000000001746</v>
      </c>
      <c r="H69" s="460">
        <f>G69+'26'!H69</f>
        <v>4437.3500000000058</v>
      </c>
      <c r="I69" s="516"/>
      <c r="J69" s="552">
        <f>H69/DAY(B2)</f>
        <v>164.34629629629652</v>
      </c>
      <c r="K69" s="431"/>
      <c r="L69" s="377"/>
      <c r="N69" s="382"/>
    </row>
    <row r="70" spans="1:14" ht="27.75">
      <c r="A70" s="1505" t="s">
        <v>189</v>
      </c>
      <c r="B70" s="1506"/>
      <c r="C70" s="1507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</row>
    <row r="71" spans="1:14" ht="31.5">
      <c r="A71" s="1502" t="s">
        <v>190</v>
      </c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  <c r="N71" s="382"/>
    </row>
    <row r="72" spans="1:14" ht="27.75">
      <c r="A72" s="1499" t="s">
        <v>191</v>
      </c>
      <c r="B72" s="1500"/>
      <c r="C72" s="1501"/>
      <c r="D72" s="523" t="s">
        <v>187</v>
      </c>
      <c r="E72" s="519">
        <f>'26'!F72</f>
        <v>855297</v>
      </c>
      <c r="F72" s="657">
        <v>855358</v>
      </c>
      <c r="G72" s="473">
        <f t="shared" ref="G72:G84" si="6">F72-E72</f>
        <v>61</v>
      </c>
      <c r="H72" s="460">
        <f>G72+'26'!H72</f>
        <v>2095</v>
      </c>
      <c r="I72" s="480"/>
      <c r="J72" s="552">
        <f>H72/DAY(B2)</f>
        <v>77.592592592592595</v>
      </c>
      <c r="K72" s="431"/>
      <c r="L72" s="377"/>
      <c r="N72" s="382"/>
    </row>
    <row r="73" spans="1:14" ht="27.75">
      <c r="A73" s="1499" t="s">
        <v>192</v>
      </c>
      <c r="B73" s="1500"/>
      <c r="C73" s="1501"/>
      <c r="D73" s="523" t="s">
        <v>187</v>
      </c>
      <c r="E73" s="519">
        <f>'26'!F73</f>
        <v>885867</v>
      </c>
      <c r="F73" s="658">
        <v>885868</v>
      </c>
      <c r="G73" s="655">
        <f t="shared" si="6"/>
        <v>1</v>
      </c>
      <c r="H73" s="460">
        <f>G73+'26'!H73</f>
        <v>1289</v>
      </c>
      <c r="I73" s="480"/>
      <c r="J73" s="552">
        <f>H73/DAY(B2)</f>
        <v>47.74074074074074</v>
      </c>
      <c r="K73" s="430"/>
      <c r="L73" s="377"/>
      <c r="N73" s="382"/>
    </row>
    <row r="74" spans="1:14" ht="27.75">
      <c r="A74" s="1499" t="s">
        <v>193</v>
      </c>
      <c r="B74" s="1500"/>
      <c r="C74" s="1501"/>
      <c r="D74" s="523" t="s">
        <v>187</v>
      </c>
      <c r="E74" s="519">
        <f>'26'!F74</f>
        <v>2156.4989999999998</v>
      </c>
      <c r="F74" s="658">
        <v>2185.96</v>
      </c>
      <c r="G74" s="473">
        <f t="shared" si="6"/>
        <v>29.46100000000024</v>
      </c>
      <c r="H74" s="460">
        <f>G74+'26'!H74</f>
        <v>815.96</v>
      </c>
      <c r="I74" s="480"/>
      <c r="J74" s="552">
        <f>H74/DAY(B2)</f>
        <v>30.220740740740741</v>
      </c>
      <c r="K74" s="431"/>
      <c r="L74" s="377"/>
      <c r="N74" s="382"/>
    </row>
    <row r="75" spans="1:14" ht="27.75">
      <c r="A75" s="1496" t="s">
        <v>194</v>
      </c>
      <c r="B75" s="1497"/>
      <c r="C75" s="1498"/>
      <c r="D75" s="523" t="s">
        <v>187</v>
      </c>
      <c r="E75" s="519">
        <f>'26'!F75</f>
        <v>10749.82</v>
      </c>
      <c r="F75" s="657">
        <v>10803.92</v>
      </c>
      <c r="G75" s="473">
        <f t="shared" si="6"/>
        <v>54.100000000000364</v>
      </c>
      <c r="H75" s="460">
        <f>G75+'26'!H75</f>
        <v>2123.92</v>
      </c>
      <c r="I75" s="480"/>
      <c r="J75" s="552">
        <f>H75/DAY(B2)</f>
        <v>78.663703703703703</v>
      </c>
      <c r="K75" s="430"/>
      <c r="L75" s="377"/>
      <c r="N75" s="382"/>
    </row>
    <row r="76" spans="1:14" ht="27.75">
      <c r="A76" s="1496" t="s">
        <v>195</v>
      </c>
      <c r="B76" s="1497"/>
      <c r="C76" s="1498"/>
      <c r="D76" s="523" t="s">
        <v>187</v>
      </c>
      <c r="E76" s="519">
        <f>'26'!F76</f>
        <v>5511.8</v>
      </c>
      <c r="F76" s="658">
        <v>5559.65</v>
      </c>
      <c r="G76" s="473">
        <f t="shared" si="6"/>
        <v>47.849999999999454</v>
      </c>
      <c r="H76" s="460">
        <f>G76+'26'!H76</f>
        <v>1933.6499999999996</v>
      </c>
      <c r="I76" s="505"/>
      <c r="J76" s="552">
        <f>H76/DAY(B2)</f>
        <v>71.61666666666666</v>
      </c>
      <c r="K76" s="430"/>
      <c r="L76" s="377"/>
      <c r="N76" s="382"/>
    </row>
    <row r="77" spans="1:14" ht="27.75">
      <c r="A77" s="1499" t="s">
        <v>196</v>
      </c>
      <c r="B77" s="1500"/>
      <c r="C77" s="1501"/>
      <c r="D77" s="523" t="s">
        <v>187</v>
      </c>
      <c r="E77" s="519">
        <f>'26'!F77</f>
        <v>701376</v>
      </c>
      <c r="F77" s="658">
        <v>701420</v>
      </c>
      <c r="G77" s="655">
        <f t="shared" si="6"/>
        <v>44</v>
      </c>
      <c r="H77" s="460">
        <f>G77+'26'!H77</f>
        <v>1206</v>
      </c>
      <c r="I77" s="505"/>
      <c r="J77" s="552">
        <f>H77/DAY(B2)</f>
        <v>44.666666666666664</v>
      </c>
      <c r="K77" s="430"/>
      <c r="L77" s="377"/>
      <c r="N77" s="382"/>
    </row>
    <row r="78" spans="1:14" ht="27.75">
      <c r="A78" s="1147" t="s">
        <v>197</v>
      </c>
      <c r="B78" s="1120"/>
      <c r="C78" s="1120"/>
      <c r="D78" s="523" t="s">
        <v>187</v>
      </c>
      <c r="E78" s="519">
        <f>'26'!F78</f>
        <v>669638</v>
      </c>
      <c r="F78" s="657">
        <v>669683</v>
      </c>
      <c r="G78" s="473">
        <f t="shared" si="6"/>
        <v>45</v>
      </c>
      <c r="H78" s="460">
        <f>G78+'26'!H78</f>
        <v>4303</v>
      </c>
      <c r="I78" s="505"/>
      <c r="J78" s="552">
        <f>H78/DAY(B2)</f>
        <v>159.37037037037038</v>
      </c>
      <c r="K78" s="430"/>
      <c r="L78" s="377"/>
      <c r="N78" s="382"/>
    </row>
    <row r="79" spans="1:14" ht="27.75">
      <c r="A79" s="1496" t="s">
        <v>92</v>
      </c>
      <c r="B79" s="1497"/>
      <c r="C79" s="1498"/>
      <c r="D79" s="524" t="s">
        <v>187</v>
      </c>
      <c r="E79" s="519">
        <f>'26'!F79</f>
        <v>826040</v>
      </c>
      <c r="F79" s="657">
        <v>826230</v>
      </c>
      <c r="G79" s="473">
        <f t="shared" si="6"/>
        <v>190</v>
      </c>
      <c r="H79" s="460">
        <f>G79+'26'!H79</f>
        <v>6039</v>
      </c>
      <c r="I79" s="505"/>
      <c r="J79" s="552">
        <f>H79/DAY(B2)</f>
        <v>223.66666666666666</v>
      </c>
      <c r="K79" s="430"/>
      <c r="L79" s="377"/>
      <c r="N79" s="382"/>
    </row>
    <row r="80" spans="1:14" ht="27.75">
      <c r="A80" s="1496" t="s">
        <v>198</v>
      </c>
      <c r="B80" s="1497"/>
      <c r="C80" s="1498"/>
      <c r="D80" s="524" t="s">
        <v>187</v>
      </c>
      <c r="E80" s="519">
        <f>'26'!F80</f>
        <v>515274.04</v>
      </c>
      <c r="F80" s="658">
        <v>515611.24</v>
      </c>
      <c r="G80" s="473">
        <f t="shared" si="6"/>
        <v>337.20000000001164</v>
      </c>
      <c r="H80" s="460">
        <f>G80+'26'!H80</f>
        <v>7683.2399999999907</v>
      </c>
      <c r="I80" s="505"/>
      <c r="J80" s="552">
        <f>H80/DAY(B2)</f>
        <v>284.56444444444412</v>
      </c>
      <c r="K80" s="430"/>
      <c r="L80" s="377"/>
      <c r="N80" s="382"/>
    </row>
    <row r="81" spans="1:15" ht="27.75">
      <c r="A81" s="1496" t="s">
        <v>199</v>
      </c>
      <c r="B81" s="1497"/>
      <c r="C81" s="1498"/>
      <c r="D81" s="524" t="s">
        <v>187</v>
      </c>
      <c r="E81" s="519">
        <f>'26'!F81</f>
        <v>636188.12</v>
      </c>
      <c r="F81" s="658">
        <v>636217.56000000006</v>
      </c>
      <c r="G81" s="473">
        <f t="shared" si="6"/>
        <v>29.440000000060536</v>
      </c>
      <c r="H81" s="460">
        <f>G81+'26'!H81</f>
        <v>6032.5600000000559</v>
      </c>
      <c r="I81" s="505"/>
      <c r="J81" s="552">
        <f>H81/DAY(B2)</f>
        <v>223.42814814815023</v>
      </c>
      <c r="K81" s="430"/>
      <c r="L81" s="377"/>
      <c r="N81" s="382"/>
    </row>
    <row r="82" spans="1:15" ht="27.75">
      <c r="A82" s="1496" t="s">
        <v>93</v>
      </c>
      <c r="B82" s="1497"/>
      <c r="C82" s="1498"/>
      <c r="D82" s="485" t="s">
        <v>132</v>
      </c>
      <c r="E82" s="519">
        <f>'26'!F82</f>
        <v>107517.27</v>
      </c>
      <c r="F82" s="654">
        <v>107538.17</v>
      </c>
      <c r="G82" s="473">
        <f t="shared" si="6"/>
        <v>20.899999999994179</v>
      </c>
      <c r="H82" s="460">
        <f>G82+'26'!H82</f>
        <v>643.16999999999825</v>
      </c>
      <c r="I82" s="486"/>
      <c r="J82" s="552">
        <f>H82/DAY(B2)</f>
        <v>23.821111111111048</v>
      </c>
      <c r="K82" s="430"/>
      <c r="L82" s="377"/>
      <c r="N82" s="382"/>
    </row>
    <row r="83" spans="1:15" ht="27.75">
      <c r="A83" s="1496" t="s">
        <v>200</v>
      </c>
      <c r="B83" s="1497"/>
      <c r="C83" s="1498"/>
      <c r="D83" s="620" t="s">
        <v>132</v>
      </c>
      <c r="E83" s="519">
        <f>'26'!F83</f>
        <v>13858</v>
      </c>
      <c r="F83" s="620">
        <v>14001</v>
      </c>
      <c r="G83" s="473">
        <f t="shared" si="6"/>
        <v>143</v>
      </c>
      <c r="H83" s="460">
        <f>G83+'26'!H83</f>
        <v>6944</v>
      </c>
      <c r="I83" s="481"/>
      <c r="J83" s="552">
        <f>H83/DAY(B2)</f>
        <v>257.18518518518516</v>
      </c>
      <c r="K83" s="429"/>
      <c r="L83" s="377"/>
      <c r="N83" s="382"/>
    </row>
    <row r="84" spans="1:15">
      <c r="A84" s="1148" t="s">
        <v>201</v>
      </c>
      <c r="B84" s="571"/>
      <c r="C84" s="571"/>
      <c r="D84" s="478" t="s">
        <v>132</v>
      </c>
      <c r="E84" s="519">
        <f>'26'!F84</f>
        <v>477299</v>
      </c>
      <c r="F84" s="524">
        <v>478120</v>
      </c>
      <c r="G84" s="473">
        <f t="shared" si="6"/>
        <v>821</v>
      </c>
      <c r="H84" s="460">
        <f>G84+'26'!H84</f>
        <v>23436</v>
      </c>
      <c r="I84" s="481"/>
      <c r="J84" s="552">
        <f>H84/DAY(B2)</f>
        <v>868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627">
        <f>'26'!F85</f>
        <v>0</v>
      </c>
      <c r="F85" s="523">
        <v>0</v>
      </c>
      <c r="G85" s="460">
        <f xml:space="preserve"> SUM(G72:G84)</f>
        <v>1823.9510000000664</v>
      </c>
      <c r="H85" s="460">
        <f>G85+'26'!H85</f>
        <v>64203.500000000044</v>
      </c>
      <c r="I85" s="481"/>
      <c r="J85" s="552">
        <f>H85/DAY(B2)</f>
        <v>2377.9074074074092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'26'!F86</f>
        <v>458610.04</v>
      </c>
      <c r="F86" s="650">
        <v>458788.76</v>
      </c>
      <c r="G86" s="708">
        <f>F86-E86</f>
        <v>178.72000000003027</v>
      </c>
      <c r="H86" s="708">
        <f t="shared" ref="H86:H88" si="7">G86</f>
        <v>178.72000000003027</v>
      </c>
      <c r="I86" s="655"/>
      <c r="J86" s="710">
        <f>H86/DAY(B2)</f>
        <v>6.6192592592603807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'26'!F87</f>
        <v>80862.399999999994</v>
      </c>
      <c r="F87" s="650">
        <v>80874.5</v>
      </c>
      <c r="G87" s="708">
        <f t="shared" ref="G87:G90" si="8">F87-E87</f>
        <v>12.100000000005821</v>
      </c>
      <c r="H87" s="708">
        <f t="shared" si="7"/>
        <v>12.100000000005821</v>
      </c>
      <c r="I87" s="655"/>
      <c r="J87" s="710">
        <f>H87/DAY(B2)</f>
        <v>0.44814814814836373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'26'!F88</f>
        <v>151712.71</v>
      </c>
      <c r="F88" s="650">
        <v>151735.19</v>
      </c>
      <c r="G88" s="708">
        <f t="shared" si="8"/>
        <v>22.480000000010477</v>
      </c>
      <c r="H88" s="708">
        <f t="shared" si="7"/>
        <v>22.480000000010477</v>
      </c>
      <c r="I88" s="655"/>
      <c r="J88" s="710">
        <f>H88/DAY(B2)</f>
        <v>0.83259259259298068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'26'!F89</f>
        <v>64676</v>
      </c>
      <c r="F89" s="650">
        <v>64717.3</v>
      </c>
      <c r="G89" s="708">
        <f t="shared" si="8"/>
        <v>41.30000000000291</v>
      </c>
      <c r="H89" s="708">
        <f>G89</f>
        <v>41.30000000000291</v>
      </c>
      <c r="I89" s="655"/>
      <c r="J89" s="710">
        <f>H89/DAY(B2)</f>
        <v>1.5296296296297374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'26'!F90</f>
        <v>3272.3</v>
      </c>
      <c r="F90" s="650">
        <v>3272.3</v>
      </c>
      <c r="G90" s="708">
        <f t="shared" si="8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379" customFormat="1">
      <c r="A91" s="606" t="s">
        <v>205</v>
      </c>
      <c r="B91" s="1150"/>
      <c r="C91" s="1150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520" t="s">
        <v>206</v>
      </c>
      <c r="B92" s="1521"/>
      <c r="C92" s="1522"/>
      <c r="D92" s="523" t="s">
        <v>144</v>
      </c>
      <c r="E92" s="484">
        <f>'26'!F92</f>
        <v>244417</v>
      </c>
      <c r="F92" s="478">
        <v>244451</v>
      </c>
      <c r="G92" s="473">
        <f t="shared" ref="G92:G93" si="9">F92-E92</f>
        <v>34</v>
      </c>
      <c r="H92" s="460">
        <f>G92+'26'!H92</f>
        <v>1805</v>
      </c>
      <c r="I92" s="480"/>
      <c r="J92" s="552">
        <f>H92/DAY(B2)</f>
        <v>66.851851851851848</v>
      </c>
      <c r="K92" s="429"/>
      <c r="L92" s="377"/>
      <c r="N92" s="382"/>
    </row>
    <row r="93" spans="1:15" ht="27.75">
      <c r="A93" s="1520" t="s">
        <v>207</v>
      </c>
      <c r="B93" s="1521"/>
      <c r="C93" s="1522"/>
      <c r="D93" s="523" t="s">
        <v>144</v>
      </c>
      <c r="E93" s="484">
        <f>'26'!F93</f>
        <v>183226</v>
      </c>
      <c r="F93" s="485">
        <v>183274</v>
      </c>
      <c r="G93" s="473">
        <f t="shared" si="9"/>
        <v>48</v>
      </c>
      <c r="H93" s="460">
        <f>G93+'26'!H93</f>
        <v>3595</v>
      </c>
      <c r="I93" s="480"/>
      <c r="J93" s="552">
        <f>H93/DAY(B2)</f>
        <v>133.14814814814815</v>
      </c>
      <c r="K93" s="380"/>
      <c r="L93" s="377"/>
      <c r="N93" s="382"/>
    </row>
    <row r="94" spans="1:15">
      <c r="A94" s="1548" t="s">
        <v>208</v>
      </c>
      <c r="B94" s="1549"/>
      <c r="C94" s="1550"/>
      <c r="D94" s="523"/>
      <c r="E94" s="484">
        <f>'26'!F94</f>
        <v>0</v>
      </c>
      <c r="F94" s="478"/>
      <c r="G94" s="473">
        <f>G92+G93</f>
        <v>82</v>
      </c>
      <c r="H94" s="460">
        <f>G94+'26'!H94</f>
        <v>5181</v>
      </c>
      <c r="I94" s="480"/>
      <c r="J94" s="552">
        <f>H94/DAY(B2)</f>
        <v>191.88888888888889</v>
      </c>
      <c r="K94" s="380"/>
      <c r="L94" s="377"/>
      <c r="N94" s="382"/>
    </row>
    <row r="95" spans="1:15" ht="27.75">
      <c r="A95" s="1520" t="s">
        <v>209</v>
      </c>
      <c r="B95" s="1521"/>
      <c r="C95" s="1522"/>
      <c r="D95" s="523" t="s">
        <v>144</v>
      </c>
      <c r="E95" s="484">
        <f>'26'!F95</f>
        <v>412654</v>
      </c>
      <c r="F95" s="478">
        <v>412715</v>
      </c>
      <c r="G95" s="473">
        <f t="shared" ref="G95:G100" si="10">F95-E95</f>
        <v>61</v>
      </c>
      <c r="H95" s="460">
        <f>G95+'26'!H95</f>
        <v>1930</v>
      </c>
      <c r="I95" s="480"/>
      <c r="J95" s="552">
        <f>H95/DAY(B2)</f>
        <v>71.481481481481481</v>
      </c>
      <c r="K95" s="380"/>
      <c r="L95" s="377"/>
      <c r="N95" s="382"/>
    </row>
    <row r="96" spans="1:15" ht="27.75">
      <c r="A96" s="1144" t="s">
        <v>210</v>
      </c>
      <c r="B96" s="1145"/>
      <c r="C96" s="1145"/>
      <c r="D96" s="523" t="s">
        <v>144</v>
      </c>
      <c r="E96" s="484">
        <f>'26'!F96</f>
        <v>102303</v>
      </c>
      <c r="F96" s="478">
        <v>102318</v>
      </c>
      <c r="G96" s="473">
        <f t="shared" si="10"/>
        <v>15</v>
      </c>
      <c r="H96" s="460">
        <f>G96+'26'!H96</f>
        <v>487</v>
      </c>
      <c r="I96" s="480"/>
      <c r="J96" s="552">
        <f>H96/DAY(B2)</f>
        <v>18.037037037037038</v>
      </c>
      <c r="K96" s="427"/>
      <c r="L96" s="377"/>
      <c r="N96" s="382"/>
    </row>
    <row r="97" spans="1:14" ht="27.75">
      <c r="A97" s="1144" t="s">
        <v>211</v>
      </c>
      <c r="B97" s="1145"/>
      <c r="C97" s="1145"/>
      <c r="D97" s="523" t="s">
        <v>144</v>
      </c>
      <c r="E97" s="484">
        <f>'26'!F97</f>
        <v>97381</v>
      </c>
      <c r="F97" s="478">
        <v>97389</v>
      </c>
      <c r="G97" s="473">
        <f t="shared" si="10"/>
        <v>8</v>
      </c>
      <c r="H97" s="460">
        <f>G97+'26'!H97</f>
        <v>461</v>
      </c>
      <c r="I97" s="480"/>
      <c r="J97" s="552">
        <f>H97/DAY(B2)</f>
        <v>17.074074074074073</v>
      </c>
      <c r="K97" s="432"/>
      <c r="L97" s="377"/>
      <c r="N97" s="808"/>
    </row>
    <row r="98" spans="1:14" ht="27.75">
      <c r="A98" s="1144" t="s">
        <v>212</v>
      </c>
      <c r="B98" s="1145"/>
      <c r="C98" s="1145"/>
      <c r="D98" s="523" t="s">
        <v>144</v>
      </c>
      <c r="E98" s="484">
        <f>'26'!F98</f>
        <v>149505</v>
      </c>
      <c r="F98" s="478">
        <v>149516</v>
      </c>
      <c r="G98" s="473">
        <f t="shared" si="10"/>
        <v>11</v>
      </c>
      <c r="H98" s="460">
        <f>G98+'26'!H98</f>
        <v>607</v>
      </c>
      <c r="I98" s="480"/>
      <c r="J98" s="552">
        <f>H98/DAY(B2)</f>
        <v>22.481481481481481</v>
      </c>
      <c r="K98" s="380"/>
      <c r="L98" s="377"/>
      <c r="N98" s="1033"/>
    </row>
    <row r="99" spans="1:14" ht="27.75">
      <c r="A99" s="1144" t="s">
        <v>213</v>
      </c>
      <c r="B99" s="1145"/>
      <c r="C99" s="1145"/>
      <c r="D99" s="523" t="s">
        <v>144</v>
      </c>
      <c r="E99" s="484">
        <f>'26'!F99</f>
        <v>7170</v>
      </c>
      <c r="F99" s="478">
        <v>7173</v>
      </c>
      <c r="G99" s="473">
        <f t="shared" si="10"/>
        <v>3</v>
      </c>
      <c r="H99" s="460">
        <f>G99+'26'!H99</f>
        <v>318</v>
      </c>
      <c r="I99" s="480"/>
      <c r="J99" s="552">
        <f>H99/DAY(B2)</f>
        <v>11.777777777777779</v>
      </c>
      <c r="K99" s="380"/>
      <c r="L99" s="377"/>
      <c r="N99" s="808"/>
    </row>
    <row r="100" spans="1:14" ht="27.75">
      <c r="A100" s="1144" t="s">
        <v>214</v>
      </c>
      <c r="B100" s="1145"/>
      <c r="C100" s="1145"/>
      <c r="D100" s="523" t="s">
        <v>144</v>
      </c>
      <c r="E100" s="484">
        <f>'26'!F100</f>
        <v>5124</v>
      </c>
      <c r="F100" s="478">
        <v>5126</v>
      </c>
      <c r="G100" s="473">
        <f t="shared" si="10"/>
        <v>2</v>
      </c>
      <c r="H100" s="460">
        <f>G100+'26'!H100</f>
        <v>183</v>
      </c>
      <c r="I100" s="480"/>
      <c r="J100" s="552">
        <f>H100/DAY(B2)</f>
        <v>6.7777777777777777</v>
      </c>
      <c r="K100" s="380"/>
      <c r="L100" s="377"/>
      <c r="N100" s="808"/>
    </row>
    <row r="101" spans="1:14">
      <c r="A101" s="1548" t="s">
        <v>216</v>
      </c>
      <c r="B101" s="1549"/>
      <c r="C101" s="1550"/>
      <c r="D101" s="524"/>
      <c r="E101" s="524"/>
      <c r="F101" s="524"/>
      <c r="G101" s="525">
        <f>SUM(G95:G100)</f>
        <v>100</v>
      </c>
      <c r="H101" s="460">
        <f>G101+'26'!H101</f>
        <v>3986</v>
      </c>
      <c r="I101" s="526"/>
      <c r="J101" s="552">
        <f>H101/DAY(B2)</f>
        <v>147.62962962962962</v>
      </c>
      <c r="K101" s="380"/>
      <c r="L101" s="377"/>
      <c r="N101" s="808"/>
    </row>
    <row r="102" spans="1:14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N102" s="382"/>
    </row>
    <row r="103" spans="1:14" s="442" customFormat="1" ht="27.75">
      <c r="A103" s="1551" t="s">
        <v>218</v>
      </c>
      <c r="B103" s="1552"/>
      <c r="C103" s="573"/>
      <c r="D103" s="622"/>
      <c r="E103" s="532"/>
      <c r="F103" s="661"/>
      <c r="G103" s="532"/>
      <c r="H103" s="533"/>
      <c r="I103" s="532"/>
      <c r="J103" s="558"/>
      <c r="N103" s="382"/>
    </row>
    <row r="104" spans="1:14" s="442" customFormat="1" ht="27.75">
      <c r="A104" s="1512" t="s">
        <v>219</v>
      </c>
      <c r="B104" s="1513"/>
      <c r="C104" s="1143"/>
      <c r="D104" s="622" t="s">
        <v>144</v>
      </c>
      <c r="E104" s="532">
        <f>'26'!F104</f>
        <v>7423</v>
      </c>
      <c r="F104" s="661">
        <v>7423</v>
      </c>
      <c r="G104" s="532">
        <f>F104-E104</f>
        <v>0</v>
      </c>
      <c r="H104" s="533">
        <f>SUM(G104+'1'!G76)</f>
        <v>59</v>
      </c>
      <c r="I104" s="532"/>
      <c r="J104" s="558">
        <f>H104/DAY(B2)</f>
        <v>2.1851851851851851</v>
      </c>
      <c r="N104" s="382"/>
    </row>
    <row r="105" spans="1:14" s="442" customFormat="1" ht="27.75">
      <c r="A105" s="1512" t="s">
        <v>77</v>
      </c>
      <c r="B105" s="1513"/>
      <c r="C105" s="1143"/>
      <c r="D105" s="622" t="s">
        <v>144</v>
      </c>
      <c r="E105" s="532">
        <f>'26'!F105</f>
        <v>35814</v>
      </c>
      <c r="F105" s="807">
        <v>35819</v>
      </c>
      <c r="G105" s="532">
        <f t="shared" ref="G105:G106" si="11">F105-E105</f>
        <v>5</v>
      </c>
      <c r="H105" s="533">
        <f>SUM(G105+'1'!G77)</f>
        <v>55</v>
      </c>
      <c r="I105" s="532"/>
      <c r="J105" s="558">
        <f>H105/DAY(B2)</f>
        <v>2.0370370370370372</v>
      </c>
      <c r="N105" s="382"/>
    </row>
    <row r="106" spans="1:14" s="442" customFormat="1" ht="27.75">
      <c r="A106" s="1512" t="s">
        <v>78</v>
      </c>
      <c r="B106" s="1553"/>
      <c r="C106" s="1513"/>
      <c r="D106" s="622" t="s">
        <v>144</v>
      </c>
      <c r="E106" s="532">
        <f>'26'!F106</f>
        <v>19598</v>
      </c>
      <c r="F106" s="662">
        <v>19604</v>
      </c>
      <c r="G106" s="532">
        <f t="shared" si="11"/>
        <v>6</v>
      </c>
      <c r="H106" s="533">
        <f>SUM(G106+'1'!G78)</f>
        <v>401</v>
      </c>
      <c r="I106" s="532"/>
      <c r="J106" s="558">
        <f>H106/DAY(B2)</f>
        <v>14.851851851851851</v>
      </c>
      <c r="N106" s="382"/>
    </row>
    <row r="107" spans="1:14" s="442" customFormat="1" ht="27.75">
      <c r="A107" s="1514" t="s">
        <v>202</v>
      </c>
      <c r="B107" s="1515"/>
      <c r="C107" s="1143"/>
      <c r="D107" s="622"/>
      <c r="E107" s="532">
        <f>'26'!F107</f>
        <v>0</v>
      </c>
      <c r="F107" s="662"/>
      <c r="G107" s="532">
        <f>SUM(G104:G106)</f>
        <v>11</v>
      </c>
      <c r="H107" s="533">
        <f>SUM(G107+'1'!G79)</f>
        <v>205</v>
      </c>
      <c r="I107" s="532"/>
      <c r="J107" s="558">
        <f>H107/DAY(B2)</f>
        <v>7.5925925925925926</v>
      </c>
      <c r="N107" s="382"/>
    </row>
    <row r="108" spans="1:14" s="442" customFormat="1" ht="27.75">
      <c r="A108" s="1518" t="s">
        <v>79</v>
      </c>
      <c r="B108" s="1519"/>
      <c r="C108" s="1143"/>
      <c r="D108" s="622" t="s">
        <v>144</v>
      </c>
      <c r="E108" s="532">
        <f>'26'!F108</f>
        <v>0</v>
      </c>
      <c r="F108" s="662"/>
      <c r="G108" s="532"/>
      <c r="H108" s="533"/>
      <c r="I108" s="532"/>
      <c r="J108" s="558"/>
      <c r="N108" s="382"/>
    </row>
    <row r="109" spans="1:14" s="442" customFormat="1" ht="27.75">
      <c r="A109" s="1512" t="s">
        <v>220</v>
      </c>
      <c r="B109" s="1513"/>
      <c r="C109" s="1143"/>
      <c r="D109" s="622" t="s">
        <v>144</v>
      </c>
      <c r="E109" s="532">
        <f>'26'!F109</f>
        <v>60813</v>
      </c>
      <c r="F109" s="807">
        <v>60894</v>
      </c>
      <c r="G109" s="532">
        <f>F109-E109</f>
        <v>81</v>
      </c>
      <c r="H109" s="533">
        <f>SUM(G109+'1'!G81)</f>
        <v>279</v>
      </c>
      <c r="I109" s="532"/>
      <c r="J109" s="558">
        <f>H109/DAY(B2)</f>
        <v>10.333333333333334</v>
      </c>
      <c r="N109" s="382"/>
    </row>
    <row r="110" spans="1:14" s="442" customFormat="1" ht="27.75">
      <c r="A110" s="1512" t="s">
        <v>221</v>
      </c>
      <c r="B110" s="1513"/>
      <c r="C110" s="1143"/>
      <c r="D110" s="622" t="s">
        <v>144</v>
      </c>
      <c r="E110" s="532">
        <f>'26'!F110</f>
        <v>32194</v>
      </c>
      <c r="F110" s="807">
        <v>32213</v>
      </c>
      <c r="G110" s="532">
        <f t="shared" ref="G110:G111" si="12">F110-E110</f>
        <v>19</v>
      </c>
      <c r="H110" s="533">
        <f>SUM(G110+'1'!G82)</f>
        <v>42</v>
      </c>
      <c r="I110" s="532"/>
      <c r="J110" s="558">
        <f>H110/DAY(B2)</f>
        <v>1.5555555555555556</v>
      </c>
      <c r="N110" s="382"/>
    </row>
    <row r="111" spans="1:14" s="442" customFormat="1" ht="27.75">
      <c r="A111" s="1512" t="s">
        <v>222</v>
      </c>
      <c r="B111" s="1513"/>
      <c r="C111" s="1143"/>
      <c r="D111" s="622" t="s">
        <v>144</v>
      </c>
      <c r="E111" s="532">
        <f>'26'!F111</f>
        <v>4363</v>
      </c>
      <c r="F111" s="662">
        <v>4363</v>
      </c>
      <c r="G111" s="534">
        <f t="shared" si="12"/>
        <v>0</v>
      </c>
      <c r="H111" s="533">
        <f>SUM(G111+'1'!G83)</f>
        <v>239</v>
      </c>
      <c r="I111" s="532"/>
      <c r="J111" s="558">
        <f>H111/DAY(B2)</f>
        <v>8.8518518518518512</v>
      </c>
      <c r="N111" s="382"/>
    </row>
    <row r="112" spans="1:14" s="442" customFormat="1" ht="27.75">
      <c r="A112" s="1514" t="s">
        <v>110</v>
      </c>
      <c r="B112" s="1515"/>
      <c r="C112" s="1143"/>
      <c r="D112" s="622"/>
      <c r="E112" s="532">
        <f>'26'!F112</f>
        <v>0</v>
      </c>
      <c r="F112" s="662"/>
      <c r="G112" s="532">
        <f>SUM(G109:G111)</f>
        <v>100</v>
      </c>
      <c r="H112" s="533">
        <f>SUM(G112+'1'!G84)</f>
        <v>1015</v>
      </c>
      <c r="I112" s="532"/>
      <c r="J112" s="558">
        <f>H112/DAY(B2)</f>
        <v>37.592592592592595</v>
      </c>
      <c r="N112" s="382"/>
    </row>
    <row r="113" spans="1:14" s="442" customFormat="1" ht="27.75">
      <c r="A113" s="1518" t="s">
        <v>223</v>
      </c>
      <c r="B113" s="1519"/>
      <c r="C113" s="1143"/>
      <c r="D113" s="622"/>
      <c r="E113" s="532">
        <f>'26'!F113</f>
        <v>0</v>
      </c>
      <c r="F113" s="662"/>
      <c r="G113" s="532"/>
      <c r="H113" s="533"/>
      <c r="I113" s="532"/>
      <c r="J113" s="558">
        <f>H113/DAY(B2)</f>
        <v>0</v>
      </c>
      <c r="N113" s="382"/>
    </row>
    <row r="114" spans="1:14" s="442" customFormat="1" ht="27.75">
      <c r="A114" s="1512" t="s">
        <v>224</v>
      </c>
      <c r="B114" s="1513"/>
      <c r="C114" s="574"/>
      <c r="D114" s="622" t="s">
        <v>144</v>
      </c>
      <c r="E114" s="532">
        <f>'26'!F114</f>
        <v>11240</v>
      </c>
      <c r="F114" s="662">
        <v>11245</v>
      </c>
      <c r="G114" s="534">
        <f>F114-E114</f>
        <v>5</v>
      </c>
      <c r="H114" s="533">
        <f>SUM(G114+'1'!G91)</f>
        <v>5</v>
      </c>
      <c r="I114" s="532"/>
      <c r="J114" s="558">
        <f>H114/DAY(B2)</f>
        <v>0.18518518518518517</v>
      </c>
      <c r="N114" s="382"/>
    </row>
    <row r="115" spans="1:14" s="442" customFormat="1" ht="27.75">
      <c r="A115" s="1512" t="s">
        <v>225</v>
      </c>
      <c r="B115" s="1513"/>
      <c r="C115" s="574"/>
      <c r="D115" s="622" t="s">
        <v>144</v>
      </c>
      <c r="E115" s="532">
        <f>'26'!F115</f>
        <v>8119</v>
      </c>
      <c r="F115" s="662">
        <v>8119</v>
      </c>
      <c r="G115" s="534">
        <f t="shared" ref="G115:G116" si="13">F115-E115</f>
        <v>0</v>
      </c>
      <c r="H115" s="533">
        <f>SUM(G115+'1'!G92)</f>
        <v>92</v>
      </c>
      <c r="I115" s="532"/>
      <c r="J115" s="558">
        <f>H115/DAY(B2)</f>
        <v>3.4074074074074074</v>
      </c>
      <c r="N115" s="382"/>
    </row>
    <row r="116" spans="1:14" s="442" customFormat="1" ht="27.75">
      <c r="A116" s="1512" t="s">
        <v>226</v>
      </c>
      <c r="B116" s="1513"/>
      <c r="C116" s="574"/>
      <c r="D116" s="622" t="s">
        <v>144</v>
      </c>
      <c r="E116" s="534"/>
      <c r="F116" s="662"/>
      <c r="G116" s="534">
        <f t="shared" si="13"/>
        <v>0</v>
      </c>
      <c r="H116" s="533">
        <f>SUM(G116+'1'!G93)</f>
        <v>127</v>
      </c>
      <c r="I116" s="532"/>
      <c r="J116" s="558">
        <f>H116/DAY(B2)</f>
        <v>4.7037037037037033</v>
      </c>
      <c r="N116" s="382"/>
    </row>
    <row r="117" spans="1:14" s="445" customFormat="1" ht="27.75">
      <c r="A117" s="1514" t="s">
        <v>202</v>
      </c>
      <c r="B117" s="1515"/>
      <c r="C117" s="574"/>
      <c r="D117" s="623"/>
      <c r="E117" s="534"/>
      <c r="F117" s="662"/>
      <c r="G117" s="534">
        <f>SUM(G114:G116)</f>
        <v>5</v>
      </c>
      <c r="H117" s="533">
        <f>SUM(G117+'1'!G95)</f>
        <v>82</v>
      </c>
      <c r="I117" s="534"/>
      <c r="J117" s="558">
        <f>H117/DAY(B2)</f>
        <v>3.0370370370370372</v>
      </c>
      <c r="N117" s="382"/>
    </row>
    <row r="118" spans="1:14" s="446" customFormat="1" ht="27.75">
      <c r="A118" s="1508" t="s">
        <v>227</v>
      </c>
      <c r="B118" s="1509"/>
      <c r="C118" s="1141"/>
      <c r="D118" s="624" t="s">
        <v>144</v>
      </c>
      <c r="E118" s="536"/>
      <c r="F118" s="663"/>
      <c r="G118" s="536">
        <f>SUM(G19+G92)</f>
        <v>86</v>
      </c>
      <c r="H118" s="533">
        <f>SUM(G118+'1'!G96)</f>
        <v>103</v>
      </c>
      <c r="I118" s="535"/>
      <c r="J118" s="559">
        <f>H118/DAY(B2)</f>
        <v>3.8148148148148149</v>
      </c>
      <c r="N118" s="382"/>
    </row>
    <row r="119" spans="1:14" s="446" customFormat="1" ht="27.75">
      <c r="A119" s="1508" t="s">
        <v>228</v>
      </c>
      <c r="B119" s="1509"/>
      <c r="C119" s="1141"/>
      <c r="D119" s="624" t="s">
        <v>144</v>
      </c>
      <c r="E119" s="536"/>
      <c r="F119" s="663"/>
      <c r="G119" s="536">
        <f>SUM(G95,G96,G97,G99,G100)</f>
        <v>89</v>
      </c>
      <c r="H119" s="533">
        <f>SUM(G119+'1'!G98)</f>
        <v>117</v>
      </c>
      <c r="I119" s="535"/>
      <c r="J119" s="559">
        <f>H119/DAY(B2)</f>
        <v>4.333333333333333</v>
      </c>
      <c r="N119" s="382"/>
    </row>
    <row r="120" spans="1:14" s="446" customFormat="1" ht="27.75">
      <c r="A120" s="1508" t="s">
        <v>229</v>
      </c>
      <c r="B120" s="1509"/>
      <c r="C120" s="1141"/>
      <c r="D120" s="624" t="s">
        <v>144</v>
      </c>
      <c r="E120" s="534"/>
      <c r="F120" s="662"/>
      <c r="G120" s="534">
        <f>SUM(G112)</f>
        <v>100</v>
      </c>
      <c r="H120" s="533">
        <f>SUM(G120+'1'!G100)</f>
        <v>106</v>
      </c>
      <c r="I120" s="535"/>
      <c r="J120" s="559">
        <f>H120/DAY(B2)</f>
        <v>3.925925925925926</v>
      </c>
      <c r="N120" s="382"/>
    </row>
    <row r="121" spans="1:14" s="442" customFormat="1" ht="27.75">
      <c r="A121" s="1510"/>
      <c r="B121" s="1511"/>
      <c r="C121" s="1142"/>
      <c r="D121" s="560"/>
      <c r="E121" s="560"/>
      <c r="F121" s="664"/>
      <c r="G121" s="560"/>
      <c r="H121" s="561"/>
      <c r="I121" s="560"/>
      <c r="J121" s="562"/>
      <c r="N121" s="382"/>
    </row>
    <row r="122" spans="1:14">
      <c r="A122" s="1545" t="s">
        <v>230</v>
      </c>
      <c r="B122" s="1546"/>
      <c r="C122" s="1547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4" t="s">
        <v>231</v>
      </c>
      <c r="B123" s="1145"/>
      <c r="C123" s="1145"/>
      <c r="D123" s="523" t="s">
        <v>141</v>
      </c>
      <c r="E123" s="478">
        <f>'26'!F123</f>
        <v>825273.45</v>
      </c>
      <c r="F123" s="478">
        <v>825480.73</v>
      </c>
      <c r="G123" s="473">
        <f t="shared" ref="G123:G127" si="14">F123-E123</f>
        <v>207.28000000002794</v>
      </c>
      <c r="H123" s="460">
        <f>G123+'26'!H123</f>
        <v>6670.7299999999814</v>
      </c>
      <c r="I123" s="526">
        <f>G123/5</f>
        <v>41.456000000005588</v>
      </c>
      <c r="J123" s="552">
        <f>H123/DAY(B2)</f>
        <v>247.06407407407337</v>
      </c>
      <c r="K123" s="380"/>
      <c r="L123" s="377"/>
      <c r="N123" s="382"/>
    </row>
    <row r="124" spans="1:14" ht="27.75">
      <c r="A124" s="1144" t="s">
        <v>232</v>
      </c>
      <c r="B124" s="1145"/>
      <c r="C124" s="1145"/>
      <c r="D124" s="523" t="s">
        <v>141</v>
      </c>
      <c r="E124" s="478">
        <f>'26'!F124</f>
        <v>73583.100000000006</v>
      </c>
      <c r="F124" s="626">
        <v>73583.399999999994</v>
      </c>
      <c r="G124" s="473">
        <f t="shared" si="14"/>
        <v>0.29999999998835847</v>
      </c>
      <c r="H124" s="460">
        <f>G124+'26'!H124</f>
        <v>0</v>
      </c>
      <c r="I124" s="526"/>
      <c r="J124" s="552">
        <f>H124/DAY(B2)</f>
        <v>0</v>
      </c>
      <c r="K124" s="380"/>
      <c r="L124" s="377"/>
      <c r="N124" s="382"/>
    </row>
    <row r="125" spans="1:14" ht="27.75">
      <c r="A125" s="1499" t="s">
        <v>233</v>
      </c>
      <c r="B125" s="1500"/>
      <c r="C125" s="1501"/>
      <c r="D125" s="523" t="s">
        <v>141</v>
      </c>
      <c r="E125" s="478">
        <f>'26'!F125</f>
        <v>144413.22</v>
      </c>
      <c r="F125" s="485">
        <v>144467.22</v>
      </c>
      <c r="G125" s="473">
        <f t="shared" si="14"/>
        <v>54</v>
      </c>
      <c r="H125" s="460">
        <f>G125+'26'!H125</f>
        <v>2331.2200000000012</v>
      </c>
      <c r="I125" s="526"/>
      <c r="J125" s="552">
        <f>H125/DAY(B2)</f>
        <v>86.341481481481523</v>
      </c>
      <c r="K125" s="380"/>
      <c r="L125" s="377"/>
      <c r="N125" s="382"/>
    </row>
    <row r="126" spans="1:14" ht="27.75">
      <c r="A126" s="609" t="s">
        <v>234</v>
      </c>
      <c r="B126" s="1145"/>
      <c r="C126" s="1145"/>
      <c r="D126" s="523" t="s">
        <v>141</v>
      </c>
      <c r="E126" s="478">
        <f>'26'!F126</f>
        <v>31404.2</v>
      </c>
      <c r="F126" s="626">
        <v>31404.2</v>
      </c>
      <c r="G126" s="473">
        <f t="shared" si="14"/>
        <v>0</v>
      </c>
      <c r="H126" s="460">
        <f>G126+'26'!H126</f>
        <v>85.5</v>
      </c>
      <c r="I126" s="526"/>
      <c r="J126" s="552">
        <f>H126/DAY(B2)</f>
        <v>3.1666666666666665</v>
      </c>
      <c r="K126" s="380"/>
      <c r="L126" s="377"/>
      <c r="N126" s="382"/>
    </row>
    <row r="127" spans="1:14" ht="27.75">
      <c r="A127" s="609" t="s">
        <v>235</v>
      </c>
      <c r="B127" s="1145"/>
      <c r="C127" s="1145"/>
      <c r="D127" s="523" t="s">
        <v>141</v>
      </c>
      <c r="E127" s="478">
        <f>'26'!F127</f>
        <v>8969.6</v>
      </c>
      <c r="F127" s="626">
        <v>8969.7000000000007</v>
      </c>
      <c r="G127" s="473">
        <f t="shared" si="14"/>
        <v>0.1000000000003638</v>
      </c>
      <c r="H127" s="460">
        <f>G127+'26'!H127</f>
        <v>7.7000000000007276</v>
      </c>
      <c r="I127" s="480"/>
      <c r="J127" s="552">
        <f>H127/DAY(B2)</f>
        <v>0.28518518518521213</v>
      </c>
      <c r="K127" s="380"/>
      <c r="L127" s="377"/>
      <c r="N127" s="382"/>
    </row>
    <row r="128" spans="1:14" s="281" customFormat="1" ht="27.75">
      <c r="A128" s="609" t="s">
        <v>236</v>
      </c>
      <c r="B128" s="1145"/>
      <c r="C128" s="1145"/>
      <c r="D128" s="523"/>
      <c r="E128" s="478"/>
      <c r="F128" s="478"/>
      <c r="G128" s="473">
        <f>G15-SUM(G123:G127)</f>
        <v>365.6989999999405</v>
      </c>
      <c r="H128" s="460">
        <f>G128+'26'!H128</f>
        <v>5158.8590000000477</v>
      </c>
      <c r="I128" s="480"/>
      <c r="J128" s="552">
        <f>H128/DAY(B2)</f>
        <v>191.06885185185362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4" t="s">
        <v>238</v>
      </c>
      <c r="B130" s="1145"/>
      <c r="C130" s="1145"/>
      <c r="D130" s="523" t="s">
        <v>239</v>
      </c>
      <c r="E130" s="484">
        <f>'26'!F130</f>
        <v>0</v>
      </c>
      <c r="F130" s="478"/>
      <c r="G130" s="473">
        <f t="shared" ref="G130:G140" si="15">F130-E130</f>
        <v>0</v>
      </c>
      <c r="H130" s="460">
        <f>G130+'26'!H130</f>
        <v>0</v>
      </c>
      <c r="I130" s="480"/>
      <c r="J130" s="552">
        <f>H130/DAY(B2)</f>
        <v>0</v>
      </c>
      <c r="N130" s="382"/>
    </row>
    <row r="131" spans="1:14" ht="27.75">
      <c r="A131" s="1144" t="s">
        <v>240</v>
      </c>
      <c r="B131" s="1145"/>
      <c r="C131" s="1145"/>
      <c r="D131" s="523" t="s">
        <v>239</v>
      </c>
      <c r="E131" s="484">
        <f>'26'!F131</f>
        <v>0</v>
      </c>
      <c r="F131" s="478"/>
      <c r="G131" s="473">
        <f t="shared" si="15"/>
        <v>0</v>
      </c>
      <c r="H131" s="460">
        <f>G131+'26'!H131</f>
        <v>0</v>
      </c>
      <c r="I131" s="480"/>
      <c r="J131" s="552">
        <f>H131/DAY(B2)</f>
        <v>0</v>
      </c>
      <c r="N131" s="382"/>
    </row>
    <row r="132" spans="1:14" ht="27.75">
      <c r="A132" s="1144" t="s">
        <v>241</v>
      </c>
      <c r="B132" s="1145"/>
      <c r="C132" s="1145"/>
      <c r="D132" s="523" t="s">
        <v>239</v>
      </c>
      <c r="E132" s="484">
        <f>'26'!F132</f>
        <v>39670.160000000003</v>
      </c>
      <c r="F132" s="485">
        <v>39679.47</v>
      </c>
      <c r="G132" s="473">
        <f t="shared" si="15"/>
        <v>9.3099999999976717</v>
      </c>
      <c r="H132" s="460">
        <f>G132+'26'!H132</f>
        <v>146.47000000000116</v>
      </c>
      <c r="I132" s="480"/>
      <c r="J132" s="552">
        <f>H132/DAY(B2)</f>
        <v>5.4248148148148578</v>
      </c>
      <c r="N132" s="382"/>
    </row>
    <row r="133" spans="1:14" ht="27.75">
      <c r="A133" s="1144" t="s">
        <v>242</v>
      </c>
      <c r="B133" s="1145"/>
      <c r="C133" s="1145"/>
      <c r="D133" s="523" t="s">
        <v>239</v>
      </c>
      <c r="E133" s="484">
        <f>'26'!F133</f>
        <v>300</v>
      </c>
      <c r="F133" s="654">
        <v>300</v>
      </c>
      <c r="G133" s="473">
        <f t="shared" si="15"/>
        <v>0</v>
      </c>
      <c r="H133" s="460">
        <f>G133+'26'!H133</f>
        <v>0</v>
      </c>
      <c r="I133" s="480">
        <f>G130+G131+G132+G133</f>
        <v>9.3099999999976717</v>
      </c>
      <c r="J133" s="552">
        <f>H133/DAY(B2)</f>
        <v>0</v>
      </c>
      <c r="N133" s="382"/>
    </row>
    <row r="134" spans="1:14" ht="27.75">
      <c r="A134" s="1144" t="s">
        <v>243</v>
      </c>
      <c r="B134" s="1145"/>
      <c r="C134" s="1145"/>
      <c r="D134" s="523" t="s">
        <v>239</v>
      </c>
      <c r="E134" s="484">
        <f>'26'!F134</f>
        <v>41361.25</v>
      </c>
      <c r="F134" s="485">
        <v>41377.4</v>
      </c>
      <c r="G134" s="473">
        <f t="shared" si="15"/>
        <v>16.150000000001455</v>
      </c>
      <c r="H134" s="460">
        <f>G134+'26'!H134</f>
        <v>106.40000000000146</v>
      </c>
      <c r="I134" s="480"/>
      <c r="J134" s="552">
        <f>H134/DAY(B2)</f>
        <v>3.9407407407407948</v>
      </c>
      <c r="N134" s="382"/>
    </row>
    <row r="135" spans="1:14" ht="27.75">
      <c r="A135" s="1144" t="s">
        <v>244</v>
      </c>
      <c r="B135" s="1145"/>
      <c r="C135" s="1145"/>
      <c r="D135" s="523" t="s">
        <v>239</v>
      </c>
      <c r="E135" s="484">
        <f>'26'!F135</f>
        <v>32582.93</v>
      </c>
      <c r="F135" s="485">
        <v>32582.93</v>
      </c>
      <c r="G135" s="473">
        <f t="shared" si="15"/>
        <v>0</v>
      </c>
      <c r="H135" s="460">
        <f>G135+'26'!H135</f>
        <v>13</v>
      </c>
      <c r="I135" s="480"/>
      <c r="J135" s="552">
        <f>H135/DAY(B2)</f>
        <v>0.48148148148148145</v>
      </c>
      <c r="N135" s="382"/>
    </row>
    <row r="136" spans="1:14" ht="27.75">
      <c r="A136" s="1144" t="s">
        <v>245</v>
      </c>
      <c r="B136" s="1145"/>
      <c r="C136" s="1145"/>
      <c r="D136" s="523" t="s">
        <v>239</v>
      </c>
      <c r="E136" s="484">
        <f>'26'!F136</f>
        <v>22724.3</v>
      </c>
      <c r="F136" s="485">
        <v>22731.599999999999</v>
      </c>
      <c r="G136" s="473">
        <f t="shared" si="15"/>
        <v>7.2999999999992724</v>
      </c>
      <c r="H136" s="460">
        <f>G136+'26'!H136</f>
        <v>242.94999999999709</v>
      </c>
      <c r="I136" s="480">
        <f>G134+G135+G136</f>
        <v>23.450000000000728</v>
      </c>
      <c r="J136" s="552">
        <f>H136/DAY(B2)</f>
        <v>8.9981481481480401</v>
      </c>
      <c r="N136" s="382"/>
    </row>
    <row r="137" spans="1:14" ht="27.75">
      <c r="A137" s="1144" t="s">
        <v>246</v>
      </c>
      <c r="B137" s="1145"/>
      <c r="C137" s="1145"/>
      <c r="D137" s="523" t="s">
        <v>239</v>
      </c>
      <c r="E137" s="484">
        <f>'26'!F137</f>
        <v>25051.49</v>
      </c>
      <c r="F137" s="654">
        <v>25051.49</v>
      </c>
      <c r="G137" s="473">
        <f t="shared" si="15"/>
        <v>0</v>
      </c>
      <c r="H137" s="460">
        <f>G137+'26'!H137</f>
        <v>8</v>
      </c>
      <c r="I137" s="480"/>
      <c r="J137" s="552">
        <f>H137/DAY(B2)</f>
        <v>0.29629629629629628</v>
      </c>
      <c r="N137" s="382"/>
    </row>
    <row r="138" spans="1:14" ht="27.75">
      <c r="A138" s="1144" t="s">
        <v>247</v>
      </c>
      <c r="B138" s="1145"/>
      <c r="C138" s="1145"/>
      <c r="D138" s="523" t="s">
        <v>239</v>
      </c>
      <c r="E138" s="484">
        <f>'26'!F138</f>
        <v>70299.460000000006</v>
      </c>
      <c r="F138" s="485">
        <v>70299.460000000006</v>
      </c>
      <c r="G138" s="473">
        <f t="shared" si="15"/>
        <v>0</v>
      </c>
      <c r="H138" s="460">
        <f>G138+'26'!H138</f>
        <v>19.230000000010477</v>
      </c>
      <c r="I138" s="480">
        <f>G137+G138</f>
        <v>0</v>
      </c>
      <c r="J138" s="552">
        <f>H138/DAY(B2)</f>
        <v>0.71222222222261022</v>
      </c>
      <c r="N138" s="382"/>
    </row>
    <row r="139" spans="1:14" ht="27.75">
      <c r="A139" s="1144" t="s">
        <v>248</v>
      </c>
      <c r="B139" s="1145"/>
      <c r="C139" s="1145"/>
      <c r="D139" s="523" t="s">
        <v>239</v>
      </c>
      <c r="E139" s="484">
        <f>'26'!F139</f>
        <v>1586.34</v>
      </c>
      <c r="F139" s="485">
        <v>1593.85</v>
      </c>
      <c r="G139" s="473">
        <f t="shared" si="15"/>
        <v>7.5099999999999909</v>
      </c>
      <c r="H139" s="460">
        <f>G139+'26'!H139</f>
        <v>57.329999999999927</v>
      </c>
      <c r="I139" s="542"/>
      <c r="J139" s="552">
        <f>H139/DAY(B2)</f>
        <v>2.1233333333333309</v>
      </c>
      <c r="N139" s="382"/>
    </row>
    <row r="140" spans="1:14" ht="27.75">
      <c r="A140" s="1144" t="s">
        <v>249</v>
      </c>
      <c r="B140" s="1145"/>
      <c r="C140" s="1145"/>
      <c r="D140" s="523" t="s">
        <v>239</v>
      </c>
      <c r="E140" s="484">
        <f>'26'!F140</f>
        <v>4636.88</v>
      </c>
      <c r="F140" s="478">
        <v>4636.88</v>
      </c>
      <c r="G140" s="473">
        <f t="shared" si="15"/>
        <v>0</v>
      </c>
      <c r="H140" s="460">
        <f>G140+'26'!H140</f>
        <v>168.34000000000015</v>
      </c>
      <c r="I140" s="542"/>
      <c r="J140" s="552">
        <f>H140/DAY(B2)</f>
        <v>6.2348148148148201</v>
      </c>
      <c r="N140" s="382"/>
    </row>
    <row r="141" spans="1:14">
      <c r="A141" s="1526" t="s">
        <v>250</v>
      </c>
      <c r="B141" s="1527"/>
      <c r="C141" s="1150"/>
      <c r="D141" s="472"/>
      <c r="E141" s="472"/>
      <c r="F141" s="472" t="s">
        <v>215</v>
      </c>
      <c r="G141" s="483"/>
      <c r="H141" s="483"/>
      <c r="I141" s="483"/>
      <c r="J141" s="563"/>
      <c r="K141" s="380"/>
      <c r="L141" s="377"/>
      <c r="N141" s="382"/>
    </row>
    <row r="142" spans="1:14" ht="27.75">
      <c r="A142" s="1520" t="s">
        <v>251</v>
      </c>
      <c r="B142" s="1521"/>
      <c r="C142" s="1522"/>
      <c r="D142" s="523" t="s">
        <v>132</v>
      </c>
      <c r="E142" s="523"/>
      <c r="F142" s="523"/>
      <c r="G142" s="460">
        <f>G35+G43+G49+G57</f>
        <v>5037.1199999999953</v>
      </c>
      <c r="H142" s="460">
        <f>G142+'26'!H142</f>
        <v>144795.51</v>
      </c>
      <c r="I142" s="480"/>
      <c r="J142" s="552">
        <f>H142/DAY(B2)</f>
        <v>5362.7966666666671</v>
      </c>
      <c r="K142" s="380"/>
      <c r="L142" s="377"/>
      <c r="N142" s="382"/>
    </row>
    <row r="143" spans="1:14" ht="27.75">
      <c r="A143" s="1520" t="s">
        <v>252</v>
      </c>
      <c r="B143" s="1521"/>
      <c r="C143" s="1522"/>
      <c r="D143" s="523" t="s">
        <v>24</v>
      </c>
      <c r="E143" s="511"/>
      <c r="F143" s="511"/>
      <c r="G143" s="543">
        <f>G142/G7</f>
        <v>0.27991775493192528</v>
      </c>
      <c r="H143" s="460">
        <f>G143+'26'!H143</f>
        <v>6.9673165416913596</v>
      </c>
      <c r="I143" s="544"/>
      <c r="J143" s="552">
        <f>H143/DAY(B2)</f>
        <v>0.25804876080338368</v>
      </c>
      <c r="K143" s="380"/>
      <c r="L143" s="377"/>
      <c r="N143" s="382"/>
    </row>
    <row r="144" spans="1:14" ht="27.75">
      <c r="A144" s="1520" t="s">
        <v>253</v>
      </c>
      <c r="B144" s="1521"/>
      <c r="C144" s="1522"/>
      <c r="D144" s="523" t="s">
        <v>132</v>
      </c>
      <c r="E144" s="455"/>
      <c r="F144" s="455"/>
      <c r="G144" s="460">
        <f>G41+G42+G55+G56</f>
        <v>5057.4740000000165</v>
      </c>
      <c r="H144" s="460">
        <f>G144+'26'!H144</f>
        <v>163277.777</v>
      </c>
      <c r="I144" s="480"/>
      <c r="J144" s="552">
        <f>H144/DAY(B2)</f>
        <v>6047.3250740740741</v>
      </c>
      <c r="K144" s="380"/>
      <c r="L144" s="377"/>
      <c r="N144" s="382"/>
    </row>
    <row r="145" spans="1:14" ht="27.75">
      <c r="A145" s="1520" t="s">
        <v>254</v>
      </c>
      <c r="B145" s="1521"/>
      <c r="C145" s="1522"/>
      <c r="D145" s="523" t="s">
        <v>24</v>
      </c>
      <c r="E145" s="455"/>
      <c r="F145" s="455"/>
      <c r="G145" s="543">
        <f>G144/G7</f>
        <v>0.28104884690191811</v>
      </c>
      <c r="H145" s="460">
        <f>G145+'26'!H145</f>
        <v>7.8618638115294512</v>
      </c>
      <c r="I145" s="544"/>
      <c r="J145" s="552">
        <f>H145/DAY(B2)</f>
        <v>0.29118014116775748</v>
      </c>
      <c r="K145" s="380"/>
      <c r="L145" s="377"/>
      <c r="N145" s="382"/>
    </row>
    <row r="146" spans="1:14" ht="27.75">
      <c r="A146" s="1520" t="s">
        <v>255</v>
      </c>
      <c r="B146" s="1521"/>
      <c r="C146" s="1522"/>
      <c r="D146" s="523" t="s">
        <v>132</v>
      </c>
      <c r="E146" s="455"/>
      <c r="F146" s="455"/>
      <c r="G146" s="460">
        <f>G39+G53</f>
        <v>3319.6199999999953</v>
      </c>
      <c r="H146" s="460">
        <f>G146+'26'!H146</f>
        <v>97840.68</v>
      </c>
      <c r="I146" s="545"/>
      <c r="J146" s="552">
        <f>H146/DAY(B2)</f>
        <v>3623.7288888888888</v>
      </c>
      <c r="K146" s="380"/>
      <c r="L146" s="377"/>
      <c r="N146" s="382"/>
    </row>
    <row r="147" spans="1:14" ht="27.75">
      <c r="A147" s="1520" t="s">
        <v>256</v>
      </c>
      <c r="B147" s="1521"/>
      <c r="C147" s="1522"/>
      <c r="D147" s="523" t="s">
        <v>24</v>
      </c>
      <c r="E147" s="455"/>
      <c r="F147" s="455"/>
      <c r="G147" s="543">
        <f>G146/G7</f>
        <v>0.18447457627118619</v>
      </c>
      <c r="H147" s="460">
        <f>G147+'26'!H147</f>
        <v>4.7018353306189367</v>
      </c>
      <c r="I147" s="545"/>
      <c r="J147" s="552">
        <f>H147/DAY(B2)</f>
        <v>0.17414204928218283</v>
      </c>
      <c r="N147" s="382"/>
    </row>
    <row r="148" spans="1:14" ht="27.75">
      <c r="A148" s="1520" t="s">
        <v>257</v>
      </c>
      <c r="B148" s="1521"/>
      <c r="C148" s="1522"/>
      <c r="D148" s="523" t="s">
        <v>183</v>
      </c>
      <c r="E148" s="455"/>
      <c r="F148" s="455"/>
      <c r="G148" s="460">
        <f>G38+G52</f>
        <v>1256</v>
      </c>
      <c r="H148" s="460">
        <f>G148+'26'!H148</f>
        <v>43190.179999999949</v>
      </c>
      <c r="I148" s="480"/>
      <c r="J148" s="552">
        <f>H148/DAY(B2)</f>
        <v>1599.6362962962944</v>
      </c>
      <c r="K148" s="381"/>
      <c r="N148" s="382"/>
    </row>
    <row r="149" spans="1:14" ht="27.75">
      <c r="A149" s="1520" t="s">
        <v>258</v>
      </c>
      <c r="B149" s="1521"/>
      <c r="C149" s="1522"/>
      <c r="D149" s="523" t="s">
        <v>24</v>
      </c>
      <c r="E149" s="455"/>
      <c r="F149" s="455"/>
      <c r="G149" s="543">
        <f>G148/G7</f>
        <v>6.9797165879410941E-2</v>
      </c>
      <c r="H149" s="460">
        <f>G149+'26'!H149</f>
        <v>2.0787488917734276</v>
      </c>
      <c r="I149" s="545"/>
      <c r="J149" s="552">
        <f>H149/DAY(B2)</f>
        <v>7.6990699695312137E-2</v>
      </c>
      <c r="N149" s="382"/>
    </row>
    <row r="150" spans="1:14" ht="27.75">
      <c r="A150" s="1520" t="s">
        <v>259</v>
      </c>
      <c r="B150" s="1521"/>
      <c r="C150" s="1522"/>
      <c r="D150" s="523" t="s">
        <v>183</v>
      </c>
      <c r="E150" s="455"/>
      <c r="F150" s="455"/>
      <c r="G150" s="460">
        <f>G36+G50</f>
        <v>1339.5999999999767</v>
      </c>
      <c r="H150" s="460">
        <f>G150+'26'!H150</f>
        <v>55556.820000000007</v>
      </c>
      <c r="I150" s="545"/>
      <c r="J150" s="552">
        <f>H150/DAY(B2)</f>
        <v>2057.6600000000003</v>
      </c>
      <c r="N150" s="382"/>
    </row>
    <row r="151" spans="1:14" ht="27.75">
      <c r="A151" s="1520" t="s">
        <v>260</v>
      </c>
      <c r="B151" s="1521"/>
      <c r="C151" s="1522"/>
      <c r="D151" s="523" t="s">
        <v>24</v>
      </c>
      <c r="E151" s="455"/>
      <c r="F151" s="455"/>
      <c r="G151" s="543">
        <f>G150/G7</f>
        <v>7.4442900805778089E-2</v>
      </c>
      <c r="H151" s="460">
        <f>G151+'26'!H151</f>
        <v>2.674792696279491</v>
      </c>
      <c r="I151" s="480"/>
      <c r="J151" s="552">
        <f>H151/DAY(B2)</f>
        <v>9.9066396158499673E-2</v>
      </c>
      <c r="N151" s="382"/>
    </row>
    <row r="152" spans="1:14" ht="27.75">
      <c r="A152" s="1520" t="s">
        <v>261</v>
      </c>
      <c r="B152" s="1521"/>
      <c r="C152" s="1522"/>
      <c r="D152" s="523" t="s">
        <v>183</v>
      </c>
      <c r="E152" s="455"/>
      <c r="F152" s="455"/>
      <c r="G152" s="460">
        <f>G37+G51</f>
        <v>1174.25</v>
      </c>
      <c r="H152" s="460">
        <f>G152+'26'!H152</f>
        <v>36658.209999999992</v>
      </c>
      <c r="I152" s="480"/>
      <c r="J152" s="552">
        <f>H152/DAY(B2)</f>
        <v>1357.7114814814811</v>
      </c>
      <c r="N152" s="382"/>
    </row>
    <row r="153" spans="1:14" ht="28.5" thickBot="1">
      <c r="A153" s="1523" t="s">
        <v>262</v>
      </c>
      <c r="B153" s="1524"/>
      <c r="C153" s="1525"/>
      <c r="D153" s="625" t="s">
        <v>24</v>
      </c>
      <c r="E153" s="565"/>
      <c r="F153" s="565"/>
      <c r="G153" s="566">
        <f>G152/G7</f>
        <v>6.5254237288135591E-2</v>
      </c>
      <c r="H153" s="460">
        <f>G153+'26'!H153</f>
        <v>1.7670620647484248</v>
      </c>
      <c r="I153" s="568"/>
      <c r="J153" s="569">
        <f>H153/DAY(B2)</f>
        <v>6.5446743138830546E-2</v>
      </c>
      <c r="N153" s="382"/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382"/>
    </row>
    <row r="160" spans="1:14">
      <c r="A160" s="788" t="s">
        <v>263</v>
      </c>
      <c r="B160" s="789"/>
      <c r="C160" s="789"/>
      <c r="D160" s="511" t="s">
        <v>187</v>
      </c>
      <c r="E160" s="541">
        <f>'26'!F160</f>
        <v>35613.24</v>
      </c>
      <c r="F160" s="661">
        <v>35692.58</v>
      </c>
      <c r="G160" s="473">
        <f t="shared" ref="G160:G163" si="16">F160-E160</f>
        <v>79.340000000003783</v>
      </c>
    </row>
    <row r="161" spans="1:7">
      <c r="A161" s="788" t="s">
        <v>264</v>
      </c>
      <c r="B161" s="789"/>
      <c r="C161" s="789"/>
      <c r="D161" s="511" t="s">
        <v>187</v>
      </c>
      <c r="E161" s="541">
        <f>'26'!F161</f>
        <v>80521.23</v>
      </c>
      <c r="F161" s="661">
        <v>80965.83</v>
      </c>
      <c r="G161" s="473">
        <f t="shared" si="16"/>
        <v>444.60000000000582</v>
      </c>
    </row>
    <row r="162" spans="1:7">
      <c r="A162" s="788" t="s">
        <v>265</v>
      </c>
      <c r="B162" s="789"/>
      <c r="C162" s="789"/>
      <c r="D162" s="511" t="s">
        <v>187</v>
      </c>
      <c r="E162" s="541">
        <f>'26'!F162</f>
        <v>36653.26</v>
      </c>
      <c r="F162" s="661">
        <v>36974.61</v>
      </c>
      <c r="G162" s="473">
        <f t="shared" si="16"/>
        <v>321.34999999999854</v>
      </c>
    </row>
    <row r="163" spans="1:7">
      <c r="A163" s="788" t="s">
        <v>266</v>
      </c>
      <c r="B163" s="789"/>
      <c r="C163" s="789"/>
      <c r="D163" s="511" t="s">
        <v>187</v>
      </c>
      <c r="E163" s="541">
        <f>'26'!F163</f>
        <v>6144.27</v>
      </c>
      <c r="F163" s="661">
        <v>6156.08</v>
      </c>
      <c r="G163" s="473">
        <f t="shared" si="16"/>
        <v>11.809999999999491</v>
      </c>
    </row>
    <row r="164" spans="1:7">
      <c r="A164" s="790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</row>
    <row r="165" spans="1:7">
      <c r="A165" s="790" t="s">
        <v>188</v>
      </c>
      <c r="B165" s="604"/>
      <c r="C165" s="604"/>
      <c r="D165" s="511" t="s">
        <v>187</v>
      </c>
      <c r="E165" s="514">
        <f t="shared" ref="E165:E171" si="18">E63</f>
        <v>2339.09</v>
      </c>
      <c r="F165" s="514">
        <f t="shared" ref="F165:F171" si="19">F63</f>
        <v>2344.29</v>
      </c>
      <c r="G165" s="473">
        <f t="shared" si="17"/>
        <v>5.1999999999998181</v>
      </c>
    </row>
    <row r="166" spans="1:7" ht="27.75">
      <c r="A166" s="1495" t="s">
        <v>99</v>
      </c>
      <c r="B166" s="1495"/>
      <c r="C166" s="1495"/>
      <c r="D166" s="523" t="s">
        <v>187</v>
      </c>
      <c r="E166" s="514">
        <f t="shared" si="18"/>
        <v>151828.01999999999</v>
      </c>
      <c r="F166" s="514">
        <f t="shared" si="19"/>
        <v>152305.20000000001</v>
      </c>
      <c r="G166" s="473">
        <f t="shared" si="17"/>
        <v>477.18000000002212</v>
      </c>
    </row>
    <row r="167" spans="1:7" ht="27.75">
      <c r="A167" s="1495" t="s">
        <v>100</v>
      </c>
      <c r="B167" s="1495"/>
      <c r="C167" s="1495"/>
      <c r="D167" s="523" t="s">
        <v>187</v>
      </c>
      <c r="E167" s="514">
        <f t="shared" si="18"/>
        <v>153594.48000000001</v>
      </c>
      <c r="F167" s="514">
        <f t="shared" si="19"/>
        <v>153943.04000000001</v>
      </c>
      <c r="G167" s="473">
        <f t="shared" si="17"/>
        <v>348.55999999999767</v>
      </c>
    </row>
    <row r="168" spans="1:7" ht="27.75">
      <c r="A168" s="1495" t="s">
        <v>101</v>
      </c>
      <c r="B168" s="1495"/>
      <c r="C168" s="1495"/>
      <c r="D168" s="523" t="s">
        <v>187</v>
      </c>
      <c r="E168" s="514">
        <f t="shared" si="18"/>
        <v>47352.91</v>
      </c>
      <c r="F168" s="514">
        <f t="shared" si="19"/>
        <v>47716.65</v>
      </c>
      <c r="G168" s="473">
        <f t="shared" si="17"/>
        <v>363.73999999999796</v>
      </c>
    </row>
    <row r="169" spans="1:7" ht="27.75">
      <c r="A169" s="1495" t="s">
        <v>102</v>
      </c>
      <c r="B169" s="1495"/>
      <c r="C169" s="1495"/>
      <c r="D169" s="523" t="s">
        <v>187</v>
      </c>
      <c r="E169" s="514">
        <f t="shared" si="18"/>
        <v>241972.13</v>
      </c>
      <c r="F169" s="514">
        <f t="shared" si="19"/>
        <v>242354.53</v>
      </c>
      <c r="G169" s="473">
        <f t="shared" si="17"/>
        <v>382.39999999999418</v>
      </c>
    </row>
    <row r="170" spans="1:7" ht="27.75">
      <c r="A170" s="1495" t="s">
        <v>103</v>
      </c>
      <c r="B170" s="1495"/>
      <c r="C170" s="1495"/>
      <c r="D170" s="523" t="s">
        <v>187</v>
      </c>
      <c r="E170" s="514">
        <f t="shared" si="18"/>
        <v>85321</v>
      </c>
      <c r="F170" s="514">
        <f t="shared" si="19"/>
        <v>85321</v>
      </c>
      <c r="G170" s="473">
        <f t="shared" si="17"/>
        <v>0</v>
      </c>
    </row>
    <row r="171" spans="1:7" ht="27.75">
      <c r="A171" s="1495" t="s">
        <v>104</v>
      </c>
      <c r="B171" s="1495"/>
      <c r="C171" s="1495"/>
      <c r="D171" s="523" t="s">
        <v>187</v>
      </c>
      <c r="E171" s="514">
        <f t="shared" si="18"/>
        <v>78730.27</v>
      </c>
      <c r="F171" s="514">
        <f t="shared" si="19"/>
        <v>78766.350000000006</v>
      </c>
      <c r="G171" s="473">
        <f t="shared" si="17"/>
        <v>36.080000000001746</v>
      </c>
    </row>
    <row r="172" spans="1:7">
      <c r="G172" s="539">
        <f>SUM(G160:G171)</f>
        <v>2470.2600000000211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5" scale="21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topLeftCell="A124" zoomScale="55" zoomScaleNormal="80" zoomScaleSheetLayoutView="55" workbookViewId="0">
      <selection activeCell="I156" sqref="I156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9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1105" customWidth="1"/>
    <col min="15" max="17" width="22.33203125" style="773"/>
    <col min="18" max="16384" width="22.33203125" style="376"/>
  </cols>
  <sheetData>
    <row r="1" spans="1:17" ht="33.75">
      <c r="A1" s="1528" t="s">
        <v>117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7" s="281" customFormat="1" ht="27">
      <c r="A2" s="575" t="s">
        <v>364</v>
      </c>
      <c r="B2" s="1386">
        <v>44314</v>
      </c>
      <c r="C2" s="1146" t="s">
        <v>69</v>
      </c>
      <c r="D2" s="611">
        <v>0.52</v>
      </c>
      <c r="E2" s="739"/>
      <c r="F2" s="739"/>
      <c r="G2" s="461" t="s">
        <v>118</v>
      </c>
      <c r="H2" s="461" t="s">
        <v>6</v>
      </c>
      <c r="I2" s="461" t="s">
        <v>8</v>
      </c>
      <c r="J2" s="613" t="s">
        <v>119</v>
      </c>
      <c r="N2" s="1105"/>
      <c r="O2" s="773"/>
      <c r="P2" s="773"/>
      <c r="Q2" s="773"/>
    </row>
    <row r="3" spans="1:17" s="281" customFormat="1" ht="27">
      <c r="A3" s="570"/>
      <c r="B3" s="614"/>
      <c r="C3" s="1146" t="s">
        <v>120</v>
      </c>
      <c r="D3" s="612">
        <v>23</v>
      </c>
      <c r="E3" s="1537" t="s">
        <v>121</v>
      </c>
      <c r="F3" s="1538"/>
      <c r="G3" s="462"/>
      <c r="H3" s="463"/>
      <c r="I3" s="463"/>
      <c r="J3" s="615"/>
      <c r="K3" s="371"/>
      <c r="L3" s="292"/>
      <c r="N3" s="1105"/>
      <c r="O3" s="773"/>
      <c r="P3" s="773"/>
      <c r="Q3" s="773"/>
    </row>
    <row r="4" spans="1:17" s="281" customFormat="1" ht="27">
      <c r="A4" s="576"/>
      <c r="B4" s="616"/>
      <c r="C4" s="1146" t="s">
        <v>122</v>
      </c>
      <c r="D4" s="611">
        <v>0.77</v>
      </c>
      <c r="E4" s="463"/>
      <c r="F4" s="463"/>
      <c r="G4" s="464"/>
      <c r="H4" s="464"/>
      <c r="I4" s="465"/>
      <c r="J4" s="615"/>
      <c r="K4" s="372"/>
      <c r="L4" s="292"/>
      <c r="N4" s="1105"/>
      <c r="O4" s="773"/>
      <c r="P4" s="775"/>
      <c r="Q4" s="773"/>
    </row>
    <row r="5" spans="1:17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P5" s="775"/>
    </row>
    <row r="6" spans="1:17">
      <c r="A6" s="1531" t="s">
        <v>130</v>
      </c>
      <c r="B6" s="1532"/>
      <c r="C6" s="1533"/>
      <c r="D6" s="471"/>
      <c r="E6" s="495"/>
      <c r="F6" s="495"/>
      <c r="G6" s="471"/>
      <c r="H6" s="472"/>
      <c r="I6" s="472"/>
      <c r="J6" s="551"/>
      <c r="K6" s="427"/>
      <c r="L6" s="377"/>
      <c r="M6" s="376">
        <v>1691553</v>
      </c>
    </row>
    <row r="7" spans="1:17" ht="30" thickBot="1">
      <c r="A7" s="679" t="s">
        <v>131</v>
      </c>
      <c r="B7" s="680"/>
      <c r="C7" s="680"/>
      <c r="D7" s="638" t="s">
        <v>132</v>
      </c>
      <c r="E7" s="682">
        <f>'27'!F7</f>
        <v>5674757</v>
      </c>
      <c r="F7" s="460">
        <v>5692742</v>
      </c>
      <c r="G7" s="681">
        <f>F7-E7</f>
        <v>17985</v>
      </c>
      <c r="H7" s="682">
        <f>G7+'27'!H7</f>
        <v>578819</v>
      </c>
      <c r="I7" s="683">
        <f>'1'!I7</f>
        <v>12000</v>
      </c>
      <c r="J7" s="684">
        <f>H7/DAY(B2)</f>
        <v>20672.107142857141</v>
      </c>
      <c r="K7" s="549"/>
      <c r="L7" s="377"/>
      <c r="N7" s="1106"/>
    </row>
    <row r="8" spans="1:17" ht="27.75" thickBot="1">
      <c r="A8" s="685" t="s">
        <v>133</v>
      </c>
      <c r="B8" s="686"/>
      <c r="C8" s="687"/>
      <c r="D8" s="688" t="s">
        <v>25</v>
      </c>
      <c r="E8" s="682">
        <f>'27'!F8</f>
        <v>5708341</v>
      </c>
      <c r="F8" s="740">
        <v>5726367</v>
      </c>
      <c r="G8" s="692">
        <f>F8-E8</f>
        <v>18026</v>
      </c>
      <c r="H8" s="682">
        <f>G8+'27'!H8</f>
        <v>581049</v>
      </c>
      <c r="I8" s="689">
        <f>'1'!I8</f>
        <v>12000</v>
      </c>
      <c r="J8" s="684">
        <f>H8/DAY(B2)</f>
        <v>20751.75</v>
      </c>
      <c r="K8" s="549"/>
      <c r="L8" s="425">
        <v>1375467</v>
      </c>
      <c r="M8" s="440">
        <v>1703438</v>
      </c>
      <c r="N8" s="1106"/>
    </row>
    <row r="9" spans="1:17">
      <c r="A9" s="690" t="s">
        <v>134</v>
      </c>
      <c r="B9" s="691"/>
      <c r="C9" s="691"/>
      <c r="D9" s="638" t="s">
        <v>132</v>
      </c>
      <c r="E9" s="682">
        <f>'27'!F9</f>
        <v>939717</v>
      </c>
      <c r="F9" s="741">
        <v>957140.95</v>
      </c>
      <c r="G9" s="705">
        <f t="shared" ref="G9:G12" si="0">F9-E9</f>
        <v>17423.949999999953</v>
      </c>
      <c r="H9" s="682">
        <f>G9+'27'!H9</f>
        <v>561071.94999999995</v>
      </c>
      <c r="I9" s="693">
        <f>I8-J8</f>
        <v>-8751.75</v>
      </c>
      <c r="J9" s="684">
        <f>H9/DAY(B2)</f>
        <v>20038.283928571425</v>
      </c>
      <c r="K9" s="428"/>
      <c r="L9" s="377"/>
      <c r="N9" s="1106"/>
    </row>
    <row r="10" spans="1:17">
      <c r="A10" s="679" t="s">
        <v>135</v>
      </c>
      <c r="B10" s="680"/>
      <c r="C10" s="680"/>
      <c r="D10" s="638" t="s">
        <v>132</v>
      </c>
      <c r="E10" s="682">
        <f>'27'!F10</f>
        <v>2322.58</v>
      </c>
      <c r="F10" s="741">
        <v>2322.58</v>
      </c>
      <c r="G10" s="692">
        <f t="shared" si="0"/>
        <v>0</v>
      </c>
      <c r="H10" s="682">
        <f>G10+'27'!H10</f>
        <v>0</v>
      </c>
      <c r="I10" s="694"/>
      <c r="J10" s="684">
        <f>H10/DAY(B2)</f>
        <v>0</v>
      </c>
      <c r="K10" s="428"/>
      <c r="L10" s="377"/>
      <c r="M10" s="376">
        <f>170</f>
        <v>170</v>
      </c>
      <c r="N10" s="1106"/>
    </row>
    <row r="11" spans="1:17">
      <c r="A11" s="679" t="s">
        <v>136</v>
      </c>
      <c r="B11" s="680"/>
      <c r="C11" s="680"/>
      <c r="D11" s="638" t="s">
        <v>132</v>
      </c>
      <c r="E11" s="682">
        <f>'5'!E11</f>
        <v>37000</v>
      </c>
      <c r="F11" s="460">
        <v>37000</v>
      </c>
      <c r="G11" s="692">
        <f t="shared" si="0"/>
        <v>0</v>
      </c>
      <c r="H11" s="682">
        <f>G11+'27'!H11</f>
        <v>0</v>
      </c>
      <c r="I11" s="694"/>
      <c r="J11" s="684">
        <f>H11/DAY(B2)</f>
        <v>0</v>
      </c>
      <c r="K11" s="428"/>
      <c r="L11" s="377"/>
      <c r="N11" s="1106"/>
    </row>
    <row r="12" spans="1:17">
      <c r="A12" s="679" t="s">
        <v>137</v>
      </c>
      <c r="B12" s="680"/>
      <c r="C12" s="680"/>
      <c r="D12" s="638" t="s">
        <v>132</v>
      </c>
      <c r="E12" s="682">
        <f>'5'!E12</f>
        <v>40010</v>
      </c>
      <c r="F12" s="741">
        <v>40010</v>
      </c>
      <c r="G12" s="692">
        <f t="shared" si="0"/>
        <v>0</v>
      </c>
      <c r="H12" s="682">
        <f>G12+'27'!H12</f>
        <v>0</v>
      </c>
      <c r="I12" s="694"/>
      <c r="J12" s="684">
        <f>H12/DAY(B2)</f>
        <v>0</v>
      </c>
      <c r="K12" s="428"/>
      <c r="L12" s="377"/>
      <c r="N12" s="1106"/>
    </row>
    <row r="13" spans="1:17">
      <c r="A13" s="695" t="s">
        <v>138</v>
      </c>
      <c r="B13" s="696"/>
      <c r="C13" s="696"/>
      <c r="D13" s="638"/>
      <c r="E13" s="682"/>
      <c r="F13" s="460"/>
      <c r="G13" s="697">
        <f>G9+G10+G11+G12</f>
        <v>17423.949999999953</v>
      </c>
      <c r="H13" s="682">
        <f>G13+'27'!H13</f>
        <v>540881.31000000006</v>
      </c>
      <c r="I13" s="698">
        <f>G7-G13</f>
        <v>561.05000000004657</v>
      </c>
      <c r="J13" s="684">
        <f>H13/DAY(B2)</f>
        <v>19317.189642857145</v>
      </c>
      <c r="K13" s="428"/>
      <c r="L13" s="377"/>
      <c r="N13" s="1106"/>
    </row>
    <row r="14" spans="1:17">
      <c r="A14" s="1534" t="s">
        <v>139</v>
      </c>
      <c r="B14" s="1535"/>
      <c r="C14" s="1536"/>
      <c r="D14" s="472"/>
      <c r="E14" s="742"/>
      <c r="F14" s="742"/>
      <c r="G14" s="483"/>
      <c r="H14" s="472"/>
      <c r="I14" s="472"/>
      <c r="J14" s="551"/>
      <c r="K14" s="429"/>
      <c r="L14" s="377"/>
      <c r="N14" s="1106"/>
    </row>
    <row r="15" spans="1:17">
      <c r="A15" s="668" t="s">
        <v>140</v>
      </c>
      <c r="B15" s="669"/>
      <c r="C15" s="669"/>
      <c r="D15" s="670" t="s">
        <v>141</v>
      </c>
      <c r="E15" s="760">
        <f>'27'!F15</f>
        <v>1669075.459</v>
      </c>
      <c r="F15" s="743">
        <v>1669537.26</v>
      </c>
      <c r="G15" s="667">
        <f>(F15-E15)</f>
        <v>461.80099999997765</v>
      </c>
      <c r="H15" s="1091">
        <f>G15+'27'!H15</f>
        <v>22848.260000000009</v>
      </c>
      <c r="I15" s="1092">
        <v>800</v>
      </c>
      <c r="J15" s="1093">
        <f>H15/DAY(B2)</f>
        <v>816.00928571428608</v>
      </c>
      <c r="K15" s="428"/>
      <c r="L15" s="377"/>
      <c r="N15" s="1106"/>
    </row>
    <row r="16" spans="1:17">
      <c r="A16" s="676"/>
      <c r="B16" s="677"/>
      <c r="C16" s="677"/>
      <c r="D16" s="670"/>
      <c r="E16" s="760"/>
      <c r="F16" s="743"/>
      <c r="G16" s="672"/>
      <c r="H16" s="1091"/>
      <c r="I16" s="1094">
        <f>I15-J15</f>
        <v>-16.009285714286079</v>
      </c>
      <c r="J16" s="1093"/>
      <c r="K16" s="428"/>
      <c r="L16" s="377"/>
      <c r="N16" s="1106"/>
    </row>
    <row r="17" spans="1:17">
      <c r="A17" s="1534" t="s">
        <v>142</v>
      </c>
      <c r="B17" s="1535"/>
      <c r="C17" s="1536"/>
      <c r="D17" s="472"/>
      <c r="E17" s="742"/>
      <c r="F17" s="742"/>
      <c r="G17" s="488"/>
      <c r="H17" s="472"/>
      <c r="I17" s="472"/>
      <c r="J17" s="551"/>
      <c r="K17" s="428"/>
      <c r="L17" s="377"/>
      <c r="N17" s="1106"/>
    </row>
    <row r="18" spans="1:17" ht="27.75">
      <c r="A18" s="1560" t="s">
        <v>143</v>
      </c>
      <c r="B18" s="1561"/>
      <c r="C18" s="1562"/>
      <c r="D18" s="638" t="s">
        <v>144</v>
      </c>
      <c r="E18" s="761">
        <f>'27'!F18</f>
        <v>6</v>
      </c>
      <c r="F18" s="741">
        <v>6</v>
      </c>
      <c r="G18" s="697">
        <f>F18*10</f>
        <v>60</v>
      </c>
      <c r="H18" s="682">
        <f>G18+'27'!H18</f>
        <v>2560</v>
      </c>
      <c r="I18" s="683">
        <f>'1'!I18</f>
        <v>65</v>
      </c>
      <c r="J18" s="684">
        <f>H18/DAY(B2)</f>
        <v>91.428571428571431</v>
      </c>
      <c r="K18" s="428"/>
      <c r="L18" s="377"/>
      <c r="N18" s="1106"/>
    </row>
    <row r="19" spans="1:17" ht="27.75">
      <c r="A19" s="1560" t="s">
        <v>71</v>
      </c>
      <c r="B19" s="1561"/>
      <c r="C19" s="1562"/>
      <c r="D19" s="638" t="s">
        <v>144</v>
      </c>
      <c r="E19" s="761">
        <f>'27'!F19</f>
        <v>137647</v>
      </c>
      <c r="F19" s="741">
        <v>137703</v>
      </c>
      <c r="G19" s="692">
        <f t="shared" ref="G19" si="1">F19-E19</f>
        <v>56</v>
      </c>
      <c r="H19" s="682">
        <f>G19+'27'!H19</f>
        <v>1613</v>
      </c>
      <c r="I19" s="699"/>
      <c r="J19" s="684">
        <f>H19/DAY(B2)</f>
        <v>57.607142857142854</v>
      </c>
      <c r="K19" s="428"/>
      <c r="L19" s="377"/>
      <c r="N19" s="1106"/>
    </row>
    <row r="20" spans="1:17">
      <c r="A20" s="695" t="s">
        <v>145</v>
      </c>
      <c r="B20" s="696"/>
      <c r="C20" s="696"/>
      <c r="D20" s="638"/>
      <c r="E20" s="682"/>
      <c r="F20" s="460"/>
      <c r="G20" s="700">
        <f>G18+G19</f>
        <v>116</v>
      </c>
      <c r="H20" s="682">
        <f>G20+'27'!H20</f>
        <v>4209</v>
      </c>
      <c r="I20" s="701">
        <f>I18-J20</f>
        <v>-85.321428571428584</v>
      </c>
      <c r="J20" s="684">
        <f>H20/DAY(B2)</f>
        <v>150.32142857142858</v>
      </c>
      <c r="K20" s="428"/>
      <c r="L20" s="377"/>
      <c r="N20" s="1106"/>
    </row>
    <row r="21" spans="1:17">
      <c r="A21" s="1534" t="s">
        <v>146</v>
      </c>
      <c r="B21" s="1535"/>
      <c r="C21" s="1536"/>
      <c r="D21" s="472"/>
      <c r="E21" s="742"/>
      <c r="F21" s="742"/>
      <c r="G21" s="483"/>
      <c r="H21" s="472"/>
      <c r="I21" s="472"/>
      <c r="J21" s="551"/>
      <c r="K21" s="428"/>
      <c r="L21" s="377"/>
      <c r="N21" s="1106"/>
    </row>
    <row r="22" spans="1:17">
      <c r="A22" s="1144" t="s">
        <v>147</v>
      </c>
      <c r="B22" s="589"/>
      <c r="C22" s="589"/>
      <c r="D22" s="523" t="s">
        <v>148</v>
      </c>
      <c r="E22" s="762">
        <f>'27'!F22</f>
        <v>1290</v>
      </c>
      <c r="F22" s="741">
        <v>1290</v>
      </c>
      <c r="G22" s="481">
        <f t="shared" ref="G22" si="2">(F22-E22)</f>
        <v>0</v>
      </c>
      <c r="H22" s="460">
        <f>G22+'27'!H22</f>
        <v>1290</v>
      </c>
      <c r="I22" s="480"/>
      <c r="J22" s="552">
        <f>H22/DAY(B2)</f>
        <v>46.071428571428569</v>
      </c>
      <c r="K22" s="428"/>
      <c r="L22" s="377"/>
      <c r="N22" s="1106"/>
    </row>
    <row r="23" spans="1:17">
      <c r="A23" s="1144" t="s">
        <v>149</v>
      </c>
      <c r="B23" s="589"/>
      <c r="C23" s="589"/>
      <c r="D23" s="523" t="s">
        <v>148</v>
      </c>
      <c r="E23" s="762">
        <f>'27'!F23</f>
        <v>2000</v>
      </c>
      <c r="F23" s="741">
        <v>2000</v>
      </c>
      <c r="G23" s="481">
        <v>0</v>
      </c>
      <c r="H23" s="460">
        <f>G23+'27'!H23</f>
        <v>0</v>
      </c>
      <c r="I23" s="480"/>
      <c r="J23" s="552">
        <f>H23/DAY(B2)</f>
        <v>0</v>
      </c>
      <c r="K23" s="428"/>
      <c r="L23" s="377"/>
      <c r="N23" s="1106"/>
    </row>
    <row r="24" spans="1:17">
      <c r="A24" s="590" t="s">
        <v>150</v>
      </c>
      <c r="B24" s="591"/>
      <c r="C24" s="591"/>
      <c r="D24" s="511" t="s">
        <v>148</v>
      </c>
      <c r="E24" s="763">
        <f>'27'!F24</f>
        <v>3290</v>
      </c>
      <c r="F24" s="763">
        <f>SUM(F22:F23)</f>
        <v>3290</v>
      </c>
      <c r="G24" s="481">
        <v>0</v>
      </c>
      <c r="H24" s="460">
        <f>G24+'27'!H24</f>
        <v>1290</v>
      </c>
      <c r="I24" s="480"/>
      <c r="J24" s="552">
        <f>H24/DAY(B2)</f>
        <v>46.071428571428569</v>
      </c>
      <c r="K24" s="428"/>
      <c r="L24" s="377"/>
      <c r="N24" s="1106"/>
    </row>
    <row r="25" spans="1:17" s="442" customFormat="1" ht="27">
      <c r="A25" s="1539" t="s">
        <v>151</v>
      </c>
      <c r="B25" s="1540"/>
      <c r="C25" s="1541"/>
      <c r="D25" s="471"/>
      <c r="E25" s="495"/>
      <c r="F25" s="495"/>
      <c r="G25" s="494"/>
      <c r="H25" s="495"/>
      <c r="I25" s="496"/>
      <c r="J25" s="554"/>
      <c r="K25" s="373"/>
      <c r="L25" s="443"/>
      <c r="N25" s="1106"/>
      <c r="O25" s="773"/>
      <c r="P25" s="773"/>
      <c r="Q25" s="773"/>
    </row>
    <row r="26" spans="1:17" s="442" customFormat="1" ht="27">
      <c r="A26" s="592" t="s">
        <v>152</v>
      </c>
      <c r="B26" s="593"/>
      <c r="C26" s="594"/>
      <c r="D26" s="618" t="s">
        <v>153</v>
      </c>
      <c r="E26" s="764"/>
      <c r="F26" s="460"/>
      <c r="G26" s="498"/>
      <c r="H26" s="460"/>
      <c r="I26" s="499"/>
      <c r="J26" s="552"/>
      <c r="K26" s="374"/>
      <c r="L26" s="443"/>
      <c r="N26" s="1106"/>
      <c r="O26" s="773"/>
      <c r="P26" s="773"/>
      <c r="Q26" s="773"/>
    </row>
    <row r="27" spans="1:17" s="442" customFormat="1" ht="27">
      <c r="A27" s="592" t="s">
        <v>6</v>
      </c>
      <c r="B27" s="593"/>
      <c r="C27" s="594"/>
      <c r="D27" s="619" t="s">
        <v>25</v>
      </c>
      <c r="E27" s="702">
        <f>G8</f>
        <v>18026</v>
      </c>
      <c r="F27" s="501">
        <v>9</v>
      </c>
      <c r="G27" s="502">
        <f>E27*F27</f>
        <v>162234</v>
      </c>
      <c r="H27" s="460">
        <f>G27+'27'!H27</f>
        <v>5229441</v>
      </c>
      <c r="I27" s="503"/>
      <c r="J27" s="552">
        <f>H27/DAY(B2)</f>
        <v>186765.75</v>
      </c>
      <c r="K27" s="373"/>
      <c r="L27" s="443"/>
      <c r="N27" s="1106"/>
      <c r="O27" s="773"/>
      <c r="P27" s="773"/>
      <c r="Q27" s="773"/>
    </row>
    <row r="28" spans="1:17" s="442" customFormat="1" ht="27">
      <c r="A28" s="592" t="s">
        <v>154</v>
      </c>
      <c r="B28" s="593"/>
      <c r="C28" s="594"/>
      <c r="D28" s="619" t="s">
        <v>155</v>
      </c>
      <c r="E28" s="702">
        <f>G15</f>
        <v>461.80099999997765</v>
      </c>
      <c r="F28" s="501">
        <v>51.45</v>
      </c>
      <c r="G28" s="502">
        <f>E28*F28</f>
        <v>23759.66144999885</v>
      </c>
      <c r="H28" s="460">
        <f>G28+'27'!H28</f>
        <v>1175542.9770000004</v>
      </c>
      <c r="I28" s="505"/>
      <c r="J28" s="552">
        <f>H28/DAY(B2)</f>
        <v>41983.677750000017</v>
      </c>
      <c r="K28" s="373"/>
      <c r="L28" s="443"/>
      <c r="N28" s="1106"/>
      <c r="O28" s="773"/>
      <c r="P28" s="773"/>
      <c r="Q28" s="773"/>
    </row>
    <row r="29" spans="1:17" s="442" customFormat="1" ht="27">
      <c r="A29" s="592" t="s">
        <v>156</v>
      </c>
      <c r="B29" s="593"/>
      <c r="C29" s="594"/>
      <c r="D29" s="619" t="s">
        <v>157</v>
      </c>
      <c r="E29" s="702">
        <f>G24</f>
        <v>0</v>
      </c>
      <c r="F29" s="702">
        <v>69</v>
      </c>
      <c r="G29" s="502">
        <f>E29*F29</f>
        <v>0</v>
      </c>
      <c r="H29" s="460">
        <f>G29+'27'!H29</f>
        <v>89010</v>
      </c>
      <c r="I29" s="505"/>
      <c r="J29" s="552">
        <f>H29/DAY(B2)</f>
        <v>3178.9285714285716</v>
      </c>
      <c r="K29" s="373"/>
      <c r="L29" s="443"/>
      <c r="N29" s="1106"/>
      <c r="O29" s="773"/>
      <c r="P29" s="773"/>
      <c r="Q29" s="773"/>
    </row>
    <row r="30" spans="1:17" s="442" customFormat="1" ht="27">
      <c r="A30" s="592" t="s">
        <v>158</v>
      </c>
      <c r="B30" s="593"/>
      <c r="C30" s="594"/>
      <c r="D30" s="619" t="s">
        <v>159</v>
      </c>
      <c r="E30" s="702">
        <f>G19</f>
        <v>56</v>
      </c>
      <c r="F30" s="702">
        <v>134</v>
      </c>
      <c r="G30" s="502">
        <f>E30*F30</f>
        <v>7504</v>
      </c>
      <c r="H30" s="460">
        <f>G30+'27'!H30</f>
        <v>217510</v>
      </c>
      <c r="I30" s="505"/>
      <c r="J30" s="552">
        <f>H30/DAY(B2)</f>
        <v>7768.2142857142853</v>
      </c>
      <c r="K30" s="373"/>
      <c r="L30" s="443"/>
      <c r="N30" s="1106"/>
      <c r="O30" s="773"/>
      <c r="P30" s="773"/>
      <c r="Q30" s="773"/>
    </row>
    <row r="31" spans="1:17" s="442" customFormat="1" ht="27">
      <c r="A31" s="592" t="s">
        <v>160</v>
      </c>
      <c r="B31" s="593"/>
      <c r="C31" s="594"/>
      <c r="D31" s="619" t="s">
        <v>144</v>
      </c>
      <c r="E31" s="702">
        <f>G18</f>
        <v>60</v>
      </c>
      <c r="F31" s="702">
        <v>80</v>
      </c>
      <c r="G31" s="502">
        <f>E31*F31</f>
        <v>4800</v>
      </c>
      <c r="H31" s="460">
        <f>G31+'27'!H31</f>
        <v>204800</v>
      </c>
      <c r="I31" s="505"/>
      <c r="J31" s="552"/>
      <c r="K31" s="373"/>
      <c r="L31" s="443"/>
      <c r="N31" s="1106"/>
      <c r="O31" s="773"/>
      <c r="P31" s="773"/>
      <c r="Q31" s="773"/>
    </row>
    <row r="32" spans="1:17" s="442" customFormat="1" ht="27">
      <c r="A32" s="595" t="s">
        <v>161</v>
      </c>
      <c r="B32" s="596"/>
      <c r="C32" s="597"/>
      <c r="D32" s="507"/>
      <c r="E32" s="765"/>
      <c r="F32" s="486"/>
      <c r="G32" s="508">
        <f>G27+G28+G29+G30+G31</f>
        <v>198297.66144999885</v>
      </c>
      <c r="H32" s="460">
        <f>G32+'27'!H32</f>
        <v>6916303.9770000018</v>
      </c>
      <c r="I32" s="509"/>
      <c r="J32" s="552">
        <f>H32/DAY(B2)</f>
        <v>247010.85632142864</v>
      </c>
      <c r="K32" s="373"/>
      <c r="L32" s="443"/>
      <c r="N32" s="1106"/>
      <c r="O32" s="773"/>
      <c r="P32" s="773"/>
      <c r="Q32" s="773"/>
    </row>
    <row r="33" spans="1:14" ht="25.5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  <c r="N33" s="1106"/>
    </row>
    <row r="34" spans="1:14">
      <c r="A34" s="598" t="s">
        <v>163</v>
      </c>
      <c r="B34" s="1149"/>
      <c r="C34" s="1149"/>
      <c r="D34" s="472"/>
      <c r="E34" s="495"/>
      <c r="F34" s="495"/>
      <c r="G34" s="472"/>
      <c r="H34" s="472"/>
      <c r="I34" s="472"/>
      <c r="J34" s="551"/>
      <c r="K34" s="428"/>
      <c r="L34" s="377"/>
      <c r="N34" s="1106"/>
    </row>
    <row r="35" spans="1:14">
      <c r="A35" s="578" t="s">
        <v>164</v>
      </c>
      <c r="B35" s="579"/>
      <c r="C35" s="579"/>
      <c r="D35" s="523" t="s">
        <v>132</v>
      </c>
      <c r="E35" s="745">
        <f>'27'!F35</f>
        <v>879782.31</v>
      </c>
      <c r="F35" s="745">
        <v>881971.99</v>
      </c>
      <c r="G35" s="473">
        <f t="shared" ref="G35:G46" si="3">F35-E35</f>
        <v>2189.6799999999348</v>
      </c>
      <c r="H35" s="460">
        <f>G35+'27'!H35</f>
        <v>83582.989999999991</v>
      </c>
      <c r="I35" s="455"/>
      <c r="J35" s="552">
        <f>H35/DAY(B2)</f>
        <v>2985.1067857142853</v>
      </c>
      <c r="K35" s="428"/>
      <c r="L35" s="377"/>
      <c r="N35" s="1106"/>
    </row>
    <row r="36" spans="1:14">
      <c r="A36" s="578" t="s">
        <v>165</v>
      </c>
      <c r="B36" s="579"/>
      <c r="C36" s="579"/>
      <c r="D36" s="523" t="s">
        <v>132</v>
      </c>
      <c r="E36" s="745">
        <f>'27'!F36</f>
        <v>343058.55</v>
      </c>
      <c r="F36" s="745">
        <v>343442.95</v>
      </c>
      <c r="G36" s="473">
        <f t="shared" si="3"/>
        <v>384.40000000002328</v>
      </c>
      <c r="H36" s="460">
        <f>G36+'27'!H36</f>
        <v>26006.950000000012</v>
      </c>
      <c r="I36" s="455"/>
      <c r="J36" s="552">
        <f>H36/DAY(B2)</f>
        <v>928.81964285714332</v>
      </c>
      <c r="K36" s="428"/>
      <c r="L36" s="377"/>
      <c r="N36" s="1106"/>
    </row>
    <row r="37" spans="1:14">
      <c r="A37" s="578" t="s">
        <v>166</v>
      </c>
      <c r="B37" s="579"/>
      <c r="C37" s="579"/>
      <c r="D37" s="523" t="s">
        <v>132</v>
      </c>
      <c r="E37" s="745">
        <f>'27'!F37</f>
        <v>91455.34</v>
      </c>
      <c r="F37" s="745">
        <v>92653.24</v>
      </c>
      <c r="G37" s="473">
        <f t="shared" si="3"/>
        <v>1197.9000000000087</v>
      </c>
      <c r="H37" s="460">
        <f>G37+'27'!H37</f>
        <v>37856.240000000005</v>
      </c>
      <c r="I37" s="455"/>
      <c r="J37" s="552">
        <f>H37/DAY(B2)</f>
        <v>1352.0085714285717</v>
      </c>
      <c r="K37" s="428"/>
      <c r="L37" s="377"/>
      <c r="N37" s="1106"/>
    </row>
    <row r="38" spans="1:14">
      <c r="A38" s="578" t="s">
        <v>167</v>
      </c>
      <c r="B38" s="579"/>
      <c r="C38" s="579"/>
      <c r="D38" s="523" t="s">
        <v>132</v>
      </c>
      <c r="E38" s="745">
        <f>'27'!F38</f>
        <v>115500.11</v>
      </c>
      <c r="F38" s="470">
        <v>116891.35</v>
      </c>
      <c r="G38" s="473">
        <f t="shared" si="3"/>
        <v>1391.2400000000052</v>
      </c>
      <c r="H38" s="460">
        <f>G38+'27'!H38</f>
        <v>44583.350000000006</v>
      </c>
      <c r="I38" s="455"/>
      <c r="J38" s="552">
        <f>H38/DAY(B2)</f>
        <v>1592.2625000000003</v>
      </c>
      <c r="K38" s="428"/>
      <c r="L38" s="377"/>
      <c r="N38" s="1106"/>
    </row>
    <row r="39" spans="1:14">
      <c r="A39" s="578" t="s">
        <v>168</v>
      </c>
      <c r="B39" s="579"/>
      <c r="C39" s="579"/>
      <c r="D39" s="523" t="s">
        <v>132</v>
      </c>
      <c r="E39" s="745">
        <f>'27'!F39</f>
        <v>239642.37</v>
      </c>
      <c r="F39" s="745">
        <v>242505.27</v>
      </c>
      <c r="G39" s="473">
        <f>F39-E39</f>
        <v>2862.8999999999942</v>
      </c>
      <c r="H39" s="460">
        <f>G39+'27'!H39</f>
        <v>89683.26999999999</v>
      </c>
      <c r="I39" s="455"/>
      <c r="J39" s="552">
        <f>H39/DAY(B2)</f>
        <v>3202.9739285714281</v>
      </c>
      <c r="K39" s="428"/>
      <c r="L39" s="377"/>
      <c r="N39" s="1106"/>
    </row>
    <row r="40" spans="1:14">
      <c r="A40" s="599" t="s">
        <v>169</v>
      </c>
      <c r="B40" s="600"/>
      <c r="C40" s="600"/>
      <c r="D40" s="523" t="s">
        <v>132</v>
      </c>
      <c r="E40" s="745">
        <f>'27'!F40</f>
        <v>0.23</v>
      </c>
      <c r="F40" s="745">
        <v>0.23</v>
      </c>
      <c r="G40" s="473">
        <f t="shared" si="3"/>
        <v>0</v>
      </c>
      <c r="H40" s="460">
        <f>G40+'27'!H40</f>
        <v>0.4</v>
      </c>
      <c r="I40" s="455"/>
      <c r="J40" s="552">
        <f>H40/DAY(B2)</f>
        <v>1.4285714285714287E-2</v>
      </c>
      <c r="K40" s="429"/>
      <c r="L40" s="377"/>
      <c r="N40" s="1106"/>
    </row>
    <row r="41" spans="1:14">
      <c r="A41" s="578" t="s">
        <v>170</v>
      </c>
      <c r="B41" s="579"/>
      <c r="C41" s="579"/>
      <c r="D41" s="523" t="s">
        <v>132</v>
      </c>
      <c r="E41" s="745">
        <f>'27'!F41</f>
        <v>167081.91</v>
      </c>
      <c r="F41" s="745">
        <v>172691.47</v>
      </c>
      <c r="G41" s="473">
        <f t="shared" si="3"/>
        <v>5609.5599999999977</v>
      </c>
      <c r="H41" s="460">
        <f>G41+'27'!H41</f>
        <v>39550.47</v>
      </c>
      <c r="I41" s="455"/>
      <c r="J41" s="552">
        <f>H41/DAY(B2)</f>
        <v>1412.5167857142858</v>
      </c>
      <c r="K41" s="428"/>
      <c r="L41" s="377"/>
      <c r="N41" s="1106"/>
    </row>
    <row r="42" spans="1:14">
      <c r="A42" s="578" t="s">
        <v>171</v>
      </c>
      <c r="B42" s="579"/>
      <c r="C42" s="579"/>
      <c r="D42" s="523" t="s">
        <v>132</v>
      </c>
      <c r="E42" s="745">
        <f>'27'!F42</f>
        <v>59200.087</v>
      </c>
      <c r="F42" s="745">
        <v>59200</v>
      </c>
      <c r="G42" s="473">
        <f t="shared" si="3"/>
        <v>-8.6999999999534339E-2</v>
      </c>
      <c r="H42" s="460">
        <f>G42+'27'!H42</f>
        <v>71.839999999996508</v>
      </c>
      <c r="I42" s="455"/>
      <c r="J42" s="552">
        <f>H42/DAY(B2)</f>
        <v>2.565714285714161</v>
      </c>
      <c r="K42" s="428"/>
      <c r="L42" s="377"/>
      <c r="N42" s="1106"/>
    </row>
    <row r="43" spans="1:14">
      <c r="A43" s="578" t="s">
        <v>172</v>
      </c>
      <c r="B43" s="579"/>
      <c r="C43" s="579"/>
      <c r="D43" s="523" t="s">
        <v>132</v>
      </c>
      <c r="E43" s="745">
        <f>'27'!F43</f>
        <v>967060.07</v>
      </c>
      <c r="F43" s="745">
        <v>969445.99</v>
      </c>
      <c r="G43" s="473">
        <f t="shared" si="3"/>
        <v>2385.9200000000419</v>
      </c>
      <c r="H43" s="460">
        <f>G43+'27'!H43</f>
        <v>67397.989999999991</v>
      </c>
      <c r="I43" s="455"/>
      <c r="J43" s="552">
        <f>H43/DAY(B2)</f>
        <v>2407.071071428571</v>
      </c>
      <c r="K43" s="428"/>
      <c r="L43" s="377"/>
      <c r="N43" s="1106"/>
    </row>
    <row r="44" spans="1:14">
      <c r="A44" s="578" t="s">
        <v>173</v>
      </c>
      <c r="B44" s="579"/>
      <c r="C44" s="579"/>
      <c r="D44" s="523" t="s">
        <v>132</v>
      </c>
      <c r="E44" s="745">
        <f>'27'!F44</f>
        <v>0</v>
      </c>
      <c r="F44" s="745">
        <v>0</v>
      </c>
      <c r="G44" s="473">
        <f t="shared" si="3"/>
        <v>0</v>
      </c>
      <c r="H44" s="460">
        <f>G44+'27'!H44</f>
        <v>0</v>
      </c>
      <c r="I44" s="455"/>
      <c r="J44" s="552">
        <f>H44/DAY(B2)</f>
        <v>0</v>
      </c>
      <c r="K44" s="428"/>
      <c r="L44" s="377"/>
      <c r="N44" s="1106"/>
    </row>
    <row r="45" spans="1:14">
      <c r="A45" s="578" t="s">
        <v>174</v>
      </c>
      <c r="B45" s="579"/>
      <c r="C45" s="579"/>
      <c r="D45" s="523" t="s">
        <v>132</v>
      </c>
      <c r="E45" s="745">
        <f>'27'!F45</f>
        <v>614</v>
      </c>
      <c r="F45" s="745">
        <v>614</v>
      </c>
      <c r="G45" s="473">
        <f t="shared" si="3"/>
        <v>0</v>
      </c>
      <c r="H45" s="460">
        <f>G45+'27'!H45</f>
        <v>614</v>
      </c>
      <c r="I45" s="455"/>
      <c r="J45" s="552">
        <f>H45/DAY(B2)</f>
        <v>21.928571428571427</v>
      </c>
      <c r="K45" s="428"/>
      <c r="L45" s="377"/>
      <c r="N45" s="1106"/>
    </row>
    <row r="46" spans="1:14">
      <c r="A46" s="578" t="s">
        <v>175</v>
      </c>
      <c r="B46" s="579"/>
      <c r="C46" s="579"/>
      <c r="D46" s="523" t="s">
        <v>132</v>
      </c>
      <c r="E46" s="745">
        <f>'27'!F46</f>
        <v>187</v>
      </c>
      <c r="F46" s="745">
        <v>187</v>
      </c>
      <c r="G46" s="473">
        <f t="shared" si="3"/>
        <v>0</v>
      </c>
      <c r="H46" s="460">
        <f>G46+'27'!H46</f>
        <v>186.95</v>
      </c>
      <c r="I46" s="455"/>
      <c r="J46" s="552">
        <f>H46/DAY(B2)</f>
        <v>6.6767857142857139</v>
      </c>
      <c r="K46" s="428"/>
      <c r="L46" s="377"/>
      <c r="N46" s="1106"/>
    </row>
    <row r="47" spans="1:14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16021.513000000006</v>
      </c>
      <c r="H47" s="460">
        <f>G47+'27'!H47</f>
        <v>390335.94000000006</v>
      </c>
      <c r="I47" s="455"/>
      <c r="J47" s="552">
        <f>H47/DAY(B2)</f>
        <v>13940.569285714288</v>
      </c>
      <c r="K47" s="428"/>
      <c r="L47" s="377"/>
      <c r="N47" s="1106"/>
    </row>
    <row r="48" spans="1:14">
      <c r="A48" s="598" t="s">
        <v>177</v>
      </c>
      <c r="B48" s="1149"/>
      <c r="C48" s="1149"/>
      <c r="D48" s="472"/>
      <c r="E48" s="495"/>
      <c r="F48" s="495"/>
      <c r="G48" s="472"/>
      <c r="H48" s="472"/>
      <c r="I48" s="472"/>
      <c r="J48" s="551"/>
      <c r="K48" s="428"/>
      <c r="L48" s="377"/>
      <c r="N48" s="1106"/>
    </row>
    <row r="49" spans="1:14">
      <c r="A49" s="578" t="s">
        <v>164</v>
      </c>
      <c r="B49" s="601"/>
      <c r="C49" s="601"/>
      <c r="D49" s="523" t="s">
        <v>132</v>
      </c>
      <c r="E49" s="745">
        <f>'27'!F49</f>
        <v>260732.13</v>
      </c>
      <c r="F49" s="745">
        <v>260732.13</v>
      </c>
      <c r="G49" s="473">
        <f t="shared" ref="G49:G58" si="4">F49-E49</f>
        <v>0</v>
      </c>
      <c r="H49" s="460">
        <f>G49+'27'!H49</f>
        <v>0.13000000000465661</v>
      </c>
      <c r="I49" s="455"/>
      <c r="J49" s="552">
        <f>H49/DAY(B2)</f>
        <v>4.6428571430234501E-3</v>
      </c>
      <c r="K49" s="428"/>
      <c r="L49" s="377"/>
      <c r="N49" s="1106"/>
    </row>
    <row r="50" spans="1:14">
      <c r="A50" s="578" t="s">
        <v>178</v>
      </c>
      <c r="B50" s="601"/>
      <c r="C50" s="601"/>
      <c r="D50" s="523" t="s">
        <v>132</v>
      </c>
      <c r="E50" s="745">
        <f>'27'!F50</f>
        <v>471166.27</v>
      </c>
      <c r="F50" s="745">
        <v>472143.43</v>
      </c>
      <c r="G50" s="473">
        <f t="shared" si="4"/>
        <v>977.15999999997439</v>
      </c>
      <c r="H50" s="460">
        <f>G50+'27'!H50</f>
        <v>29869.389999999956</v>
      </c>
      <c r="I50" s="455"/>
      <c r="J50" s="552">
        <f>H50/DAY(B2)</f>
        <v>1066.763928571427</v>
      </c>
      <c r="K50" s="428"/>
      <c r="L50" s="377"/>
      <c r="N50" s="1106"/>
    </row>
    <row r="51" spans="1:14">
      <c r="A51" s="578" t="s">
        <v>166</v>
      </c>
      <c r="B51" s="601"/>
      <c r="C51" s="601"/>
      <c r="D51" s="523" t="s">
        <v>132</v>
      </c>
      <c r="E51" s="745">
        <f>'27'!F51</f>
        <v>144639.87</v>
      </c>
      <c r="F51" s="745">
        <v>144639.87</v>
      </c>
      <c r="G51" s="473">
        <f t="shared" si="4"/>
        <v>0</v>
      </c>
      <c r="H51" s="460">
        <f>G51+'27'!H51</f>
        <v>-0.13000000000465661</v>
      </c>
      <c r="I51" s="455"/>
      <c r="J51" s="552">
        <f>H51/DAY(B2)</f>
        <v>-4.6428571430234501E-3</v>
      </c>
      <c r="K51" s="428"/>
      <c r="L51" s="377"/>
      <c r="N51" s="1106"/>
    </row>
    <row r="52" spans="1:14">
      <c r="A52" s="578" t="s">
        <v>179</v>
      </c>
      <c r="B52" s="601"/>
      <c r="C52" s="601"/>
      <c r="D52" s="523" t="s">
        <v>132</v>
      </c>
      <c r="E52" s="745">
        <f>'27'!F52</f>
        <v>539606.06999999995</v>
      </c>
      <c r="F52" s="745">
        <v>539606.06999999995</v>
      </c>
      <c r="G52" s="473">
        <f t="shared" si="4"/>
        <v>0</v>
      </c>
      <c r="H52" s="460">
        <f>G52+'27'!H52</f>
        <v>6.9999999948777258E-2</v>
      </c>
      <c r="I52" s="455"/>
      <c r="J52" s="552">
        <f>H52/DAY(B2)</f>
        <v>2.4999999981706162E-3</v>
      </c>
      <c r="K52" s="428"/>
      <c r="L52" s="377"/>
      <c r="N52" s="1106"/>
    </row>
    <row r="53" spans="1:14">
      <c r="A53" s="578" t="s">
        <v>168</v>
      </c>
      <c r="B53" s="601"/>
      <c r="C53" s="601"/>
      <c r="D53" s="523" t="s">
        <v>132</v>
      </c>
      <c r="E53" s="745">
        <f>'27'!F53</f>
        <v>414630.31</v>
      </c>
      <c r="F53" s="745">
        <v>415202.15</v>
      </c>
      <c r="G53" s="473">
        <f t="shared" si="4"/>
        <v>571.84000000002561</v>
      </c>
      <c r="H53" s="460">
        <f>G53+'27'!H53</f>
        <v>11022.350000000035</v>
      </c>
      <c r="I53" s="455"/>
      <c r="J53" s="552">
        <f>H53/DAY(B2)</f>
        <v>393.65535714285841</v>
      </c>
      <c r="K53" s="428"/>
      <c r="L53" s="377"/>
      <c r="N53" s="1106"/>
    </row>
    <row r="54" spans="1:14">
      <c r="A54" s="578" t="s">
        <v>180</v>
      </c>
      <c r="B54" s="601"/>
      <c r="C54" s="601"/>
      <c r="D54" s="523" t="s">
        <v>132</v>
      </c>
      <c r="E54" s="745">
        <f>'27'!F54</f>
        <v>11158.36</v>
      </c>
      <c r="F54" s="745">
        <v>11235.95</v>
      </c>
      <c r="G54" s="473">
        <f t="shared" si="4"/>
        <v>77.590000000000146</v>
      </c>
      <c r="H54" s="460">
        <f>G54+'27'!H54</f>
        <v>5010.9800000000014</v>
      </c>
      <c r="I54" s="455"/>
      <c r="J54" s="552">
        <f>H54/DAY(B2)</f>
        <v>178.96357142857147</v>
      </c>
      <c r="K54" s="428"/>
      <c r="L54" s="377"/>
      <c r="N54" s="1106"/>
    </row>
    <row r="55" spans="1:14">
      <c r="A55" s="578" t="s">
        <v>181</v>
      </c>
      <c r="B55" s="601"/>
      <c r="C55" s="601"/>
      <c r="D55" s="523" t="s">
        <v>132</v>
      </c>
      <c r="E55" s="745">
        <f>'27'!F55</f>
        <v>345058.67</v>
      </c>
      <c r="F55" s="746">
        <v>345059</v>
      </c>
      <c r="G55" s="655">
        <f t="shared" si="4"/>
        <v>0.33000000001629815</v>
      </c>
      <c r="H55" s="708">
        <f>G55+'27'!H55</f>
        <v>123605.79999999999</v>
      </c>
      <c r="I55" s="709"/>
      <c r="J55" s="710">
        <f>H55/DAY(B2)</f>
        <v>4414.4928571428563</v>
      </c>
      <c r="K55" s="428"/>
      <c r="L55" s="377"/>
      <c r="N55" s="1106"/>
    </row>
    <row r="56" spans="1:14">
      <c r="A56" s="578" t="s">
        <v>182</v>
      </c>
      <c r="B56" s="601"/>
      <c r="C56" s="601"/>
      <c r="D56" s="523" t="s">
        <v>183</v>
      </c>
      <c r="E56" s="745">
        <f>'27'!F56</f>
        <v>589270.27</v>
      </c>
      <c r="F56" s="746">
        <v>589279.27</v>
      </c>
      <c r="G56" s="473">
        <f t="shared" si="4"/>
        <v>9</v>
      </c>
      <c r="H56" s="460">
        <f>G56+'27'!H56</f>
        <v>303.10999999998603</v>
      </c>
      <c r="I56" s="455"/>
      <c r="J56" s="552">
        <f>H56/DAY(B2)</f>
        <v>10.825357142856644</v>
      </c>
      <c r="K56" s="427"/>
      <c r="L56" s="377"/>
      <c r="N56" s="1106"/>
    </row>
    <row r="57" spans="1:14">
      <c r="A57" s="578" t="s">
        <v>172</v>
      </c>
      <c r="B57" s="601"/>
      <c r="C57" s="601"/>
      <c r="D57" s="523" t="s">
        <v>132</v>
      </c>
      <c r="E57" s="745">
        <f>'27'!F57</f>
        <v>7711</v>
      </c>
      <c r="F57" s="745">
        <v>7711.33</v>
      </c>
      <c r="G57" s="473">
        <f t="shared" si="4"/>
        <v>0.32999999999992724</v>
      </c>
      <c r="H57" s="460">
        <f>G57+'27'!H57</f>
        <v>0.32999999999992724</v>
      </c>
      <c r="I57" s="455"/>
      <c r="J57" s="552">
        <f>H57/DAY(B2)</f>
        <v>1.1785714285711688E-2</v>
      </c>
      <c r="K57" s="428"/>
      <c r="L57" s="377"/>
      <c r="N57" s="1106"/>
    </row>
    <row r="58" spans="1:14">
      <c r="A58" s="578" t="s">
        <v>184</v>
      </c>
      <c r="B58" s="601"/>
      <c r="C58" s="601"/>
      <c r="D58" s="523" t="s">
        <v>132</v>
      </c>
      <c r="E58" s="745">
        <f>'27'!F58</f>
        <v>46372.36</v>
      </c>
      <c r="F58" s="1236">
        <v>46477.78</v>
      </c>
      <c r="G58" s="473">
        <f t="shared" si="4"/>
        <v>105.41999999999825</v>
      </c>
      <c r="H58" s="460">
        <f>G58+'27'!H58</f>
        <v>4776.4399999999951</v>
      </c>
      <c r="I58" s="455"/>
      <c r="J58" s="552">
        <f>H58/DAY(B2)</f>
        <v>170.58714285714268</v>
      </c>
      <c r="K58" s="428"/>
      <c r="L58" s="377"/>
      <c r="N58" s="1106"/>
    </row>
    <row r="59" spans="1:14">
      <c r="A59" s="585" t="s">
        <v>176</v>
      </c>
      <c r="B59" s="586"/>
      <c r="C59" s="586"/>
      <c r="D59" s="511"/>
      <c r="E59" s="470"/>
      <c r="F59" s="470"/>
      <c r="G59" s="481">
        <f>G49+G50+G51+G52+G53+G54+G55+G56+G57+G58</f>
        <v>1741.6700000000146</v>
      </c>
      <c r="H59" s="460">
        <f>G59+'27'!H59</f>
        <v>174586.46999999994</v>
      </c>
      <c r="I59" s="455">
        <f>G7-G60</f>
        <v>221.81699999998091</v>
      </c>
      <c r="J59" s="552">
        <f>H59/DAY(B2)</f>
        <v>6235.2310714285695</v>
      </c>
      <c r="K59" s="428"/>
      <c r="L59" s="377"/>
      <c r="N59" s="1106"/>
    </row>
    <row r="60" spans="1:14">
      <c r="A60" s="578"/>
      <c r="B60" s="579"/>
      <c r="C60" s="579"/>
      <c r="D60" s="511" t="s">
        <v>185</v>
      </c>
      <c r="E60" s="470"/>
      <c r="F60" s="470"/>
      <c r="G60" s="481">
        <f>G47+G59</f>
        <v>17763.183000000019</v>
      </c>
      <c r="H60" s="460">
        <f>G60+'27'!H60</f>
        <v>572121.96</v>
      </c>
      <c r="I60" s="455">
        <f>G13-G60</f>
        <v>-339.23300000006566</v>
      </c>
      <c r="J60" s="552">
        <f>H60/DAY(B2)</f>
        <v>20432.927142857141</v>
      </c>
      <c r="K60" s="428"/>
      <c r="L60" s="377"/>
      <c r="N60" s="1106"/>
    </row>
    <row r="61" spans="1:14">
      <c r="A61" s="602" t="s">
        <v>186</v>
      </c>
      <c r="B61" s="453"/>
      <c r="C61" s="453"/>
      <c r="D61" s="513"/>
      <c r="E61" s="747"/>
      <c r="F61" s="747"/>
      <c r="G61" s="513"/>
      <c r="H61" s="513"/>
      <c r="I61" s="513"/>
      <c r="J61" s="555"/>
      <c r="K61" s="428"/>
      <c r="L61" s="377"/>
      <c r="N61" s="1106"/>
    </row>
    <row r="62" spans="1:14">
      <c r="A62" s="603" t="s">
        <v>98</v>
      </c>
      <c r="B62" s="604"/>
      <c r="C62" s="604"/>
      <c r="D62" s="511" t="s">
        <v>187</v>
      </c>
      <c r="E62" s="514">
        <f>'27'!F62</f>
        <v>20419</v>
      </c>
      <c r="F62" s="514">
        <v>20419</v>
      </c>
      <c r="G62" s="473">
        <f t="shared" ref="G62:G69" si="5">F62-E62</f>
        <v>0</v>
      </c>
      <c r="H62" s="460">
        <f>G62+'27'!H62</f>
        <v>0.18199999999706051</v>
      </c>
      <c r="I62" s="515"/>
      <c r="J62" s="552">
        <f>H62/DAY(B2)</f>
        <v>6.4999999998950186E-3</v>
      </c>
      <c r="K62" s="428"/>
      <c r="L62" s="377"/>
      <c r="N62" s="1106"/>
    </row>
    <row r="63" spans="1:14">
      <c r="A63" s="603" t="s">
        <v>188</v>
      </c>
      <c r="B63" s="604"/>
      <c r="C63" s="604"/>
      <c r="D63" s="511" t="s">
        <v>187</v>
      </c>
      <c r="E63" s="514">
        <f>'27'!F63</f>
        <v>2344.29</v>
      </c>
      <c r="F63" s="514">
        <v>2350.3000000000002</v>
      </c>
      <c r="G63" s="473">
        <f t="shared" si="5"/>
        <v>6.0100000000002183</v>
      </c>
      <c r="H63" s="460">
        <f>G63+'27'!H63</f>
        <v>254.30000000000018</v>
      </c>
      <c r="I63" s="515"/>
      <c r="J63" s="552">
        <f>H63/DAY(B2)</f>
        <v>9.0821428571428644</v>
      </c>
      <c r="K63" s="428"/>
      <c r="L63" s="377"/>
      <c r="N63" s="1106"/>
    </row>
    <row r="64" spans="1:14" ht="27.75">
      <c r="A64" s="1499" t="s">
        <v>99</v>
      </c>
      <c r="B64" s="1500"/>
      <c r="C64" s="1501"/>
      <c r="D64" s="523" t="s">
        <v>187</v>
      </c>
      <c r="E64" s="514">
        <f>'27'!F64</f>
        <v>152305.20000000001</v>
      </c>
      <c r="F64" s="741">
        <v>152738.75</v>
      </c>
      <c r="G64" s="473">
        <f t="shared" si="5"/>
        <v>433.54999999998836</v>
      </c>
      <c r="H64" s="460">
        <f>G64+'27'!H64</f>
        <v>13558.75</v>
      </c>
      <c r="I64" s="480"/>
      <c r="J64" s="552">
        <f>H64/DAY(B2)</f>
        <v>484.24107142857144</v>
      </c>
      <c r="K64" s="428"/>
      <c r="L64" s="377"/>
      <c r="N64" s="1106"/>
    </row>
    <row r="65" spans="1:14" ht="27.75">
      <c r="A65" s="1499" t="s">
        <v>100</v>
      </c>
      <c r="B65" s="1500"/>
      <c r="C65" s="1501"/>
      <c r="D65" s="523" t="s">
        <v>187</v>
      </c>
      <c r="E65" s="514">
        <f>'27'!F65</f>
        <v>153943.04000000001</v>
      </c>
      <c r="F65" s="748">
        <v>154203.07</v>
      </c>
      <c r="G65" s="473">
        <f t="shared" si="5"/>
        <v>260.02999999999884</v>
      </c>
      <c r="H65" s="460">
        <f>G65+'27'!H65</f>
        <v>9998.070000000007</v>
      </c>
      <c r="I65" s="489"/>
      <c r="J65" s="552">
        <f>H65/DAY(B2)</f>
        <v>357.07392857142884</v>
      </c>
      <c r="K65" s="428"/>
      <c r="L65" s="377"/>
      <c r="N65" s="1106"/>
    </row>
    <row r="66" spans="1:14" ht="27.75">
      <c r="A66" s="1499" t="s">
        <v>101</v>
      </c>
      <c r="B66" s="1500"/>
      <c r="C66" s="1501"/>
      <c r="D66" s="523" t="s">
        <v>187</v>
      </c>
      <c r="E66" s="514">
        <f>'27'!F66</f>
        <v>47716.65</v>
      </c>
      <c r="F66" s="741">
        <v>48032.37</v>
      </c>
      <c r="G66" s="473">
        <f t="shared" si="5"/>
        <v>315.72000000000116</v>
      </c>
      <c r="H66" s="460">
        <f>G66+'27'!H66</f>
        <v>10824.370000000003</v>
      </c>
      <c r="I66" s="480"/>
      <c r="J66" s="552">
        <f>H66/DAY(B2)</f>
        <v>386.58464285714297</v>
      </c>
      <c r="K66" s="428"/>
      <c r="L66" s="377"/>
      <c r="N66" s="1106"/>
    </row>
    <row r="67" spans="1:14" ht="27.75">
      <c r="A67" s="1499" t="s">
        <v>102</v>
      </c>
      <c r="B67" s="1500"/>
      <c r="C67" s="1501"/>
      <c r="D67" s="523" t="s">
        <v>187</v>
      </c>
      <c r="E67" s="514">
        <f>'27'!F67</f>
        <v>242354.53</v>
      </c>
      <c r="F67" s="741">
        <v>242687.95</v>
      </c>
      <c r="G67" s="473">
        <f t="shared" si="5"/>
        <v>333.42000000001281</v>
      </c>
      <c r="H67" s="460">
        <f>G67+'27'!H67</f>
        <v>13587.950000000012</v>
      </c>
      <c r="I67" s="489"/>
      <c r="J67" s="552">
        <f>H67/DAY(B2)</f>
        <v>485.28392857142899</v>
      </c>
      <c r="K67" s="429"/>
      <c r="L67" s="377"/>
      <c r="N67" s="1106"/>
    </row>
    <row r="68" spans="1:14" ht="27.75">
      <c r="A68" s="1499" t="s">
        <v>103</v>
      </c>
      <c r="B68" s="1500"/>
      <c r="C68" s="1501"/>
      <c r="D68" s="523" t="s">
        <v>187</v>
      </c>
      <c r="E68" s="514">
        <f>'27'!F68</f>
        <v>85321</v>
      </c>
      <c r="F68" s="741">
        <v>85321</v>
      </c>
      <c r="G68" s="473">
        <f t="shared" si="5"/>
        <v>0</v>
      </c>
      <c r="H68" s="460">
        <f>G68+'27'!H68</f>
        <v>2234</v>
      </c>
      <c r="I68" s="516"/>
      <c r="J68" s="552">
        <f>H68/DAY(B2)</f>
        <v>79.785714285714292</v>
      </c>
      <c r="K68" s="430"/>
      <c r="L68" s="377"/>
      <c r="N68" s="1106"/>
    </row>
    <row r="69" spans="1:14" ht="27.75">
      <c r="A69" s="1499" t="s">
        <v>104</v>
      </c>
      <c r="B69" s="1500"/>
      <c r="C69" s="1501"/>
      <c r="D69" s="523" t="s">
        <v>187</v>
      </c>
      <c r="E69" s="514">
        <f>'27'!F69</f>
        <v>78766.350000000006</v>
      </c>
      <c r="F69" s="741">
        <v>78814.97</v>
      </c>
      <c r="G69" s="473">
        <f t="shared" si="5"/>
        <v>48.619999999995343</v>
      </c>
      <c r="H69" s="460">
        <f>G69+'27'!H69</f>
        <v>4485.9700000000012</v>
      </c>
      <c r="I69" s="516"/>
      <c r="J69" s="552">
        <f>H69/DAY(B2)</f>
        <v>160.21321428571432</v>
      </c>
      <c r="K69" s="431"/>
      <c r="L69" s="377"/>
      <c r="N69" s="1106"/>
    </row>
    <row r="70" spans="1:14" ht="27.75">
      <c r="A70" s="1505" t="s">
        <v>189</v>
      </c>
      <c r="B70" s="1506"/>
      <c r="C70" s="1507"/>
      <c r="D70" s="523" t="s">
        <v>187</v>
      </c>
      <c r="E70" s="749"/>
      <c r="F70" s="749"/>
      <c r="G70" s="518"/>
      <c r="H70" s="460">
        <f>G70+'13'!H70</f>
        <v>0</v>
      </c>
      <c r="I70" s="518"/>
      <c r="J70" s="556"/>
      <c r="K70" s="431"/>
      <c r="L70" s="377"/>
      <c r="N70" s="1106"/>
    </row>
    <row r="71" spans="1:14" ht="31.5">
      <c r="A71" s="1502" t="s">
        <v>190</v>
      </c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  <c r="N71" s="1106"/>
    </row>
    <row r="72" spans="1:14" ht="27.75">
      <c r="A72" s="1499" t="s">
        <v>191</v>
      </c>
      <c r="B72" s="1500"/>
      <c r="C72" s="1501"/>
      <c r="D72" s="523" t="s">
        <v>187</v>
      </c>
      <c r="E72" s="766">
        <f>'27'!F72</f>
        <v>855358</v>
      </c>
      <c r="F72" s="750">
        <v>855415</v>
      </c>
      <c r="G72" s="473">
        <f t="shared" ref="G72:G84" si="6">F72-E72</f>
        <v>57</v>
      </c>
      <c r="H72" s="460">
        <f>G72+'27'!H72</f>
        <v>2152</v>
      </c>
      <c r="I72" s="480"/>
      <c r="J72" s="552">
        <f>H72/DAY(B2)</f>
        <v>76.857142857142861</v>
      </c>
      <c r="K72" s="431"/>
      <c r="L72" s="377"/>
      <c r="N72" s="1106"/>
    </row>
    <row r="73" spans="1:14" ht="27.75">
      <c r="A73" s="1499" t="s">
        <v>192</v>
      </c>
      <c r="B73" s="1500"/>
      <c r="C73" s="1501"/>
      <c r="D73" s="523" t="s">
        <v>187</v>
      </c>
      <c r="E73" s="766">
        <f>'27'!F73</f>
        <v>885868</v>
      </c>
      <c r="F73" s="751">
        <v>885870</v>
      </c>
      <c r="G73" s="655">
        <f t="shared" si="6"/>
        <v>2</v>
      </c>
      <c r="H73" s="460">
        <f>G73+'27'!H73</f>
        <v>1291</v>
      </c>
      <c r="I73" s="480"/>
      <c r="J73" s="552">
        <f>H73/DAY(B2)</f>
        <v>46.107142857142854</v>
      </c>
      <c r="K73" s="430"/>
      <c r="L73" s="377"/>
      <c r="N73" s="1106"/>
    </row>
    <row r="74" spans="1:14" ht="27.75">
      <c r="A74" s="1499" t="s">
        <v>193</v>
      </c>
      <c r="B74" s="1500"/>
      <c r="C74" s="1501"/>
      <c r="D74" s="523" t="s">
        <v>187</v>
      </c>
      <c r="E74" s="766">
        <f>'27'!F74</f>
        <v>2185.96</v>
      </c>
      <c r="F74" s="751">
        <v>2217.91</v>
      </c>
      <c r="G74" s="473">
        <f t="shared" si="6"/>
        <v>31.949999999999818</v>
      </c>
      <c r="H74" s="460">
        <f>G74+'27'!H74</f>
        <v>847.90999999999985</v>
      </c>
      <c r="I74" s="480"/>
      <c r="J74" s="552">
        <f>H74/DAY(B2)</f>
        <v>30.282499999999995</v>
      </c>
      <c r="K74" s="431"/>
      <c r="L74" s="377"/>
      <c r="N74" s="1106"/>
    </row>
    <row r="75" spans="1:14" ht="27.75">
      <c r="A75" s="1496" t="s">
        <v>194</v>
      </c>
      <c r="B75" s="1497"/>
      <c r="C75" s="1498"/>
      <c r="D75" s="523" t="s">
        <v>187</v>
      </c>
      <c r="E75" s="766">
        <f>'27'!F75</f>
        <v>10803.92</v>
      </c>
      <c r="F75" s="751">
        <v>10859.04</v>
      </c>
      <c r="G75" s="473">
        <f t="shared" si="6"/>
        <v>55.1200000000008</v>
      </c>
      <c r="H75" s="460">
        <f>G75+'27'!H75</f>
        <v>2179.0400000000009</v>
      </c>
      <c r="I75" s="480"/>
      <c r="J75" s="552">
        <f>H75/DAY(B2)</f>
        <v>77.822857142857174</v>
      </c>
      <c r="K75" s="430"/>
      <c r="L75" s="377"/>
      <c r="N75" s="1106"/>
    </row>
    <row r="76" spans="1:14" ht="27.75">
      <c r="A76" s="1496" t="s">
        <v>195</v>
      </c>
      <c r="B76" s="1497"/>
      <c r="C76" s="1498"/>
      <c r="D76" s="523" t="s">
        <v>187</v>
      </c>
      <c r="E76" s="766">
        <f>'27'!F76</f>
        <v>5559.65</v>
      </c>
      <c r="F76" s="751">
        <v>5608.71</v>
      </c>
      <c r="G76" s="473">
        <f t="shared" si="6"/>
        <v>49.0600000000004</v>
      </c>
      <c r="H76" s="460">
        <f>G76+'27'!H76</f>
        <v>1982.71</v>
      </c>
      <c r="I76" s="505"/>
      <c r="J76" s="552">
        <f>H76/DAY(B2)</f>
        <v>70.811071428571424</v>
      </c>
      <c r="K76" s="430"/>
      <c r="L76" s="377"/>
      <c r="N76" s="1106"/>
    </row>
    <row r="77" spans="1:14" ht="27.75">
      <c r="A77" s="1499" t="s">
        <v>196</v>
      </c>
      <c r="B77" s="1500"/>
      <c r="C77" s="1501"/>
      <c r="D77" s="523" t="s">
        <v>187</v>
      </c>
      <c r="E77" s="766">
        <f>'27'!F77</f>
        <v>701420</v>
      </c>
      <c r="F77" s="751">
        <v>701463</v>
      </c>
      <c r="G77" s="655">
        <f t="shared" si="6"/>
        <v>43</v>
      </c>
      <c r="H77" s="460">
        <f>G77+'27'!H77</f>
        <v>1249</v>
      </c>
      <c r="I77" s="505"/>
      <c r="J77" s="552">
        <f>H77/DAY(B2)</f>
        <v>44.607142857142854</v>
      </c>
      <c r="K77" s="430"/>
      <c r="L77" s="377"/>
      <c r="N77" s="1106"/>
    </row>
    <row r="78" spans="1:14" ht="27.75">
      <c r="A78" s="1147" t="s">
        <v>197</v>
      </c>
      <c r="B78" s="1120"/>
      <c r="C78" s="1120"/>
      <c r="D78" s="523" t="s">
        <v>187</v>
      </c>
      <c r="E78" s="766">
        <f>'27'!F78</f>
        <v>669683</v>
      </c>
      <c r="F78" s="751">
        <v>669728</v>
      </c>
      <c r="G78" s="655">
        <f t="shared" si="6"/>
        <v>45</v>
      </c>
      <c r="H78" s="460">
        <f>G78+'27'!H78</f>
        <v>4348</v>
      </c>
      <c r="I78" s="505"/>
      <c r="J78" s="552">
        <f>H78/DAY(B2)</f>
        <v>155.28571428571428</v>
      </c>
      <c r="K78" s="430"/>
      <c r="L78" s="377"/>
      <c r="N78" s="1106"/>
    </row>
    <row r="79" spans="1:14" ht="27.75">
      <c r="A79" s="1496" t="s">
        <v>92</v>
      </c>
      <c r="B79" s="1497"/>
      <c r="C79" s="1498"/>
      <c r="D79" s="524" t="s">
        <v>187</v>
      </c>
      <c r="E79" s="766">
        <f>'27'!F79</f>
        <v>826230</v>
      </c>
      <c r="F79" s="752">
        <v>826413</v>
      </c>
      <c r="G79" s="473">
        <f t="shared" si="6"/>
        <v>183</v>
      </c>
      <c r="H79" s="460">
        <f>G79+'27'!H79</f>
        <v>6222</v>
      </c>
      <c r="I79" s="505"/>
      <c r="J79" s="552">
        <f>H79/DAY(B2)</f>
        <v>222.21428571428572</v>
      </c>
      <c r="K79" s="430"/>
      <c r="L79" s="377"/>
      <c r="N79" s="1106"/>
    </row>
    <row r="80" spans="1:14" ht="27.75">
      <c r="A80" s="1496" t="s">
        <v>198</v>
      </c>
      <c r="B80" s="1497"/>
      <c r="C80" s="1498"/>
      <c r="D80" s="524" t="s">
        <v>187</v>
      </c>
      <c r="E80" s="766">
        <f>'27'!F80</f>
        <v>515611.24</v>
      </c>
      <c r="F80" s="751">
        <v>515972.12</v>
      </c>
      <c r="G80" s="473">
        <f t="shared" si="6"/>
        <v>360.88000000000466</v>
      </c>
      <c r="H80" s="460">
        <f>G80+'27'!H80</f>
        <v>8044.1199999999953</v>
      </c>
      <c r="I80" s="505"/>
      <c r="J80" s="552">
        <f>H80/DAY(B2)</f>
        <v>287.28999999999985</v>
      </c>
      <c r="K80" s="430"/>
      <c r="L80" s="377"/>
      <c r="N80" s="1106"/>
    </row>
    <row r="81" spans="1:17" ht="27.75">
      <c r="A81" s="1496" t="s">
        <v>199</v>
      </c>
      <c r="B81" s="1497"/>
      <c r="C81" s="1498"/>
      <c r="D81" s="524" t="s">
        <v>187</v>
      </c>
      <c r="E81" s="766">
        <f>'27'!F81</f>
        <v>636217.56000000006</v>
      </c>
      <c r="F81" s="751">
        <v>636330</v>
      </c>
      <c r="G81" s="473">
        <f t="shared" si="6"/>
        <v>112.43999999994412</v>
      </c>
      <c r="H81" s="460">
        <f>G81+'27'!H81</f>
        <v>6145</v>
      </c>
      <c r="I81" s="505"/>
      <c r="J81" s="552">
        <f>H81/DAY(B2)</f>
        <v>219.46428571428572</v>
      </c>
      <c r="K81" s="430"/>
      <c r="L81" s="377"/>
      <c r="N81" s="1106"/>
    </row>
    <row r="82" spans="1:17" ht="27.75">
      <c r="A82" s="1496" t="s">
        <v>93</v>
      </c>
      <c r="B82" s="1497"/>
      <c r="C82" s="1498"/>
      <c r="D82" s="485" t="s">
        <v>132</v>
      </c>
      <c r="E82" s="766">
        <f>'27'!F82</f>
        <v>107538.17</v>
      </c>
      <c r="F82" s="748">
        <v>107558.57</v>
      </c>
      <c r="G82" s="473">
        <f t="shared" si="6"/>
        <v>20.400000000008731</v>
      </c>
      <c r="H82" s="460">
        <f>G82+'27'!H82</f>
        <v>663.57000000000698</v>
      </c>
      <c r="I82" s="486"/>
      <c r="J82" s="552">
        <f>H82/DAY(B2)</f>
        <v>23.698928571428819</v>
      </c>
      <c r="K82" s="430"/>
      <c r="L82" s="377"/>
      <c r="N82" s="1106"/>
    </row>
    <row r="83" spans="1:17" ht="27.75">
      <c r="A83" s="1496" t="s">
        <v>200</v>
      </c>
      <c r="B83" s="1497"/>
      <c r="C83" s="1498"/>
      <c r="D83" s="620" t="s">
        <v>132</v>
      </c>
      <c r="E83" s="766">
        <f>'27'!F83</f>
        <v>14001</v>
      </c>
      <c r="F83" s="470">
        <v>14325</v>
      </c>
      <c r="G83" s="473">
        <f t="shared" si="6"/>
        <v>324</v>
      </c>
      <c r="H83" s="460">
        <f>G83+'27'!H83</f>
        <v>7268</v>
      </c>
      <c r="I83" s="481"/>
      <c r="J83" s="552">
        <f>H83/DAY(B2)</f>
        <v>259.57142857142856</v>
      </c>
      <c r="K83" s="429"/>
      <c r="L83" s="377"/>
      <c r="N83" s="1106"/>
    </row>
    <row r="84" spans="1:17">
      <c r="A84" s="1148" t="s">
        <v>201</v>
      </c>
      <c r="B84" s="571"/>
      <c r="C84" s="571"/>
      <c r="D84" s="478" t="s">
        <v>132</v>
      </c>
      <c r="E84" s="766">
        <f>'27'!F84</f>
        <v>478120</v>
      </c>
      <c r="F84" s="708">
        <v>478694</v>
      </c>
      <c r="G84" s="473">
        <f t="shared" si="6"/>
        <v>574</v>
      </c>
      <c r="H84" s="460">
        <f>G84+'27'!H84</f>
        <v>24010</v>
      </c>
      <c r="I84" s="481"/>
      <c r="J84" s="552">
        <f>H84/DAY(B2)</f>
        <v>857.5</v>
      </c>
      <c r="K84" s="380"/>
      <c r="L84" s="377"/>
      <c r="N84" s="1106"/>
    </row>
    <row r="85" spans="1:17" s="379" customFormat="1">
      <c r="A85" s="605" t="s">
        <v>202</v>
      </c>
      <c r="B85" s="572"/>
      <c r="C85" s="572"/>
      <c r="D85" s="489"/>
      <c r="E85" s="708">
        <f>'27'!F85</f>
        <v>0</v>
      </c>
      <c r="F85" s="460"/>
      <c r="G85" s="460">
        <f xml:space="preserve"> SUM(G72:G84)</f>
        <v>1857.8499999999585</v>
      </c>
      <c r="H85" s="460">
        <f>G85+'27'!H85</f>
        <v>66061.350000000006</v>
      </c>
      <c r="I85" s="481"/>
      <c r="J85" s="552">
        <f>H85/DAY(B2)</f>
        <v>2359.3339285714287</v>
      </c>
      <c r="K85" s="380"/>
      <c r="L85" s="378"/>
      <c r="N85" s="1106"/>
      <c r="O85" s="773"/>
      <c r="P85" s="773"/>
      <c r="Q85" s="773"/>
    </row>
    <row r="86" spans="1:17" s="738" customFormat="1">
      <c r="A86" s="733" t="s">
        <v>94</v>
      </c>
      <c r="B86" s="734"/>
      <c r="C86" s="734"/>
      <c r="D86" s="735" t="s">
        <v>183</v>
      </c>
      <c r="E86" s="708">
        <f>'27'!F86</f>
        <v>458788.76</v>
      </c>
      <c r="F86" s="753">
        <v>458937.88</v>
      </c>
      <c r="G86" s="708">
        <f t="shared" ref="G86:G88" si="7">F86-E86</f>
        <v>149.11999999999534</v>
      </c>
      <c r="H86" s="708">
        <f t="shared" ref="H86:H88" si="8">G86</f>
        <v>149.11999999999534</v>
      </c>
      <c r="I86" s="655"/>
      <c r="J86" s="710">
        <f>H86/DAY(B2)</f>
        <v>5.3257142857141195</v>
      </c>
      <c r="K86" s="736"/>
      <c r="L86" s="737"/>
      <c r="N86" s="1106"/>
      <c r="O86" s="773"/>
      <c r="P86" s="773"/>
      <c r="Q86" s="774"/>
    </row>
    <row r="87" spans="1:17" s="738" customFormat="1">
      <c r="A87" s="733" t="s">
        <v>95</v>
      </c>
      <c r="B87" s="734"/>
      <c r="C87" s="734"/>
      <c r="D87" s="735" t="s">
        <v>183</v>
      </c>
      <c r="E87" s="708">
        <f>'27'!F87</f>
        <v>80874.5</v>
      </c>
      <c r="F87" s="753">
        <v>80890.2</v>
      </c>
      <c r="G87" s="708">
        <f t="shared" si="7"/>
        <v>15.69999999999709</v>
      </c>
      <c r="H87" s="708">
        <f t="shared" si="8"/>
        <v>15.69999999999709</v>
      </c>
      <c r="I87" s="655"/>
      <c r="J87" s="710">
        <f>H87/DAY(B2)</f>
        <v>0.5607142857141818</v>
      </c>
      <c r="K87" s="736"/>
      <c r="L87" s="737"/>
      <c r="N87" s="1106"/>
      <c r="O87" s="773"/>
      <c r="P87" s="773"/>
      <c r="Q87" s="774"/>
    </row>
    <row r="88" spans="1:17" s="738" customFormat="1">
      <c r="A88" s="733" t="s">
        <v>96</v>
      </c>
      <c r="B88" s="734"/>
      <c r="C88" s="734"/>
      <c r="D88" s="735" t="s">
        <v>183</v>
      </c>
      <c r="E88" s="708">
        <f>'27'!F88</f>
        <v>151735.19</v>
      </c>
      <c r="F88" s="753">
        <v>151758.32999999999</v>
      </c>
      <c r="G88" s="708">
        <f t="shared" si="7"/>
        <v>23.139999999984866</v>
      </c>
      <c r="H88" s="708">
        <f t="shared" si="8"/>
        <v>23.139999999984866</v>
      </c>
      <c r="I88" s="655"/>
      <c r="J88" s="710">
        <f>H88/DAY(B2)</f>
        <v>0.82642857142803094</v>
      </c>
      <c r="K88" s="736"/>
      <c r="L88" s="737"/>
      <c r="N88" s="1106"/>
      <c r="O88" s="773"/>
      <c r="P88" s="773"/>
      <c r="Q88" s="774"/>
    </row>
    <row r="89" spans="1:17" s="738" customFormat="1">
      <c r="A89" s="733" t="s">
        <v>204</v>
      </c>
      <c r="B89" s="734"/>
      <c r="C89" s="734"/>
      <c r="D89" s="735" t="s">
        <v>183</v>
      </c>
      <c r="E89" s="708">
        <f>'27'!F89</f>
        <v>64717.3</v>
      </c>
      <c r="F89" s="753">
        <v>64760.9</v>
      </c>
      <c r="G89" s="708">
        <f t="shared" ref="G89:G90" si="9">F89-E89</f>
        <v>43.599999999998545</v>
      </c>
      <c r="H89" s="708">
        <f t="shared" ref="H89:H90" si="10">G89</f>
        <v>43.599999999998545</v>
      </c>
      <c r="I89" s="655"/>
      <c r="J89" s="710">
        <f>H89/DAY(B2)</f>
        <v>1.5571428571428052</v>
      </c>
      <c r="K89" s="736"/>
      <c r="L89" s="737"/>
      <c r="N89" s="1106"/>
      <c r="O89" s="382"/>
    </row>
    <row r="90" spans="1:17" s="738" customFormat="1">
      <c r="A90" s="733" t="s">
        <v>204</v>
      </c>
      <c r="B90" s="734"/>
      <c r="C90" s="734"/>
      <c r="D90" s="735" t="s">
        <v>183</v>
      </c>
      <c r="E90" s="708">
        <f>'27'!F90</f>
        <v>3272.3</v>
      </c>
      <c r="F90" s="753">
        <v>3272.4</v>
      </c>
      <c r="G90" s="708">
        <f t="shared" si="9"/>
        <v>9.9999999999909051E-2</v>
      </c>
      <c r="H90" s="708">
        <f t="shared" si="10"/>
        <v>9.9999999999909051E-2</v>
      </c>
      <c r="I90" s="655"/>
      <c r="J90" s="710">
        <f>H90/DAY(B2)</f>
        <v>3.571428571425323E-3</v>
      </c>
      <c r="K90" s="736"/>
      <c r="L90" s="737"/>
      <c r="N90" s="1106"/>
      <c r="O90" s="382"/>
    </row>
    <row r="91" spans="1:17" s="379" customFormat="1">
      <c r="A91" s="606" t="s">
        <v>205</v>
      </c>
      <c r="B91" s="1150"/>
      <c r="C91" s="1150"/>
      <c r="D91" s="472"/>
      <c r="E91" s="742"/>
      <c r="F91" s="742"/>
      <c r="G91" s="488"/>
      <c r="H91" s="472"/>
      <c r="I91" s="472"/>
      <c r="J91" s="551"/>
      <c r="K91" s="380"/>
      <c r="L91" s="378"/>
      <c r="N91" s="1106"/>
      <c r="O91" s="773"/>
      <c r="P91" s="773"/>
      <c r="Q91" s="773"/>
    </row>
    <row r="92" spans="1:17" ht="27.75">
      <c r="A92" s="1520" t="s">
        <v>206</v>
      </c>
      <c r="B92" s="1521"/>
      <c r="C92" s="1522"/>
      <c r="D92" s="523" t="s">
        <v>144</v>
      </c>
      <c r="E92" s="762">
        <f>'27'!F92</f>
        <v>244451</v>
      </c>
      <c r="F92" s="741">
        <v>244451</v>
      </c>
      <c r="G92" s="473">
        <f t="shared" ref="G92:G93" si="11">F92-E92</f>
        <v>0</v>
      </c>
      <c r="H92" s="460">
        <f>G92+'27'!H92</f>
        <v>1805</v>
      </c>
      <c r="I92" s="480"/>
      <c r="J92" s="552">
        <f>H92/DAY(B2)</f>
        <v>64.464285714285708</v>
      </c>
      <c r="K92" s="429"/>
      <c r="L92" s="377"/>
      <c r="N92" s="1106"/>
    </row>
    <row r="93" spans="1:17" ht="27.75">
      <c r="A93" s="1520" t="s">
        <v>207</v>
      </c>
      <c r="B93" s="1521"/>
      <c r="C93" s="1522"/>
      <c r="D93" s="523" t="s">
        <v>144</v>
      </c>
      <c r="E93" s="762">
        <f>'27'!F93</f>
        <v>183274</v>
      </c>
      <c r="F93" s="741">
        <v>183394</v>
      </c>
      <c r="G93" s="473">
        <f t="shared" si="11"/>
        <v>120</v>
      </c>
      <c r="H93" s="460">
        <f>G93+'27'!H93</f>
        <v>3715</v>
      </c>
      <c r="I93" s="480"/>
      <c r="J93" s="552">
        <f>H93/DAY(B2)</f>
        <v>132.67857142857142</v>
      </c>
      <c r="K93" s="380"/>
      <c r="L93" s="377"/>
      <c r="N93" s="1106"/>
    </row>
    <row r="94" spans="1:17">
      <c r="A94" s="1548" t="s">
        <v>208</v>
      </c>
      <c r="B94" s="1549"/>
      <c r="C94" s="1550"/>
      <c r="D94" s="523"/>
      <c r="E94" s="762">
        <f>'27'!F94</f>
        <v>0</v>
      </c>
      <c r="F94" s="741"/>
      <c r="G94" s="473">
        <f>G92+G93</f>
        <v>120</v>
      </c>
      <c r="H94" s="460">
        <f>G94+'27'!H94</f>
        <v>5301</v>
      </c>
      <c r="I94" s="480"/>
      <c r="J94" s="552">
        <f>H94/DAY(B2)</f>
        <v>189.32142857142858</v>
      </c>
      <c r="K94" s="380"/>
      <c r="L94" s="377"/>
      <c r="N94" s="1106"/>
    </row>
    <row r="95" spans="1:17" ht="27.75">
      <c r="A95" s="1520" t="s">
        <v>209</v>
      </c>
      <c r="B95" s="1521"/>
      <c r="C95" s="1522"/>
      <c r="D95" s="523" t="s">
        <v>144</v>
      </c>
      <c r="E95" s="762">
        <f>'27'!F95</f>
        <v>412715</v>
      </c>
      <c r="F95" s="741">
        <v>412753</v>
      </c>
      <c r="G95" s="473">
        <f t="shared" ref="G95:G100" si="12">F95-E95</f>
        <v>38</v>
      </c>
      <c r="H95" s="460">
        <f>G95+'27'!H95</f>
        <v>1968</v>
      </c>
      <c r="I95" s="480"/>
      <c r="J95" s="552">
        <f>H95/DAY(B2)</f>
        <v>70.285714285714292</v>
      </c>
      <c r="K95" s="380"/>
      <c r="L95" s="377"/>
      <c r="N95" s="1106"/>
    </row>
    <row r="96" spans="1:17" ht="27.75">
      <c r="A96" s="1144" t="s">
        <v>210</v>
      </c>
      <c r="B96" s="1145"/>
      <c r="C96" s="1145"/>
      <c r="D96" s="523" t="s">
        <v>144</v>
      </c>
      <c r="E96" s="762">
        <f>'27'!F96</f>
        <v>102318</v>
      </c>
      <c r="F96" s="741">
        <v>102327</v>
      </c>
      <c r="G96" s="473">
        <f t="shared" si="12"/>
        <v>9</v>
      </c>
      <c r="H96" s="460">
        <f>G96+'27'!H96</f>
        <v>496</v>
      </c>
      <c r="I96" s="480"/>
      <c r="J96" s="552">
        <f>H96/DAY(B2)</f>
        <v>17.714285714285715</v>
      </c>
      <c r="K96" s="427"/>
      <c r="L96" s="377"/>
      <c r="N96" s="1106"/>
    </row>
    <row r="97" spans="1:17" ht="27.75">
      <c r="A97" s="1144" t="s">
        <v>211</v>
      </c>
      <c r="B97" s="1145"/>
      <c r="C97" s="1145"/>
      <c r="D97" s="523" t="s">
        <v>144</v>
      </c>
      <c r="E97" s="762">
        <f>'27'!F97</f>
        <v>97389</v>
      </c>
      <c r="F97" s="741">
        <v>97397</v>
      </c>
      <c r="G97" s="473">
        <f t="shared" si="12"/>
        <v>8</v>
      </c>
      <c r="H97" s="460">
        <f>G97+'27'!H97</f>
        <v>469</v>
      </c>
      <c r="I97" s="480"/>
      <c r="J97" s="552">
        <f>H97/DAY(B2)</f>
        <v>16.75</v>
      </c>
      <c r="K97" s="432"/>
      <c r="L97" s="377"/>
      <c r="N97" s="1106"/>
    </row>
    <row r="98" spans="1:17" ht="27.75">
      <c r="A98" s="1144" t="s">
        <v>212</v>
      </c>
      <c r="B98" s="1145"/>
      <c r="C98" s="1145"/>
      <c r="D98" s="523" t="s">
        <v>144</v>
      </c>
      <c r="E98" s="762">
        <f>'27'!F98</f>
        <v>149516</v>
      </c>
      <c r="F98" s="741">
        <v>149519</v>
      </c>
      <c r="G98" s="473">
        <f t="shared" si="12"/>
        <v>3</v>
      </c>
      <c r="H98" s="460">
        <f>G98+'27'!H98</f>
        <v>610</v>
      </c>
      <c r="I98" s="480"/>
      <c r="J98" s="552">
        <f>H98/DAY(B2)</f>
        <v>21.785714285714285</v>
      </c>
      <c r="K98" s="380"/>
      <c r="L98" s="377"/>
      <c r="N98" s="1106"/>
    </row>
    <row r="99" spans="1:17" ht="27.75">
      <c r="A99" s="1144" t="s">
        <v>213</v>
      </c>
      <c r="B99" s="1145"/>
      <c r="C99" s="1145"/>
      <c r="D99" s="523" t="s">
        <v>144</v>
      </c>
      <c r="E99" s="762">
        <f>'27'!F99</f>
        <v>7173</v>
      </c>
      <c r="F99" s="741">
        <v>7178</v>
      </c>
      <c r="G99" s="473">
        <f t="shared" si="12"/>
        <v>5</v>
      </c>
      <c r="H99" s="460">
        <f>G99+'27'!H99</f>
        <v>323</v>
      </c>
      <c r="I99" s="480"/>
      <c r="J99" s="552">
        <f>H99/DAY(B2)</f>
        <v>11.535714285714286</v>
      </c>
      <c r="K99" s="380"/>
      <c r="L99" s="377"/>
      <c r="N99" s="1106"/>
    </row>
    <row r="100" spans="1:17" ht="27.75">
      <c r="A100" s="1144" t="s">
        <v>214</v>
      </c>
      <c r="B100" s="1145"/>
      <c r="C100" s="1145"/>
      <c r="D100" s="523" t="s">
        <v>144</v>
      </c>
      <c r="E100" s="762">
        <f>'27'!F100</f>
        <v>5126</v>
      </c>
      <c r="F100" s="741">
        <v>5130</v>
      </c>
      <c r="G100" s="473">
        <f t="shared" si="12"/>
        <v>4</v>
      </c>
      <c r="H100" s="460">
        <f>G100+'27'!H100</f>
        <v>187</v>
      </c>
      <c r="I100" s="480"/>
      <c r="J100" s="552">
        <f>H100/DAY(B2)</f>
        <v>6.6785714285714288</v>
      </c>
      <c r="K100" s="380"/>
      <c r="L100" s="377"/>
      <c r="N100" s="1106"/>
    </row>
    <row r="101" spans="1:17">
      <c r="A101" s="1548" t="s">
        <v>216</v>
      </c>
      <c r="B101" s="1549"/>
      <c r="C101" s="1550"/>
      <c r="D101" s="524"/>
      <c r="E101" s="486"/>
      <c r="F101" s="486"/>
      <c r="G101" s="525">
        <f>SUM(G95:G100)</f>
        <v>67</v>
      </c>
      <c r="H101" s="460">
        <f>G101+'27'!H101</f>
        <v>4053</v>
      </c>
      <c r="I101" s="526"/>
      <c r="J101" s="552">
        <f>H101/DAY(B2)</f>
        <v>144.75</v>
      </c>
      <c r="K101" s="380"/>
      <c r="L101" s="377"/>
      <c r="N101" s="1106"/>
    </row>
    <row r="102" spans="1:17" s="442" customFormat="1" ht="27">
      <c r="A102" s="607" t="s">
        <v>217</v>
      </c>
      <c r="B102" s="608"/>
      <c r="C102" s="608"/>
      <c r="D102" s="621"/>
      <c r="E102" s="768"/>
      <c r="F102" s="754"/>
      <c r="G102" s="529"/>
      <c r="H102" s="530"/>
      <c r="I102" s="531"/>
      <c r="J102" s="557"/>
      <c r="N102" s="1106"/>
      <c r="O102" s="773"/>
      <c r="P102" s="773"/>
      <c r="Q102" s="773"/>
    </row>
    <row r="103" spans="1:17" s="442" customFormat="1" ht="27">
      <c r="A103" s="1551" t="s">
        <v>218</v>
      </c>
      <c r="B103" s="1552"/>
      <c r="C103" s="573"/>
      <c r="D103" s="622"/>
      <c r="E103" s="533"/>
      <c r="F103" s="755"/>
      <c r="G103" s="532"/>
      <c r="H103" s="533"/>
      <c r="I103" s="532"/>
      <c r="J103" s="558"/>
      <c r="N103" s="1106"/>
      <c r="O103" s="773"/>
      <c r="P103" s="773"/>
      <c r="Q103" s="773"/>
    </row>
    <row r="104" spans="1:17" s="442" customFormat="1" ht="27">
      <c r="A104" s="1512" t="s">
        <v>219</v>
      </c>
      <c r="B104" s="1513"/>
      <c r="C104" s="1143"/>
      <c r="D104" s="622" t="s">
        <v>144</v>
      </c>
      <c r="E104" s="533">
        <f>'27'!F104</f>
        <v>7423</v>
      </c>
      <c r="F104" s="755">
        <v>7431</v>
      </c>
      <c r="G104" s="532">
        <f>F104-E104</f>
        <v>8</v>
      </c>
      <c r="H104" s="533">
        <f>SUM(G104+'1'!G76)</f>
        <v>67</v>
      </c>
      <c r="I104" s="532"/>
      <c r="J104" s="558">
        <f>H104/DAY(B2)</f>
        <v>2.3928571428571428</v>
      </c>
      <c r="N104" s="1106"/>
      <c r="O104" s="773"/>
      <c r="P104" s="773"/>
      <c r="Q104" s="773"/>
    </row>
    <row r="105" spans="1:17" s="442" customFormat="1" ht="27">
      <c r="A105" s="1512" t="s">
        <v>77</v>
      </c>
      <c r="B105" s="1513"/>
      <c r="C105" s="1143"/>
      <c r="D105" s="622" t="s">
        <v>144</v>
      </c>
      <c r="E105" s="533">
        <f>'27'!F105</f>
        <v>35819</v>
      </c>
      <c r="F105" s="663">
        <v>35819</v>
      </c>
      <c r="G105" s="532">
        <f t="shared" ref="G105" si="13">F105-E105</f>
        <v>0</v>
      </c>
      <c r="H105" s="533">
        <f>SUM(G105+'1'!G77)</f>
        <v>50</v>
      </c>
      <c r="I105" s="532"/>
      <c r="J105" s="558">
        <f>H105/DAY(B2)</f>
        <v>1.7857142857142858</v>
      </c>
      <c r="N105" s="1106"/>
      <c r="O105" s="773"/>
      <c r="P105" s="773"/>
      <c r="Q105" s="773"/>
    </row>
    <row r="106" spans="1:17" s="442" customFormat="1" ht="27">
      <c r="A106" s="1512" t="s">
        <v>78</v>
      </c>
      <c r="B106" s="1553"/>
      <c r="C106" s="1513"/>
      <c r="D106" s="622" t="s">
        <v>144</v>
      </c>
      <c r="E106" s="533">
        <f>'27'!F106</f>
        <v>19604</v>
      </c>
      <c r="F106" s="663">
        <v>19607</v>
      </c>
      <c r="G106" s="532">
        <f>F106-E106</f>
        <v>3</v>
      </c>
      <c r="H106" s="533">
        <f>SUM(G106+'1'!G78)</f>
        <v>398</v>
      </c>
      <c r="I106" s="532"/>
      <c r="J106" s="558">
        <f>H106/DAY(B2)</f>
        <v>14.214285714285714</v>
      </c>
      <c r="N106" s="1106"/>
      <c r="O106" s="773"/>
      <c r="P106" s="773"/>
      <c r="Q106" s="773"/>
    </row>
    <row r="107" spans="1:17" s="442" customFormat="1" ht="27">
      <c r="A107" s="1514" t="s">
        <v>202</v>
      </c>
      <c r="B107" s="1515"/>
      <c r="C107" s="1143"/>
      <c r="D107" s="622"/>
      <c r="E107" s="533">
        <f>'27'!F107</f>
        <v>0</v>
      </c>
      <c r="F107" s="663"/>
      <c r="G107" s="532">
        <f>SUM(G104:G106)</f>
        <v>11</v>
      </c>
      <c r="H107" s="533">
        <f>SUM(G107+'1'!G79)</f>
        <v>205</v>
      </c>
      <c r="I107" s="532"/>
      <c r="J107" s="558">
        <f>H107/DAY(B2)</f>
        <v>7.3214285714285712</v>
      </c>
      <c r="N107" s="1106"/>
      <c r="O107" s="773"/>
      <c r="P107" s="773"/>
      <c r="Q107" s="773"/>
    </row>
    <row r="108" spans="1:17" s="442" customFormat="1" ht="27">
      <c r="A108" s="1518" t="s">
        <v>79</v>
      </c>
      <c r="B108" s="1519"/>
      <c r="C108" s="1143"/>
      <c r="D108" s="622" t="s">
        <v>144</v>
      </c>
      <c r="E108" s="533">
        <f>'27'!F108</f>
        <v>0</v>
      </c>
      <c r="F108" s="663"/>
      <c r="G108" s="532"/>
      <c r="H108" s="533"/>
      <c r="I108" s="532"/>
      <c r="J108" s="558"/>
      <c r="N108" s="1106"/>
      <c r="O108" s="773"/>
      <c r="P108" s="773"/>
      <c r="Q108" s="773"/>
    </row>
    <row r="109" spans="1:17" s="442" customFormat="1" ht="27">
      <c r="A109" s="1512" t="s">
        <v>220</v>
      </c>
      <c r="B109" s="1513"/>
      <c r="C109" s="1143"/>
      <c r="D109" s="622" t="s">
        <v>144</v>
      </c>
      <c r="E109" s="533">
        <f>'27'!F109</f>
        <v>60894</v>
      </c>
      <c r="F109" s="663">
        <v>60994</v>
      </c>
      <c r="G109" s="532">
        <f>F109-E109</f>
        <v>100</v>
      </c>
      <c r="H109" s="533">
        <f>SUM(G109+'1'!G81)</f>
        <v>298</v>
      </c>
      <c r="I109" s="532"/>
      <c r="J109" s="558">
        <f>H109/DAY(B2)</f>
        <v>10.642857142857142</v>
      </c>
      <c r="N109" s="1106"/>
      <c r="O109" s="773"/>
      <c r="P109" s="773"/>
      <c r="Q109" s="773"/>
    </row>
    <row r="110" spans="1:17" s="442" customFormat="1" ht="27">
      <c r="A110" s="1512" t="s">
        <v>221</v>
      </c>
      <c r="B110" s="1513"/>
      <c r="C110" s="1143"/>
      <c r="D110" s="622" t="s">
        <v>144</v>
      </c>
      <c r="E110" s="533">
        <f>'27'!F110</f>
        <v>32213</v>
      </c>
      <c r="F110" s="663">
        <v>32213</v>
      </c>
      <c r="G110" s="532">
        <f t="shared" ref="G110:G111" si="14">F110-E110</f>
        <v>0</v>
      </c>
      <c r="H110" s="533">
        <f>SUM(G110+'1'!G82)</f>
        <v>23</v>
      </c>
      <c r="I110" s="532"/>
      <c r="J110" s="558">
        <f>H110/DAY(B2)</f>
        <v>0.8214285714285714</v>
      </c>
      <c r="N110" s="1106"/>
      <c r="O110" s="773"/>
      <c r="P110" s="773"/>
      <c r="Q110" s="773"/>
    </row>
    <row r="111" spans="1:17" s="442" customFormat="1" ht="27">
      <c r="A111" s="1512" t="s">
        <v>222</v>
      </c>
      <c r="B111" s="1513"/>
      <c r="C111" s="1143"/>
      <c r="D111" s="622" t="s">
        <v>144</v>
      </c>
      <c r="E111" s="533">
        <f>'27'!F111</f>
        <v>4363</v>
      </c>
      <c r="F111" s="663">
        <v>4363</v>
      </c>
      <c r="G111" s="534">
        <f t="shared" si="14"/>
        <v>0</v>
      </c>
      <c r="H111" s="533">
        <f>SUM(G111+'1'!G83)</f>
        <v>239</v>
      </c>
      <c r="I111" s="532"/>
      <c r="J111" s="558">
        <f>H111/DAY(B2)</f>
        <v>8.5357142857142865</v>
      </c>
      <c r="N111" s="1106"/>
      <c r="O111" s="773"/>
      <c r="P111" s="773"/>
      <c r="Q111" s="773"/>
    </row>
    <row r="112" spans="1:17" s="442" customFormat="1" ht="27">
      <c r="A112" s="1514" t="s">
        <v>110</v>
      </c>
      <c r="B112" s="1515"/>
      <c r="C112" s="1143"/>
      <c r="D112" s="622"/>
      <c r="E112" s="533">
        <f>'27'!F112</f>
        <v>0</v>
      </c>
      <c r="F112" s="663"/>
      <c r="G112" s="532">
        <f>SUM(G109:G111)</f>
        <v>100</v>
      </c>
      <c r="H112" s="533">
        <f>SUM(G112+'1'!G84)</f>
        <v>1015</v>
      </c>
      <c r="I112" s="532"/>
      <c r="J112" s="558">
        <f>H112/DAY(B2)</f>
        <v>36.25</v>
      </c>
      <c r="N112" s="1106"/>
      <c r="O112" s="773"/>
      <c r="P112" s="773"/>
      <c r="Q112" s="773"/>
    </row>
    <row r="113" spans="1:17" s="442" customFormat="1" ht="27">
      <c r="A113" s="1518" t="s">
        <v>223</v>
      </c>
      <c r="B113" s="1519"/>
      <c r="C113" s="1143"/>
      <c r="D113" s="622"/>
      <c r="E113" s="533">
        <f>'27'!F113</f>
        <v>0</v>
      </c>
      <c r="F113" s="663"/>
      <c r="G113" s="532"/>
      <c r="H113" s="533"/>
      <c r="I113" s="532"/>
      <c r="J113" s="558">
        <f>H113/DAY(B2)</f>
        <v>0</v>
      </c>
      <c r="N113" s="1106"/>
      <c r="O113" s="773"/>
      <c r="P113" s="773"/>
      <c r="Q113" s="773"/>
    </row>
    <row r="114" spans="1:17" s="442" customFormat="1" ht="27">
      <c r="A114" s="1512" t="s">
        <v>224</v>
      </c>
      <c r="B114" s="1513"/>
      <c r="C114" s="574"/>
      <c r="D114" s="622" t="s">
        <v>144</v>
      </c>
      <c r="E114" s="533">
        <f>'27'!F114</f>
        <v>11245</v>
      </c>
      <c r="F114" s="663">
        <v>11249</v>
      </c>
      <c r="G114" s="534">
        <f>F114-E114</f>
        <v>4</v>
      </c>
      <c r="H114" s="533">
        <f>SUM(G114+'1'!G91)</f>
        <v>4</v>
      </c>
      <c r="I114" s="532"/>
      <c r="J114" s="558">
        <f>H114/DAY(B2)</f>
        <v>0.14285714285714285</v>
      </c>
      <c r="N114" s="1106"/>
      <c r="O114" s="773"/>
      <c r="P114" s="773"/>
      <c r="Q114" s="773"/>
    </row>
    <row r="115" spans="1:17" s="442" customFormat="1" ht="27">
      <c r="A115" s="1512" t="s">
        <v>225</v>
      </c>
      <c r="B115" s="1513"/>
      <c r="C115" s="574"/>
      <c r="D115" s="622" t="s">
        <v>144</v>
      </c>
      <c r="E115" s="533">
        <f>'27'!F115</f>
        <v>8119</v>
      </c>
      <c r="F115" s="663">
        <v>8121</v>
      </c>
      <c r="G115" s="534">
        <f t="shared" ref="G115:G116" si="15">F115-E115</f>
        <v>2</v>
      </c>
      <c r="H115" s="533">
        <f>SUM(G115+'1'!G92)</f>
        <v>94</v>
      </c>
      <c r="I115" s="532"/>
      <c r="J115" s="558">
        <f>H115/DAY(B2)</f>
        <v>3.3571428571428572</v>
      </c>
      <c r="N115" s="1106"/>
      <c r="O115" s="773"/>
      <c r="P115" s="773"/>
      <c r="Q115" s="773"/>
    </row>
    <row r="116" spans="1:17" s="442" customFormat="1" ht="27">
      <c r="A116" s="1512" t="s">
        <v>226</v>
      </c>
      <c r="B116" s="1513"/>
      <c r="C116" s="574"/>
      <c r="D116" s="622" t="s">
        <v>144</v>
      </c>
      <c r="E116" s="536"/>
      <c r="F116" s="663"/>
      <c r="G116" s="534">
        <f t="shared" si="15"/>
        <v>0</v>
      </c>
      <c r="H116" s="533">
        <f>SUM(G116+'1'!G93)</f>
        <v>127</v>
      </c>
      <c r="I116" s="532"/>
      <c r="J116" s="558">
        <f>H116/DAY(B2)</f>
        <v>4.5357142857142856</v>
      </c>
      <c r="N116" s="1106"/>
      <c r="O116" s="773"/>
      <c r="P116" s="773"/>
      <c r="Q116" s="773"/>
    </row>
    <row r="117" spans="1:17" s="445" customFormat="1" ht="27">
      <c r="A117" s="1514" t="s">
        <v>202</v>
      </c>
      <c r="B117" s="1515"/>
      <c r="C117" s="574"/>
      <c r="D117" s="623"/>
      <c r="E117" s="536"/>
      <c r="F117" s="663"/>
      <c r="G117" s="534">
        <f>SUM(G114:G116)</f>
        <v>6</v>
      </c>
      <c r="H117" s="533">
        <f>SUM(G117+'1'!G95)</f>
        <v>83</v>
      </c>
      <c r="I117" s="534"/>
      <c r="J117" s="558">
        <f>H117/DAY(B2)</f>
        <v>2.9642857142857144</v>
      </c>
      <c r="N117" s="1106"/>
      <c r="O117" s="773"/>
      <c r="P117" s="773"/>
      <c r="Q117" s="774"/>
    </row>
    <row r="118" spans="1:17" s="446" customFormat="1" ht="27">
      <c r="A118" s="1508" t="s">
        <v>227</v>
      </c>
      <c r="B118" s="1509"/>
      <c r="C118" s="1141"/>
      <c r="D118" s="624" t="s">
        <v>144</v>
      </c>
      <c r="E118" s="536"/>
      <c r="F118" s="663"/>
      <c r="G118" s="536">
        <f>SUM(G19+G92)</f>
        <v>56</v>
      </c>
      <c r="H118" s="533">
        <f>SUM(G118+'1'!G96)</f>
        <v>73</v>
      </c>
      <c r="I118" s="535"/>
      <c r="J118" s="559">
        <f>H118/DAY(B2)</f>
        <v>2.6071428571428572</v>
      </c>
      <c r="N118" s="1106"/>
      <c r="O118" s="773"/>
      <c r="P118" s="773"/>
      <c r="Q118" s="774"/>
    </row>
    <row r="119" spans="1:17" s="446" customFormat="1" ht="27">
      <c r="A119" s="1508" t="s">
        <v>228</v>
      </c>
      <c r="B119" s="1509"/>
      <c r="C119" s="1141"/>
      <c r="D119" s="624" t="s">
        <v>144</v>
      </c>
      <c r="E119" s="536"/>
      <c r="F119" s="663"/>
      <c r="G119" s="536">
        <f>SUM(G95,G96,G97,G99,G100)</f>
        <v>64</v>
      </c>
      <c r="H119" s="533">
        <f>SUM(G119+'1'!G98)</f>
        <v>92</v>
      </c>
      <c r="I119" s="535"/>
      <c r="J119" s="559">
        <f>H119/DAY(B2)</f>
        <v>3.2857142857142856</v>
      </c>
      <c r="N119" s="1106"/>
      <c r="O119" s="773"/>
      <c r="P119" s="773"/>
      <c r="Q119" s="774"/>
    </row>
    <row r="120" spans="1:17" s="446" customFormat="1" ht="27">
      <c r="A120" s="1508" t="s">
        <v>229</v>
      </c>
      <c r="B120" s="1509"/>
      <c r="C120" s="1141"/>
      <c r="D120" s="624" t="s">
        <v>144</v>
      </c>
      <c r="E120" s="536"/>
      <c r="F120" s="663"/>
      <c r="G120" s="534">
        <f>SUM(G112)</f>
        <v>100</v>
      </c>
      <c r="H120" s="533">
        <f>SUM(G120+'1'!G100)</f>
        <v>106</v>
      </c>
      <c r="I120" s="535"/>
      <c r="J120" s="559">
        <f>H120/DAY(B2)</f>
        <v>3.7857142857142856</v>
      </c>
      <c r="N120" s="1106"/>
      <c r="O120" s="773"/>
      <c r="P120" s="773"/>
      <c r="Q120" s="774"/>
    </row>
    <row r="121" spans="1:17" s="442" customFormat="1" ht="27">
      <c r="A121" s="1510"/>
      <c r="B121" s="1511"/>
      <c r="C121" s="1142"/>
      <c r="D121" s="560"/>
      <c r="E121" s="769"/>
      <c r="F121" s="756"/>
      <c r="G121" s="560"/>
      <c r="H121" s="561"/>
      <c r="I121" s="560"/>
      <c r="J121" s="562"/>
      <c r="N121" s="1106"/>
      <c r="O121" s="773"/>
      <c r="P121" s="773"/>
      <c r="Q121" s="773"/>
    </row>
    <row r="122" spans="1:17">
      <c r="A122" s="1545" t="s">
        <v>230</v>
      </c>
      <c r="B122" s="1546"/>
      <c r="C122" s="1547"/>
      <c r="D122" s="472"/>
      <c r="E122" s="742"/>
      <c r="F122" s="742"/>
      <c r="G122" s="483"/>
      <c r="H122" s="483"/>
      <c r="I122" s="483"/>
      <c r="J122" s="563"/>
      <c r="K122" s="380"/>
      <c r="L122" s="377"/>
      <c r="N122" s="1106"/>
    </row>
    <row r="123" spans="1:17" ht="27.75">
      <c r="A123" s="1144" t="s">
        <v>231</v>
      </c>
      <c r="B123" s="1145"/>
      <c r="C123" s="1145"/>
      <c r="D123" s="523" t="s">
        <v>141</v>
      </c>
      <c r="E123" s="741">
        <f>'27'!F123</f>
        <v>825480.73</v>
      </c>
      <c r="F123" s="741">
        <v>825693.48</v>
      </c>
      <c r="G123" s="473">
        <f t="shared" ref="G123:G127" si="16">F123-E123</f>
        <v>212.75</v>
      </c>
      <c r="H123" s="460">
        <f>G123+'27'!H123</f>
        <v>6883.4799999999814</v>
      </c>
      <c r="I123" s="526"/>
      <c r="J123" s="552">
        <f>H123/DAY(B2)</f>
        <v>245.83857142857076</v>
      </c>
      <c r="K123" s="380"/>
      <c r="L123" s="377"/>
      <c r="N123" s="1106"/>
    </row>
    <row r="124" spans="1:17" ht="27.75">
      <c r="A124" s="1144" t="s">
        <v>232</v>
      </c>
      <c r="B124" s="1145"/>
      <c r="C124" s="1145"/>
      <c r="D124" s="523" t="s">
        <v>141</v>
      </c>
      <c r="E124" s="741">
        <f>'27'!F124</f>
        <v>73583.399999999994</v>
      </c>
      <c r="F124" s="757">
        <v>73583.399999999994</v>
      </c>
      <c r="G124" s="473">
        <f t="shared" si="16"/>
        <v>0</v>
      </c>
      <c r="H124" s="460">
        <f>G124+'27'!H124</f>
        <v>0</v>
      </c>
      <c r="I124" s="526"/>
      <c r="J124" s="552">
        <f>H124/DAY(B2)</f>
        <v>0</v>
      </c>
      <c r="K124" s="380"/>
      <c r="L124" s="377"/>
      <c r="N124" s="1106"/>
    </row>
    <row r="125" spans="1:17" ht="27.75">
      <c r="A125" s="1499" t="s">
        <v>233</v>
      </c>
      <c r="B125" s="1500"/>
      <c r="C125" s="1501"/>
      <c r="D125" s="523" t="s">
        <v>141</v>
      </c>
      <c r="E125" s="741">
        <f>'27'!F125</f>
        <v>144467.22</v>
      </c>
      <c r="F125" s="741">
        <v>144542</v>
      </c>
      <c r="G125" s="473">
        <f t="shared" si="16"/>
        <v>74.779999999998836</v>
      </c>
      <c r="H125" s="460">
        <f>G125+'27'!H125</f>
        <v>2406</v>
      </c>
      <c r="I125" s="526"/>
      <c r="J125" s="552">
        <f>H125/DAY(B2)</f>
        <v>85.928571428571431</v>
      </c>
      <c r="K125" s="380"/>
      <c r="L125" s="377"/>
      <c r="N125" s="1106"/>
    </row>
    <row r="126" spans="1:17" ht="27.75">
      <c r="A126" s="609" t="s">
        <v>234</v>
      </c>
      <c r="B126" s="1145"/>
      <c r="C126" s="1145"/>
      <c r="D126" s="523" t="s">
        <v>141</v>
      </c>
      <c r="E126" s="741">
        <f>'27'!F126</f>
        <v>31404.2</v>
      </c>
      <c r="F126" s="757">
        <v>31404</v>
      </c>
      <c r="G126" s="473">
        <f t="shared" si="16"/>
        <v>-0.2000000000007276</v>
      </c>
      <c r="H126" s="460">
        <f>G126+'27'!H126</f>
        <v>85.299999999999272</v>
      </c>
      <c r="I126" s="526"/>
      <c r="J126" s="552">
        <f>H126/DAY(B2)</f>
        <v>3.0464285714285455</v>
      </c>
      <c r="K126" s="380"/>
      <c r="L126" s="377"/>
      <c r="N126" s="1106"/>
    </row>
    <row r="127" spans="1:17" ht="27.75">
      <c r="A127" s="609" t="s">
        <v>235</v>
      </c>
      <c r="B127" s="1145"/>
      <c r="C127" s="1145"/>
      <c r="D127" s="523" t="s">
        <v>141</v>
      </c>
      <c r="E127" s="741">
        <f>'27'!F127</f>
        <v>8969.7000000000007</v>
      </c>
      <c r="F127" s="757">
        <v>8970</v>
      </c>
      <c r="G127" s="473">
        <f t="shared" si="16"/>
        <v>0.2999999999992724</v>
      </c>
      <c r="H127" s="460">
        <f>G127+'27'!H127</f>
        <v>8</v>
      </c>
      <c r="I127" s="480"/>
      <c r="J127" s="552">
        <f>H127/DAY(B2)</f>
        <v>0.2857142857142857</v>
      </c>
      <c r="K127" s="380"/>
      <c r="L127" s="377"/>
      <c r="N127" s="1106"/>
    </row>
    <row r="128" spans="1:17" s="281" customFormat="1" ht="27">
      <c r="A128" s="609" t="s">
        <v>236</v>
      </c>
      <c r="B128" s="1145"/>
      <c r="C128" s="1145"/>
      <c r="D128" s="523"/>
      <c r="E128" s="741"/>
      <c r="F128" s="741"/>
      <c r="G128" s="473">
        <f>G15-SUM(G123:G127)</f>
        <v>174.17099999998027</v>
      </c>
      <c r="H128" s="460"/>
      <c r="I128" s="480"/>
      <c r="J128" s="552"/>
      <c r="K128" s="364"/>
      <c r="L128" s="292"/>
      <c r="N128" s="1106"/>
      <c r="O128" s="773"/>
      <c r="P128" s="773"/>
      <c r="Q128" s="773"/>
    </row>
    <row r="129" spans="1:15">
      <c r="A129" s="610" t="s">
        <v>237</v>
      </c>
      <c r="B129" s="458"/>
      <c r="C129" s="458"/>
      <c r="D129" s="471"/>
      <c r="E129" s="495"/>
      <c r="F129" s="495"/>
      <c r="G129" s="540"/>
      <c r="H129" s="540"/>
      <c r="I129" s="540"/>
      <c r="J129" s="564"/>
    </row>
    <row r="130" spans="1:15" ht="27.75">
      <c r="A130" s="1144" t="s">
        <v>238</v>
      </c>
      <c r="B130" s="1145"/>
      <c r="C130" s="1145"/>
      <c r="D130" s="523" t="s">
        <v>239</v>
      </c>
      <c r="E130" s="762">
        <f>'27'!F130</f>
        <v>0</v>
      </c>
      <c r="F130" s="741"/>
      <c r="G130" s="473">
        <f t="shared" ref="G130:G140" si="17">F130-E130</f>
        <v>0</v>
      </c>
      <c r="H130" s="460">
        <f>G130+'27'!H130</f>
        <v>0</v>
      </c>
      <c r="I130" s="480"/>
      <c r="J130" s="552">
        <f>H130/DAY(B2)</f>
        <v>0</v>
      </c>
    </row>
    <row r="131" spans="1:15" ht="27.75">
      <c r="A131" s="1144" t="s">
        <v>240</v>
      </c>
      <c r="B131" s="1145"/>
      <c r="C131" s="1145"/>
      <c r="D131" s="523" t="s">
        <v>239</v>
      </c>
      <c r="E131" s="762">
        <f>'27'!F131</f>
        <v>0</v>
      </c>
      <c r="F131" s="741"/>
      <c r="G131" s="473">
        <f t="shared" si="17"/>
        <v>0</v>
      </c>
      <c r="H131" s="460">
        <f>G131+'27'!H131</f>
        <v>0</v>
      </c>
      <c r="I131" s="480"/>
      <c r="J131" s="552">
        <f>H131/DAY(B2)</f>
        <v>0</v>
      </c>
    </row>
    <row r="132" spans="1:15" ht="27.75">
      <c r="A132" s="1144" t="s">
        <v>241</v>
      </c>
      <c r="B132" s="1145"/>
      <c r="C132" s="1145"/>
      <c r="D132" s="523" t="s">
        <v>239</v>
      </c>
      <c r="E132" s="771">
        <f>'27'!F132</f>
        <v>39679.47</v>
      </c>
      <c r="F132" s="757">
        <v>39703.89</v>
      </c>
      <c r="G132" s="473">
        <f t="shared" si="17"/>
        <v>24.419999999998254</v>
      </c>
      <c r="H132" s="460">
        <f>G132+'27'!H132</f>
        <v>170.88999999999942</v>
      </c>
      <c r="I132" s="480"/>
      <c r="J132" s="552">
        <f>H132/DAY(B2)</f>
        <v>6.1032142857142651</v>
      </c>
    </row>
    <row r="133" spans="1:15" ht="27.75">
      <c r="A133" s="1144" t="s">
        <v>242</v>
      </c>
      <c r="B133" s="1145"/>
      <c r="C133" s="1145"/>
      <c r="D133" s="523" t="s">
        <v>239</v>
      </c>
      <c r="E133" s="771">
        <f>'27'!F133</f>
        <v>300</v>
      </c>
      <c r="F133" s="757">
        <v>300</v>
      </c>
      <c r="G133" s="473">
        <f t="shared" si="17"/>
        <v>0</v>
      </c>
      <c r="H133" s="460">
        <f>G133+'27'!H133</f>
        <v>0</v>
      </c>
      <c r="I133" s="480">
        <f>G130+G131+G132+G133</f>
        <v>24.419999999998254</v>
      </c>
      <c r="J133" s="552">
        <f>H133/DAY(B2)</f>
        <v>0</v>
      </c>
    </row>
    <row r="134" spans="1:15" ht="27.75">
      <c r="A134" s="1144" t="s">
        <v>243</v>
      </c>
      <c r="B134" s="1145"/>
      <c r="C134" s="1145"/>
      <c r="D134" s="523" t="s">
        <v>239</v>
      </c>
      <c r="E134" s="771">
        <f>'27'!F134</f>
        <v>41377.4</v>
      </c>
      <c r="F134" s="757">
        <v>41377</v>
      </c>
      <c r="G134" s="473">
        <f t="shared" si="17"/>
        <v>-0.40000000000145519</v>
      </c>
      <c r="H134" s="460">
        <f>G134+'27'!H134</f>
        <v>106</v>
      </c>
      <c r="I134" s="480"/>
      <c r="J134" s="552">
        <f>H134/DAY(B2)</f>
        <v>3.7857142857142856</v>
      </c>
      <c r="O134" s="773">
        <f>9-24</f>
        <v>-15</v>
      </c>
    </row>
    <row r="135" spans="1:15" ht="27.75">
      <c r="A135" s="1144" t="s">
        <v>244</v>
      </c>
      <c r="B135" s="1145"/>
      <c r="C135" s="1145"/>
      <c r="D135" s="523" t="s">
        <v>239</v>
      </c>
      <c r="E135" s="770">
        <f>'27'!F135</f>
        <v>32582.93</v>
      </c>
      <c r="F135" s="748">
        <v>32583.09</v>
      </c>
      <c r="G135" s="473">
        <f t="shared" si="17"/>
        <v>0.15999999999985448</v>
      </c>
      <c r="H135" s="460">
        <f>G135+'27'!H135</f>
        <v>13.159999999999854</v>
      </c>
      <c r="I135" s="480"/>
      <c r="J135" s="552">
        <f>H135/DAY(B2)</f>
        <v>0.46999999999999481</v>
      </c>
    </row>
    <row r="136" spans="1:15" ht="27.75">
      <c r="A136" s="1144" t="s">
        <v>245</v>
      </c>
      <c r="B136" s="1145"/>
      <c r="C136" s="1145"/>
      <c r="D136" s="523" t="s">
        <v>239</v>
      </c>
      <c r="E136" s="770">
        <f>'27'!F136</f>
        <v>22731.599999999999</v>
      </c>
      <c r="F136" s="748">
        <v>22732.06</v>
      </c>
      <c r="G136" s="473">
        <f t="shared" si="17"/>
        <v>0.46000000000276486</v>
      </c>
      <c r="H136" s="460">
        <f>G136+'27'!H136</f>
        <v>243.40999999999985</v>
      </c>
      <c r="I136" s="480">
        <f>G134+G135+G136</f>
        <v>0.22000000000116415</v>
      </c>
      <c r="J136" s="552">
        <f>H136/DAY(B2)</f>
        <v>8.69321428571428</v>
      </c>
    </row>
    <row r="137" spans="1:15" ht="27.75">
      <c r="A137" s="1144" t="s">
        <v>246</v>
      </c>
      <c r="B137" s="1145"/>
      <c r="C137" s="1145"/>
      <c r="D137" s="523" t="s">
        <v>239</v>
      </c>
      <c r="E137" s="770">
        <f>'27'!F137</f>
        <v>25051.49</v>
      </c>
      <c r="F137" s="748">
        <v>25051.49</v>
      </c>
      <c r="G137" s="473">
        <f t="shared" si="17"/>
        <v>0</v>
      </c>
      <c r="H137" s="460">
        <f>G137+'27'!H137</f>
        <v>8</v>
      </c>
      <c r="I137" s="480"/>
      <c r="J137" s="552">
        <f>H137/DAY(B2)</f>
        <v>0.2857142857142857</v>
      </c>
    </row>
    <row r="138" spans="1:15" ht="27.75">
      <c r="A138" s="1144" t="s">
        <v>247</v>
      </c>
      <c r="B138" s="1145"/>
      <c r="C138" s="1145"/>
      <c r="D138" s="523" t="s">
        <v>239</v>
      </c>
      <c r="E138" s="770">
        <f>'27'!F138</f>
        <v>70299.460000000006</v>
      </c>
      <c r="F138" s="748">
        <v>70306.759999999995</v>
      </c>
      <c r="G138" s="473">
        <f t="shared" si="17"/>
        <v>7.2999999999883585</v>
      </c>
      <c r="H138" s="460">
        <f>G138+'27'!H138</f>
        <v>26.529999999998836</v>
      </c>
      <c r="I138" s="480">
        <f>G137+G138</f>
        <v>7.2999999999883585</v>
      </c>
      <c r="J138" s="552">
        <f>H138/DAY(B2)</f>
        <v>0.94749999999995838</v>
      </c>
    </row>
    <row r="139" spans="1:15" ht="27.75">
      <c r="A139" s="1144" t="s">
        <v>248</v>
      </c>
      <c r="B139" s="1145"/>
      <c r="C139" s="1145"/>
      <c r="D139" s="523" t="s">
        <v>239</v>
      </c>
      <c r="E139" s="771">
        <f>'27'!F139</f>
        <v>1593.85</v>
      </c>
      <c r="F139" s="757">
        <v>1601.87</v>
      </c>
      <c r="G139" s="473">
        <f t="shared" si="17"/>
        <v>8.0199999999999818</v>
      </c>
      <c r="H139" s="460">
        <f>G139+'27'!H139</f>
        <v>65.349999999999909</v>
      </c>
      <c r="I139" s="542"/>
      <c r="J139" s="552">
        <f>H139/DAY(B2)</f>
        <v>2.3339285714285682</v>
      </c>
    </row>
    <row r="140" spans="1:15" ht="27.75">
      <c r="A140" s="1144" t="s">
        <v>249</v>
      </c>
      <c r="B140" s="1145"/>
      <c r="C140" s="1145"/>
      <c r="D140" s="523" t="s">
        <v>239</v>
      </c>
      <c r="E140" s="770">
        <f>'27'!F140</f>
        <v>4636.88</v>
      </c>
      <c r="F140" s="741">
        <v>4636.88</v>
      </c>
      <c r="G140" s="473">
        <f t="shared" si="17"/>
        <v>0</v>
      </c>
      <c r="H140" s="460">
        <f>G140+'27'!H140</f>
        <v>168.34000000000015</v>
      </c>
      <c r="I140" s="542"/>
      <c r="J140" s="552">
        <f>H140/DAY(B2)</f>
        <v>6.0121428571428623</v>
      </c>
    </row>
    <row r="141" spans="1:15">
      <c r="A141" s="1526" t="s">
        <v>250</v>
      </c>
      <c r="B141" s="1527"/>
      <c r="C141" s="1150"/>
      <c r="D141" s="472"/>
      <c r="E141" s="742"/>
      <c r="F141" s="742"/>
      <c r="G141" s="483"/>
      <c r="H141" s="483"/>
      <c r="I141" s="483"/>
      <c r="J141" s="563"/>
      <c r="K141" s="380"/>
      <c r="L141" s="377"/>
    </row>
    <row r="142" spans="1:15" ht="27.75">
      <c r="A142" s="1520" t="s">
        <v>251</v>
      </c>
      <c r="B142" s="1521"/>
      <c r="C142" s="1522"/>
      <c r="D142" s="523" t="s">
        <v>132</v>
      </c>
      <c r="E142" s="460"/>
      <c r="F142" s="460"/>
      <c r="G142" s="460">
        <f>G35+G43+G49+G57</f>
        <v>4575.9299999999766</v>
      </c>
      <c r="H142" s="460">
        <f>G142+'27'!H142</f>
        <v>149371.43999999997</v>
      </c>
      <c r="I142" s="480"/>
      <c r="J142" s="552">
        <f>H142/DAY(B2)</f>
        <v>5334.6942857142849</v>
      </c>
      <c r="K142" s="380"/>
      <c r="L142" s="377"/>
    </row>
    <row r="143" spans="1:15" ht="27.75">
      <c r="A143" s="1520" t="s">
        <v>252</v>
      </c>
      <c r="B143" s="1521"/>
      <c r="C143" s="1522"/>
      <c r="D143" s="523" t="s">
        <v>24</v>
      </c>
      <c r="E143" s="470"/>
      <c r="F143" s="470"/>
      <c r="G143" s="543">
        <f>G142/G7</f>
        <v>0.25443035863219221</v>
      </c>
      <c r="H143" s="460">
        <f>G143+'27'!H143</f>
        <v>7.2217469003235522</v>
      </c>
      <c r="I143" s="544"/>
      <c r="J143" s="552">
        <f>H143/DAY(B2)</f>
        <v>0.2579195321544126</v>
      </c>
      <c r="K143" s="380"/>
      <c r="L143" s="377"/>
    </row>
    <row r="144" spans="1:15" ht="27.75">
      <c r="A144" s="1520" t="s">
        <v>253</v>
      </c>
      <c r="B144" s="1521"/>
      <c r="C144" s="1522"/>
      <c r="D144" s="523" t="s">
        <v>132</v>
      </c>
      <c r="E144" s="460"/>
      <c r="F144" s="460"/>
      <c r="G144" s="460">
        <f>G41+G42+G55+G56</f>
        <v>5618.8030000000144</v>
      </c>
      <c r="H144" s="460">
        <f>G144+'27'!H144</f>
        <v>168896.58000000002</v>
      </c>
      <c r="I144" s="480"/>
      <c r="J144" s="552">
        <f>H144/DAY(B2)</f>
        <v>6032.0207142857153</v>
      </c>
      <c r="K144" s="380"/>
      <c r="L144" s="377"/>
    </row>
    <row r="145" spans="1:12" ht="27.75">
      <c r="A145" s="1520" t="s">
        <v>254</v>
      </c>
      <c r="B145" s="1521"/>
      <c r="C145" s="1522"/>
      <c r="D145" s="523" t="s">
        <v>24</v>
      </c>
      <c r="E145" s="460"/>
      <c r="F145" s="460"/>
      <c r="G145" s="543">
        <f>G144/G7</f>
        <v>0.31241606894634499</v>
      </c>
      <c r="H145" s="460">
        <f>G145+'27'!H145</f>
        <v>8.1742798804757957</v>
      </c>
      <c r="I145" s="544"/>
      <c r="J145" s="552">
        <f>H145/DAY(B2)</f>
        <v>0.29193856715984984</v>
      </c>
      <c r="K145" s="380"/>
      <c r="L145" s="377"/>
    </row>
    <row r="146" spans="1:12" ht="27.75">
      <c r="A146" s="1520" t="s">
        <v>255</v>
      </c>
      <c r="B146" s="1521"/>
      <c r="C146" s="1522"/>
      <c r="D146" s="523" t="s">
        <v>132</v>
      </c>
      <c r="E146" s="460"/>
      <c r="F146" s="460"/>
      <c r="G146" s="460">
        <f>G39+G53</f>
        <v>3434.7400000000198</v>
      </c>
      <c r="H146" s="460">
        <f>G146+'27'!H146</f>
        <v>101275.42000000001</v>
      </c>
      <c r="I146" s="545"/>
      <c r="J146" s="552">
        <f>H146/DAY(B2)</f>
        <v>3616.9792857142861</v>
      </c>
      <c r="K146" s="380"/>
      <c r="L146" s="377"/>
    </row>
    <row r="147" spans="1:12" ht="27.75">
      <c r="A147" s="1520" t="s">
        <v>256</v>
      </c>
      <c r="B147" s="1521"/>
      <c r="C147" s="1522"/>
      <c r="D147" s="523" t="s">
        <v>24</v>
      </c>
      <c r="E147" s="460"/>
      <c r="F147" s="460"/>
      <c r="G147" s="543">
        <f>G146/G7</f>
        <v>0.1909780372532677</v>
      </c>
      <c r="H147" s="460">
        <f>G147+'27'!H147</f>
        <v>4.8928133678722041</v>
      </c>
      <c r="I147" s="545"/>
      <c r="J147" s="552">
        <f>H147/DAY(B2)</f>
        <v>0.17474333456686444</v>
      </c>
    </row>
    <row r="148" spans="1:12" ht="27.75">
      <c r="A148" s="1520" t="s">
        <v>257</v>
      </c>
      <c r="B148" s="1521"/>
      <c r="C148" s="1522"/>
      <c r="D148" s="523" t="s">
        <v>183</v>
      </c>
      <c r="E148" s="460"/>
      <c r="F148" s="460"/>
      <c r="G148" s="460">
        <f>G38+G52</f>
        <v>1391.2400000000052</v>
      </c>
      <c r="H148" s="460">
        <f>G148+'27'!H148</f>
        <v>44581.419999999955</v>
      </c>
      <c r="I148" s="480"/>
      <c r="J148" s="552">
        <f>H148/DAY(B2)</f>
        <v>1592.1935714285698</v>
      </c>
      <c r="K148" s="381"/>
    </row>
    <row r="149" spans="1:12" ht="27.75">
      <c r="A149" s="1520" t="s">
        <v>258</v>
      </c>
      <c r="B149" s="1521"/>
      <c r="C149" s="1522"/>
      <c r="D149" s="523" t="s">
        <v>24</v>
      </c>
      <c r="E149" s="460"/>
      <c r="F149" s="460"/>
      <c r="G149" s="543">
        <f>G148/G7</f>
        <v>7.7355574089519333E-2</v>
      </c>
      <c r="H149" s="460">
        <f>G149+'27'!H149</f>
        <v>2.1561044658629469</v>
      </c>
      <c r="I149" s="545"/>
      <c r="J149" s="552">
        <f>H149/DAY(B2)</f>
        <v>7.7003730923676669E-2</v>
      </c>
    </row>
    <row r="150" spans="1:12" ht="27.75">
      <c r="A150" s="1520" t="s">
        <v>259</v>
      </c>
      <c r="B150" s="1521"/>
      <c r="C150" s="1522"/>
      <c r="D150" s="523" t="s">
        <v>183</v>
      </c>
      <c r="E150" s="460"/>
      <c r="F150" s="460"/>
      <c r="G150" s="460">
        <f>G36+G50</f>
        <v>1361.5599999999977</v>
      </c>
      <c r="H150" s="460">
        <f>G150+'27'!H150</f>
        <v>56918.380000000005</v>
      </c>
      <c r="I150" s="545"/>
      <c r="J150" s="552">
        <f>H150/DAY(B2)</f>
        <v>2032.7992857142858</v>
      </c>
    </row>
    <row r="151" spans="1:12" ht="27.75">
      <c r="A151" s="1520" t="s">
        <v>260</v>
      </c>
      <c r="B151" s="1521"/>
      <c r="C151" s="1522"/>
      <c r="D151" s="523" t="s">
        <v>24</v>
      </c>
      <c r="E151" s="460"/>
      <c r="F151" s="460"/>
      <c r="G151" s="543">
        <f>G150/G7</f>
        <v>7.5705309980539204E-2</v>
      </c>
      <c r="H151" s="460">
        <f>G151+'27'!H151</f>
        <v>2.7504980062600302</v>
      </c>
      <c r="I151" s="480"/>
      <c r="J151" s="552">
        <f>H151/DAY(B2)</f>
        <v>9.823207165214394E-2</v>
      </c>
    </row>
    <row r="152" spans="1:12" ht="27.75">
      <c r="A152" s="1520" t="s">
        <v>261</v>
      </c>
      <c r="B152" s="1521"/>
      <c r="C152" s="1522"/>
      <c r="D152" s="523" t="s">
        <v>183</v>
      </c>
      <c r="E152" s="460"/>
      <c r="F152" s="460"/>
      <c r="G152" s="460">
        <f>G37+G51</f>
        <v>1197.9000000000087</v>
      </c>
      <c r="H152" s="460">
        <f>G152+'27'!H152</f>
        <v>37856.11</v>
      </c>
      <c r="I152" s="480"/>
      <c r="J152" s="552">
        <f>H152/DAY(B2)</f>
        <v>1352.0039285714286</v>
      </c>
    </row>
    <row r="153" spans="1:12" ht="28.5" thickBot="1">
      <c r="A153" s="1523" t="s">
        <v>262</v>
      </c>
      <c r="B153" s="1524"/>
      <c r="C153" s="1525"/>
      <c r="D153" s="625" t="s">
        <v>24</v>
      </c>
      <c r="E153" s="567"/>
      <c r="F153" s="567"/>
      <c r="G153" s="566">
        <f>G152/G7</f>
        <v>6.6605504587156444E-2</v>
      </c>
      <c r="H153" s="460">
        <f>G153+'27'!H153</f>
        <v>1.8336675693355813</v>
      </c>
      <c r="I153" s="568"/>
      <c r="J153" s="569">
        <f>H153/DAY(B2)</f>
        <v>6.5488127476270766E-2</v>
      </c>
    </row>
    <row r="154" spans="1:12">
      <c r="A154" s="466"/>
      <c r="B154" s="456"/>
      <c r="C154" s="456"/>
      <c r="D154" s="546"/>
      <c r="E154" s="548"/>
      <c r="F154" s="758"/>
      <c r="G154" s="546"/>
      <c r="H154" s="547"/>
      <c r="I154" s="546"/>
      <c r="J154" s="548"/>
    </row>
    <row r="160" spans="1:12">
      <c r="A160" s="788" t="s">
        <v>263</v>
      </c>
      <c r="B160" s="789"/>
      <c r="C160" s="789"/>
      <c r="D160" s="511" t="s">
        <v>187</v>
      </c>
      <c r="E160" s="770">
        <f>'27'!F160</f>
        <v>35692.58</v>
      </c>
      <c r="F160" s="661">
        <v>35773</v>
      </c>
      <c r="G160" s="473">
        <f t="shared" ref="G160:G163" si="18">F160-E160</f>
        <v>80.419999999998254</v>
      </c>
    </row>
    <row r="161" spans="1:7">
      <c r="A161" s="788" t="s">
        <v>264</v>
      </c>
      <c r="B161" s="789"/>
      <c r="C161" s="789"/>
      <c r="D161" s="511" t="s">
        <v>187</v>
      </c>
      <c r="E161" s="770">
        <f>'27'!F161</f>
        <v>80965.83</v>
      </c>
      <c r="F161" s="661">
        <v>81442.87</v>
      </c>
      <c r="G161" s="473">
        <f t="shared" si="18"/>
        <v>477.0399999999936</v>
      </c>
    </row>
    <row r="162" spans="1:7">
      <c r="A162" s="788" t="s">
        <v>265</v>
      </c>
      <c r="B162" s="789"/>
      <c r="C162" s="789"/>
      <c r="D162" s="511" t="s">
        <v>187</v>
      </c>
      <c r="E162" s="770">
        <f>'27'!F162</f>
        <v>36974.61</v>
      </c>
      <c r="F162" s="661">
        <v>37287</v>
      </c>
      <c r="G162" s="473">
        <f t="shared" si="18"/>
        <v>312.38999999999942</v>
      </c>
    </row>
    <row r="163" spans="1:7">
      <c r="A163" s="788" t="s">
        <v>266</v>
      </c>
      <c r="B163" s="789"/>
      <c r="C163" s="789"/>
      <c r="D163" s="511" t="s">
        <v>187</v>
      </c>
      <c r="E163" s="770">
        <f>'27'!F163</f>
        <v>6156.08</v>
      </c>
      <c r="F163" s="661">
        <v>6176.84</v>
      </c>
      <c r="G163" s="473">
        <f t="shared" si="18"/>
        <v>20.760000000000218</v>
      </c>
    </row>
    <row r="164" spans="1:7">
      <c r="A164" s="790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9">F164-E164</f>
        <v>0</v>
      </c>
    </row>
    <row r="165" spans="1:7">
      <c r="A165" s="790" t="s">
        <v>188</v>
      </c>
      <c r="B165" s="604"/>
      <c r="C165" s="604"/>
      <c r="D165" s="511" t="s">
        <v>187</v>
      </c>
      <c r="E165" s="514">
        <f t="shared" ref="E165:E171" si="20">E63</f>
        <v>2344.29</v>
      </c>
      <c r="F165" s="514">
        <f t="shared" ref="F165:F171" si="21">F63</f>
        <v>2350.3000000000002</v>
      </c>
      <c r="G165" s="473">
        <f t="shared" si="19"/>
        <v>6.0100000000002183</v>
      </c>
    </row>
    <row r="166" spans="1:7" ht="27.75">
      <c r="A166" s="1495" t="s">
        <v>99</v>
      </c>
      <c r="B166" s="1495"/>
      <c r="C166" s="1495"/>
      <c r="D166" s="523" t="s">
        <v>187</v>
      </c>
      <c r="E166" s="514">
        <f t="shared" si="20"/>
        <v>152305.20000000001</v>
      </c>
      <c r="F166" s="514">
        <f t="shared" si="21"/>
        <v>152738.75</v>
      </c>
      <c r="G166" s="473">
        <f t="shared" si="19"/>
        <v>433.54999999998836</v>
      </c>
    </row>
    <row r="167" spans="1:7" ht="27.75">
      <c r="A167" s="1495" t="s">
        <v>100</v>
      </c>
      <c r="B167" s="1495"/>
      <c r="C167" s="1495"/>
      <c r="D167" s="523" t="s">
        <v>187</v>
      </c>
      <c r="E167" s="514">
        <f t="shared" si="20"/>
        <v>153943.04000000001</v>
      </c>
      <c r="F167" s="514">
        <f t="shared" si="21"/>
        <v>154203.07</v>
      </c>
      <c r="G167" s="473">
        <f t="shared" si="19"/>
        <v>260.02999999999884</v>
      </c>
    </row>
    <row r="168" spans="1:7" ht="27.75">
      <c r="A168" s="1495" t="s">
        <v>101</v>
      </c>
      <c r="B168" s="1495"/>
      <c r="C168" s="1495"/>
      <c r="D168" s="523" t="s">
        <v>187</v>
      </c>
      <c r="E168" s="514">
        <f t="shared" si="20"/>
        <v>47716.65</v>
      </c>
      <c r="F168" s="514">
        <f t="shared" si="21"/>
        <v>48032.37</v>
      </c>
      <c r="G168" s="473">
        <f t="shared" si="19"/>
        <v>315.72000000000116</v>
      </c>
    </row>
    <row r="169" spans="1:7" ht="27.75">
      <c r="A169" s="1495" t="s">
        <v>102</v>
      </c>
      <c r="B169" s="1495"/>
      <c r="C169" s="1495"/>
      <c r="D169" s="523" t="s">
        <v>187</v>
      </c>
      <c r="E169" s="514">
        <f t="shared" si="20"/>
        <v>242354.53</v>
      </c>
      <c r="F169" s="514">
        <f t="shared" si="21"/>
        <v>242687.95</v>
      </c>
      <c r="G169" s="473">
        <f t="shared" si="19"/>
        <v>333.42000000001281</v>
      </c>
    </row>
    <row r="170" spans="1:7" ht="27.75">
      <c r="A170" s="1495" t="s">
        <v>103</v>
      </c>
      <c r="B170" s="1495"/>
      <c r="C170" s="1495"/>
      <c r="D170" s="523" t="s">
        <v>187</v>
      </c>
      <c r="E170" s="514">
        <f t="shared" si="20"/>
        <v>85321</v>
      </c>
      <c r="F170" s="514">
        <f t="shared" si="21"/>
        <v>85321</v>
      </c>
      <c r="G170" s="473">
        <f t="shared" si="19"/>
        <v>0</v>
      </c>
    </row>
    <row r="171" spans="1:7" ht="27.75">
      <c r="A171" s="1495" t="s">
        <v>104</v>
      </c>
      <c r="B171" s="1495"/>
      <c r="C171" s="1495"/>
      <c r="D171" s="523" t="s">
        <v>187</v>
      </c>
      <c r="E171" s="514">
        <f t="shared" si="20"/>
        <v>78766.350000000006</v>
      </c>
      <c r="F171" s="514">
        <f t="shared" si="21"/>
        <v>78814.97</v>
      </c>
      <c r="G171" s="473">
        <f t="shared" si="19"/>
        <v>48.619999999995343</v>
      </c>
    </row>
    <row r="172" spans="1:7">
      <c r="G172" s="539">
        <f>SUM(G160:G171)</f>
        <v>2287.9599999999882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72"/>
  <sheetViews>
    <sheetView view="pageBreakPreview" topLeftCell="A57" zoomScale="55" zoomScaleNormal="78" zoomScaleSheetLayoutView="55" workbookViewId="0">
      <selection activeCell="P124" sqref="P124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9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5" width="22.33203125" style="773"/>
    <col min="16" max="16384" width="22.33203125" style="376"/>
  </cols>
  <sheetData>
    <row r="1" spans="1:54" ht="33.75">
      <c r="A1" s="1528" t="s">
        <v>117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54" s="281" customFormat="1" ht="27">
      <c r="A2" s="575" t="s">
        <v>365</v>
      </c>
      <c r="B2" s="1036">
        <v>44315</v>
      </c>
      <c r="C2" s="1146" t="s">
        <v>69</v>
      </c>
      <c r="D2" s="611">
        <v>0.67</v>
      </c>
      <c r="E2" s="739"/>
      <c r="F2" s="739"/>
      <c r="G2" s="461" t="s">
        <v>118</v>
      </c>
      <c r="H2" s="461" t="s">
        <v>6</v>
      </c>
      <c r="I2" s="461" t="s">
        <v>8</v>
      </c>
      <c r="J2" s="613" t="s">
        <v>119</v>
      </c>
      <c r="N2" s="773"/>
      <c r="O2" s="773"/>
    </row>
    <row r="3" spans="1:54" s="281" customFormat="1" ht="27">
      <c r="A3" s="570"/>
      <c r="B3" s="614"/>
      <c r="C3" s="1146" t="s">
        <v>120</v>
      </c>
      <c r="D3" s="612">
        <v>28</v>
      </c>
      <c r="E3" s="1537" t="s">
        <v>121</v>
      </c>
      <c r="F3" s="1538"/>
      <c r="G3" s="462"/>
      <c r="H3" s="463"/>
      <c r="I3" s="463"/>
      <c r="J3" s="615"/>
      <c r="K3" s="371"/>
      <c r="L3" s="292"/>
      <c r="N3" s="773"/>
      <c r="O3" s="773"/>
    </row>
    <row r="4" spans="1:54" s="281" customFormat="1" ht="27">
      <c r="A4" s="576"/>
      <c r="B4" s="616"/>
      <c r="C4" s="1146" t="s">
        <v>122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775"/>
      <c r="O4" s="773"/>
    </row>
    <row r="5" spans="1:54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775"/>
    </row>
    <row r="6" spans="1:54">
      <c r="A6" s="1531" t="s">
        <v>130</v>
      </c>
      <c r="B6" s="1532"/>
      <c r="C6" s="1533"/>
      <c r="D6" s="471"/>
      <c r="E6" s="495"/>
      <c r="F6" s="495"/>
      <c r="G6" s="471"/>
      <c r="H6" s="472"/>
      <c r="I6" s="472"/>
      <c r="J6" s="551"/>
      <c r="K6" s="427"/>
      <c r="L6" s="377"/>
    </row>
    <row r="7" spans="1:54" ht="30" thickBot="1">
      <c r="A7" s="679" t="s">
        <v>131</v>
      </c>
      <c r="B7" s="680"/>
      <c r="C7" s="680"/>
      <c r="D7" s="638" t="s">
        <v>132</v>
      </c>
      <c r="E7" s="682">
        <f>'28'!F7</f>
        <v>5692742</v>
      </c>
      <c r="F7" s="460">
        <v>5708695</v>
      </c>
      <c r="G7" s="681">
        <f>F7-E7</f>
        <v>15953</v>
      </c>
      <c r="H7" s="682">
        <f>G7+'28'!H7</f>
        <v>594772</v>
      </c>
      <c r="I7" s="683">
        <f>'1'!I7</f>
        <v>12000</v>
      </c>
      <c r="J7" s="684">
        <f>H7/DAY(B2)</f>
        <v>20509.379310344826</v>
      </c>
      <c r="K7" s="549">
        <v>1703438</v>
      </c>
      <c r="L7" s="377">
        <v>1715917</v>
      </c>
      <c r="O7" s="776"/>
    </row>
    <row r="8" spans="1:54" ht="27.75" thickBot="1">
      <c r="A8" s="685" t="s">
        <v>133</v>
      </c>
      <c r="B8" s="686"/>
      <c r="C8" s="687"/>
      <c r="D8" s="688" t="s">
        <v>25</v>
      </c>
      <c r="E8" s="682">
        <f>'28'!F8</f>
        <v>5726367</v>
      </c>
      <c r="F8" s="740">
        <v>5742402</v>
      </c>
      <c r="G8" s="692">
        <f>F8-E8</f>
        <v>16035</v>
      </c>
      <c r="H8" s="682">
        <f>G8+'28'!H8</f>
        <v>597084</v>
      </c>
      <c r="I8" s="689"/>
      <c r="J8" s="684">
        <f>H8/DAY(B2)</f>
        <v>20589.103448275862</v>
      </c>
      <c r="K8" s="549">
        <v>1375467</v>
      </c>
      <c r="L8" s="425"/>
      <c r="M8" s="440"/>
      <c r="O8" s="776"/>
    </row>
    <row r="9" spans="1:54">
      <c r="A9" s="690" t="s">
        <v>134</v>
      </c>
      <c r="B9" s="691"/>
      <c r="C9" s="691"/>
      <c r="D9" s="638" t="s">
        <v>132</v>
      </c>
      <c r="E9" s="682">
        <f>'28'!F9</f>
        <v>957140.95</v>
      </c>
      <c r="F9" s="741">
        <v>972579.91</v>
      </c>
      <c r="G9" s="705">
        <f t="shared" ref="G9:G12" si="0">F9-E9</f>
        <v>15438.960000000079</v>
      </c>
      <c r="H9" s="682">
        <f>G9+'28'!H9</f>
        <v>576510.91</v>
      </c>
      <c r="I9" s="693">
        <f>I7-J7</f>
        <v>-8509.3793103448261</v>
      </c>
      <c r="J9" s="684">
        <f>H9/DAY(B2)</f>
        <v>19879.686551724139</v>
      </c>
      <c r="K9" s="428"/>
      <c r="L9" s="377"/>
      <c r="O9" s="776"/>
    </row>
    <row r="10" spans="1:54">
      <c r="A10" s="679" t="s">
        <v>135</v>
      </c>
      <c r="B10" s="680"/>
      <c r="C10" s="680"/>
      <c r="D10" s="638" t="s">
        <v>132</v>
      </c>
      <c r="E10" s="682">
        <f>'28'!F10</f>
        <v>2322.58</v>
      </c>
      <c r="F10" s="741">
        <v>2322.58</v>
      </c>
      <c r="G10" s="692">
        <f t="shared" si="0"/>
        <v>0</v>
      </c>
      <c r="H10" s="682">
        <f>G10+'28'!H10</f>
        <v>0</v>
      </c>
      <c r="I10" s="694"/>
      <c r="J10" s="684">
        <f>H10/DAY(B2)</f>
        <v>0</v>
      </c>
      <c r="K10" s="428"/>
      <c r="L10" s="377"/>
      <c r="BB10" s="376">
        <v>0</v>
      </c>
    </row>
    <row r="11" spans="1:54">
      <c r="A11" s="679" t="s">
        <v>136</v>
      </c>
      <c r="B11" s="680"/>
      <c r="C11" s="680"/>
      <c r="D11" s="638" t="s">
        <v>132</v>
      </c>
      <c r="E11" s="682">
        <f>'5'!E11</f>
        <v>37000</v>
      </c>
      <c r="F11" s="460">
        <v>37000</v>
      </c>
      <c r="G11" s="692">
        <f t="shared" si="0"/>
        <v>0</v>
      </c>
      <c r="H11" s="682">
        <f>G11+'28'!H11</f>
        <v>0</v>
      </c>
      <c r="I11" s="694"/>
      <c r="J11" s="684">
        <f>H11/DAY(B2)</f>
        <v>0</v>
      </c>
      <c r="K11" s="428"/>
      <c r="L11" s="377"/>
    </row>
    <row r="12" spans="1:54">
      <c r="A12" s="679" t="s">
        <v>137</v>
      </c>
      <c r="B12" s="680"/>
      <c r="C12" s="680"/>
      <c r="D12" s="1101" t="s">
        <v>132</v>
      </c>
      <c r="E12" s="1095">
        <f>'5'!E12</f>
        <v>40010</v>
      </c>
      <c r="F12" s="741">
        <v>40010</v>
      </c>
      <c r="G12" s="692">
        <f t="shared" si="0"/>
        <v>0</v>
      </c>
      <c r="H12" s="682">
        <f>G12+'28'!H12</f>
        <v>0</v>
      </c>
      <c r="I12" s="694"/>
      <c r="J12" s="684">
        <f>H12/DAY(B2)</f>
        <v>0</v>
      </c>
      <c r="K12" s="428"/>
      <c r="L12" s="377"/>
    </row>
    <row r="13" spans="1:54">
      <c r="A13" s="695" t="s">
        <v>138</v>
      </c>
      <c r="B13" s="696"/>
      <c r="C13" s="696"/>
      <c r="D13" s="1101"/>
      <c r="E13" s="1095"/>
      <c r="F13" s="460"/>
      <c r="G13" s="697">
        <f>G9+G10+G11+G12</f>
        <v>15438.960000000079</v>
      </c>
      <c r="H13" s="1095">
        <f>G13+'28'!H13</f>
        <v>556320.27000000014</v>
      </c>
      <c r="I13" s="1096">
        <f>G7-G13</f>
        <v>514.03999999992084</v>
      </c>
      <c r="J13" s="1097">
        <f>H13/DAY(B2)</f>
        <v>19183.4575862069</v>
      </c>
      <c r="K13" s="428"/>
      <c r="L13" s="377"/>
    </row>
    <row r="14" spans="1:54">
      <c r="A14" s="1534" t="s">
        <v>139</v>
      </c>
      <c r="B14" s="1535"/>
      <c r="C14" s="1536"/>
      <c r="D14" s="1098"/>
      <c r="E14" s="1102"/>
      <c r="F14" s="742"/>
      <c r="G14" s="483"/>
      <c r="H14" s="1098"/>
      <c r="I14" s="1098"/>
      <c r="J14" s="1099"/>
      <c r="K14" s="429"/>
      <c r="L14" s="377"/>
    </row>
    <row r="15" spans="1:54">
      <c r="A15" s="668" t="s">
        <v>140</v>
      </c>
      <c r="B15" s="669"/>
      <c r="C15" s="669"/>
      <c r="D15" s="1103" t="s">
        <v>141</v>
      </c>
      <c r="E15" s="1104">
        <f>'28'!F15</f>
        <v>1669537.26</v>
      </c>
      <c r="F15" s="743">
        <v>1670180.29</v>
      </c>
      <c r="G15" s="667">
        <f>(F15-E15)</f>
        <v>643.03000000002794</v>
      </c>
      <c r="H15" s="1091">
        <f>G15+'28'!H15</f>
        <v>23491.290000000037</v>
      </c>
      <c r="I15" s="1092">
        <f>'1'!I15</f>
        <v>800</v>
      </c>
      <c r="J15" s="1093">
        <f>H15/DAY(B2)</f>
        <v>810.04448275862194</v>
      </c>
      <c r="K15" s="428"/>
      <c r="L15" s="377"/>
    </row>
    <row r="16" spans="1:54">
      <c r="A16" s="676"/>
      <c r="B16" s="677"/>
      <c r="C16" s="677"/>
      <c r="D16" s="1103"/>
      <c r="E16" s="1104"/>
      <c r="F16" s="743"/>
      <c r="G16" s="672"/>
      <c r="H16" s="1091"/>
      <c r="I16" s="1094">
        <f>I15-J15</f>
        <v>-10.044482758621939</v>
      </c>
      <c r="J16" s="1093"/>
      <c r="K16" s="428"/>
      <c r="L16" s="377"/>
    </row>
    <row r="17" spans="1:15">
      <c r="A17" s="1534" t="s">
        <v>142</v>
      </c>
      <c r="B17" s="1535"/>
      <c r="C17" s="1536"/>
      <c r="D17" s="1098"/>
      <c r="E17" s="1102"/>
      <c r="F17" s="742"/>
      <c r="G17" s="488"/>
      <c r="H17" s="1098"/>
      <c r="I17" s="1098"/>
      <c r="J17" s="1099"/>
      <c r="K17" s="428"/>
      <c r="L17" s="377"/>
    </row>
    <row r="18" spans="1:15" ht="27.75">
      <c r="A18" s="1560" t="s">
        <v>143</v>
      </c>
      <c r="B18" s="1561"/>
      <c r="C18" s="1562"/>
      <c r="D18" s="638" t="s">
        <v>144</v>
      </c>
      <c r="E18" s="761">
        <f>'28'!F18</f>
        <v>6</v>
      </c>
      <c r="F18" s="741">
        <v>2</v>
      </c>
      <c r="G18" s="697">
        <f>F18*10</f>
        <v>20</v>
      </c>
      <c r="H18" s="1095">
        <f>G18+'28'!H18</f>
        <v>2580</v>
      </c>
      <c r="I18" s="1100">
        <f>'1'!I18</f>
        <v>65</v>
      </c>
      <c r="J18" s="1097">
        <f>H18/DAY(B2)</f>
        <v>88.965517241379317</v>
      </c>
      <c r="K18" s="428"/>
      <c r="L18" s="377"/>
    </row>
    <row r="19" spans="1:15" ht="27.75">
      <c r="A19" s="1560" t="s">
        <v>71</v>
      </c>
      <c r="B19" s="1561"/>
      <c r="C19" s="1562"/>
      <c r="D19" s="638" t="s">
        <v>144</v>
      </c>
      <c r="E19" s="761">
        <f>'28'!F19</f>
        <v>137703</v>
      </c>
      <c r="F19" s="741">
        <v>137758</v>
      </c>
      <c r="G19" s="692">
        <f t="shared" ref="G19" si="1">F19-E19</f>
        <v>55</v>
      </c>
      <c r="H19" s="682">
        <f>G19+'28'!H19</f>
        <v>1668</v>
      </c>
      <c r="I19" s="699"/>
      <c r="J19" s="684">
        <f>H19/DAY(B2)</f>
        <v>57.517241379310342</v>
      </c>
      <c r="K19" s="428"/>
      <c r="L19" s="377"/>
    </row>
    <row r="20" spans="1:15">
      <c r="A20" s="695" t="s">
        <v>145</v>
      </c>
      <c r="B20" s="696"/>
      <c r="C20" s="696"/>
      <c r="D20" s="638"/>
      <c r="E20" s="682"/>
      <c r="F20" s="460"/>
      <c r="G20" s="700">
        <f>G18+G19</f>
        <v>75</v>
      </c>
      <c r="H20" s="682">
        <f>G20+'28'!H20</f>
        <v>4284</v>
      </c>
      <c r="I20" s="701">
        <f>I18-J20</f>
        <v>-82.724137931034477</v>
      </c>
      <c r="J20" s="684">
        <f>H20/DAY(B2)</f>
        <v>147.72413793103448</v>
      </c>
      <c r="K20" s="428"/>
      <c r="L20" s="377"/>
    </row>
    <row r="21" spans="1:15">
      <c r="A21" s="1534" t="s">
        <v>146</v>
      </c>
      <c r="B21" s="1535"/>
      <c r="C21" s="1536"/>
      <c r="D21" s="472"/>
      <c r="E21" s="742"/>
      <c r="F21" s="742"/>
      <c r="G21" s="483"/>
      <c r="H21" s="472"/>
      <c r="I21" s="472"/>
      <c r="J21" s="551"/>
      <c r="K21" s="428"/>
      <c r="L21" s="377"/>
    </row>
    <row r="22" spans="1:15">
      <c r="A22" s="1144" t="s">
        <v>147</v>
      </c>
      <c r="B22" s="589"/>
      <c r="C22" s="589"/>
      <c r="D22" s="523" t="s">
        <v>148</v>
      </c>
      <c r="E22" s="762">
        <f>'28'!F22</f>
        <v>1290</v>
      </c>
      <c r="F22" s="741">
        <v>1290</v>
      </c>
      <c r="G22" s="481">
        <f t="shared" ref="G22" si="2">(F22-E22)</f>
        <v>0</v>
      </c>
      <c r="H22" s="460">
        <f>G22+'28'!H22</f>
        <v>1290</v>
      </c>
      <c r="I22" s="480"/>
      <c r="J22" s="552">
        <f>H22/DAY(B2)</f>
        <v>44.482758620689658</v>
      </c>
      <c r="K22" s="428"/>
      <c r="L22" s="377"/>
    </row>
    <row r="23" spans="1:15">
      <c r="A23" s="1144" t="s">
        <v>149</v>
      </c>
      <c r="B23" s="589"/>
      <c r="C23" s="589"/>
      <c r="D23" s="523" t="s">
        <v>148</v>
      </c>
      <c r="E23" s="762">
        <f>'28'!F23</f>
        <v>2000</v>
      </c>
      <c r="F23" s="741">
        <v>2000</v>
      </c>
      <c r="G23" s="481">
        <v>0</v>
      </c>
      <c r="H23" s="460">
        <f>G23+'28'!H23</f>
        <v>0</v>
      </c>
      <c r="I23" s="480"/>
      <c r="J23" s="552">
        <f>H23/DAY(B2)</f>
        <v>0</v>
      </c>
      <c r="K23" s="428"/>
      <c r="L23" s="377"/>
    </row>
    <row r="24" spans="1:15">
      <c r="A24" s="590" t="s">
        <v>150</v>
      </c>
      <c r="B24" s="591"/>
      <c r="C24" s="591"/>
      <c r="D24" s="511" t="s">
        <v>148</v>
      </c>
      <c r="E24" s="763">
        <f>'28'!F24</f>
        <v>3290</v>
      </c>
      <c r="F24" s="744">
        <v>3290</v>
      </c>
      <c r="G24" s="481">
        <v>0</v>
      </c>
      <c r="H24" s="460">
        <f>G24+'28'!H24</f>
        <v>1290</v>
      </c>
      <c r="I24" s="480"/>
      <c r="J24" s="552">
        <f>H24/DAY(B2)</f>
        <v>44.482758620689658</v>
      </c>
      <c r="K24" s="428"/>
      <c r="L24" s="377"/>
    </row>
    <row r="25" spans="1:15" s="442" customFormat="1" ht="27">
      <c r="A25" s="1539" t="s">
        <v>151</v>
      </c>
      <c r="B25" s="1540"/>
      <c r="C25" s="1541"/>
      <c r="D25" s="471"/>
      <c r="E25" s="495"/>
      <c r="F25" s="495"/>
      <c r="G25" s="494"/>
      <c r="H25" s="495"/>
      <c r="I25" s="496"/>
      <c r="J25" s="554"/>
      <c r="K25" s="373"/>
      <c r="L25" s="443"/>
      <c r="N25" s="773"/>
      <c r="O25" s="773"/>
    </row>
    <row r="26" spans="1:15" s="442" customFormat="1" ht="27">
      <c r="A26" s="592" t="s">
        <v>152</v>
      </c>
      <c r="B26" s="593"/>
      <c r="C26" s="594"/>
      <c r="D26" s="618" t="s">
        <v>153</v>
      </c>
      <c r="E26" s="764"/>
      <c r="F26" s="460"/>
      <c r="G26" s="498"/>
      <c r="H26" s="460"/>
      <c r="I26" s="499"/>
      <c r="J26" s="552"/>
      <c r="K26" s="374"/>
      <c r="L26" s="443"/>
      <c r="N26" s="773"/>
      <c r="O26" s="773"/>
    </row>
    <row r="27" spans="1:15" s="442" customFormat="1" ht="27">
      <c r="A27" s="592" t="s">
        <v>6</v>
      </c>
      <c r="B27" s="593"/>
      <c r="C27" s="594"/>
      <c r="D27" s="619" t="s">
        <v>25</v>
      </c>
      <c r="E27" s="702">
        <f>G8</f>
        <v>16035</v>
      </c>
      <c r="F27" s="501">
        <v>9</v>
      </c>
      <c r="G27" s="502">
        <f>E27*F27</f>
        <v>144315</v>
      </c>
      <c r="H27" s="460">
        <f>G27+'28'!H27</f>
        <v>5373756</v>
      </c>
      <c r="I27" s="503"/>
      <c r="J27" s="552">
        <f>H27/DAY(B2)</f>
        <v>185301.93103448275</v>
      </c>
      <c r="K27" s="373"/>
      <c r="L27" s="443"/>
      <c r="N27" s="773"/>
      <c r="O27" s="773"/>
    </row>
    <row r="28" spans="1:15" s="442" customFormat="1" ht="27">
      <c r="A28" s="592" t="s">
        <v>154</v>
      </c>
      <c r="B28" s="593"/>
      <c r="C28" s="594"/>
      <c r="D28" s="619" t="s">
        <v>155</v>
      </c>
      <c r="E28" s="702">
        <f>G15</f>
        <v>643.03000000002794</v>
      </c>
      <c r="F28" s="501">
        <v>51.45</v>
      </c>
      <c r="G28" s="502">
        <f>E28*F28</f>
        <v>33083.893500001439</v>
      </c>
      <c r="H28" s="460">
        <f>G28+'28'!H28</f>
        <v>1208626.8705000018</v>
      </c>
      <c r="I28" s="505"/>
      <c r="J28" s="552">
        <f>H28/DAY(B2)</f>
        <v>41676.788637931095</v>
      </c>
      <c r="K28" s="373"/>
      <c r="L28" s="443"/>
      <c r="N28" s="773"/>
      <c r="O28" s="773"/>
    </row>
    <row r="29" spans="1:15" s="442" customFormat="1" ht="27">
      <c r="A29" s="592" t="s">
        <v>156</v>
      </c>
      <c r="B29" s="593"/>
      <c r="C29" s="594"/>
      <c r="D29" s="619" t="s">
        <v>157</v>
      </c>
      <c r="E29" s="702">
        <f>G24</f>
        <v>0</v>
      </c>
      <c r="F29" s="702">
        <v>69</v>
      </c>
      <c r="G29" s="502">
        <f>E29*F29</f>
        <v>0</v>
      </c>
      <c r="H29" s="460">
        <f>G29+'28'!H29</f>
        <v>89010</v>
      </c>
      <c r="I29" s="505"/>
      <c r="J29" s="552">
        <f>H29/DAY(B2)</f>
        <v>3069.3103448275861</v>
      </c>
      <c r="K29" s="373"/>
      <c r="L29" s="443"/>
      <c r="N29" s="773"/>
      <c r="O29" s="773"/>
    </row>
    <row r="30" spans="1:15" s="442" customFormat="1" ht="27">
      <c r="A30" s="592" t="s">
        <v>158</v>
      </c>
      <c r="B30" s="593"/>
      <c r="C30" s="594"/>
      <c r="D30" s="619" t="s">
        <v>159</v>
      </c>
      <c r="E30" s="702">
        <f>G19</f>
        <v>55</v>
      </c>
      <c r="F30" s="702">
        <v>134</v>
      </c>
      <c r="G30" s="502">
        <f>E30*F30</f>
        <v>7370</v>
      </c>
      <c r="H30" s="460">
        <f>G30+'28'!H30</f>
        <v>224880</v>
      </c>
      <c r="I30" s="505"/>
      <c r="J30" s="552">
        <f>H30/DAY(B2)</f>
        <v>7754.4827586206893</v>
      </c>
      <c r="K30" s="373"/>
      <c r="L30" s="443"/>
      <c r="N30" s="773"/>
      <c r="O30" s="773"/>
    </row>
    <row r="31" spans="1:15" s="442" customFormat="1" ht="27">
      <c r="A31" s="592" t="s">
        <v>160</v>
      </c>
      <c r="B31" s="593"/>
      <c r="C31" s="594"/>
      <c r="D31" s="619" t="s">
        <v>144</v>
      </c>
      <c r="E31" s="702">
        <f>G18</f>
        <v>20</v>
      </c>
      <c r="F31" s="702">
        <v>80</v>
      </c>
      <c r="G31" s="502">
        <f>E31*F31</f>
        <v>1600</v>
      </c>
      <c r="H31" s="460">
        <f>G31+'28'!H31</f>
        <v>206400</v>
      </c>
      <c r="I31" s="505"/>
      <c r="J31" s="552"/>
      <c r="K31" s="373"/>
      <c r="L31" s="443"/>
      <c r="N31" s="773"/>
      <c r="O31" s="773"/>
    </row>
    <row r="32" spans="1:15" s="442" customFormat="1" ht="27">
      <c r="A32" s="595" t="s">
        <v>161</v>
      </c>
      <c r="B32" s="596"/>
      <c r="C32" s="597"/>
      <c r="D32" s="507"/>
      <c r="E32" s="765"/>
      <c r="F32" s="486"/>
      <c r="G32" s="508">
        <f>G27+G28+G29+G30+G31</f>
        <v>186368.89350000143</v>
      </c>
      <c r="H32" s="460">
        <f>G32+'28'!H32</f>
        <v>7102672.870500003</v>
      </c>
      <c r="I32" s="509"/>
      <c r="J32" s="552">
        <f>H32/DAY(B2)</f>
        <v>244919.75415517253</v>
      </c>
      <c r="K32" s="373"/>
      <c r="L32" s="443"/>
      <c r="N32" s="773"/>
      <c r="O32" s="773"/>
    </row>
    <row r="33" spans="1:15" ht="25.5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</row>
    <row r="34" spans="1:15">
      <c r="A34" s="598" t="s">
        <v>163</v>
      </c>
      <c r="B34" s="1149"/>
      <c r="C34" s="1149"/>
      <c r="D34" s="472"/>
      <c r="E34" s="495"/>
      <c r="F34" s="495"/>
      <c r="G34" s="472"/>
      <c r="H34" s="472"/>
      <c r="I34" s="472"/>
      <c r="J34" s="551"/>
      <c r="K34" s="428"/>
      <c r="L34" s="377"/>
    </row>
    <row r="35" spans="1:15">
      <c r="A35" s="578" t="s">
        <v>164</v>
      </c>
      <c r="B35" s="579"/>
      <c r="C35" s="579"/>
      <c r="D35" s="523" t="s">
        <v>132</v>
      </c>
      <c r="E35" s="745">
        <f>'28'!F35</f>
        <v>881971.99</v>
      </c>
      <c r="F35" s="745">
        <v>884026.03</v>
      </c>
      <c r="G35" s="473">
        <f t="shared" ref="G35:G46" si="3">F35-E35</f>
        <v>2054.0400000000373</v>
      </c>
      <c r="H35" s="460">
        <f>G35+'28'!H35</f>
        <v>85637.030000000028</v>
      </c>
      <c r="I35" s="455"/>
      <c r="J35" s="552">
        <f>H35/DAY(B2)</f>
        <v>2953.0010344827597</v>
      </c>
      <c r="K35" s="428"/>
      <c r="L35" s="377"/>
    </row>
    <row r="36" spans="1:15">
      <c r="A36" s="578" t="s">
        <v>165</v>
      </c>
      <c r="B36" s="579"/>
      <c r="C36" s="579"/>
      <c r="D36" s="523" t="s">
        <v>132</v>
      </c>
      <c r="E36" s="745">
        <f>'28'!F36</f>
        <v>343442.95</v>
      </c>
      <c r="F36" s="745">
        <v>343892.67</v>
      </c>
      <c r="G36" s="473">
        <f t="shared" si="3"/>
        <v>449.71999999997206</v>
      </c>
      <c r="H36" s="460">
        <f>G36+'28'!H36</f>
        <v>26456.669999999984</v>
      </c>
      <c r="I36" s="455"/>
      <c r="J36" s="552">
        <f>H36/DAY(B2)</f>
        <v>912.29896551724084</v>
      </c>
      <c r="K36" s="428"/>
      <c r="L36" s="377"/>
    </row>
    <row r="37" spans="1:15" s="441" customFormat="1">
      <c r="A37" s="1107" t="s">
        <v>166</v>
      </c>
      <c r="B37" s="1111"/>
      <c r="C37" s="1111"/>
      <c r="D37" s="627" t="s">
        <v>132</v>
      </c>
      <c r="E37" s="746">
        <f>'28'!F37</f>
        <v>92653.24</v>
      </c>
      <c r="F37" s="746">
        <v>93853.95</v>
      </c>
      <c r="G37" s="655">
        <f t="shared" si="3"/>
        <v>1200.7099999999919</v>
      </c>
      <c r="H37" s="708">
        <f>G37+'28'!H37</f>
        <v>39056.949999999997</v>
      </c>
      <c r="I37" s="709"/>
      <c r="J37" s="710">
        <f>H37/DAY(B2)</f>
        <v>1346.7913793103448</v>
      </c>
      <c r="K37" s="1109"/>
      <c r="L37" s="1110"/>
      <c r="N37" s="774"/>
      <c r="O37" s="774"/>
    </row>
    <row r="38" spans="1:15" s="441" customFormat="1">
      <c r="A38" s="1107" t="s">
        <v>167</v>
      </c>
      <c r="B38" s="1111"/>
      <c r="C38" s="1111"/>
      <c r="D38" s="627" t="s">
        <v>132</v>
      </c>
      <c r="E38" s="746">
        <f>'28'!F38</f>
        <v>116891.35</v>
      </c>
      <c r="F38" s="1112">
        <v>118139.24</v>
      </c>
      <c r="G38" s="655">
        <f t="shared" si="3"/>
        <v>1247.8899999999994</v>
      </c>
      <c r="H38" s="708">
        <f>G38+'28'!H38</f>
        <v>45831.240000000005</v>
      </c>
      <c r="I38" s="709"/>
      <c r="J38" s="710">
        <f>H38/DAY(B2)</f>
        <v>1580.3875862068967</v>
      </c>
      <c r="K38" s="1109"/>
      <c r="L38" s="1110"/>
      <c r="N38" s="774"/>
      <c r="O38" s="774"/>
    </row>
    <row r="39" spans="1:15" s="441" customFormat="1">
      <c r="A39" s="1107" t="s">
        <v>168</v>
      </c>
      <c r="B39" s="1111"/>
      <c r="C39" s="1111"/>
      <c r="D39" s="627" t="s">
        <v>132</v>
      </c>
      <c r="E39" s="746">
        <f>'28'!F39</f>
        <v>242505.27</v>
      </c>
      <c r="F39" s="746">
        <v>244460.45</v>
      </c>
      <c r="G39" s="655">
        <f t="shared" si="3"/>
        <v>1955.1800000000221</v>
      </c>
      <c r="H39" s="708">
        <f>G39+'28'!H39</f>
        <v>91638.450000000012</v>
      </c>
      <c r="I39" s="709"/>
      <c r="J39" s="710">
        <f>H39/DAY(B2)</f>
        <v>3159.9465517241383</v>
      </c>
      <c r="K39" s="1109"/>
      <c r="L39" s="1110"/>
      <c r="N39" s="774"/>
      <c r="O39" s="774"/>
    </row>
    <row r="40" spans="1:15" s="441" customFormat="1">
      <c r="A40" s="1113" t="s">
        <v>169</v>
      </c>
      <c r="B40" s="1114"/>
      <c r="C40" s="1114"/>
      <c r="D40" s="627" t="s">
        <v>132</v>
      </c>
      <c r="E40" s="746">
        <f>'28'!F40</f>
        <v>0.23</v>
      </c>
      <c r="F40" s="746">
        <v>0.23</v>
      </c>
      <c r="G40" s="655">
        <f t="shared" si="3"/>
        <v>0</v>
      </c>
      <c r="H40" s="708">
        <f>G40+'28'!H40</f>
        <v>0.4</v>
      </c>
      <c r="I40" s="709"/>
      <c r="J40" s="710">
        <f>H40/DAY(B2)</f>
        <v>1.3793103448275864E-2</v>
      </c>
      <c r="K40" s="1115"/>
      <c r="L40" s="1110"/>
      <c r="N40" s="774"/>
      <c r="O40" s="774"/>
    </row>
    <row r="41" spans="1:15" s="441" customFormat="1">
      <c r="A41" s="1107" t="s">
        <v>170</v>
      </c>
      <c r="B41" s="1111"/>
      <c r="C41" s="1111"/>
      <c r="D41" s="627" t="s">
        <v>132</v>
      </c>
      <c r="E41" s="746">
        <f>'28'!F41</f>
        <v>172691.47</v>
      </c>
      <c r="F41" s="746">
        <v>177616.67</v>
      </c>
      <c r="G41" s="655">
        <f>F41-E41</f>
        <v>4925.2000000000116</v>
      </c>
      <c r="H41" s="708">
        <f>G41+'28'!H41</f>
        <v>44475.670000000013</v>
      </c>
      <c r="I41" s="709"/>
      <c r="J41" s="710">
        <f>H41/DAY(B2)</f>
        <v>1533.6437931034486</v>
      </c>
      <c r="K41" s="1109"/>
      <c r="L41" s="1110"/>
      <c r="N41" s="774"/>
      <c r="O41" s="774"/>
    </row>
    <row r="42" spans="1:15">
      <c r="A42" s="578" t="s">
        <v>171</v>
      </c>
      <c r="B42" s="579"/>
      <c r="C42" s="579"/>
      <c r="D42" s="523" t="s">
        <v>132</v>
      </c>
      <c r="E42" s="745">
        <f>'28'!F42</f>
        <v>59200</v>
      </c>
      <c r="F42" s="745">
        <v>59200</v>
      </c>
      <c r="G42" s="473">
        <f t="shared" si="3"/>
        <v>0</v>
      </c>
      <c r="H42" s="460">
        <f>G42+'28'!H42</f>
        <v>71.839999999996508</v>
      </c>
      <c r="I42" s="455"/>
      <c r="J42" s="552">
        <f>H42/DAY(B2)</f>
        <v>2.4772413793102244</v>
      </c>
      <c r="K42" s="428"/>
      <c r="L42" s="377"/>
    </row>
    <row r="43" spans="1:15">
      <c r="A43" s="578" t="s">
        <v>172</v>
      </c>
      <c r="B43" s="579"/>
      <c r="C43" s="579"/>
      <c r="D43" s="523" t="s">
        <v>132</v>
      </c>
      <c r="E43" s="745">
        <f>'28'!F43</f>
        <v>969445.99</v>
      </c>
      <c r="F43" s="745">
        <v>971519.51</v>
      </c>
      <c r="G43" s="473">
        <f t="shared" si="3"/>
        <v>2073.5200000000186</v>
      </c>
      <c r="H43" s="460">
        <f>G43+'28'!H43</f>
        <v>69471.510000000009</v>
      </c>
      <c r="I43" s="455"/>
      <c r="J43" s="552">
        <f>H43/DAY(B2)</f>
        <v>2395.569310344828</v>
      </c>
      <c r="K43" s="428"/>
      <c r="L43" s="377"/>
    </row>
    <row r="44" spans="1:15">
      <c r="A44" s="578" t="s">
        <v>173</v>
      </c>
      <c r="B44" s="579"/>
      <c r="C44" s="579"/>
      <c r="D44" s="523" t="s">
        <v>132</v>
      </c>
      <c r="E44" s="745">
        <f>'28'!F44</f>
        <v>0</v>
      </c>
      <c r="F44" s="745">
        <v>0</v>
      </c>
      <c r="G44" s="473">
        <f t="shared" si="3"/>
        <v>0</v>
      </c>
      <c r="H44" s="460">
        <f>G44+'28'!H44</f>
        <v>0</v>
      </c>
      <c r="I44" s="455"/>
      <c r="J44" s="552">
        <f>H44/DAY(B2)</f>
        <v>0</v>
      </c>
      <c r="K44" s="428"/>
      <c r="L44" s="377"/>
    </row>
    <row r="45" spans="1:15">
      <c r="A45" s="578" t="s">
        <v>174</v>
      </c>
      <c r="B45" s="579"/>
      <c r="C45" s="579"/>
      <c r="D45" s="523" t="s">
        <v>132</v>
      </c>
      <c r="E45" s="745">
        <f>'28'!F45</f>
        <v>614</v>
      </c>
      <c r="F45" s="745">
        <v>614</v>
      </c>
      <c r="G45" s="473">
        <f t="shared" si="3"/>
        <v>0</v>
      </c>
      <c r="H45" s="460">
        <f>G45+'28'!H45</f>
        <v>614</v>
      </c>
      <c r="I45" s="455"/>
      <c r="J45" s="552">
        <f>H45/DAY(B2)</f>
        <v>21.172413793103448</v>
      </c>
      <c r="K45" s="428"/>
      <c r="L45" s="377"/>
    </row>
    <row r="46" spans="1:15">
      <c r="A46" s="578" t="s">
        <v>175</v>
      </c>
      <c r="B46" s="579"/>
      <c r="C46" s="579"/>
      <c r="D46" s="523" t="s">
        <v>132</v>
      </c>
      <c r="E46" s="745">
        <f>'28'!F46</f>
        <v>187</v>
      </c>
      <c r="F46" s="745">
        <v>187</v>
      </c>
      <c r="G46" s="473">
        <f t="shared" si="3"/>
        <v>0</v>
      </c>
      <c r="H46" s="460">
        <f>G46+'28'!H46</f>
        <v>186.95</v>
      </c>
      <c r="I46" s="455"/>
      <c r="J46" s="552">
        <f>H46/DAY(B2)</f>
        <v>6.4465517241379304</v>
      </c>
      <c r="K46" s="428"/>
      <c r="L46" s="377"/>
    </row>
    <row r="47" spans="1:15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13906.260000000053</v>
      </c>
      <c r="H47" s="460">
        <f>G47+'28'!H47</f>
        <v>404242.20000000013</v>
      </c>
      <c r="I47" s="455"/>
      <c r="J47" s="552">
        <f>H47/DAY(B2)</f>
        <v>13939.386206896555</v>
      </c>
      <c r="K47" s="428"/>
      <c r="L47" s="377"/>
    </row>
    <row r="48" spans="1:15">
      <c r="A48" s="598" t="s">
        <v>177</v>
      </c>
      <c r="B48" s="1149"/>
      <c r="C48" s="1149"/>
      <c r="D48" s="472"/>
      <c r="E48" s="495"/>
      <c r="F48" s="495"/>
      <c r="G48" s="472"/>
      <c r="H48" s="472"/>
      <c r="I48" s="472"/>
      <c r="J48" s="551"/>
      <c r="K48" s="428"/>
      <c r="L48" s="377"/>
    </row>
    <row r="49" spans="1:15" s="441" customFormat="1">
      <c r="A49" s="1107" t="s">
        <v>164</v>
      </c>
      <c r="B49" s="1108"/>
      <c r="C49" s="1108"/>
      <c r="D49" s="627" t="s">
        <v>132</v>
      </c>
      <c r="E49" s="746">
        <f>'28'!F49</f>
        <v>260732.13</v>
      </c>
      <c r="F49" s="746">
        <v>260732.13</v>
      </c>
      <c r="G49" s="655">
        <f t="shared" ref="G49:G58" si="4">F49-E49</f>
        <v>0</v>
      </c>
      <c r="H49" s="708">
        <f>G49+'28'!H49</f>
        <v>0.13000000000465661</v>
      </c>
      <c r="I49" s="709"/>
      <c r="J49" s="710">
        <f>H49/DAY(B2)</f>
        <v>4.4827586208502279E-3</v>
      </c>
      <c r="K49" s="1109"/>
      <c r="L49" s="1110"/>
      <c r="N49" s="774"/>
      <c r="O49" s="774"/>
    </row>
    <row r="50" spans="1:15" s="441" customFormat="1">
      <c r="A50" s="1107" t="s">
        <v>178</v>
      </c>
      <c r="B50" s="1108" t="s">
        <v>278</v>
      </c>
      <c r="C50" s="1108"/>
      <c r="D50" s="627" t="s">
        <v>132</v>
      </c>
      <c r="E50" s="746">
        <f>'28'!F50</f>
        <v>472143.43</v>
      </c>
      <c r="F50" s="746">
        <v>473153.27</v>
      </c>
      <c r="G50" s="655">
        <f t="shared" si="4"/>
        <v>1009.8400000000256</v>
      </c>
      <c r="H50" s="708">
        <f>G50+'28'!H50</f>
        <v>30879.229999999981</v>
      </c>
      <c r="I50" s="709"/>
      <c r="J50" s="710">
        <f>H50/DAY(B2)</f>
        <v>1064.801034482758</v>
      </c>
      <c r="K50" s="1109"/>
      <c r="L50" s="1110"/>
      <c r="N50" s="774"/>
      <c r="O50" s="774"/>
    </row>
    <row r="51" spans="1:15" s="441" customFormat="1">
      <c r="A51" s="1107" t="s">
        <v>166</v>
      </c>
      <c r="B51" s="1108"/>
      <c r="C51" s="1108"/>
      <c r="D51" s="627" t="s">
        <v>132</v>
      </c>
      <c r="E51" s="746">
        <f>'28'!F51</f>
        <v>144639.87</v>
      </c>
      <c r="F51" s="746">
        <v>144639.87</v>
      </c>
      <c r="G51" s="655">
        <f t="shared" si="4"/>
        <v>0</v>
      </c>
      <c r="H51" s="708">
        <f>G51+'28'!H51</f>
        <v>-0.13000000000465661</v>
      </c>
      <c r="I51" s="709"/>
      <c r="J51" s="710">
        <f>H51/DAY(B2)</f>
        <v>-4.4827586208502279E-3</v>
      </c>
      <c r="K51" s="1109"/>
      <c r="L51" s="1110"/>
      <c r="N51" s="774"/>
      <c r="O51" s="774"/>
    </row>
    <row r="52" spans="1:15" s="441" customFormat="1">
      <c r="A52" s="1107" t="s">
        <v>179</v>
      </c>
      <c r="B52" s="1108"/>
      <c r="C52" s="1108"/>
      <c r="D52" s="627" t="s">
        <v>132</v>
      </c>
      <c r="E52" s="746">
        <f>'28'!F52</f>
        <v>539606.06999999995</v>
      </c>
      <c r="F52" s="746">
        <v>539606.06999999995</v>
      </c>
      <c r="G52" s="655">
        <f t="shared" si="4"/>
        <v>0</v>
      </c>
      <c r="H52" s="708">
        <f>G52+'28'!H52</f>
        <v>6.9999999948777258E-2</v>
      </c>
      <c r="I52" s="709"/>
      <c r="J52" s="710">
        <f>H52/DAY(B2)</f>
        <v>2.4137931016819745E-3</v>
      </c>
      <c r="K52" s="1109"/>
      <c r="L52" s="1110"/>
      <c r="N52" s="774"/>
      <c r="O52" s="774"/>
    </row>
    <row r="53" spans="1:15" s="441" customFormat="1">
      <c r="A53" s="1107" t="s">
        <v>168</v>
      </c>
      <c r="B53" s="1108"/>
      <c r="C53" s="1108"/>
      <c r="D53" s="627" t="s">
        <v>132</v>
      </c>
      <c r="E53" s="746">
        <f>'28'!F53</f>
        <v>415202.15</v>
      </c>
      <c r="F53" s="746">
        <v>415735.79</v>
      </c>
      <c r="G53" s="655">
        <f t="shared" si="4"/>
        <v>533.63999999995576</v>
      </c>
      <c r="H53" s="708">
        <f>G53+'28'!H53</f>
        <v>11555.989999999991</v>
      </c>
      <c r="I53" s="709"/>
      <c r="J53" s="710">
        <f>H53/DAY(B2)</f>
        <v>398.48241379310315</v>
      </c>
      <c r="K53" s="1109"/>
      <c r="L53" s="1110"/>
      <c r="N53" s="774"/>
      <c r="O53" s="774"/>
    </row>
    <row r="54" spans="1:15">
      <c r="A54" s="578" t="s">
        <v>180</v>
      </c>
      <c r="B54" s="601"/>
      <c r="C54" s="601"/>
      <c r="D54" s="523" t="s">
        <v>132</v>
      </c>
      <c r="E54" s="746">
        <f>'28'!F54</f>
        <v>11235.95</v>
      </c>
      <c r="F54" s="745">
        <v>11307.45</v>
      </c>
      <c r="G54" s="473">
        <f t="shared" si="4"/>
        <v>71.5</v>
      </c>
      <c r="H54" s="460">
        <f>G54+'28'!H54</f>
        <v>5082.4800000000014</v>
      </c>
      <c r="I54" s="455"/>
      <c r="J54" s="552">
        <f>H54/DAY(B2)</f>
        <v>175.25793103448279</v>
      </c>
      <c r="K54" s="428"/>
      <c r="L54" s="377"/>
    </row>
    <row r="55" spans="1:15">
      <c r="A55" s="578" t="s">
        <v>181</v>
      </c>
      <c r="B55" s="601"/>
      <c r="C55" s="601"/>
      <c r="D55" s="523" t="s">
        <v>132</v>
      </c>
      <c r="E55" s="746">
        <f>'28'!F55</f>
        <v>345059</v>
      </c>
      <c r="F55" s="746">
        <v>345059</v>
      </c>
      <c r="G55" s="655">
        <f t="shared" si="4"/>
        <v>0</v>
      </c>
      <c r="H55" s="708">
        <f>G55+'28'!H55</f>
        <v>123605.79999999999</v>
      </c>
      <c r="I55" s="709"/>
      <c r="J55" s="710">
        <f>H55/DAY(B2)</f>
        <v>4262.2689655172408</v>
      </c>
      <c r="K55" s="428"/>
      <c r="L55" s="377"/>
    </row>
    <row r="56" spans="1:15">
      <c r="A56" s="578" t="s">
        <v>182</v>
      </c>
      <c r="B56" s="601"/>
      <c r="C56" s="601"/>
      <c r="D56" s="523" t="s">
        <v>183</v>
      </c>
      <c r="E56" s="746">
        <f>'28'!F56</f>
        <v>589279.27</v>
      </c>
      <c r="F56" s="746">
        <v>589288.47</v>
      </c>
      <c r="G56" s="473">
        <f t="shared" si="4"/>
        <v>9.1999999999534339</v>
      </c>
      <c r="H56" s="460">
        <f>G56+'28'!H56</f>
        <v>312.30999999993946</v>
      </c>
      <c r="I56" s="455"/>
      <c r="J56" s="552">
        <f>H56/DAY(B2)</f>
        <v>10.769310344825499</v>
      </c>
      <c r="K56" s="427"/>
      <c r="L56" s="377"/>
    </row>
    <row r="57" spans="1:15">
      <c r="A57" s="578" t="s">
        <v>172</v>
      </c>
      <c r="B57" s="601"/>
      <c r="C57" s="601"/>
      <c r="D57" s="523" t="s">
        <v>132</v>
      </c>
      <c r="E57" s="746">
        <f>'28'!F57</f>
        <v>7711.33</v>
      </c>
      <c r="F57" s="745">
        <v>7711</v>
      </c>
      <c r="G57" s="473">
        <f t="shared" si="4"/>
        <v>-0.32999999999992724</v>
      </c>
      <c r="H57" s="460">
        <f>G57+'28'!H57</f>
        <v>0</v>
      </c>
      <c r="I57" s="455"/>
      <c r="J57" s="552">
        <f>H57/DAY(B2)</f>
        <v>0</v>
      </c>
      <c r="K57" s="428"/>
      <c r="L57" s="377"/>
    </row>
    <row r="58" spans="1:15">
      <c r="A58" s="578" t="s">
        <v>184</v>
      </c>
      <c r="B58" s="601"/>
      <c r="C58" s="601"/>
      <c r="D58" s="523" t="s">
        <v>132</v>
      </c>
      <c r="E58" s="746">
        <f>'28'!F58</f>
        <v>46477.78</v>
      </c>
      <c r="F58" s="746">
        <v>46666.81</v>
      </c>
      <c r="G58" s="473">
        <f t="shared" si="4"/>
        <v>189.02999999999884</v>
      </c>
      <c r="H58" s="460">
        <f>G58+'28'!H58</f>
        <v>4965.4699999999939</v>
      </c>
      <c r="I58" s="455"/>
      <c r="J58" s="552">
        <f>H58/DAY(B2)</f>
        <v>171.22310344827565</v>
      </c>
      <c r="K58" s="428"/>
      <c r="L58" s="377"/>
    </row>
    <row r="59" spans="1:15">
      <c r="A59" s="585">
        <v>1</v>
      </c>
      <c r="B59" s="586"/>
      <c r="C59" s="586"/>
      <c r="D59" s="511"/>
      <c r="E59" s="470"/>
      <c r="F59" s="470"/>
      <c r="G59" s="481">
        <f>G49+G50+G51+G52+G53+G54+G55+G56+G57+G58</f>
        <v>1812.8799999999337</v>
      </c>
      <c r="H59" s="460">
        <f>G59+'28'!H59</f>
        <v>176399.34999999989</v>
      </c>
      <c r="I59" s="455">
        <f>G7-G60</f>
        <v>233.86000000001332</v>
      </c>
      <c r="J59" s="552">
        <f>H59/DAY(B2)</f>
        <v>6082.7362068965476</v>
      </c>
      <c r="K59" s="428"/>
      <c r="L59" s="377"/>
      <c r="O59" s="773">
        <f>159+122+341+154</f>
        <v>776</v>
      </c>
    </row>
    <row r="60" spans="1:15">
      <c r="A60" s="578"/>
      <c r="B60" s="579"/>
      <c r="C60" s="579"/>
      <c r="D60" s="511" t="s">
        <v>185</v>
      </c>
      <c r="E60" s="470"/>
      <c r="F60" s="470"/>
      <c r="G60" s="481">
        <f>G47+G59</f>
        <v>15719.139999999987</v>
      </c>
      <c r="H60" s="460">
        <f>G60+'28'!H60</f>
        <v>587841.1</v>
      </c>
      <c r="I60" s="455">
        <f>G13-G60</f>
        <v>-280.17999999990752</v>
      </c>
      <c r="J60" s="552">
        <f>H60/DAY(B2)</f>
        <v>20270.38275862069</v>
      </c>
      <c r="K60" s="428"/>
      <c r="L60" s="377"/>
    </row>
    <row r="61" spans="1:15">
      <c r="A61" s="602" t="s">
        <v>186</v>
      </c>
      <c r="B61" s="453"/>
      <c r="C61" s="453"/>
      <c r="D61" s="513"/>
      <c r="E61" s="747"/>
      <c r="F61" s="747"/>
      <c r="G61" s="513"/>
      <c r="H61" s="513"/>
      <c r="I61" s="513"/>
      <c r="J61" s="555"/>
      <c r="K61" s="428"/>
      <c r="L61" s="377"/>
    </row>
    <row r="62" spans="1:15">
      <c r="A62" s="603" t="s">
        <v>98</v>
      </c>
      <c r="B62" s="604"/>
      <c r="C62" s="604"/>
      <c r="D62" s="511" t="s">
        <v>187</v>
      </c>
      <c r="E62" s="514">
        <f>'28'!F62</f>
        <v>20419</v>
      </c>
      <c r="F62" s="514">
        <v>20419</v>
      </c>
      <c r="G62" s="473">
        <f t="shared" ref="G62:G69" si="5">F62-E62</f>
        <v>0</v>
      </c>
      <c r="H62" s="460">
        <f>G62+'28'!H62</f>
        <v>0.18199999999706051</v>
      </c>
      <c r="I62" s="515"/>
      <c r="J62" s="552">
        <f>H62/DAY(B2)</f>
        <v>6.2758620688641558E-3</v>
      </c>
      <c r="K62" s="428"/>
      <c r="L62" s="377"/>
    </row>
    <row r="63" spans="1:15">
      <c r="A63" s="603" t="s">
        <v>188</v>
      </c>
      <c r="B63" s="604"/>
      <c r="C63" s="604"/>
      <c r="D63" s="511" t="s">
        <v>187</v>
      </c>
      <c r="E63" s="514">
        <f>'28'!F63</f>
        <v>2350.3000000000002</v>
      </c>
      <c r="F63" s="514">
        <v>2355.71</v>
      </c>
      <c r="G63" s="473">
        <f t="shared" si="5"/>
        <v>5.4099999999998545</v>
      </c>
      <c r="H63" s="460">
        <f>G63+'28'!H63</f>
        <v>259.71000000000004</v>
      </c>
      <c r="I63" s="515"/>
      <c r="J63" s="552">
        <f>H63/DAY(B2)</f>
        <v>8.9555172413793116</v>
      </c>
      <c r="K63" s="428"/>
      <c r="L63" s="377"/>
    </row>
    <row r="64" spans="1:15" ht="27.75">
      <c r="A64" s="1499" t="s">
        <v>99</v>
      </c>
      <c r="B64" s="1500"/>
      <c r="C64" s="1501"/>
      <c r="D64" s="523" t="s">
        <v>187</v>
      </c>
      <c r="E64" s="514">
        <f>'28'!F64</f>
        <v>152738.75</v>
      </c>
      <c r="F64" s="741">
        <v>153063.73000000001</v>
      </c>
      <c r="G64" s="473">
        <f t="shared" si="5"/>
        <v>324.98000000001048</v>
      </c>
      <c r="H64" s="460">
        <f>G64+'28'!H64</f>
        <v>13883.73000000001</v>
      </c>
      <c r="I64" s="480"/>
      <c r="J64" s="552">
        <f>H64/DAY(B2)</f>
        <v>478.74931034482796</v>
      </c>
      <c r="K64" s="428"/>
      <c r="L64" s="377"/>
    </row>
    <row r="65" spans="1:12" ht="27.75">
      <c r="A65" s="1499" t="s">
        <v>100</v>
      </c>
      <c r="B65" s="1500"/>
      <c r="C65" s="1501"/>
      <c r="D65" s="523" t="s">
        <v>187</v>
      </c>
      <c r="E65" s="514">
        <f>'28'!F65</f>
        <v>154203.07</v>
      </c>
      <c r="F65" s="748">
        <v>154390.29999999999</v>
      </c>
      <c r="G65" s="473">
        <f t="shared" si="5"/>
        <v>187.22999999998137</v>
      </c>
      <c r="H65" s="460">
        <f>G65+'28'!H65</f>
        <v>10185.299999999988</v>
      </c>
      <c r="I65" s="489"/>
      <c r="J65" s="552">
        <f>H65/DAY(B2)</f>
        <v>351.21724137930994</v>
      </c>
      <c r="K65" s="428"/>
      <c r="L65" s="377"/>
    </row>
    <row r="66" spans="1:12" ht="27.75">
      <c r="A66" s="1499" t="s">
        <v>101</v>
      </c>
      <c r="B66" s="1500"/>
      <c r="C66" s="1501"/>
      <c r="D66" s="523" t="s">
        <v>187</v>
      </c>
      <c r="E66" s="514">
        <f>'28'!F66</f>
        <v>48032.37</v>
      </c>
      <c r="F66" s="741">
        <v>48305.58</v>
      </c>
      <c r="G66" s="473">
        <f t="shared" si="5"/>
        <v>273.20999999999913</v>
      </c>
      <c r="H66" s="460">
        <f>G66+'28'!H66</f>
        <v>11097.580000000002</v>
      </c>
      <c r="I66" s="480"/>
      <c r="J66" s="552">
        <f>H66/DAY(B2)</f>
        <v>382.67517241379318</v>
      </c>
      <c r="K66" s="428"/>
      <c r="L66" s="377"/>
    </row>
    <row r="67" spans="1:12" ht="27.75">
      <c r="A67" s="1499" t="s">
        <v>102</v>
      </c>
      <c r="B67" s="1500"/>
      <c r="C67" s="1501"/>
      <c r="D67" s="523" t="s">
        <v>187</v>
      </c>
      <c r="E67" s="514">
        <f>'28'!F67</f>
        <v>242687.95</v>
      </c>
      <c r="F67" s="741">
        <v>242893.27</v>
      </c>
      <c r="G67" s="473">
        <f t="shared" si="5"/>
        <v>205.31999999997788</v>
      </c>
      <c r="H67" s="460">
        <f>G67+'28'!H67</f>
        <v>13793.26999999999</v>
      </c>
      <c r="I67" s="489"/>
      <c r="J67" s="552">
        <f>H67/DAY(B2)</f>
        <v>475.62999999999965</v>
      </c>
      <c r="K67" s="429"/>
      <c r="L67" s="377"/>
    </row>
    <row r="68" spans="1:12" ht="27.75">
      <c r="A68" s="1499" t="s">
        <v>103</v>
      </c>
      <c r="B68" s="1500"/>
      <c r="C68" s="1501"/>
      <c r="D68" s="523" t="s">
        <v>187</v>
      </c>
      <c r="E68" s="514">
        <f>'28'!F68</f>
        <v>85321</v>
      </c>
      <c r="F68" s="741">
        <v>85321</v>
      </c>
      <c r="G68" s="473">
        <f t="shared" si="5"/>
        <v>0</v>
      </c>
      <c r="H68" s="460">
        <f>G68+'28'!H68</f>
        <v>2234</v>
      </c>
      <c r="I68" s="516"/>
      <c r="J68" s="552">
        <f>H68/DAY(B2)</f>
        <v>77.034482758620683</v>
      </c>
      <c r="K68" s="430"/>
      <c r="L68" s="377"/>
    </row>
    <row r="69" spans="1:12" ht="27.75">
      <c r="A69" s="1499" t="s">
        <v>104</v>
      </c>
      <c r="B69" s="1500"/>
      <c r="C69" s="1501"/>
      <c r="D69" s="523" t="s">
        <v>187</v>
      </c>
      <c r="E69" s="514">
        <f>'28'!F69</f>
        <v>78814.97</v>
      </c>
      <c r="F69" s="741">
        <v>78874.87</v>
      </c>
      <c r="G69" s="473">
        <f t="shared" si="5"/>
        <v>59.899999999994179</v>
      </c>
      <c r="H69" s="460">
        <f>G69+'28'!H69</f>
        <v>4545.8699999999953</v>
      </c>
      <c r="I69" s="516"/>
      <c r="J69" s="552">
        <f>H69/DAY(B2)</f>
        <v>156.75413793103434</v>
      </c>
      <c r="K69" s="431"/>
      <c r="L69" s="377"/>
    </row>
    <row r="70" spans="1:12" ht="27.75">
      <c r="A70" s="1505" t="s">
        <v>189</v>
      </c>
      <c r="B70" s="1506"/>
      <c r="C70" s="1507"/>
      <c r="D70" s="523" t="s">
        <v>187</v>
      </c>
      <c r="E70" s="749"/>
      <c r="F70" s="749"/>
      <c r="G70" s="518"/>
      <c r="H70" s="460">
        <f>G70+'13'!H70</f>
        <v>0</v>
      </c>
      <c r="I70" s="518"/>
      <c r="J70" s="556"/>
      <c r="K70" s="431"/>
      <c r="L70" s="377"/>
    </row>
    <row r="71" spans="1:12" ht="31.5">
      <c r="A71" s="1502" t="s">
        <v>190</v>
      </c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</row>
    <row r="72" spans="1:12" ht="27.75">
      <c r="A72" s="1499" t="s">
        <v>191</v>
      </c>
      <c r="B72" s="1500"/>
      <c r="C72" s="1501"/>
      <c r="D72" s="523" t="s">
        <v>187</v>
      </c>
      <c r="E72" s="766">
        <f>'28'!F72</f>
        <v>855415</v>
      </c>
      <c r="F72" s="750">
        <v>855444</v>
      </c>
      <c r="G72" s="473">
        <f t="shared" ref="G72:G84" si="6">F72-E72</f>
        <v>29</v>
      </c>
      <c r="H72" s="460">
        <f>G72+'28'!H72</f>
        <v>2181</v>
      </c>
      <c r="I72" s="480"/>
      <c r="J72" s="552">
        <f>H72/DAY(B2)</f>
        <v>75.206896551724142</v>
      </c>
      <c r="K72" s="431"/>
      <c r="L72" s="377"/>
    </row>
    <row r="73" spans="1:12" ht="27.75">
      <c r="A73" s="1499" t="s">
        <v>192</v>
      </c>
      <c r="B73" s="1500"/>
      <c r="C73" s="1501"/>
      <c r="D73" s="523" t="s">
        <v>187</v>
      </c>
      <c r="E73" s="766">
        <f>'28'!F73</f>
        <v>885870</v>
      </c>
      <c r="F73" s="751">
        <v>885871</v>
      </c>
      <c r="G73" s="655">
        <f>F73-E73</f>
        <v>1</v>
      </c>
      <c r="H73" s="460">
        <f>G73+'28'!H73</f>
        <v>1292</v>
      </c>
      <c r="I73" s="480"/>
      <c r="J73" s="552">
        <f>H73/DAY(B2)</f>
        <v>44.551724137931032</v>
      </c>
      <c r="K73" s="430"/>
      <c r="L73" s="377"/>
    </row>
    <row r="74" spans="1:12" ht="27.75">
      <c r="A74" s="1499" t="s">
        <v>193</v>
      </c>
      <c r="B74" s="1500"/>
      <c r="C74" s="1501"/>
      <c r="D74" s="523" t="s">
        <v>187</v>
      </c>
      <c r="E74" s="766">
        <f>'28'!F74</f>
        <v>2217.91</v>
      </c>
      <c r="F74" s="751">
        <v>2248.48</v>
      </c>
      <c r="G74" s="473">
        <f t="shared" si="6"/>
        <v>30.570000000000164</v>
      </c>
      <c r="H74" s="460">
        <f>G74+'28'!H74</f>
        <v>878.48</v>
      </c>
      <c r="I74" s="480"/>
      <c r="J74" s="552">
        <f>H74/DAY(B2)</f>
        <v>30.292413793103449</v>
      </c>
      <c r="K74" s="431"/>
      <c r="L74" s="377"/>
    </row>
    <row r="75" spans="1:12" ht="27.75">
      <c r="A75" s="1496" t="s">
        <v>194</v>
      </c>
      <c r="B75" s="1497"/>
      <c r="C75" s="1498"/>
      <c r="D75" s="523" t="s">
        <v>187</v>
      </c>
      <c r="E75" s="766">
        <f>'28'!F75</f>
        <v>10859.04</v>
      </c>
      <c r="F75" s="751">
        <v>10911.43</v>
      </c>
      <c r="G75" s="473">
        <f t="shared" si="6"/>
        <v>52.389999999999418</v>
      </c>
      <c r="H75" s="460">
        <f>G75+'28'!H75</f>
        <v>2231.4300000000003</v>
      </c>
      <c r="I75" s="480"/>
      <c r="J75" s="552">
        <f>H75/DAY(B2)</f>
        <v>76.945862068965525</v>
      </c>
      <c r="K75" s="430"/>
      <c r="L75" s="377"/>
    </row>
    <row r="76" spans="1:12" ht="27.75">
      <c r="A76" s="1496" t="s">
        <v>195</v>
      </c>
      <c r="B76" s="1497"/>
      <c r="C76" s="1498"/>
      <c r="D76" s="523" t="s">
        <v>187</v>
      </c>
      <c r="E76" s="766">
        <f>'28'!F76</f>
        <v>5608.71</v>
      </c>
      <c r="F76" s="751">
        <v>5659.36</v>
      </c>
      <c r="G76" s="473">
        <f t="shared" si="6"/>
        <v>50.649999999999636</v>
      </c>
      <c r="H76" s="460">
        <f>G76+'28'!H76</f>
        <v>2033.3599999999997</v>
      </c>
      <c r="I76" s="505"/>
      <c r="J76" s="552">
        <f>H76/DAY(B2)</f>
        <v>70.115862068965512</v>
      </c>
      <c r="K76" s="430"/>
      <c r="L76" s="377"/>
    </row>
    <row r="77" spans="1:12" ht="27.75">
      <c r="A77" s="1499" t="s">
        <v>196</v>
      </c>
      <c r="B77" s="1500"/>
      <c r="C77" s="1501"/>
      <c r="D77" s="523" t="s">
        <v>187</v>
      </c>
      <c r="E77" s="766">
        <f>'28'!F77</f>
        <v>701463</v>
      </c>
      <c r="F77" s="751">
        <v>701513</v>
      </c>
      <c r="G77" s="655">
        <f t="shared" si="6"/>
        <v>50</v>
      </c>
      <c r="H77" s="460">
        <f>G77+'28'!H77</f>
        <v>1299</v>
      </c>
      <c r="I77" s="505"/>
      <c r="J77" s="552">
        <f>H77/DAY(B2)</f>
        <v>44.793103448275865</v>
      </c>
      <c r="K77" s="430"/>
      <c r="L77" s="377"/>
    </row>
    <row r="78" spans="1:12" ht="27.75">
      <c r="A78" s="1147" t="s">
        <v>197</v>
      </c>
      <c r="B78" s="1120"/>
      <c r="C78" s="1120"/>
      <c r="D78" s="523" t="s">
        <v>187</v>
      </c>
      <c r="E78" s="766">
        <f>'28'!F78</f>
        <v>669728</v>
      </c>
      <c r="F78" s="751">
        <v>669798</v>
      </c>
      <c r="G78" s="655">
        <f t="shared" si="6"/>
        <v>70</v>
      </c>
      <c r="H78" s="460">
        <f>G78+'28'!H78</f>
        <v>4418</v>
      </c>
      <c r="I78" s="505"/>
      <c r="J78" s="552">
        <f>H78/DAY(B2)</f>
        <v>152.34482758620689</v>
      </c>
      <c r="K78" s="430"/>
      <c r="L78" s="377"/>
    </row>
    <row r="79" spans="1:12" ht="27.75">
      <c r="A79" s="1496" t="s">
        <v>92</v>
      </c>
      <c r="B79" s="1497"/>
      <c r="C79" s="1498"/>
      <c r="D79" s="524" t="s">
        <v>187</v>
      </c>
      <c r="E79" s="766">
        <f>'28'!F79</f>
        <v>826413</v>
      </c>
      <c r="F79" s="752">
        <v>826590</v>
      </c>
      <c r="G79" s="473">
        <f t="shared" si="6"/>
        <v>177</v>
      </c>
      <c r="H79" s="460">
        <f>G79+'28'!H79</f>
        <v>6399</v>
      </c>
      <c r="I79" s="505"/>
      <c r="J79" s="552">
        <f>H79/DAY(B2)</f>
        <v>220.65517241379311</v>
      </c>
      <c r="K79" s="430"/>
      <c r="L79" s="377"/>
    </row>
    <row r="80" spans="1:12" ht="27.75">
      <c r="A80" s="1496" t="s">
        <v>198</v>
      </c>
      <c r="B80" s="1497"/>
      <c r="C80" s="1498"/>
      <c r="D80" s="524" t="s">
        <v>187</v>
      </c>
      <c r="E80" s="766">
        <f>'28'!F80</f>
        <v>515972.12</v>
      </c>
      <c r="F80" s="751">
        <v>516357.24</v>
      </c>
      <c r="G80" s="473">
        <f t="shared" si="6"/>
        <v>385.11999999999534</v>
      </c>
      <c r="H80" s="460">
        <f>G80+'28'!H80</f>
        <v>8429.2399999999907</v>
      </c>
      <c r="I80" s="505"/>
      <c r="J80" s="552">
        <f>H80/DAY(B2)</f>
        <v>290.66344827586175</v>
      </c>
      <c r="K80" s="430"/>
      <c r="L80" s="377"/>
    </row>
    <row r="81" spans="1:15" ht="27.75">
      <c r="A81" s="1496" t="s">
        <v>199</v>
      </c>
      <c r="B81" s="1497"/>
      <c r="C81" s="1498"/>
      <c r="D81" s="524" t="s">
        <v>187</v>
      </c>
      <c r="E81" s="766">
        <f>'28'!F81</f>
        <v>636330</v>
      </c>
      <c r="F81" s="751">
        <v>636404.12</v>
      </c>
      <c r="G81" s="473">
        <f t="shared" si="6"/>
        <v>74.119999999995343</v>
      </c>
      <c r="H81" s="460">
        <f>G81+'28'!H81</f>
        <v>6219.1199999999953</v>
      </c>
      <c r="I81" s="505"/>
      <c r="J81" s="552">
        <f>H81/DAY(B2)</f>
        <v>214.45241379310329</v>
      </c>
      <c r="K81" s="430"/>
      <c r="L81" s="377"/>
    </row>
    <row r="82" spans="1:15" ht="27.75">
      <c r="A82" s="1496" t="s">
        <v>93</v>
      </c>
      <c r="B82" s="1497"/>
      <c r="C82" s="1498"/>
      <c r="D82" s="485" t="s">
        <v>132</v>
      </c>
      <c r="E82" s="766">
        <f>'28'!F82</f>
        <v>107558.57</v>
      </c>
      <c r="F82" s="748">
        <v>107569.60000000001</v>
      </c>
      <c r="G82" s="473">
        <f t="shared" si="6"/>
        <v>11.029999999998836</v>
      </c>
      <c r="H82" s="460">
        <f>G82+'28'!H82</f>
        <v>674.60000000000582</v>
      </c>
      <c r="I82" s="486"/>
      <c r="J82" s="552">
        <f>H82/DAY(B2)</f>
        <v>23.262068965517443</v>
      </c>
      <c r="K82" s="430"/>
      <c r="L82" s="377"/>
    </row>
    <row r="83" spans="1:15" ht="27.75">
      <c r="A83" s="1496" t="s">
        <v>200</v>
      </c>
      <c r="B83" s="1497"/>
      <c r="C83" s="1498"/>
      <c r="D83" s="620" t="s">
        <v>132</v>
      </c>
      <c r="E83" s="766">
        <f>'28'!F83</f>
        <v>14325</v>
      </c>
      <c r="F83" s="470">
        <v>14522</v>
      </c>
      <c r="G83" s="473">
        <f t="shared" si="6"/>
        <v>197</v>
      </c>
      <c r="H83" s="460">
        <f>G83+'28'!H83</f>
        <v>7465</v>
      </c>
      <c r="I83" s="481"/>
      <c r="J83" s="552">
        <f>H83/DAY(B2)</f>
        <v>257.41379310344826</v>
      </c>
      <c r="K83" s="429"/>
      <c r="L83" s="377"/>
    </row>
    <row r="84" spans="1:15">
      <c r="A84" s="1148" t="s">
        <v>201</v>
      </c>
      <c r="B84" s="571"/>
      <c r="C84" s="571"/>
      <c r="D84" s="478" t="s">
        <v>132</v>
      </c>
      <c r="E84" s="766">
        <f>'28'!F84</f>
        <v>478694</v>
      </c>
      <c r="F84" s="708">
        <v>479363</v>
      </c>
      <c r="G84" s="473">
        <f t="shared" si="6"/>
        <v>669</v>
      </c>
      <c r="H84" s="460">
        <f>G84+'28'!H84</f>
        <v>24679</v>
      </c>
      <c r="I84" s="481"/>
      <c r="J84" s="552">
        <f>H84/DAY(B2)</f>
        <v>851</v>
      </c>
      <c r="K84" s="380"/>
      <c r="L84" s="377"/>
    </row>
    <row r="85" spans="1:15" s="379" customFormat="1">
      <c r="A85" s="605" t="s">
        <v>202</v>
      </c>
      <c r="B85" s="572"/>
      <c r="C85" s="572"/>
      <c r="D85" s="489"/>
      <c r="E85" s="708">
        <f>'28'!F85</f>
        <v>0</v>
      </c>
      <c r="F85" s="460"/>
      <c r="G85" s="460">
        <f xml:space="preserve"> SUM(G72:G84)</f>
        <v>1796.8799999999887</v>
      </c>
      <c r="H85" s="460">
        <f>G85+'28'!H85</f>
        <v>67858.23</v>
      </c>
      <c r="I85" s="481"/>
      <c r="J85" s="552">
        <f>H85/DAY(B2)</f>
        <v>2339.9389655172413</v>
      </c>
      <c r="K85" s="380"/>
      <c r="L85" s="378"/>
      <c r="N85" s="773"/>
      <c r="O85" s="773"/>
    </row>
    <row r="86" spans="1:15" s="738" customFormat="1">
      <c r="A86" s="733" t="s">
        <v>94</v>
      </c>
      <c r="B86" s="734"/>
      <c r="C86" s="734"/>
      <c r="D86" s="735" t="s">
        <v>183</v>
      </c>
      <c r="E86" s="708">
        <f>'28'!F86</f>
        <v>458937.88</v>
      </c>
      <c r="F86" s="753">
        <v>459096.76</v>
      </c>
      <c r="G86" s="708">
        <f t="shared" ref="G86:G90" si="7">F86-E86</f>
        <v>158.88000000000466</v>
      </c>
      <c r="H86" s="708">
        <f t="shared" ref="H86:H88" si="8">G86</f>
        <v>158.88000000000466</v>
      </c>
      <c r="I86" s="655"/>
      <c r="J86" s="710">
        <f>H86/DAY(B2)</f>
        <v>5.4786206896553331</v>
      </c>
      <c r="K86" s="736"/>
      <c r="L86" s="737"/>
      <c r="N86" s="774"/>
      <c r="O86" s="774"/>
    </row>
    <row r="87" spans="1:15" s="738" customFormat="1">
      <c r="A87" s="733" t="s">
        <v>95</v>
      </c>
      <c r="B87" s="734"/>
      <c r="C87" s="734"/>
      <c r="D87" s="735" t="s">
        <v>183</v>
      </c>
      <c r="E87" s="708">
        <f>'28'!F87</f>
        <v>80890.2</v>
      </c>
      <c r="F87" s="753">
        <v>80905</v>
      </c>
      <c r="G87" s="708">
        <f t="shared" si="7"/>
        <v>14.80000000000291</v>
      </c>
      <c r="H87" s="708">
        <f t="shared" si="8"/>
        <v>14.80000000000291</v>
      </c>
      <c r="I87" s="655"/>
      <c r="J87" s="710">
        <f>H87/DAY(B2)</f>
        <v>0.51034482758630728</v>
      </c>
      <c r="K87" s="736"/>
      <c r="L87" s="737"/>
      <c r="N87" s="774"/>
      <c r="O87" s="774"/>
    </row>
    <row r="88" spans="1:15" s="738" customFormat="1">
      <c r="A88" s="733" t="s">
        <v>96</v>
      </c>
      <c r="B88" s="734"/>
      <c r="C88" s="734"/>
      <c r="D88" s="735" t="s">
        <v>183</v>
      </c>
      <c r="E88" s="708">
        <f>'28'!F88</f>
        <v>151758.32999999999</v>
      </c>
      <c r="F88" s="753">
        <v>151781</v>
      </c>
      <c r="G88" s="708">
        <f t="shared" si="7"/>
        <v>22.670000000012806</v>
      </c>
      <c r="H88" s="708">
        <f t="shared" si="8"/>
        <v>22.670000000012806</v>
      </c>
      <c r="I88" s="655"/>
      <c r="J88" s="710">
        <f>H88/DAY(B2)</f>
        <v>0.7817241379314761</v>
      </c>
      <c r="K88" s="736"/>
      <c r="L88" s="737"/>
      <c r="N88" s="774">
        <f>122+359</f>
        <v>481</v>
      </c>
      <c r="O88" s="774"/>
    </row>
    <row r="89" spans="1:15" s="738" customFormat="1">
      <c r="A89" s="733" t="s">
        <v>204</v>
      </c>
      <c r="B89" s="734"/>
      <c r="C89" s="734"/>
      <c r="D89" s="735" t="s">
        <v>183</v>
      </c>
      <c r="E89" s="708">
        <f>'28'!F89</f>
        <v>64760.9</v>
      </c>
      <c r="F89" s="650">
        <v>64803.8</v>
      </c>
      <c r="G89" s="708">
        <f t="shared" si="7"/>
        <v>42.900000000001455</v>
      </c>
      <c r="H89" s="708">
        <f>G89</f>
        <v>42.900000000001455</v>
      </c>
      <c r="I89" s="655"/>
      <c r="J89" s="710">
        <f>H89/DAY(B2)</f>
        <v>1.4793103448276363</v>
      </c>
      <c r="K89" s="736"/>
      <c r="L89" s="737"/>
    </row>
    <row r="90" spans="1:15" s="738" customFormat="1">
      <c r="A90" s="733" t="s">
        <v>204</v>
      </c>
      <c r="B90" s="734"/>
      <c r="C90" s="734"/>
      <c r="D90" s="735" t="s">
        <v>183</v>
      </c>
      <c r="E90" s="708">
        <f>'28'!F90</f>
        <v>3272.4</v>
      </c>
      <c r="F90" s="650">
        <v>3272.4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</row>
    <row r="91" spans="1:15" s="379" customFormat="1">
      <c r="A91" s="606" t="s">
        <v>205</v>
      </c>
      <c r="B91" s="1150"/>
      <c r="C91" s="1150"/>
      <c r="D91" s="472"/>
      <c r="E91" s="742"/>
      <c r="F91" s="742"/>
      <c r="G91" s="488"/>
      <c r="H91" s="472"/>
      <c r="I91" s="472"/>
      <c r="J91" s="551"/>
      <c r="K91" s="380"/>
      <c r="L91" s="378"/>
      <c r="N91" s="773"/>
      <c r="O91" s="773"/>
    </row>
    <row r="92" spans="1:15" ht="27.75">
      <c r="A92" s="1520" t="s">
        <v>206</v>
      </c>
      <c r="B92" s="1521"/>
      <c r="C92" s="1522"/>
      <c r="D92" s="523" t="s">
        <v>144</v>
      </c>
      <c r="E92" s="762">
        <f>'28'!F92</f>
        <v>244451</v>
      </c>
      <c r="F92" s="741">
        <v>244468</v>
      </c>
      <c r="G92" s="473">
        <f>F92-E92</f>
        <v>17</v>
      </c>
      <c r="H92" s="460">
        <f>G92+'28'!H92</f>
        <v>1822</v>
      </c>
      <c r="I92" s="480"/>
      <c r="J92" s="552">
        <f>H92/DAY(B2)</f>
        <v>62.827586206896555</v>
      </c>
      <c r="K92" s="429"/>
      <c r="L92" s="377"/>
    </row>
    <row r="93" spans="1:15" ht="27.75">
      <c r="A93" s="1520" t="s">
        <v>207</v>
      </c>
      <c r="B93" s="1521"/>
      <c r="C93" s="1522"/>
      <c r="D93" s="523" t="s">
        <v>144</v>
      </c>
      <c r="E93" s="762">
        <f>'28'!F93</f>
        <v>183394</v>
      </c>
      <c r="F93" s="741">
        <v>183446</v>
      </c>
      <c r="G93" s="473">
        <f>F93-E93</f>
        <v>52</v>
      </c>
      <c r="H93" s="460">
        <f>G93+'28'!H93</f>
        <v>3767</v>
      </c>
      <c r="I93" s="480"/>
      <c r="J93" s="552">
        <f>H93/DAY(B2)</f>
        <v>129.89655172413794</v>
      </c>
      <c r="K93" s="380"/>
      <c r="L93" s="377"/>
    </row>
    <row r="94" spans="1:15">
      <c r="A94" s="1548" t="s">
        <v>208</v>
      </c>
      <c r="B94" s="1549"/>
      <c r="C94" s="1550"/>
      <c r="D94" s="523"/>
      <c r="E94" s="762"/>
      <c r="F94" s="741"/>
      <c r="G94" s="473">
        <f>G92+G93</f>
        <v>69</v>
      </c>
      <c r="H94" s="460">
        <f>G94+'28'!H94</f>
        <v>5370</v>
      </c>
      <c r="I94" s="480"/>
      <c r="J94" s="552">
        <f>H94/DAY(B2)</f>
        <v>185.17241379310346</v>
      </c>
      <c r="K94" s="380"/>
      <c r="L94" s="377"/>
    </row>
    <row r="95" spans="1:15" ht="27.75">
      <c r="A95" s="1520" t="s">
        <v>209</v>
      </c>
      <c r="B95" s="1521"/>
      <c r="C95" s="1522"/>
      <c r="D95" s="523" t="s">
        <v>144</v>
      </c>
      <c r="E95" s="762">
        <f>'28'!F95</f>
        <v>412753</v>
      </c>
      <c r="F95" s="741">
        <v>412812</v>
      </c>
      <c r="G95" s="473">
        <f t="shared" ref="G95:G100" si="9">F95-E95</f>
        <v>59</v>
      </c>
      <c r="H95" s="460">
        <f>G95+'28'!H95</f>
        <v>2027</v>
      </c>
      <c r="I95" s="480"/>
      <c r="J95" s="552">
        <f>H95/DAY(B2)</f>
        <v>69.896551724137936</v>
      </c>
      <c r="K95" s="380"/>
      <c r="L95" s="377"/>
    </row>
    <row r="96" spans="1:15" ht="27.75">
      <c r="A96" s="1144" t="s">
        <v>210</v>
      </c>
      <c r="B96" s="1145"/>
      <c r="C96" s="1145"/>
      <c r="D96" s="523" t="s">
        <v>144</v>
      </c>
      <c r="E96" s="762">
        <f>'28'!F96</f>
        <v>102327</v>
      </c>
      <c r="F96" s="741">
        <v>102333</v>
      </c>
      <c r="G96" s="473">
        <f t="shared" si="9"/>
        <v>6</v>
      </c>
      <c r="H96" s="460">
        <f>G96+'28'!H96</f>
        <v>502</v>
      </c>
      <c r="I96" s="480"/>
      <c r="J96" s="552">
        <f>H96/DAY(B2)</f>
        <v>17.310344827586206</v>
      </c>
      <c r="K96" s="427"/>
      <c r="L96" s="377"/>
    </row>
    <row r="97" spans="1:15" ht="27.75">
      <c r="A97" s="1144" t="s">
        <v>211</v>
      </c>
      <c r="B97" s="1145"/>
      <c r="C97" s="1145"/>
      <c r="D97" s="523" t="s">
        <v>144</v>
      </c>
      <c r="E97" s="762">
        <f>'28'!F97</f>
        <v>97397</v>
      </c>
      <c r="F97" s="741">
        <v>97411</v>
      </c>
      <c r="G97" s="473">
        <f t="shared" si="9"/>
        <v>14</v>
      </c>
      <c r="H97" s="460">
        <f>G97+'28'!H97</f>
        <v>483</v>
      </c>
      <c r="I97" s="480"/>
      <c r="J97" s="552">
        <f>H97/DAY(B2)</f>
        <v>16.655172413793103</v>
      </c>
      <c r="K97" s="432"/>
      <c r="L97" s="377"/>
    </row>
    <row r="98" spans="1:15" ht="27.75">
      <c r="A98" s="1144" t="s">
        <v>212</v>
      </c>
      <c r="B98" s="1145"/>
      <c r="C98" s="1145"/>
      <c r="D98" s="523" t="s">
        <v>144</v>
      </c>
      <c r="E98" s="762">
        <f>'28'!F98</f>
        <v>149519</v>
      </c>
      <c r="F98" s="741">
        <v>149525</v>
      </c>
      <c r="G98" s="473">
        <f t="shared" si="9"/>
        <v>6</v>
      </c>
      <c r="H98" s="460">
        <f>G98+'28'!H98</f>
        <v>616</v>
      </c>
      <c r="I98" s="480"/>
      <c r="J98" s="552">
        <f>H98/DAY(B2)</f>
        <v>21.241379310344829</v>
      </c>
      <c r="K98" s="380"/>
      <c r="L98" s="377"/>
    </row>
    <row r="99" spans="1:15" ht="27.75">
      <c r="A99" s="1144" t="s">
        <v>213</v>
      </c>
      <c r="B99" s="1145"/>
      <c r="C99" s="1145"/>
      <c r="D99" s="523" t="s">
        <v>144</v>
      </c>
      <c r="E99" s="762">
        <f>'28'!F99</f>
        <v>7178</v>
      </c>
      <c r="F99" s="741">
        <v>7181</v>
      </c>
      <c r="G99" s="473">
        <f t="shared" si="9"/>
        <v>3</v>
      </c>
      <c r="H99" s="460">
        <f>G99+'28'!H99</f>
        <v>326</v>
      </c>
      <c r="I99" s="480"/>
      <c r="J99" s="552">
        <f>H99/DAY(B2)</f>
        <v>11.241379310344827</v>
      </c>
      <c r="K99" s="380"/>
      <c r="L99" s="377"/>
    </row>
    <row r="100" spans="1:15" ht="27.75">
      <c r="A100" s="1144" t="s">
        <v>214</v>
      </c>
      <c r="B100" s="1145"/>
      <c r="C100" s="1145"/>
      <c r="D100" s="523" t="s">
        <v>144</v>
      </c>
      <c r="E100" s="762">
        <f>'28'!F100</f>
        <v>5130</v>
      </c>
      <c r="F100" s="741">
        <v>5133</v>
      </c>
      <c r="G100" s="473">
        <f t="shared" si="9"/>
        <v>3</v>
      </c>
      <c r="H100" s="460">
        <f>G100+'28'!H100</f>
        <v>190</v>
      </c>
      <c r="I100" s="480"/>
      <c r="J100" s="552">
        <f>H100/DAY(B2)</f>
        <v>6.5517241379310347</v>
      </c>
      <c r="K100" s="380"/>
      <c r="L100" s="377"/>
    </row>
    <row r="101" spans="1:15">
      <c r="A101" s="1548" t="s">
        <v>216</v>
      </c>
      <c r="B101" s="1549"/>
      <c r="C101" s="1550"/>
      <c r="D101" s="524"/>
      <c r="E101" s="486"/>
      <c r="F101" s="486"/>
      <c r="G101" s="525">
        <f>SUM(G95:G100)</f>
        <v>91</v>
      </c>
      <c r="H101" s="460">
        <f>G101+'28'!H101</f>
        <v>4144</v>
      </c>
      <c r="I101" s="526"/>
      <c r="J101" s="552">
        <f>H101/DAY(B2)</f>
        <v>142.89655172413794</v>
      </c>
      <c r="K101" s="380"/>
      <c r="L101" s="377"/>
    </row>
    <row r="102" spans="1:15" s="442" customFormat="1" ht="27">
      <c r="A102" s="607" t="s">
        <v>217</v>
      </c>
      <c r="B102" s="608"/>
      <c r="C102" s="608"/>
      <c r="D102" s="621"/>
      <c r="E102" s="768"/>
      <c r="F102" s="754"/>
      <c r="G102" s="529"/>
      <c r="H102" s="530"/>
      <c r="I102" s="531"/>
      <c r="J102" s="557"/>
      <c r="N102" s="773"/>
      <c r="O102" s="773"/>
    </row>
    <row r="103" spans="1:15" s="442" customFormat="1" ht="27">
      <c r="A103" s="1551" t="s">
        <v>218</v>
      </c>
      <c r="B103" s="1552"/>
      <c r="C103" s="573"/>
      <c r="D103" s="622"/>
      <c r="E103" s="533"/>
      <c r="F103" s="755"/>
      <c r="G103" s="532"/>
      <c r="H103" s="533"/>
      <c r="I103" s="532"/>
      <c r="J103" s="558"/>
      <c r="N103" s="773"/>
      <c r="O103" s="773"/>
    </row>
    <row r="104" spans="1:15" s="442" customFormat="1" ht="27">
      <c r="A104" s="1512" t="s">
        <v>219</v>
      </c>
      <c r="B104" s="1513"/>
      <c r="C104" s="1143"/>
      <c r="D104" s="622" t="s">
        <v>144</v>
      </c>
      <c r="E104" s="533">
        <f>'28'!F104</f>
        <v>7431</v>
      </c>
      <c r="F104" s="755">
        <v>7431</v>
      </c>
      <c r="G104" s="532">
        <f>F104-E104</f>
        <v>0</v>
      </c>
      <c r="H104" s="533">
        <f>SUM(G104+'1'!G76)</f>
        <v>59</v>
      </c>
      <c r="I104" s="532"/>
      <c r="J104" s="558">
        <f>H104/DAY(B2)</f>
        <v>2.0344827586206895</v>
      </c>
      <c r="N104" s="773"/>
      <c r="O104" s="773"/>
    </row>
    <row r="105" spans="1:15" s="442" customFormat="1" ht="27">
      <c r="A105" s="1512" t="s">
        <v>77</v>
      </c>
      <c r="B105" s="1513"/>
      <c r="C105" s="1143"/>
      <c r="D105" s="622" t="s">
        <v>144</v>
      </c>
      <c r="E105" s="533">
        <f>'28'!F105</f>
        <v>35819</v>
      </c>
      <c r="F105" s="663">
        <v>35828</v>
      </c>
      <c r="G105" s="532">
        <f t="shared" ref="G105:G106" si="10">F105-E105</f>
        <v>9</v>
      </c>
      <c r="H105" s="533">
        <f>SUM(G105+'1'!G77)</f>
        <v>59</v>
      </c>
      <c r="I105" s="532"/>
      <c r="J105" s="558">
        <f>H105/DAY(B2)</f>
        <v>2.0344827586206895</v>
      </c>
      <c r="N105" s="773"/>
      <c r="O105" s="773"/>
    </row>
    <row r="106" spans="1:15" s="442" customFormat="1" ht="27">
      <c r="A106" s="1512" t="s">
        <v>78</v>
      </c>
      <c r="B106" s="1553"/>
      <c r="C106" s="1513"/>
      <c r="D106" s="622" t="s">
        <v>144</v>
      </c>
      <c r="E106" s="533">
        <f>'28'!F106</f>
        <v>19607</v>
      </c>
      <c r="F106" s="663">
        <v>19614</v>
      </c>
      <c r="G106" s="532">
        <f t="shared" si="10"/>
        <v>7</v>
      </c>
      <c r="H106" s="533">
        <f>SUM(G106+'1'!G78)</f>
        <v>402</v>
      </c>
      <c r="I106" s="532"/>
      <c r="J106" s="558">
        <f>H106/DAY(B2)</f>
        <v>13.862068965517242</v>
      </c>
      <c r="N106" s="773"/>
      <c r="O106" s="773"/>
    </row>
    <row r="107" spans="1:15" s="442" customFormat="1" ht="27">
      <c r="A107" s="1514" t="s">
        <v>202</v>
      </c>
      <c r="B107" s="1515"/>
      <c r="C107" s="1143"/>
      <c r="D107" s="622"/>
      <c r="E107" s="533">
        <f>'28'!F107</f>
        <v>0</v>
      </c>
      <c r="F107" s="663"/>
      <c r="G107" s="532">
        <f>SUM(G104:G106)</f>
        <v>16</v>
      </c>
      <c r="H107" s="533">
        <f>SUM(G107+'1'!G79)</f>
        <v>210</v>
      </c>
      <c r="I107" s="532"/>
      <c r="J107" s="558">
        <f>H107/DAY(B2)</f>
        <v>7.2413793103448274</v>
      </c>
      <c r="N107" s="773"/>
      <c r="O107" s="773"/>
    </row>
    <row r="108" spans="1:15" s="442" customFormat="1" ht="27">
      <c r="A108" s="1518" t="s">
        <v>79</v>
      </c>
      <c r="B108" s="1519"/>
      <c r="C108" s="1143"/>
      <c r="D108" s="622" t="s">
        <v>144</v>
      </c>
      <c r="E108" s="533">
        <f>'28'!F108</f>
        <v>0</v>
      </c>
      <c r="F108" s="663"/>
      <c r="G108" s="532"/>
      <c r="H108" s="533"/>
      <c r="I108" s="532"/>
      <c r="J108" s="558"/>
      <c r="N108" s="773"/>
      <c r="O108" s="773"/>
    </row>
    <row r="109" spans="1:15" s="442" customFormat="1" ht="27">
      <c r="A109" s="1512" t="s">
        <v>220</v>
      </c>
      <c r="B109" s="1513"/>
      <c r="C109" s="1143"/>
      <c r="D109" s="622" t="s">
        <v>144</v>
      </c>
      <c r="E109" s="533">
        <f>'28'!F109</f>
        <v>60994</v>
      </c>
      <c r="F109" s="663">
        <v>61077</v>
      </c>
      <c r="G109" s="532">
        <f>F109-E109</f>
        <v>83</v>
      </c>
      <c r="H109" s="533">
        <f>SUM(G109+'1'!G81)</f>
        <v>281</v>
      </c>
      <c r="I109" s="532"/>
      <c r="J109" s="558">
        <f>H109/DAY(B2)</f>
        <v>9.6896551724137936</v>
      </c>
      <c r="N109" s="773"/>
      <c r="O109" s="773"/>
    </row>
    <row r="110" spans="1:15" s="442" customFormat="1" ht="27">
      <c r="A110" s="1512" t="s">
        <v>221</v>
      </c>
      <c r="B110" s="1513"/>
      <c r="C110" s="1143"/>
      <c r="D110" s="622" t="s">
        <v>144</v>
      </c>
      <c r="E110" s="533">
        <f>'28'!F110</f>
        <v>32213</v>
      </c>
      <c r="F110" s="663">
        <v>32235</v>
      </c>
      <c r="G110" s="532">
        <f t="shared" ref="G110:G111" si="11">F110-E110</f>
        <v>22</v>
      </c>
      <c r="H110" s="533">
        <f>SUM(G110+'1'!G82)</f>
        <v>45</v>
      </c>
      <c r="I110" s="532"/>
      <c r="J110" s="558">
        <f>H110/DAY(B2)</f>
        <v>1.5517241379310345</v>
      </c>
      <c r="N110" s="773"/>
      <c r="O110" s="773"/>
    </row>
    <row r="111" spans="1:15" s="442" customFormat="1" ht="27">
      <c r="A111" s="1512" t="s">
        <v>222</v>
      </c>
      <c r="B111" s="1513"/>
      <c r="C111" s="1143"/>
      <c r="D111" s="622" t="s">
        <v>144</v>
      </c>
      <c r="E111" s="533">
        <f>'28'!F111</f>
        <v>4363</v>
      </c>
      <c r="F111" s="663">
        <v>4368</v>
      </c>
      <c r="G111" s="534">
        <f t="shared" si="11"/>
        <v>5</v>
      </c>
      <c r="H111" s="533">
        <f>SUM(G111+'1'!G83)</f>
        <v>244</v>
      </c>
      <c r="I111" s="532"/>
      <c r="J111" s="558">
        <f>H111/DAY(B2)</f>
        <v>8.4137931034482758</v>
      </c>
      <c r="N111" s="773"/>
      <c r="O111" s="773"/>
    </row>
    <row r="112" spans="1:15" s="442" customFormat="1" ht="27">
      <c r="A112" s="1514" t="s">
        <v>110</v>
      </c>
      <c r="B112" s="1515"/>
      <c r="C112" s="1143"/>
      <c r="D112" s="622"/>
      <c r="E112" s="533">
        <f>'28'!F112</f>
        <v>0</v>
      </c>
      <c r="F112" s="663"/>
      <c r="G112" s="532">
        <f>SUM(G109:G111)</f>
        <v>110</v>
      </c>
      <c r="H112" s="533">
        <f>SUM(G112+'1'!G84)</f>
        <v>1025</v>
      </c>
      <c r="I112" s="532"/>
      <c r="J112" s="558">
        <f>H112/DAY(B2)</f>
        <v>35.344827586206897</v>
      </c>
      <c r="N112" s="773"/>
      <c r="O112" s="773"/>
    </row>
    <row r="113" spans="1:15" s="442" customFormat="1" ht="27">
      <c r="A113" s="1518" t="s">
        <v>223</v>
      </c>
      <c r="B113" s="1519"/>
      <c r="C113" s="1143"/>
      <c r="D113" s="622"/>
      <c r="E113" s="533">
        <f>'28'!F113</f>
        <v>0</v>
      </c>
      <c r="F113" s="663"/>
      <c r="G113" s="532"/>
      <c r="H113" s="533"/>
      <c r="I113" s="532"/>
      <c r="J113" s="558">
        <f>H113/DAY(B2)</f>
        <v>0</v>
      </c>
      <c r="N113" s="773"/>
      <c r="O113" s="773"/>
    </row>
    <row r="114" spans="1:15" s="442" customFormat="1" ht="27">
      <c r="A114" s="1512" t="s">
        <v>224</v>
      </c>
      <c r="B114" s="1513"/>
      <c r="C114" s="574"/>
      <c r="D114" s="622" t="s">
        <v>144</v>
      </c>
      <c r="E114" s="533">
        <f>'28'!F114</f>
        <v>11249</v>
      </c>
      <c r="F114" s="663">
        <v>11254</v>
      </c>
      <c r="G114" s="534">
        <f>F114-E114</f>
        <v>5</v>
      </c>
      <c r="H114" s="533">
        <f>SUM(G114+'1'!G91)</f>
        <v>5</v>
      </c>
      <c r="I114" s="532"/>
      <c r="J114" s="558">
        <f>H114/DAY(B2)</f>
        <v>0.17241379310344829</v>
      </c>
      <c r="N114" s="773"/>
      <c r="O114" s="773"/>
    </row>
    <row r="115" spans="1:15" s="442" customFormat="1" ht="27">
      <c r="A115" s="1512" t="s">
        <v>225</v>
      </c>
      <c r="B115" s="1513"/>
      <c r="C115" s="574"/>
      <c r="D115" s="622" t="s">
        <v>144</v>
      </c>
      <c r="E115" s="533">
        <f>'28'!F115</f>
        <v>8121</v>
      </c>
      <c r="F115" s="663">
        <v>8123</v>
      </c>
      <c r="G115" s="534">
        <f t="shared" ref="G115:G116" si="12">F115-E115</f>
        <v>2</v>
      </c>
      <c r="H115" s="533">
        <f>SUM(G115+'1'!G92)</f>
        <v>94</v>
      </c>
      <c r="I115" s="532"/>
      <c r="J115" s="558">
        <f>H115/DAY(B2)</f>
        <v>3.2413793103448274</v>
      </c>
      <c r="N115" s="773"/>
      <c r="O115" s="773"/>
    </row>
    <row r="116" spans="1:15" s="442" customFormat="1" ht="27">
      <c r="A116" s="1512" t="s">
        <v>226</v>
      </c>
      <c r="B116" s="1513"/>
      <c r="C116" s="574"/>
      <c r="D116" s="622" t="s">
        <v>144</v>
      </c>
      <c r="E116" s="536"/>
      <c r="F116" s="663"/>
      <c r="G116" s="534">
        <f t="shared" si="12"/>
        <v>0</v>
      </c>
      <c r="H116" s="533">
        <f>SUM(G116+'1'!G93)</f>
        <v>127</v>
      </c>
      <c r="I116" s="532"/>
      <c r="J116" s="558">
        <f>H116/DAY(B2)</f>
        <v>4.3793103448275863</v>
      </c>
      <c r="N116" s="773"/>
      <c r="O116" s="773"/>
    </row>
    <row r="117" spans="1:15" s="445" customFormat="1" ht="27">
      <c r="A117" s="1514" t="s">
        <v>202</v>
      </c>
      <c r="B117" s="1515"/>
      <c r="C117" s="574"/>
      <c r="D117" s="623"/>
      <c r="E117" s="536"/>
      <c r="F117" s="663"/>
      <c r="G117" s="534">
        <f>SUM(G114:G116)</f>
        <v>7</v>
      </c>
      <c r="H117" s="533">
        <f>SUM(G117+'1'!G95)</f>
        <v>84</v>
      </c>
      <c r="I117" s="534"/>
      <c r="J117" s="558">
        <f>H117/DAY(B2)</f>
        <v>2.896551724137931</v>
      </c>
      <c r="N117" s="773"/>
      <c r="O117" s="774"/>
    </row>
    <row r="118" spans="1:15" s="446" customFormat="1" ht="27">
      <c r="A118" s="1508" t="s">
        <v>227</v>
      </c>
      <c r="B118" s="1509"/>
      <c r="C118" s="1141"/>
      <c r="D118" s="624" t="s">
        <v>144</v>
      </c>
      <c r="E118" s="536"/>
      <c r="F118" s="663"/>
      <c r="G118" s="536">
        <f>SUM(G19+G92)</f>
        <v>72</v>
      </c>
      <c r="H118" s="533">
        <f>SUM(G118+'1'!G96)</f>
        <v>89</v>
      </c>
      <c r="I118" s="535"/>
      <c r="J118" s="559">
        <f>H118/DAY(B2)</f>
        <v>3.0689655172413794</v>
      </c>
      <c r="N118" s="773"/>
      <c r="O118" s="774"/>
    </row>
    <row r="119" spans="1:15" s="446" customFormat="1" ht="27">
      <c r="A119" s="1508" t="s">
        <v>228</v>
      </c>
      <c r="B119" s="1509"/>
      <c r="C119" s="1141"/>
      <c r="D119" s="624" t="s">
        <v>144</v>
      </c>
      <c r="E119" s="536"/>
      <c r="F119" s="663"/>
      <c r="G119" s="536">
        <f>SUM(G95,G96,G97,G99,G100)</f>
        <v>85</v>
      </c>
      <c r="H119" s="533">
        <f>SUM(G119+'1'!G98)</f>
        <v>113</v>
      </c>
      <c r="I119" s="535"/>
      <c r="J119" s="559">
        <f>H119/DAY(B2)</f>
        <v>3.896551724137931</v>
      </c>
      <c r="N119" s="773"/>
      <c r="O119" s="774"/>
    </row>
    <row r="120" spans="1:15" s="446" customFormat="1" ht="27">
      <c r="A120" s="1508" t="s">
        <v>229</v>
      </c>
      <c r="B120" s="1509"/>
      <c r="C120" s="1141"/>
      <c r="D120" s="624" t="s">
        <v>144</v>
      </c>
      <c r="E120" s="536"/>
      <c r="F120" s="663"/>
      <c r="G120" s="534">
        <f>SUM(G112)</f>
        <v>110</v>
      </c>
      <c r="H120" s="533">
        <f>SUM(G120+'1'!G100)</f>
        <v>116</v>
      </c>
      <c r="I120" s="535"/>
      <c r="J120" s="559">
        <f>H120/DAY(B2)</f>
        <v>4</v>
      </c>
      <c r="N120" s="773"/>
      <c r="O120" s="774"/>
    </row>
    <row r="121" spans="1:15" s="442" customFormat="1" ht="27">
      <c r="A121" s="1510"/>
      <c r="B121" s="1511"/>
      <c r="C121" s="1142"/>
      <c r="D121" s="560"/>
      <c r="E121" s="769"/>
      <c r="F121" s="756"/>
      <c r="G121" s="560"/>
      <c r="H121" s="561"/>
      <c r="I121" s="560"/>
      <c r="J121" s="562"/>
      <c r="N121" s="773"/>
      <c r="O121" s="773"/>
    </row>
    <row r="122" spans="1:15">
      <c r="A122" s="1545" t="s">
        <v>230</v>
      </c>
      <c r="B122" s="1546"/>
      <c r="C122" s="1547"/>
      <c r="D122" s="472"/>
      <c r="E122" s="742"/>
      <c r="F122" s="742"/>
      <c r="G122" s="483"/>
      <c r="H122" s="483"/>
      <c r="I122" s="483"/>
      <c r="J122" s="563"/>
      <c r="K122" s="380"/>
      <c r="L122" s="377"/>
    </row>
    <row r="123" spans="1:15" ht="27.75">
      <c r="A123" s="1144" t="s">
        <v>231</v>
      </c>
      <c r="B123" s="1145"/>
      <c r="C123" s="1145"/>
      <c r="D123" s="523" t="s">
        <v>141</v>
      </c>
      <c r="E123" s="741">
        <f>'28'!F123</f>
        <v>825693.48</v>
      </c>
      <c r="F123" s="741">
        <v>825896.04</v>
      </c>
      <c r="G123" s="473">
        <f t="shared" ref="G123:G127" si="13">F123-E123</f>
        <v>202.56000000005588</v>
      </c>
      <c r="H123" s="460">
        <f>G123+'28'!H123</f>
        <v>7086.0400000000373</v>
      </c>
      <c r="I123" s="526"/>
      <c r="J123" s="552">
        <f>H123/DAY(B2)</f>
        <v>244.34620689655301</v>
      </c>
      <c r="K123" s="380"/>
      <c r="L123" s="377"/>
    </row>
    <row r="124" spans="1:15" ht="27.75">
      <c r="A124" s="1144" t="s">
        <v>232</v>
      </c>
      <c r="B124" s="1145"/>
      <c r="C124" s="1145"/>
      <c r="D124" s="523" t="s">
        <v>141</v>
      </c>
      <c r="E124" s="741">
        <f>'28'!F124</f>
        <v>73583.399999999994</v>
      </c>
      <c r="F124" s="757">
        <v>73583</v>
      </c>
      <c r="G124" s="473">
        <f t="shared" si="13"/>
        <v>-0.39999999999417923</v>
      </c>
      <c r="H124" s="460">
        <f>G124+'28'!H124</f>
        <v>-0.39999999999417923</v>
      </c>
      <c r="I124" s="526"/>
      <c r="J124" s="552">
        <f>H124/DAY(B2)</f>
        <v>-1.3793103448075146E-2</v>
      </c>
      <c r="K124" s="380"/>
      <c r="L124" s="377"/>
    </row>
    <row r="125" spans="1:15" ht="27.75">
      <c r="A125" s="1499" t="s">
        <v>233</v>
      </c>
      <c r="B125" s="1500"/>
      <c r="C125" s="1501"/>
      <c r="D125" s="523" t="s">
        <v>141</v>
      </c>
      <c r="E125" s="741">
        <f>'28'!F125</f>
        <v>144542</v>
      </c>
      <c r="F125" s="741">
        <v>144610</v>
      </c>
      <c r="G125" s="473">
        <f t="shared" si="13"/>
        <v>68</v>
      </c>
      <c r="H125" s="460">
        <f>G125+'28'!H125</f>
        <v>2474</v>
      </c>
      <c r="I125" s="526"/>
      <c r="J125" s="552">
        <f>H125/DAY(B2)</f>
        <v>85.310344827586206</v>
      </c>
      <c r="K125" s="380"/>
      <c r="L125" s="377"/>
    </row>
    <row r="126" spans="1:15" ht="27.75">
      <c r="A126" s="609" t="s">
        <v>234</v>
      </c>
      <c r="B126" s="1145"/>
      <c r="C126" s="1145"/>
      <c r="D126" s="523" t="s">
        <v>141</v>
      </c>
      <c r="E126" s="741">
        <f>'28'!F126</f>
        <v>31404</v>
      </c>
      <c r="F126" s="757">
        <v>31404</v>
      </c>
      <c r="G126" s="473">
        <f t="shared" si="13"/>
        <v>0</v>
      </c>
      <c r="H126" s="460">
        <f>G126+'28'!H126</f>
        <v>85.299999999999272</v>
      </c>
      <c r="I126" s="526"/>
      <c r="J126" s="552">
        <f>H126/DAY(B2)</f>
        <v>2.9413793103448027</v>
      </c>
      <c r="K126" s="380"/>
      <c r="L126" s="377"/>
    </row>
    <row r="127" spans="1:15" ht="27.75">
      <c r="A127" s="609" t="s">
        <v>235</v>
      </c>
      <c r="B127" s="1145"/>
      <c r="C127" s="1145"/>
      <c r="D127" s="523" t="s">
        <v>141</v>
      </c>
      <c r="E127" s="741">
        <f>'28'!F127</f>
        <v>8970</v>
      </c>
      <c r="F127" s="757">
        <v>8969.7000000000007</v>
      </c>
      <c r="G127" s="473">
        <f t="shared" si="13"/>
        <v>-0.2999999999992724</v>
      </c>
      <c r="H127" s="460">
        <f>G127+'28'!H127</f>
        <v>7.7000000000007276</v>
      </c>
      <c r="I127" s="480"/>
      <c r="J127" s="552">
        <f>H127/DAY(B2)</f>
        <v>0.26551724137933541</v>
      </c>
      <c r="K127" s="380"/>
      <c r="L127" s="377"/>
    </row>
    <row r="128" spans="1:15" s="281" customFormat="1" ht="27">
      <c r="A128" s="609" t="s">
        <v>236</v>
      </c>
      <c r="B128" s="1145"/>
      <c r="C128" s="1145"/>
      <c r="D128" s="523"/>
      <c r="E128" s="741"/>
      <c r="F128" s="741"/>
      <c r="G128" s="473">
        <f>G15-SUM(G123:G127)</f>
        <v>373.16999999996551</v>
      </c>
      <c r="H128" s="460"/>
      <c r="I128" s="480"/>
      <c r="J128" s="552"/>
      <c r="K128" s="364"/>
      <c r="L128" s="292"/>
      <c r="N128" s="773"/>
      <c r="O128" s="773"/>
    </row>
    <row r="129" spans="1:12">
      <c r="A129" s="610" t="s">
        <v>237</v>
      </c>
      <c r="B129" s="458"/>
      <c r="C129" s="458"/>
      <c r="D129" s="471"/>
      <c r="E129" s="495"/>
      <c r="F129" s="495"/>
      <c r="G129" s="540"/>
      <c r="H129" s="540"/>
      <c r="I129" s="540"/>
      <c r="J129" s="564"/>
    </row>
    <row r="130" spans="1:12" ht="27.75">
      <c r="A130" s="1144" t="s">
        <v>238</v>
      </c>
      <c r="B130" s="1145"/>
      <c r="C130" s="1145"/>
      <c r="D130" s="523" t="s">
        <v>239</v>
      </c>
      <c r="E130" s="762">
        <f>'28'!F130</f>
        <v>0</v>
      </c>
      <c r="F130" s="741"/>
      <c r="G130" s="473">
        <f t="shared" ref="G130:G140" si="14">F130-E130</f>
        <v>0</v>
      </c>
      <c r="H130" s="460">
        <f>G130+'28'!H130</f>
        <v>0</v>
      </c>
      <c r="I130" s="480"/>
      <c r="J130" s="552">
        <f>H130/DAY(B2)</f>
        <v>0</v>
      </c>
    </row>
    <row r="131" spans="1:12" ht="27.75">
      <c r="A131" s="1144" t="s">
        <v>240</v>
      </c>
      <c r="B131" s="1145"/>
      <c r="C131" s="1145"/>
      <c r="D131" s="523" t="s">
        <v>239</v>
      </c>
      <c r="E131" s="762">
        <f>'28'!F131</f>
        <v>0</v>
      </c>
      <c r="F131" s="741"/>
      <c r="G131" s="473">
        <f t="shared" si="14"/>
        <v>0</v>
      </c>
      <c r="H131" s="460">
        <f>G131+'28'!H131</f>
        <v>0</v>
      </c>
      <c r="I131" s="480"/>
      <c r="J131" s="552">
        <f>H131/DAY(B2)</f>
        <v>0</v>
      </c>
    </row>
    <row r="132" spans="1:12" ht="27.75">
      <c r="A132" s="1144" t="s">
        <v>241</v>
      </c>
      <c r="B132" s="1145"/>
      <c r="C132" s="1145"/>
      <c r="D132" s="523" t="s">
        <v>239</v>
      </c>
      <c r="E132" s="771">
        <f>'28'!F132</f>
        <v>39703.89</v>
      </c>
      <c r="F132" s="757">
        <v>39728.32</v>
      </c>
      <c r="G132" s="473">
        <f t="shared" si="14"/>
        <v>24.430000000000291</v>
      </c>
      <c r="H132" s="460">
        <f>G132+'28'!H132</f>
        <v>195.31999999999971</v>
      </c>
      <c r="I132" s="480"/>
      <c r="J132" s="552">
        <f>H132/DAY(B2)</f>
        <v>6.7351724137930935</v>
      </c>
    </row>
    <row r="133" spans="1:12" ht="27.75">
      <c r="A133" s="1144" t="s">
        <v>242</v>
      </c>
      <c r="B133" s="1145"/>
      <c r="C133" s="1145"/>
      <c r="D133" s="523" t="s">
        <v>239</v>
      </c>
      <c r="E133" s="771">
        <f>'28'!F133</f>
        <v>300</v>
      </c>
      <c r="F133" s="757">
        <v>300</v>
      </c>
      <c r="G133" s="473">
        <f t="shared" si="14"/>
        <v>0</v>
      </c>
      <c r="H133" s="460">
        <f>G133+'28'!H133</f>
        <v>0</v>
      </c>
      <c r="I133" s="480">
        <f>G130+G131+G132+G133</f>
        <v>24.430000000000291</v>
      </c>
      <c r="J133" s="552">
        <f>H133/DAY(B2)</f>
        <v>0</v>
      </c>
    </row>
    <row r="134" spans="1:12" ht="27.75">
      <c r="A134" s="1144" t="s">
        <v>243</v>
      </c>
      <c r="B134" s="1145"/>
      <c r="C134" s="1145"/>
      <c r="D134" s="523" t="s">
        <v>239</v>
      </c>
      <c r="E134" s="771">
        <f>'28'!F134</f>
        <v>41377</v>
      </c>
      <c r="F134" s="757">
        <v>41377</v>
      </c>
      <c r="G134" s="473">
        <f t="shared" si="14"/>
        <v>0</v>
      </c>
      <c r="H134" s="460">
        <f>G134+'28'!H134</f>
        <v>106</v>
      </c>
      <c r="I134" s="480"/>
      <c r="J134" s="552">
        <f>H134/DAY(B2)</f>
        <v>3.6551724137931036</v>
      </c>
    </row>
    <row r="135" spans="1:12" ht="27.75">
      <c r="A135" s="1144" t="s">
        <v>244</v>
      </c>
      <c r="B135" s="1145"/>
      <c r="C135" s="1145"/>
      <c r="D135" s="523" t="s">
        <v>239</v>
      </c>
      <c r="E135" s="767">
        <f>'28'!F135</f>
        <v>32583.09</v>
      </c>
      <c r="F135" s="744">
        <v>32583</v>
      </c>
      <c r="G135" s="473">
        <f t="shared" si="14"/>
        <v>-9.0000000000145519E-2</v>
      </c>
      <c r="H135" s="460">
        <f>G135+'28'!H135</f>
        <v>13.069999999999709</v>
      </c>
      <c r="I135" s="480"/>
      <c r="J135" s="552">
        <f>H135/DAY(B2)</f>
        <v>0.45068965517240378</v>
      </c>
    </row>
    <row r="136" spans="1:12" ht="27.75">
      <c r="A136" s="1144" t="s">
        <v>245</v>
      </c>
      <c r="B136" s="1145"/>
      <c r="C136" s="1145"/>
      <c r="D136" s="523" t="s">
        <v>239</v>
      </c>
      <c r="E136" s="770">
        <f>'28'!F136</f>
        <v>22732.06</v>
      </c>
      <c r="F136" s="748">
        <v>22739.59</v>
      </c>
      <c r="G136" s="473">
        <f t="shared" si="14"/>
        <v>7.5299999999988358</v>
      </c>
      <c r="H136" s="460">
        <f>G136+'28'!H136</f>
        <v>250.93999999999869</v>
      </c>
      <c r="I136" s="480">
        <f>G134+G135+G136</f>
        <v>7.4399999999986903</v>
      </c>
      <c r="J136" s="552">
        <f>H136/DAY(B2)</f>
        <v>8.6531034482758162</v>
      </c>
    </row>
    <row r="137" spans="1:12" ht="27.75">
      <c r="A137" s="1144" t="s">
        <v>246</v>
      </c>
      <c r="B137" s="1145"/>
      <c r="C137" s="1145"/>
      <c r="D137" s="523" t="s">
        <v>239</v>
      </c>
      <c r="E137" s="770">
        <f>'28'!F137</f>
        <v>25051.49</v>
      </c>
      <c r="F137" s="748">
        <v>25051.59</v>
      </c>
      <c r="G137" s="473">
        <f t="shared" si="14"/>
        <v>9.9999999998544808E-2</v>
      </c>
      <c r="H137" s="460">
        <f>G137+'28'!H137</f>
        <v>8.0999999999985448</v>
      </c>
      <c r="I137" s="480"/>
      <c r="J137" s="552">
        <f>H137/DAY(B2)</f>
        <v>0.27931034482753603</v>
      </c>
    </row>
    <row r="138" spans="1:12" ht="27.75">
      <c r="A138" s="1144" t="s">
        <v>247</v>
      </c>
      <c r="B138" s="1145"/>
      <c r="C138" s="1145"/>
      <c r="D138" s="523" t="s">
        <v>239</v>
      </c>
      <c r="E138" s="770">
        <f>'28'!F138</f>
        <v>70306.759999999995</v>
      </c>
      <c r="F138" s="748">
        <v>70306.759999999995</v>
      </c>
      <c r="G138" s="473">
        <f t="shared" si="14"/>
        <v>0</v>
      </c>
      <c r="H138" s="460">
        <f>G138+'28'!H138</f>
        <v>26.529999999998836</v>
      </c>
      <c r="I138" s="480">
        <f>G137+G138</f>
        <v>9.9999999998544808E-2</v>
      </c>
      <c r="J138" s="552">
        <f>H138/DAY(B2)</f>
        <v>0.91482758620685645</v>
      </c>
    </row>
    <row r="139" spans="1:12" ht="27.75">
      <c r="A139" s="1144" t="s">
        <v>248</v>
      </c>
      <c r="B139" s="1145"/>
      <c r="C139" s="1145"/>
      <c r="D139" s="523" t="s">
        <v>239</v>
      </c>
      <c r="E139" s="771">
        <f>'28'!F139</f>
        <v>1601.87</v>
      </c>
      <c r="F139" s="757">
        <v>1609.55</v>
      </c>
      <c r="G139" s="473">
        <f t="shared" si="14"/>
        <v>7.6800000000000637</v>
      </c>
      <c r="H139" s="460">
        <f>G139+'28'!H139</f>
        <v>73.029999999999973</v>
      </c>
      <c r="I139" s="542"/>
      <c r="J139" s="552">
        <f>H139/DAY(B2)</f>
        <v>2.5182758620689647</v>
      </c>
    </row>
    <row r="140" spans="1:12" ht="27.75">
      <c r="A140" s="1144" t="s">
        <v>249</v>
      </c>
      <c r="B140" s="1145"/>
      <c r="C140" s="1145"/>
      <c r="D140" s="523" t="s">
        <v>239</v>
      </c>
      <c r="E140" s="770">
        <f>'28'!F140</f>
        <v>4636.88</v>
      </c>
      <c r="F140" s="741">
        <v>4637</v>
      </c>
      <c r="G140" s="473">
        <f t="shared" si="14"/>
        <v>0.11999999999989086</v>
      </c>
      <c r="H140" s="460">
        <f>G140+'28'!H140</f>
        <v>168.46000000000004</v>
      </c>
      <c r="I140" s="542"/>
      <c r="J140" s="552">
        <f>H140/DAY(B2)</f>
        <v>5.808965517241381</v>
      </c>
    </row>
    <row r="141" spans="1:12">
      <c r="A141" s="1526" t="s">
        <v>250</v>
      </c>
      <c r="B141" s="1527"/>
      <c r="C141" s="1150"/>
      <c r="D141" s="472"/>
      <c r="E141" s="742"/>
      <c r="F141" s="742"/>
      <c r="G141" s="483"/>
      <c r="H141" s="483"/>
      <c r="I141" s="483"/>
      <c r="J141" s="563"/>
      <c r="K141" s="380"/>
      <c r="L141" s="377"/>
    </row>
    <row r="142" spans="1:12" ht="27.75">
      <c r="A142" s="1520" t="s">
        <v>251</v>
      </c>
      <c r="B142" s="1521"/>
      <c r="C142" s="1522"/>
      <c r="D142" s="523" t="s">
        <v>132</v>
      </c>
      <c r="E142" s="460"/>
      <c r="F142" s="460"/>
      <c r="G142" s="460">
        <f>G35+G43+G49+G57</f>
        <v>4127.230000000056</v>
      </c>
      <c r="H142" s="460">
        <f>G142+'28'!H142</f>
        <v>153498.67000000004</v>
      </c>
      <c r="I142" s="480"/>
      <c r="J142" s="552">
        <f>H142/DAY(B2)</f>
        <v>5293.0575862068981</v>
      </c>
      <c r="K142" s="380"/>
      <c r="L142" s="377"/>
    </row>
    <row r="143" spans="1:12" ht="27.75">
      <c r="A143" s="1520" t="s">
        <v>252</v>
      </c>
      <c r="B143" s="1521"/>
      <c r="C143" s="1522"/>
      <c r="D143" s="523" t="s">
        <v>24</v>
      </c>
      <c r="E143" s="470"/>
      <c r="F143" s="470"/>
      <c r="G143" s="543">
        <f>G142/G7</f>
        <v>0.25871184103303807</v>
      </c>
      <c r="H143" s="460">
        <f>G143+'28'!H143</f>
        <v>7.4804587413565899</v>
      </c>
      <c r="I143" s="544"/>
      <c r="J143" s="552">
        <f>H143/DAY(B2)</f>
        <v>0.25794685315022725</v>
      </c>
      <c r="K143" s="380"/>
      <c r="L143" s="377"/>
    </row>
    <row r="144" spans="1:12" ht="27.75">
      <c r="A144" s="1520" t="s">
        <v>253</v>
      </c>
      <c r="B144" s="1521"/>
      <c r="C144" s="1522"/>
      <c r="D144" s="523" t="s">
        <v>132</v>
      </c>
      <c r="E144" s="460"/>
      <c r="F144" s="460"/>
      <c r="G144" s="460">
        <f>G41+G42+G55+G56</f>
        <v>4934.3999999999651</v>
      </c>
      <c r="H144" s="460">
        <f>G144+'28'!H144</f>
        <v>173830.97999999998</v>
      </c>
      <c r="I144" s="480"/>
      <c r="J144" s="552">
        <f>H144/DAY(B2)</f>
        <v>5994.1717241379301</v>
      </c>
      <c r="K144" s="380"/>
      <c r="L144" s="377"/>
    </row>
    <row r="145" spans="1:12" ht="27.75">
      <c r="A145" s="1520" t="s">
        <v>254</v>
      </c>
      <c r="B145" s="1521"/>
      <c r="C145" s="1522"/>
      <c r="D145" s="523" t="s">
        <v>24</v>
      </c>
      <c r="E145" s="460"/>
      <c r="F145" s="460"/>
      <c r="G145" s="543">
        <f>G144/G7</f>
        <v>0.30930859399485772</v>
      </c>
      <c r="H145" s="460">
        <f>G145+'28'!H145</f>
        <v>8.483588474470654</v>
      </c>
      <c r="I145" s="544"/>
      <c r="J145" s="552">
        <f>H145/DAY(B2)</f>
        <v>0.29253753360243634</v>
      </c>
      <c r="K145" s="380"/>
      <c r="L145" s="377"/>
    </row>
    <row r="146" spans="1:12" ht="27.75">
      <c r="A146" s="1520" t="s">
        <v>255</v>
      </c>
      <c r="B146" s="1521"/>
      <c r="C146" s="1522"/>
      <c r="D146" s="523" t="s">
        <v>132</v>
      </c>
      <c r="E146" s="460"/>
      <c r="F146" s="460"/>
      <c r="G146" s="460">
        <f>G39+G53</f>
        <v>2488.8199999999779</v>
      </c>
      <c r="H146" s="460">
        <f>G146+'28'!H146</f>
        <v>103764.23999999999</v>
      </c>
      <c r="I146" s="545"/>
      <c r="J146" s="552">
        <f>H146/DAY(B2)</f>
        <v>3578.0772413793102</v>
      </c>
      <c r="K146" s="380"/>
      <c r="L146" s="377"/>
    </row>
    <row r="147" spans="1:12" ht="27.75">
      <c r="A147" s="1520" t="s">
        <v>256</v>
      </c>
      <c r="B147" s="1521"/>
      <c r="C147" s="1522"/>
      <c r="D147" s="523" t="s">
        <v>24</v>
      </c>
      <c r="E147" s="460"/>
      <c r="F147" s="460"/>
      <c r="G147" s="543">
        <f>G146/G7</f>
        <v>0.15600952798846474</v>
      </c>
      <c r="H147" s="460">
        <f>G147+'28'!H147</f>
        <v>5.0488228958606687</v>
      </c>
      <c r="I147" s="545"/>
      <c r="J147" s="552">
        <f>H147/DAY(B2)</f>
        <v>0.17409734123657478</v>
      </c>
    </row>
    <row r="148" spans="1:12" ht="27.75">
      <c r="A148" s="1520" t="s">
        <v>257</v>
      </c>
      <c r="B148" s="1521"/>
      <c r="C148" s="1522"/>
      <c r="D148" s="523" t="s">
        <v>183</v>
      </c>
      <c r="E148" s="460"/>
      <c r="F148" s="460"/>
      <c r="G148" s="460">
        <f>G38+G52</f>
        <v>1247.8899999999994</v>
      </c>
      <c r="H148" s="460">
        <f>G148+'28'!H148</f>
        <v>45829.309999999954</v>
      </c>
      <c r="I148" s="480"/>
      <c r="J148" s="552">
        <f>H148/DAY(B2)</f>
        <v>1580.3210344827571</v>
      </c>
      <c r="K148" s="381"/>
    </row>
    <row r="149" spans="1:12" ht="27.75">
      <c r="A149" s="1520" t="s">
        <v>258</v>
      </c>
      <c r="B149" s="1521"/>
      <c r="C149" s="1522"/>
      <c r="D149" s="523" t="s">
        <v>24</v>
      </c>
      <c r="E149" s="460"/>
      <c r="F149" s="460"/>
      <c r="G149" s="543">
        <f>G148/G7</f>
        <v>7.8222904782799432E-2</v>
      </c>
      <c r="H149" s="460">
        <f>G149+'28'!H149</f>
        <v>2.2343273706457465</v>
      </c>
      <c r="I149" s="545"/>
      <c r="J149" s="552">
        <f>H149/DAY(B2)</f>
        <v>7.7045771401577465E-2</v>
      </c>
    </row>
    <row r="150" spans="1:12" ht="27.75">
      <c r="A150" s="1520" t="s">
        <v>259</v>
      </c>
      <c r="B150" s="1521"/>
      <c r="C150" s="1522"/>
      <c r="D150" s="523" t="s">
        <v>183</v>
      </c>
      <c r="E150" s="460"/>
      <c r="F150" s="460"/>
      <c r="G150" s="460">
        <f>G36+G50</f>
        <v>1459.5599999999977</v>
      </c>
      <c r="H150" s="460">
        <f>G150+'28'!H150</f>
        <v>58377.94</v>
      </c>
      <c r="I150" s="545"/>
      <c r="J150" s="552">
        <f>H150/DAY(B2)</f>
        <v>2013.0324137931036</v>
      </c>
    </row>
    <row r="151" spans="1:12" ht="27.75">
      <c r="A151" s="1520" t="s">
        <v>260</v>
      </c>
      <c r="B151" s="1521"/>
      <c r="C151" s="1522"/>
      <c r="D151" s="523" t="s">
        <v>24</v>
      </c>
      <c r="E151" s="460"/>
      <c r="F151" s="460"/>
      <c r="G151" s="543">
        <f>G150/G7</f>
        <v>9.14912555632168E-2</v>
      </c>
      <c r="H151" s="460">
        <f>G151+'28'!H151</f>
        <v>2.841989261823247</v>
      </c>
      <c r="I151" s="480"/>
      <c r="J151" s="552">
        <f>H151/DAY(B2)</f>
        <v>9.7999629718043005E-2</v>
      </c>
    </row>
    <row r="152" spans="1:12" ht="27.75">
      <c r="A152" s="1520" t="s">
        <v>261</v>
      </c>
      <c r="B152" s="1521"/>
      <c r="C152" s="1522"/>
      <c r="D152" s="523" t="s">
        <v>183</v>
      </c>
      <c r="E152" s="460"/>
      <c r="F152" s="460"/>
      <c r="G152" s="460">
        <f>G37+G51</f>
        <v>1200.7099999999919</v>
      </c>
      <c r="H152" s="460">
        <f>G152+'28'!H152</f>
        <v>39056.819999999992</v>
      </c>
      <c r="I152" s="480"/>
      <c r="J152" s="552">
        <f>H152/DAY(B2)</f>
        <v>1346.7868965517239</v>
      </c>
    </row>
    <row r="153" spans="1:12" ht="28.5" thickBot="1">
      <c r="A153" s="1523" t="s">
        <v>262</v>
      </c>
      <c r="B153" s="1524"/>
      <c r="C153" s="1525"/>
      <c r="D153" s="625" t="s">
        <v>24</v>
      </c>
      <c r="E153" s="567"/>
      <c r="F153" s="567"/>
      <c r="G153" s="566">
        <f>G152/G7</f>
        <v>7.5265467310223266E-2</v>
      </c>
      <c r="H153" s="460">
        <f>G153+'28'!H153</f>
        <v>1.9089330366458046</v>
      </c>
      <c r="I153" s="568"/>
      <c r="J153" s="569">
        <f>H153/DAY(B2)</f>
        <v>6.5825277125717396E-2</v>
      </c>
    </row>
    <row r="154" spans="1:12">
      <c r="A154" s="466"/>
      <c r="B154" s="456"/>
      <c r="C154" s="456"/>
      <c r="D154" s="546"/>
      <c r="E154" s="548"/>
      <c r="F154" s="758"/>
      <c r="G154" s="546"/>
      <c r="H154" s="547"/>
      <c r="I154" s="546"/>
      <c r="J154" s="548"/>
    </row>
    <row r="160" spans="1:12">
      <c r="A160" s="798" t="s">
        <v>263</v>
      </c>
      <c r="B160" s="799"/>
      <c r="C160" s="799"/>
      <c r="D160" s="620" t="s">
        <v>187</v>
      </c>
      <c r="E160" s="767">
        <f>'28'!F160</f>
        <v>35773</v>
      </c>
      <c r="F160" s="807">
        <v>35854.19</v>
      </c>
      <c r="G160" s="473">
        <f t="shared" ref="G160:G163" si="15">F160-E160</f>
        <v>81.190000000002328</v>
      </c>
    </row>
    <row r="161" spans="1:7">
      <c r="A161" s="798" t="s">
        <v>264</v>
      </c>
      <c r="B161" s="799"/>
      <c r="C161" s="799"/>
      <c r="D161" s="620" t="s">
        <v>187</v>
      </c>
      <c r="E161" s="767">
        <f>'28'!F161</f>
        <v>81442.87</v>
      </c>
      <c r="F161" s="807">
        <v>81901.69</v>
      </c>
      <c r="G161" s="473">
        <f t="shared" si="15"/>
        <v>458.82000000000698</v>
      </c>
    </row>
    <row r="162" spans="1:7">
      <c r="A162" s="798" t="s">
        <v>265</v>
      </c>
      <c r="B162" s="799"/>
      <c r="C162" s="799"/>
      <c r="D162" s="620" t="s">
        <v>187</v>
      </c>
      <c r="E162" s="767">
        <f>'28'!F162</f>
        <v>37287</v>
      </c>
      <c r="F162" s="807">
        <v>37630</v>
      </c>
      <c r="G162" s="473">
        <f t="shared" si="15"/>
        <v>343</v>
      </c>
    </row>
    <row r="163" spans="1:7">
      <c r="A163" s="798" t="s">
        <v>266</v>
      </c>
      <c r="B163" s="799"/>
      <c r="C163" s="799"/>
      <c r="D163" s="620" t="s">
        <v>187</v>
      </c>
      <c r="E163" s="767">
        <f>'28'!F163</f>
        <v>6176.84</v>
      </c>
      <c r="F163" s="807">
        <v>6201.66</v>
      </c>
      <c r="G163" s="473">
        <f t="shared" si="15"/>
        <v>24.819999999999709</v>
      </c>
    </row>
    <row r="164" spans="1:7">
      <c r="A164" s="800" t="s">
        <v>98</v>
      </c>
      <c r="B164" s="801"/>
      <c r="C164" s="801"/>
      <c r="D164" s="620" t="s">
        <v>187</v>
      </c>
      <c r="E164" s="514">
        <f>E62</f>
        <v>20419</v>
      </c>
      <c r="F164" s="514">
        <f>F62</f>
        <v>20419</v>
      </c>
      <c r="G164" s="473">
        <f t="shared" ref="G164:G171" si="16">F164-E164</f>
        <v>0</v>
      </c>
    </row>
    <row r="165" spans="1:7">
      <c r="A165" s="800" t="s">
        <v>188</v>
      </c>
      <c r="B165" s="801"/>
      <c r="C165" s="801"/>
      <c r="D165" s="620" t="s">
        <v>187</v>
      </c>
      <c r="E165" s="514">
        <f t="shared" ref="E165:E171" si="17">E63</f>
        <v>2350.3000000000002</v>
      </c>
      <c r="F165" s="514">
        <f t="shared" ref="F165:F171" si="18">F63</f>
        <v>2355.71</v>
      </c>
      <c r="G165" s="473">
        <f t="shared" si="16"/>
        <v>5.4099999999998545</v>
      </c>
    </row>
    <row r="166" spans="1:7" ht="27.75">
      <c r="A166" s="1565" t="s">
        <v>99</v>
      </c>
      <c r="B166" s="1565"/>
      <c r="C166" s="1565"/>
      <c r="D166" s="524" t="s">
        <v>187</v>
      </c>
      <c r="E166" s="514">
        <f t="shared" si="17"/>
        <v>152738.75</v>
      </c>
      <c r="F166" s="514">
        <f t="shared" si="18"/>
        <v>153063.73000000001</v>
      </c>
      <c r="G166" s="473">
        <f t="shared" si="16"/>
        <v>324.98000000001048</v>
      </c>
    </row>
    <row r="167" spans="1:7" ht="27.75">
      <c r="A167" s="1565" t="s">
        <v>100</v>
      </c>
      <c r="B167" s="1565"/>
      <c r="C167" s="1565"/>
      <c r="D167" s="524" t="s">
        <v>187</v>
      </c>
      <c r="E167" s="514">
        <f t="shared" si="17"/>
        <v>154203.07</v>
      </c>
      <c r="F167" s="514">
        <f t="shared" si="18"/>
        <v>154390.29999999999</v>
      </c>
      <c r="G167" s="473">
        <f t="shared" si="16"/>
        <v>187.22999999998137</v>
      </c>
    </row>
    <row r="168" spans="1:7" ht="27.75">
      <c r="A168" s="1565" t="s">
        <v>101</v>
      </c>
      <c r="B168" s="1565"/>
      <c r="C168" s="1565"/>
      <c r="D168" s="524" t="s">
        <v>187</v>
      </c>
      <c r="E168" s="514">
        <f t="shared" si="17"/>
        <v>48032.37</v>
      </c>
      <c r="F168" s="514">
        <f t="shared" si="18"/>
        <v>48305.58</v>
      </c>
      <c r="G168" s="473">
        <f t="shared" si="16"/>
        <v>273.20999999999913</v>
      </c>
    </row>
    <row r="169" spans="1:7" ht="27.75">
      <c r="A169" s="1565" t="s">
        <v>102</v>
      </c>
      <c r="B169" s="1565"/>
      <c r="C169" s="1565"/>
      <c r="D169" s="524" t="s">
        <v>187</v>
      </c>
      <c r="E169" s="514">
        <f t="shared" si="17"/>
        <v>242687.95</v>
      </c>
      <c r="F169" s="514">
        <f t="shared" si="18"/>
        <v>242893.27</v>
      </c>
      <c r="G169" s="473">
        <f t="shared" si="16"/>
        <v>205.31999999997788</v>
      </c>
    </row>
    <row r="170" spans="1:7" ht="27.75">
      <c r="A170" s="1565" t="s">
        <v>103</v>
      </c>
      <c r="B170" s="1565"/>
      <c r="C170" s="1565"/>
      <c r="D170" s="524" t="s">
        <v>187</v>
      </c>
      <c r="E170" s="514">
        <f t="shared" si="17"/>
        <v>85321</v>
      </c>
      <c r="F170" s="514">
        <f t="shared" si="18"/>
        <v>85321</v>
      </c>
      <c r="G170" s="473">
        <f t="shared" si="16"/>
        <v>0</v>
      </c>
    </row>
    <row r="171" spans="1:7" ht="27.75">
      <c r="A171" s="1565" t="s">
        <v>104</v>
      </c>
      <c r="B171" s="1565"/>
      <c r="C171" s="1565"/>
      <c r="D171" s="524" t="s">
        <v>187</v>
      </c>
      <c r="E171" s="514">
        <f t="shared" si="17"/>
        <v>78814.97</v>
      </c>
      <c r="F171" s="514">
        <f t="shared" si="18"/>
        <v>78874.87</v>
      </c>
      <c r="G171" s="473">
        <f t="shared" si="16"/>
        <v>59.899999999994179</v>
      </c>
    </row>
    <row r="172" spans="1:7">
      <c r="A172" s="802"/>
      <c r="B172" s="803"/>
      <c r="C172" s="803"/>
      <c r="D172" s="804"/>
      <c r="E172" s="806"/>
      <c r="F172" s="1034"/>
      <c r="G172" s="806">
        <f>SUM(G160:G171)</f>
        <v>1963.8799999999719</v>
      </c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72"/>
  <sheetViews>
    <sheetView tabSelected="1" view="pageBreakPreview" zoomScale="60" zoomScaleNormal="55" workbookViewId="0">
      <selection activeCell="H18" sqref="H18:H19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2.109375" style="537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528" t="s">
        <v>117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5" s="281" customFormat="1" ht="27">
      <c r="A2" s="575" t="s">
        <v>344</v>
      </c>
      <c r="B2" s="1116">
        <v>43951</v>
      </c>
      <c r="C2" s="1146" t="s">
        <v>69</v>
      </c>
      <c r="D2" s="611">
        <v>0.77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O2" s="292"/>
    </row>
    <row r="3" spans="1:15" s="281" customFormat="1" ht="27">
      <c r="A3" s="570"/>
      <c r="B3" s="614"/>
      <c r="C3" s="1146" t="s">
        <v>120</v>
      </c>
      <c r="D3" s="612">
        <v>30</v>
      </c>
      <c r="E3" s="1648" t="s">
        <v>121</v>
      </c>
      <c r="F3" s="1648"/>
      <c r="G3" s="462"/>
      <c r="H3" s="463"/>
      <c r="I3" s="463"/>
      <c r="J3" s="615"/>
      <c r="K3" s="371"/>
      <c r="L3" s="292"/>
      <c r="O3" s="1026"/>
    </row>
    <row r="4" spans="1:15" s="281" customFormat="1" ht="27">
      <c r="A4" s="576"/>
      <c r="B4" s="616"/>
      <c r="C4" s="1146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O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366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649" t="s">
        <v>130</v>
      </c>
      <c r="B6" s="1650"/>
      <c r="C6" s="1650"/>
      <c r="D6" s="471"/>
      <c r="E6" s="471"/>
      <c r="F6" s="471"/>
      <c r="G6" s="471"/>
      <c r="H6" s="472"/>
      <c r="I6" s="472"/>
      <c r="J6" s="551"/>
      <c r="K6" s="427"/>
      <c r="L6" s="377"/>
      <c r="O6" s="1027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'29'!F7</f>
        <v>5708695</v>
      </c>
      <c r="F7" s="455">
        <v>5727433</v>
      </c>
      <c r="G7" s="777">
        <f>F7-E7</f>
        <v>18738</v>
      </c>
      <c r="H7" s="460">
        <f>G7+'29'!H7</f>
        <v>613510</v>
      </c>
      <c r="I7" s="474">
        <f>'1'!I7</f>
        <v>12000</v>
      </c>
      <c r="J7" s="552">
        <f>H7/DAY(B2)</f>
        <v>20450.333333333332</v>
      </c>
      <c r="K7" s="549">
        <v>1375467</v>
      </c>
      <c r="L7" s="377"/>
      <c r="N7" s="440">
        <f>F7-'1'!E7</f>
        <v>613510</v>
      </c>
      <c r="O7" s="808"/>
    </row>
    <row r="8" spans="1:15" ht="21.95" customHeight="1" thickBot="1">
      <c r="A8" s="580" t="s">
        <v>133</v>
      </c>
      <c r="B8" s="581"/>
      <c r="C8" s="582"/>
      <c r="D8" s="617" t="s">
        <v>25</v>
      </c>
      <c r="E8" s="475">
        <f>'29'!F8</f>
        <v>5742402</v>
      </c>
      <c r="F8" s="475">
        <v>5761244</v>
      </c>
      <c r="G8" s="476">
        <f>F8-E8</f>
        <v>18842</v>
      </c>
      <c r="H8" s="460">
        <f>G8+'29'!H8</f>
        <v>615926</v>
      </c>
      <c r="I8" s="477"/>
      <c r="J8" s="552">
        <f>H8/DAY(B2)</f>
        <v>20530.866666666665</v>
      </c>
      <c r="K8" s="549">
        <v>1715917</v>
      </c>
      <c r="L8" s="425">
        <v>1728480</v>
      </c>
      <c r="M8" s="440">
        <f>L8-K8</f>
        <v>12563</v>
      </c>
      <c r="N8" s="440">
        <f>F8-'1'!E8</f>
        <v>615926</v>
      </c>
      <c r="O8" s="808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'29'!F9</f>
        <v>972579.91</v>
      </c>
      <c r="F9" s="478">
        <v>990714</v>
      </c>
      <c r="G9" s="473">
        <f t="shared" ref="G9:G12" si="0">F9-E9</f>
        <v>18134.089999999967</v>
      </c>
      <c r="H9" s="460">
        <f>G9+'29'!H9</f>
        <v>594645</v>
      </c>
      <c r="I9" s="479">
        <f>I7-J7</f>
        <v>-8450.3333333333321</v>
      </c>
      <c r="J9" s="552">
        <f>H9/DAY(B2)</f>
        <v>19821.5</v>
      </c>
      <c r="K9" s="428">
        <f>K8-100</f>
        <v>1715817</v>
      </c>
      <c r="L9" s="377"/>
      <c r="N9" s="440">
        <f>F9-'1'!E9</f>
        <v>594645</v>
      </c>
      <c r="O9" s="808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'29'!F10</f>
        <v>2322.58</v>
      </c>
      <c r="F10" s="478">
        <v>2322.58</v>
      </c>
      <c r="G10" s="473">
        <f t="shared" si="0"/>
        <v>0</v>
      </c>
      <c r="H10" s="460">
        <f>G10+'29'!H10</f>
        <v>0</v>
      </c>
      <c r="I10" s="480"/>
      <c r="J10" s="552">
        <f>H10/DAY(B2)</f>
        <v>0</v>
      </c>
      <c r="K10" s="428"/>
      <c r="L10" s="377"/>
      <c r="N10" s="440">
        <f>F10-'1'!E10</f>
        <v>0</v>
      </c>
      <c r="O10" s="808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G11+'29'!H11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808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G12+'29'!H12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808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18134.089999999967</v>
      </c>
      <c r="H13" s="460">
        <f>G13+'29'!H13</f>
        <v>574454.3600000001</v>
      </c>
      <c r="I13" s="482">
        <f>G7-G13</f>
        <v>603.9100000000326</v>
      </c>
      <c r="J13" s="552">
        <f>H13/DAY(B2)</f>
        <v>19148.47866666667</v>
      </c>
      <c r="K13" s="428"/>
      <c r="L13" s="377"/>
      <c r="N13" s="440">
        <f>F13-'1'!E13</f>
        <v>0</v>
      </c>
      <c r="O13" s="808"/>
    </row>
    <row r="14" spans="1:15" ht="29.25">
      <c r="A14" s="1651" t="s">
        <v>139</v>
      </c>
      <c r="B14" s="1652"/>
      <c r="C14" s="1652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808"/>
    </row>
    <row r="15" spans="1:15" ht="21.95" customHeight="1">
      <c r="A15" s="1144" t="s">
        <v>140</v>
      </c>
      <c r="B15" s="589"/>
      <c r="C15" s="589"/>
      <c r="D15" s="523" t="s">
        <v>141</v>
      </c>
      <c r="E15" s="455">
        <f>'29'!F15</f>
        <v>1670180.29</v>
      </c>
      <c r="F15" s="522">
        <v>1670657</v>
      </c>
      <c r="G15" s="777">
        <f>(F15-E15)</f>
        <v>476.70999999996275</v>
      </c>
      <c r="H15" s="460">
        <f>G15+'29'!H15</f>
        <v>23968</v>
      </c>
      <c r="I15" s="474">
        <f>'1'!I15</f>
        <v>800</v>
      </c>
      <c r="J15" s="552">
        <f>H15/DAY(B2)</f>
        <v>798.93333333333328</v>
      </c>
      <c r="K15" s="428"/>
      <c r="L15" s="377"/>
      <c r="N15" s="440">
        <f>F15-'1'!E15</f>
        <v>23968</v>
      </c>
      <c r="O15" s="808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1.0666666666667197</v>
      </c>
      <c r="J16" s="553"/>
      <c r="K16" s="428"/>
      <c r="L16" s="377"/>
      <c r="N16" s="440">
        <f>F16-'1'!E16</f>
        <v>0</v>
      </c>
      <c r="O16" s="808"/>
    </row>
    <row r="17" spans="1:15" ht="29.25">
      <c r="A17" s="1651" t="s">
        <v>142</v>
      </c>
      <c r="B17" s="1652"/>
      <c r="C17" s="1652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808"/>
    </row>
    <row r="18" spans="1:15" ht="27.75">
      <c r="A18" s="1646" t="s">
        <v>143</v>
      </c>
      <c r="B18" s="1647"/>
      <c r="C18" s="1647"/>
      <c r="D18" s="523" t="s">
        <v>144</v>
      </c>
      <c r="E18" s="455">
        <f>'29'!F18</f>
        <v>2</v>
      </c>
      <c r="F18" s="484">
        <v>6</v>
      </c>
      <c r="G18" s="481">
        <f>F18*10</f>
        <v>60</v>
      </c>
      <c r="H18" s="460">
        <f>G18+'29'!H18</f>
        <v>2640</v>
      </c>
      <c r="I18" s="474">
        <f>'1'!I18</f>
        <v>65</v>
      </c>
      <c r="J18" s="552">
        <f>H18/DAY(B2)</f>
        <v>88</v>
      </c>
      <c r="K18" s="428"/>
      <c r="L18" s="377"/>
      <c r="N18" s="440">
        <f>F18-'1'!E18</f>
        <v>-9</v>
      </c>
      <c r="O18" s="808"/>
    </row>
    <row r="19" spans="1:15" ht="27.75">
      <c r="A19" s="1646" t="s">
        <v>71</v>
      </c>
      <c r="B19" s="1647"/>
      <c r="C19" s="1647"/>
      <c r="D19" s="523" t="s">
        <v>144</v>
      </c>
      <c r="E19" s="455">
        <f>'29'!F19</f>
        <v>137758</v>
      </c>
      <c r="F19" s="484">
        <v>137812</v>
      </c>
      <c r="G19" s="473">
        <f t="shared" ref="G19" si="1">F19-E19</f>
        <v>54</v>
      </c>
      <c r="H19" s="460">
        <f>G19+'29'!H19</f>
        <v>1722</v>
      </c>
      <c r="I19" s="489"/>
      <c r="J19" s="552">
        <f>H19/DAY(B2)</f>
        <v>57.4</v>
      </c>
      <c r="K19" s="428"/>
      <c r="L19" s="377"/>
      <c r="N19" s="440">
        <f>F19-'1'!E19</f>
        <v>1722</v>
      </c>
      <c r="O19" s="808"/>
    </row>
    <row r="20" spans="1:15" ht="21.95" customHeight="1">
      <c r="A20" s="585" t="s">
        <v>145</v>
      </c>
      <c r="B20" s="586"/>
      <c r="C20" s="586"/>
      <c r="D20" s="490"/>
      <c r="E20" s="490"/>
      <c r="F20" s="490"/>
      <c r="G20" s="1025">
        <f>G18+G19</f>
        <v>114</v>
      </c>
      <c r="H20" s="460">
        <f>G20+'29'!H20</f>
        <v>4398</v>
      </c>
      <c r="I20" s="492">
        <f>I18-J20</f>
        <v>-81.599999999999994</v>
      </c>
      <c r="J20" s="552">
        <f>H20/DAY(B2)</f>
        <v>146.6</v>
      </c>
      <c r="K20" s="428"/>
      <c r="L20" s="377"/>
      <c r="N20" s="440">
        <f>F20-'1'!E20</f>
        <v>0</v>
      </c>
      <c r="O20" s="808"/>
    </row>
    <row r="21" spans="1:15" ht="29.25">
      <c r="A21" s="1651" t="s">
        <v>146</v>
      </c>
      <c r="B21" s="1652"/>
      <c r="C21" s="1652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808"/>
    </row>
    <row r="22" spans="1:15" ht="21.95" customHeight="1">
      <c r="A22" s="1144" t="s">
        <v>147</v>
      </c>
      <c r="B22" s="589"/>
      <c r="C22" s="589"/>
      <c r="D22" s="523" t="s">
        <v>148</v>
      </c>
      <c r="E22" s="741">
        <v>1290</v>
      </c>
      <c r="F22" s="484">
        <v>1290</v>
      </c>
      <c r="G22" s="481">
        <f t="shared" ref="G22" si="2">(F22-E22)</f>
        <v>0</v>
      </c>
      <c r="H22" s="460">
        <f>G22+'29'!H22</f>
        <v>1290</v>
      </c>
      <c r="I22" s="480"/>
      <c r="J22" s="552">
        <f>H22/DAY(B2)</f>
        <v>43</v>
      </c>
      <c r="K22" s="428"/>
      <c r="L22" s="377"/>
      <c r="N22" s="440">
        <f>F22-'1'!E22</f>
        <v>0</v>
      </c>
      <c r="O22" s="808"/>
    </row>
    <row r="23" spans="1:15" ht="21.95" customHeight="1">
      <c r="A23" s="1144" t="s">
        <v>149</v>
      </c>
      <c r="B23" s="589"/>
      <c r="C23" s="589"/>
      <c r="D23" s="523" t="s">
        <v>148</v>
      </c>
      <c r="E23" s="741">
        <v>2000</v>
      </c>
      <c r="F23" s="484">
        <v>2000</v>
      </c>
      <c r="G23" s="481">
        <v>0</v>
      </c>
      <c r="H23" s="460">
        <f>G23+'29'!H23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808"/>
    </row>
    <row r="24" spans="1:15" ht="21.95" customHeight="1">
      <c r="A24" s="590" t="s">
        <v>150</v>
      </c>
      <c r="B24" s="591"/>
      <c r="C24" s="591"/>
      <c r="D24" s="511" t="s">
        <v>148</v>
      </c>
      <c r="E24" s="744">
        <v>3290</v>
      </c>
      <c r="F24" s="493">
        <v>3290</v>
      </c>
      <c r="G24" s="481">
        <v>0</v>
      </c>
      <c r="H24" s="460">
        <f>G24+'29'!H24</f>
        <v>1290</v>
      </c>
      <c r="I24" s="480"/>
      <c r="J24" s="552">
        <f>H24/DAY(B2)</f>
        <v>43</v>
      </c>
      <c r="K24" s="428"/>
      <c r="L24" s="377"/>
      <c r="N24" s="440">
        <f>F24-'1'!E24</f>
        <v>0</v>
      </c>
      <c r="O24" s="808"/>
    </row>
    <row r="25" spans="1:15" s="442" customFormat="1" ht="27">
      <c r="A25" s="1539" t="s">
        <v>151</v>
      </c>
      <c r="B25" s="1540"/>
      <c r="C25" s="1541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808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808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18842</v>
      </c>
      <c r="F27" s="501">
        <v>9</v>
      </c>
      <c r="G27" s="1028">
        <f>E27*F27</f>
        <v>169578</v>
      </c>
      <c r="H27" s="460">
        <f>G27+'29'!H27</f>
        <v>5543334</v>
      </c>
      <c r="I27" s="503"/>
      <c r="J27" s="552">
        <f>H27/DAY(B2)</f>
        <v>184777.8</v>
      </c>
      <c r="K27" s="373"/>
      <c r="L27" s="443"/>
      <c r="N27" s="440"/>
      <c r="O27" s="808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476.70999999996275</v>
      </c>
      <c r="F28" s="501">
        <v>51.45</v>
      </c>
      <c r="G28" s="1028">
        <f>E28*F28</f>
        <v>24526.729499998084</v>
      </c>
      <c r="H28" s="460">
        <f>G28+'29'!H28</f>
        <v>1233153.5999999999</v>
      </c>
      <c r="I28" s="505"/>
      <c r="J28" s="552">
        <f>H28/DAY(B2)</f>
        <v>41105.119999999995</v>
      </c>
      <c r="K28" s="373"/>
      <c r="L28" s="443"/>
      <c r="N28" s="440"/>
      <c r="O28" s="808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1028">
        <f>E29*F29</f>
        <v>0</v>
      </c>
      <c r="H29" s="460">
        <f>G29+'29'!H29</f>
        <v>89010</v>
      </c>
      <c r="I29" s="505"/>
      <c r="J29" s="552">
        <f>H29/DAY(B2)</f>
        <v>2967</v>
      </c>
      <c r="K29" s="373"/>
      <c r="L29" s="443"/>
      <c r="N29" s="440"/>
      <c r="O29" s="808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54</v>
      </c>
      <c r="F30" s="501">
        <v>134</v>
      </c>
      <c r="G30" s="1028">
        <f>E30*F30</f>
        <v>7236</v>
      </c>
      <c r="H30" s="460">
        <f>G30+'29'!H30</f>
        <v>232116</v>
      </c>
      <c r="I30" s="505"/>
      <c r="J30" s="552">
        <f>H30/DAY(B2)</f>
        <v>7737.2</v>
      </c>
      <c r="K30" s="373"/>
      <c r="L30" s="443"/>
      <c r="N30" s="440"/>
      <c r="O30" s="808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60</v>
      </c>
      <c r="F31" s="501">
        <v>80</v>
      </c>
      <c r="G31" s="1028">
        <f>E31*F31</f>
        <v>4800</v>
      </c>
      <c r="H31" s="460">
        <f>G31+'29'!H31</f>
        <v>211200</v>
      </c>
      <c r="I31" s="505"/>
      <c r="J31" s="552">
        <f>H31/DAY(B2)</f>
        <v>7040</v>
      </c>
      <c r="K31" s="373"/>
      <c r="L31" s="443"/>
      <c r="N31" s="440"/>
      <c r="O31" s="808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206140.72949999809</v>
      </c>
      <c r="H32" s="460">
        <f>G32+'29'!H32</f>
        <v>7308813.6000000015</v>
      </c>
      <c r="I32" s="509"/>
      <c r="J32" s="552">
        <f>H32/DAY(B2)</f>
        <v>243627.12000000005</v>
      </c>
      <c r="K32" s="373"/>
      <c r="L32" s="443"/>
      <c r="N32" s="440"/>
      <c r="O32" s="808"/>
    </row>
    <row r="33" spans="1:15" ht="25.5">
      <c r="A33" s="1656" t="s">
        <v>162</v>
      </c>
      <c r="B33" s="1657"/>
      <c r="C33" s="1657"/>
      <c r="D33" s="1657"/>
      <c r="E33" s="1657"/>
      <c r="F33" s="1657"/>
      <c r="G33" s="1657"/>
      <c r="H33" s="1657"/>
      <c r="I33" s="1657"/>
      <c r="J33" s="1658"/>
      <c r="K33" s="428"/>
      <c r="L33" s="377"/>
      <c r="N33" s="440"/>
      <c r="O33" s="808"/>
    </row>
    <row r="34" spans="1:15" ht="21.95" customHeight="1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440"/>
      <c r="O34" s="808"/>
    </row>
    <row r="35" spans="1:15" ht="21.95" customHeight="1">
      <c r="A35" s="578" t="s">
        <v>164</v>
      </c>
      <c r="B35" s="579"/>
      <c r="C35" s="579"/>
      <c r="D35" s="523" t="s">
        <v>132</v>
      </c>
      <c r="E35" s="455">
        <f>'29'!F35</f>
        <v>884026.03</v>
      </c>
      <c r="F35" s="510">
        <v>886459</v>
      </c>
      <c r="G35" s="473">
        <f t="shared" ref="G35:G46" si="3">F35-E35</f>
        <v>2432.9699999999721</v>
      </c>
      <c r="H35" s="460">
        <f>G35+'29'!H35</f>
        <v>88070</v>
      </c>
      <c r="I35" s="455"/>
      <c r="J35" s="552">
        <f>H35/DAY(B2)</f>
        <v>2935.6666666666665</v>
      </c>
      <c r="K35" s="428"/>
      <c r="L35" s="377"/>
      <c r="N35" s="440">
        <f>F35-'1'!E35</f>
        <v>88070</v>
      </c>
      <c r="O35" s="808"/>
    </row>
    <row r="36" spans="1:15" ht="21.95" customHeight="1">
      <c r="A36" s="578" t="s">
        <v>165</v>
      </c>
      <c r="B36" s="579"/>
      <c r="C36" s="579"/>
      <c r="D36" s="523" t="s">
        <v>132</v>
      </c>
      <c r="E36" s="455">
        <f>'29'!F36</f>
        <v>343892.67</v>
      </c>
      <c r="F36" s="510">
        <v>344608</v>
      </c>
      <c r="G36" s="473">
        <f t="shared" si="3"/>
        <v>715.3300000000163</v>
      </c>
      <c r="H36" s="460">
        <f>G36+'29'!H36</f>
        <v>27172</v>
      </c>
      <c r="I36" s="455"/>
      <c r="J36" s="552">
        <f>H36/DAY(B2)</f>
        <v>905.73333333333335</v>
      </c>
      <c r="K36" s="428"/>
      <c r="L36" s="377"/>
      <c r="N36" s="440">
        <f>F36-'1'!E36</f>
        <v>27172</v>
      </c>
      <c r="O36" s="808"/>
    </row>
    <row r="37" spans="1:15" ht="21.95" customHeight="1">
      <c r="A37" s="578" t="s">
        <v>166</v>
      </c>
      <c r="B37" s="579"/>
      <c r="C37" s="579"/>
      <c r="D37" s="523" t="s">
        <v>132</v>
      </c>
      <c r="E37" s="455">
        <f>'29'!F37</f>
        <v>93853.95</v>
      </c>
      <c r="F37" s="510">
        <v>95225</v>
      </c>
      <c r="G37" s="473">
        <f t="shared" si="3"/>
        <v>1371.0500000000029</v>
      </c>
      <c r="H37" s="460">
        <f>G37+'29'!H37</f>
        <v>40428</v>
      </c>
      <c r="I37" s="455"/>
      <c r="J37" s="552">
        <f>H37/DAY(B2)</f>
        <v>1347.6</v>
      </c>
      <c r="K37" s="428"/>
      <c r="L37" s="377"/>
      <c r="N37" s="440">
        <f>F37-'1'!E37</f>
        <v>40428</v>
      </c>
      <c r="O37" s="808"/>
    </row>
    <row r="38" spans="1:15" ht="21.95" customHeight="1">
      <c r="A38" s="578" t="s">
        <v>167</v>
      </c>
      <c r="B38" s="579"/>
      <c r="C38" s="579"/>
      <c r="D38" s="523" t="s">
        <v>132</v>
      </c>
      <c r="E38" s="455">
        <f>'29'!F38</f>
        <v>118139.24</v>
      </c>
      <c r="F38" s="469">
        <v>119596</v>
      </c>
      <c r="G38" s="473">
        <f t="shared" si="3"/>
        <v>1456.7599999999948</v>
      </c>
      <c r="H38" s="460">
        <f>G38+'29'!H38</f>
        <v>47288</v>
      </c>
      <c r="I38" s="455"/>
      <c r="J38" s="552">
        <f>H38/DAY(B2)</f>
        <v>1576.2666666666667</v>
      </c>
      <c r="K38" s="428"/>
      <c r="L38" s="377"/>
      <c r="N38" s="440"/>
      <c r="O38" s="808"/>
    </row>
    <row r="39" spans="1:15" ht="21.95" customHeight="1">
      <c r="A39" s="578" t="s">
        <v>168</v>
      </c>
      <c r="B39" s="579"/>
      <c r="C39" s="579"/>
      <c r="D39" s="523" t="s">
        <v>132</v>
      </c>
      <c r="E39" s="455">
        <f>'29'!F39</f>
        <v>244460.45</v>
      </c>
      <c r="F39" s="510">
        <v>246653</v>
      </c>
      <c r="G39" s="473">
        <f t="shared" si="3"/>
        <v>2192.5499999999884</v>
      </c>
      <c r="H39" s="460">
        <f>G39+'29'!H39</f>
        <v>93831</v>
      </c>
      <c r="I39" s="455"/>
      <c r="J39" s="552">
        <f>H39/DAY(B2)</f>
        <v>3127.7</v>
      </c>
      <c r="K39" s="428"/>
      <c r="L39" s="377"/>
      <c r="N39" s="440">
        <f>F39-'1'!E39</f>
        <v>93831</v>
      </c>
      <c r="O39" s="808"/>
    </row>
    <row r="40" spans="1:15" ht="21.95" customHeight="1">
      <c r="A40" s="599" t="s">
        <v>169</v>
      </c>
      <c r="B40" s="600"/>
      <c r="C40" s="600"/>
      <c r="D40" s="523" t="s">
        <v>132</v>
      </c>
      <c r="E40" s="455">
        <f>'29'!F40</f>
        <v>0.23</v>
      </c>
      <c r="F40" s="510">
        <v>0.23</v>
      </c>
      <c r="G40" s="473">
        <f t="shared" si="3"/>
        <v>0</v>
      </c>
      <c r="H40" s="460">
        <f>G40+'29'!H40</f>
        <v>0.4</v>
      </c>
      <c r="I40" s="455"/>
      <c r="J40" s="552">
        <f>H40/DAY(B2)</f>
        <v>1.3333333333333334E-2</v>
      </c>
      <c r="K40" s="429"/>
      <c r="L40" s="377"/>
      <c r="N40" s="440">
        <f>F40-'1'!E40</f>
        <v>0.23</v>
      </c>
      <c r="O40" s="808"/>
    </row>
    <row r="41" spans="1:15" ht="21.95" customHeight="1">
      <c r="A41" s="578" t="s">
        <v>170</v>
      </c>
      <c r="B41" s="579"/>
      <c r="C41" s="579"/>
      <c r="D41" s="523" t="s">
        <v>132</v>
      </c>
      <c r="E41" s="455">
        <f>'29'!F41</f>
        <v>177616.67</v>
      </c>
      <c r="F41" s="510">
        <v>181528</v>
      </c>
      <c r="G41" s="473">
        <f t="shared" si="3"/>
        <v>3911.3299999999872</v>
      </c>
      <c r="H41" s="460">
        <f>G41+'29'!H41</f>
        <v>48387</v>
      </c>
      <c r="I41" s="455"/>
      <c r="J41" s="552">
        <f>H41/DAY(B2)</f>
        <v>1612.9</v>
      </c>
      <c r="K41" s="428"/>
      <c r="L41" s="377"/>
      <c r="N41" s="440">
        <f>F41-'1'!E41</f>
        <v>48387</v>
      </c>
      <c r="O41" s="808"/>
    </row>
    <row r="42" spans="1:15" ht="21.95" customHeight="1">
      <c r="A42" s="578" t="s">
        <v>171</v>
      </c>
      <c r="B42" s="579"/>
      <c r="C42" s="579"/>
      <c r="D42" s="523" t="s">
        <v>132</v>
      </c>
      <c r="E42" s="455">
        <f>'29'!F42</f>
        <v>59200</v>
      </c>
      <c r="F42" s="510">
        <v>59200</v>
      </c>
      <c r="G42" s="473">
        <f t="shared" si="3"/>
        <v>0</v>
      </c>
      <c r="H42" s="460">
        <f>G42+'29'!H42</f>
        <v>71.839999999996508</v>
      </c>
      <c r="I42" s="455"/>
      <c r="J42" s="552">
        <f>H42/DAY(B2)</f>
        <v>2.3946666666665504</v>
      </c>
      <c r="K42" s="428"/>
      <c r="L42" s="377"/>
      <c r="N42" s="440">
        <f>F42-'1'!E42</f>
        <v>71.839999999996508</v>
      </c>
      <c r="O42" s="808"/>
    </row>
    <row r="43" spans="1:15" ht="21.95" customHeight="1">
      <c r="A43" s="578" t="s">
        <v>172</v>
      </c>
      <c r="B43" s="579"/>
      <c r="C43" s="579"/>
      <c r="D43" s="523" t="s">
        <v>132</v>
      </c>
      <c r="E43" s="455">
        <f>'29'!F43</f>
        <v>971519.51</v>
      </c>
      <c r="F43" s="510">
        <v>973958</v>
      </c>
      <c r="G43" s="473">
        <f t="shared" si="3"/>
        <v>2438.4899999999907</v>
      </c>
      <c r="H43" s="460">
        <f>G43+'29'!H43</f>
        <v>71910</v>
      </c>
      <c r="I43" s="455"/>
      <c r="J43" s="552">
        <f>H43/DAY(B2)</f>
        <v>2397</v>
      </c>
      <c r="K43" s="428"/>
      <c r="L43" s="377"/>
      <c r="N43" s="440">
        <f>F43-'1'!E43</f>
        <v>71910</v>
      </c>
      <c r="O43" s="808"/>
    </row>
    <row r="44" spans="1:15" ht="21.95" customHeight="1">
      <c r="A44" s="578" t="s">
        <v>173</v>
      </c>
      <c r="B44" s="579"/>
      <c r="C44" s="579"/>
      <c r="D44" s="523" t="s">
        <v>132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2">
        <f>H44/DAY(B2)</f>
        <v>0</v>
      </c>
      <c r="K44" s="428"/>
      <c r="L44" s="377"/>
      <c r="N44" s="440">
        <f>F44-'1'!E44</f>
        <v>0</v>
      </c>
      <c r="O44" s="808"/>
    </row>
    <row r="45" spans="1:15" ht="21.95" customHeight="1">
      <c r="A45" s="578" t="s">
        <v>174</v>
      </c>
      <c r="B45" s="579"/>
      <c r="C45" s="579"/>
      <c r="D45" s="523" t="s">
        <v>132</v>
      </c>
      <c r="E45" s="455">
        <f>'29'!F45</f>
        <v>614</v>
      </c>
      <c r="F45" s="510">
        <v>614</v>
      </c>
      <c r="G45" s="473">
        <f t="shared" si="3"/>
        <v>0</v>
      </c>
      <c r="H45" s="460">
        <f>G45+'29'!H45</f>
        <v>614</v>
      </c>
      <c r="I45" s="455"/>
      <c r="J45" s="552">
        <f>H45/DAY(B2)</f>
        <v>20.466666666666665</v>
      </c>
      <c r="K45" s="428"/>
      <c r="L45" s="377"/>
      <c r="N45" s="440">
        <f>F45-'1'!E45</f>
        <v>614</v>
      </c>
      <c r="O45" s="808"/>
    </row>
    <row r="46" spans="1:15" ht="21.95" customHeight="1">
      <c r="A46" s="578" t="s">
        <v>175</v>
      </c>
      <c r="B46" s="579"/>
      <c r="C46" s="579"/>
      <c r="D46" s="523" t="s">
        <v>132</v>
      </c>
      <c r="E46" s="455">
        <f>'29'!F46</f>
        <v>187</v>
      </c>
      <c r="F46" s="510">
        <v>187</v>
      </c>
      <c r="G46" s="473">
        <f t="shared" si="3"/>
        <v>0</v>
      </c>
      <c r="H46" s="460">
        <f>G46+'29'!H46</f>
        <v>186.95</v>
      </c>
      <c r="I46" s="455"/>
      <c r="J46" s="552">
        <f>H46/DAY(B2)</f>
        <v>6.2316666666666665</v>
      </c>
      <c r="K46" s="428"/>
      <c r="L46" s="377"/>
      <c r="N46" s="440">
        <f>F46-'1'!E46</f>
        <v>187</v>
      </c>
      <c r="O46" s="808"/>
    </row>
    <row r="47" spans="1:15" ht="21.95" customHeight="1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14518.479999999952</v>
      </c>
      <c r="H47" s="460">
        <f>G47+'29'!H47</f>
        <v>418760.68000000005</v>
      </c>
      <c r="I47" s="455"/>
      <c r="J47" s="552">
        <f>H47/DAY(B2)</f>
        <v>13958.689333333336</v>
      </c>
      <c r="K47" s="428"/>
      <c r="L47" s="377"/>
      <c r="N47" s="440">
        <f>F47-'1'!E47</f>
        <v>0</v>
      </c>
      <c r="O47" s="808"/>
    </row>
    <row r="48" spans="1:15" ht="29.25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O48" s="808"/>
    </row>
    <row r="49" spans="1:15" ht="29.25">
      <c r="A49" s="578" t="s">
        <v>164</v>
      </c>
      <c r="B49" s="601"/>
      <c r="C49" s="601"/>
      <c r="D49" s="523" t="s">
        <v>132</v>
      </c>
      <c r="E49" s="455">
        <f>'29'!F49</f>
        <v>260732.13</v>
      </c>
      <c r="F49" s="510">
        <v>260732.13</v>
      </c>
      <c r="G49" s="473">
        <f t="shared" ref="G49:G58" si="4">F49-E49</f>
        <v>0</v>
      </c>
      <c r="H49" s="460">
        <f>G49+'29'!H49</f>
        <v>0.13000000000465661</v>
      </c>
      <c r="I49" s="455"/>
      <c r="J49" s="552">
        <f>H49/DAY(B2)</f>
        <v>4.3333333334885536E-3</v>
      </c>
      <c r="K49" s="428"/>
      <c r="L49" s="377"/>
      <c r="O49" s="808"/>
    </row>
    <row r="50" spans="1:15" ht="29.25">
      <c r="A50" s="578" t="s">
        <v>178</v>
      </c>
      <c r="B50" s="601"/>
      <c r="C50" s="601"/>
      <c r="D50" s="523" t="s">
        <v>132</v>
      </c>
      <c r="E50" s="455">
        <f>'29'!F50</f>
        <v>473153.27</v>
      </c>
      <c r="F50" s="510">
        <v>474536</v>
      </c>
      <c r="G50" s="473">
        <f t="shared" si="4"/>
        <v>1382.7299999999814</v>
      </c>
      <c r="H50" s="460">
        <f>G50+'29'!H50</f>
        <v>32261.959999999963</v>
      </c>
      <c r="I50" s="455"/>
      <c r="J50" s="552">
        <f>H50/DAY(B2)</f>
        <v>1075.3986666666653</v>
      </c>
      <c r="K50" s="428"/>
      <c r="L50" s="377"/>
      <c r="O50" s="808"/>
    </row>
    <row r="51" spans="1:15" ht="29.25">
      <c r="A51" s="578" t="s">
        <v>166</v>
      </c>
      <c r="B51" s="601"/>
      <c r="C51" s="601"/>
      <c r="D51" s="523" t="s">
        <v>132</v>
      </c>
      <c r="E51" s="455">
        <f>'29'!F51</f>
        <v>144639.87</v>
      </c>
      <c r="F51" s="510">
        <v>144640</v>
      </c>
      <c r="G51" s="473">
        <f t="shared" si="4"/>
        <v>0.13000000000465661</v>
      </c>
      <c r="H51" s="460">
        <f>G51+'29'!H51</f>
        <v>0</v>
      </c>
      <c r="I51" s="455"/>
      <c r="J51" s="552">
        <f>H51/DAY(B2)</f>
        <v>0</v>
      </c>
      <c r="K51" s="428"/>
      <c r="L51" s="377"/>
      <c r="O51" s="808"/>
    </row>
    <row r="52" spans="1:15" ht="29.25">
      <c r="A52" s="578" t="s">
        <v>179</v>
      </c>
      <c r="B52" s="601"/>
      <c r="C52" s="601"/>
      <c r="D52" s="523" t="s">
        <v>132</v>
      </c>
      <c r="E52" s="455">
        <f>'29'!F52</f>
        <v>539606.06999999995</v>
      </c>
      <c r="F52" s="510">
        <v>539606</v>
      </c>
      <c r="G52" s="473">
        <f t="shared" si="4"/>
        <v>-6.9999999948777258E-2</v>
      </c>
      <c r="H52" s="460">
        <f>G52+'29'!H52</f>
        <v>0</v>
      </c>
      <c r="I52" s="455"/>
      <c r="J52" s="552">
        <f>H52/DAY(B2)</f>
        <v>0</v>
      </c>
      <c r="K52" s="428"/>
      <c r="L52" s="377"/>
      <c r="O52" s="808"/>
    </row>
    <row r="53" spans="1:15" ht="29.25">
      <c r="A53" s="578" t="s">
        <v>168</v>
      </c>
      <c r="B53" s="601"/>
      <c r="C53" s="601"/>
      <c r="D53" s="523" t="s">
        <v>132</v>
      </c>
      <c r="E53" s="455">
        <f>'29'!F53</f>
        <v>415735.79</v>
      </c>
      <c r="F53" s="510">
        <v>416311</v>
      </c>
      <c r="G53" s="473">
        <f t="shared" si="4"/>
        <v>575.21000000002095</v>
      </c>
      <c r="H53" s="460">
        <f>G53+'29'!H53</f>
        <v>12131.200000000012</v>
      </c>
      <c r="I53" s="455"/>
      <c r="J53" s="552">
        <f>H53/DAY(B2)</f>
        <v>404.37333333333373</v>
      </c>
      <c r="K53" s="428"/>
      <c r="L53" s="377"/>
      <c r="O53" s="808"/>
    </row>
    <row r="54" spans="1:15" ht="29.25">
      <c r="A54" s="578" t="s">
        <v>180</v>
      </c>
      <c r="B54" s="601"/>
      <c r="C54" s="601"/>
      <c r="D54" s="523" t="s">
        <v>132</v>
      </c>
      <c r="E54" s="455">
        <f>'29'!F54</f>
        <v>11307.45</v>
      </c>
      <c r="F54" s="510">
        <v>11378</v>
      </c>
      <c r="G54" s="473">
        <f t="shared" si="4"/>
        <v>70.549999999999272</v>
      </c>
      <c r="H54" s="460">
        <f>G54+'29'!H54</f>
        <v>5153.0300000000007</v>
      </c>
      <c r="I54" s="455"/>
      <c r="J54" s="552">
        <f>H54/DAY(B2)</f>
        <v>171.76766666666668</v>
      </c>
      <c r="K54" s="428"/>
      <c r="L54" s="377"/>
      <c r="O54" s="808"/>
    </row>
    <row r="55" spans="1:15" ht="29.25">
      <c r="A55" s="578" t="s">
        <v>181</v>
      </c>
      <c r="B55" s="601"/>
      <c r="C55" s="601"/>
      <c r="D55" s="523" t="s">
        <v>132</v>
      </c>
      <c r="E55" s="455">
        <f>'29'!F55</f>
        <v>345059</v>
      </c>
      <c r="F55" s="1060">
        <v>346926</v>
      </c>
      <c r="G55" s="473">
        <f t="shared" si="4"/>
        <v>1867</v>
      </c>
      <c r="H55" s="460">
        <f>G55+'29'!H55</f>
        <v>125472.79999999999</v>
      </c>
      <c r="I55" s="455"/>
      <c r="J55" s="552">
        <f>H55/DAY(B2)</f>
        <v>4182.4266666666663</v>
      </c>
      <c r="K55" s="428"/>
      <c r="L55" s="377"/>
      <c r="O55" s="808"/>
    </row>
    <row r="56" spans="1:15" ht="29.25">
      <c r="A56" s="578" t="s">
        <v>182</v>
      </c>
      <c r="B56" s="601"/>
      <c r="C56" s="601"/>
      <c r="D56" s="523" t="s">
        <v>183</v>
      </c>
      <c r="E56" s="455">
        <f>'29'!F56</f>
        <v>589288.47</v>
      </c>
      <c r="F56" s="510">
        <v>589288.47</v>
      </c>
      <c r="G56" s="473">
        <f t="shared" si="4"/>
        <v>0</v>
      </c>
      <c r="H56" s="460">
        <f>G56+'29'!H56</f>
        <v>312.30999999993946</v>
      </c>
      <c r="I56" s="455"/>
      <c r="J56" s="552">
        <f>H56/DAY(B2)</f>
        <v>10.410333333331316</v>
      </c>
      <c r="K56" s="427"/>
      <c r="L56" s="377"/>
      <c r="O56" s="808"/>
    </row>
    <row r="57" spans="1:15" ht="29.25">
      <c r="A57" s="578" t="s">
        <v>172</v>
      </c>
      <c r="B57" s="601"/>
      <c r="C57" s="601"/>
      <c r="D57" s="523" t="s">
        <v>132</v>
      </c>
      <c r="E57" s="455">
        <f>'29'!F57</f>
        <v>7711</v>
      </c>
      <c r="F57" s="510">
        <v>7711</v>
      </c>
      <c r="G57" s="473">
        <f t="shared" si="4"/>
        <v>0</v>
      </c>
      <c r="H57" s="460">
        <f>G57+'29'!H57</f>
        <v>0</v>
      </c>
      <c r="I57" s="455"/>
      <c r="J57" s="552">
        <f>H57/DAY(B2)</f>
        <v>0</v>
      </c>
      <c r="K57" s="428"/>
      <c r="L57" s="377"/>
      <c r="O57" s="808"/>
    </row>
    <row r="58" spans="1:15" ht="29.25">
      <c r="A58" s="578" t="s">
        <v>184</v>
      </c>
      <c r="B58" s="601"/>
      <c r="C58" s="601"/>
      <c r="D58" s="523" t="s">
        <v>132</v>
      </c>
      <c r="E58" s="455">
        <f>'29'!F58</f>
        <v>46666.81</v>
      </c>
      <c r="F58" s="510">
        <v>46668</v>
      </c>
      <c r="G58" s="473">
        <f t="shared" si="4"/>
        <v>1.1900000000023283</v>
      </c>
      <c r="H58" s="460">
        <f>G58+'29'!H58</f>
        <v>4966.6599999999962</v>
      </c>
      <c r="I58" s="455"/>
      <c r="J58" s="552">
        <f>H58/DAY(B2)</f>
        <v>165.55533333333321</v>
      </c>
      <c r="K58" s="428"/>
      <c r="L58" s="377"/>
      <c r="O58" s="808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3896.7400000000598</v>
      </c>
      <c r="H59" s="460">
        <f>G59+'29'!H59</f>
        <v>180296.08999999994</v>
      </c>
      <c r="I59" s="455">
        <f>G7-G60</f>
        <v>322.77999999998792</v>
      </c>
      <c r="J59" s="552">
        <f>H59/DAY(B2)</f>
        <v>6009.8696666666647</v>
      </c>
      <c r="K59" s="428"/>
      <c r="L59" s="377"/>
      <c r="O59" s="808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18415.220000000012</v>
      </c>
      <c r="H60" s="460">
        <f>G60+'29'!H60</f>
        <v>606256.31999999995</v>
      </c>
      <c r="I60" s="455">
        <f>G13-G60</f>
        <v>-281.13000000004467</v>
      </c>
      <c r="J60" s="552">
        <f>H60/DAY(B2)</f>
        <v>20208.543999999998</v>
      </c>
      <c r="K60" s="428"/>
      <c r="L60" s="377"/>
      <c r="O60" s="808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808"/>
    </row>
    <row r="62" spans="1:15" ht="29.25">
      <c r="A62" s="603" t="s">
        <v>98</v>
      </c>
      <c r="B62" s="604"/>
      <c r="C62" s="604"/>
      <c r="D62" s="511" t="s">
        <v>187</v>
      </c>
      <c r="E62" s="455">
        <f>'29'!F62</f>
        <v>20419</v>
      </c>
      <c r="F62" s="514">
        <v>20419</v>
      </c>
      <c r="G62" s="473">
        <f t="shared" ref="G62:G69" si="5">F62-E62</f>
        <v>0</v>
      </c>
      <c r="H62" s="460">
        <f>G62+'29'!H62</f>
        <v>0.18199999999706051</v>
      </c>
      <c r="I62" s="515"/>
      <c r="J62" s="552">
        <f>H62/DAY(B2)</f>
        <v>6.066666666568684E-3</v>
      </c>
      <c r="K62" s="428"/>
      <c r="L62" s="377"/>
      <c r="O62" s="808"/>
    </row>
    <row r="63" spans="1:15" ht="29.25">
      <c r="A63" s="603" t="s">
        <v>188</v>
      </c>
      <c r="B63" s="604"/>
      <c r="C63" s="604"/>
      <c r="D63" s="511" t="s">
        <v>187</v>
      </c>
      <c r="E63" s="455">
        <f>'29'!F63</f>
        <v>2355.71</v>
      </c>
      <c r="F63" s="514">
        <v>2359</v>
      </c>
      <c r="G63" s="473">
        <f t="shared" si="5"/>
        <v>3.2899999999999636</v>
      </c>
      <c r="H63" s="460">
        <f>G63+'29'!H63</f>
        <v>263</v>
      </c>
      <c r="I63" s="515"/>
      <c r="J63" s="552">
        <f>H63/DAY(B2)</f>
        <v>8.7666666666666675</v>
      </c>
      <c r="K63" s="428"/>
      <c r="L63" s="377"/>
      <c r="O63" s="808"/>
    </row>
    <row r="64" spans="1:15" ht="27.75">
      <c r="A64" s="1659" t="s">
        <v>99</v>
      </c>
      <c r="B64" s="1495"/>
      <c r="C64" s="1495"/>
      <c r="D64" s="523" t="s">
        <v>187</v>
      </c>
      <c r="E64" s="455">
        <f>'29'!F64</f>
        <v>153063.73000000001</v>
      </c>
      <c r="F64" s="484">
        <v>153299</v>
      </c>
      <c r="G64" s="473">
        <f t="shared" si="5"/>
        <v>235.26999999998952</v>
      </c>
      <c r="H64" s="460">
        <f>G64+'29'!H64</f>
        <v>14119</v>
      </c>
      <c r="I64" s="480"/>
      <c r="J64" s="552">
        <f>H64/DAY(B2)</f>
        <v>470.63333333333333</v>
      </c>
      <c r="K64" s="428"/>
      <c r="L64" s="377"/>
      <c r="O64" s="808"/>
    </row>
    <row r="65" spans="1:15" ht="27.75">
      <c r="A65" s="1659" t="s">
        <v>100</v>
      </c>
      <c r="B65" s="1495"/>
      <c r="C65" s="1495"/>
      <c r="D65" s="523" t="s">
        <v>187</v>
      </c>
      <c r="E65" s="455">
        <f>'29'!F65</f>
        <v>154390.29999999999</v>
      </c>
      <c r="F65" s="484">
        <v>154599</v>
      </c>
      <c r="G65" s="473">
        <f t="shared" si="5"/>
        <v>208.70000000001164</v>
      </c>
      <c r="H65" s="460">
        <f>G65+'29'!H65</f>
        <v>10394</v>
      </c>
      <c r="I65" s="489"/>
      <c r="J65" s="552">
        <f>H65/DAY(B2)</f>
        <v>346.46666666666664</v>
      </c>
      <c r="K65" s="428"/>
      <c r="L65" s="377"/>
      <c r="O65" s="808"/>
    </row>
    <row r="66" spans="1:15" ht="27.75">
      <c r="A66" s="1659" t="s">
        <v>101</v>
      </c>
      <c r="B66" s="1495"/>
      <c r="C66" s="1495"/>
      <c r="D66" s="523" t="s">
        <v>187</v>
      </c>
      <c r="E66" s="455">
        <f>'29'!F66</f>
        <v>48305.58</v>
      </c>
      <c r="F66" s="484">
        <v>48571</v>
      </c>
      <c r="G66" s="473">
        <f t="shared" si="5"/>
        <v>265.41999999999825</v>
      </c>
      <c r="H66" s="460">
        <f>G66+'29'!H66</f>
        <v>11363</v>
      </c>
      <c r="I66" s="480"/>
      <c r="J66" s="552">
        <f>H66/DAY(B2)</f>
        <v>378.76666666666665</v>
      </c>
      <c r="K66" s="428"/>
      <c r="L66" s="377"/>
      <c r="O66" s="808"/>
    </row>
    <row r="67" spans="1:15" ht="27.75">
      <c r="A67" s="1659" t="s">
        <v>102</v>
      </c>
      <c r="B67" s="1495"/>
      <c r="C67" s="1495"/>
      <c r="D67" s="523" t="s">
        <v>187</v>
      </c>
      <c r="E67" s="455">
        <f>'29'!F67</f>
        <v>242893.27</v>
      </c>
      <c r="F67" s="484">
        <v>243174</v>
      </c>
      <c r="G67" s="473">
        <f t="shared" si="5"/>
        <v>280.73000000001048</v>
      </c>
      <c r="H67" s="460">
        <f>G67+'29'!H67</f>
        <v>14074</v>
      </c>
      <c r="I67" s="489"/>
      <c r="J67" s="552">
        <f>H67/DAY(B2)</f>
        <v>469.13333333333333</v>
      </c>
      <c r="K67" s="429"/>
      <c r="L67" s="377"/>
      <c r="O67" s="808"/>
    </row>
    <row r="68" spans="1:15" ht="27.75">
      <c r="A68" s="1659" t="s">
        <v>103</v>
      </c>
      <c r="B68" s="1495"/>
      <c r="C68" s="1495"/>
      <c r="D68" s="523" t="s">
        <v>187</v>
      </c>
      <c r="E68" s="455">
        <f>'29'!F68</f>
        <v>85321</v>
      </c>
      <c r="F68" s="484">
        <v>85321</v>
      </c>
      <c r="G68" s="473">
        <f t="shared" si="5"/>
        <v>0</v>
      </c>
      <c r="H68" s="460">
        <f>G68+'29'!H68</f>
        <v>2234</v>
      </c>
      <c r="I68" s="516"/>
      <c r="J68" s="552">
        <f>H68/DAY(B2)</f>
        <v>74.466666666666669</v>
      </c>
      <c r="K68" s="430"/>
      <c r="L68" s="377"/>
      <c r="O68" s="808"/>
    </row>
    <row r="69" spans="1:15" ht="27.75">
      <c r="A69" s="1659" t="s">
        <v>104</v>
      </c>
      <c r="B69" s="1495"/>
      <c r="C69" s="1495"/>
      <c r="D69" s="523" t="s">
        <v>187</v>
      </c>
      <c r="E69" s="455">
        <f>'29'!F69</f>
        <v>78874.87</v>
      </c>
      <c r="F69" s="484">
        <v>78994</v>
      </c>
      <c r="G69" s="473">
        <f t="shared" si="5"/>
        <v>119.13000000000466</v>
      </c>
      <c r="H69" s="460">
        <f>G69+'29'!H69</f>
        <v>4665</v>
      </c>
      <c r="I69" s="516"/>
      <c r="J69" s="552">
        <f>H69/DAY(B2)</f>
        <v>155.5</v>
      </c>
      <c r="K69" s="431"/>
      <c r="L69" s="377"/>
      <c r="O69" s="808"/>
    </row>
    <row r="70" spans="1:15" ht="27.75">
      <c r="A70" s="1660" t="s">
        <v>189</v>
      </c>
      <c r="B70" s="1565"/>
      <c r="C70" s="1565"/>
      <c r="D70" s="523" t="s">
        <v>187</v>
      </c>
      <c r="E70" s="517"/>
      <c r="F70" s="518"/>
      <c r="G70" s="518"/>
      <c r="H70" s="460">
        <f>G70+'29'!H70</f>
        <v>0</v>
      </c>
      <c r="I70" s="518"/>
      <c r="J70" s="556"/>
      <c r="K70" s="431"/>
      <c r="L70" s="377"/>
      <c r="O70" s="808"/>
    </row>
    <row r="71" spans="1:15" ht="31.5">
      <c r="A71" s="1653" t="s">
        <v>190</v>
      </c>
      <c r="B71" s="1654"/>
      <c r="C71" s="1654"/>
      <c r="D71" s="1654"/>
      <c r="E71" s="1654"/>
      <c r="F71" s="1654"/>
      <c r="G71" s="1654"/>
      <c r="H71" s="1654"/>
      <c r="I71" s="1654"/>
      <c r="J71" s="1655"/>
      <c r="K71" s="430"/>
      <c r="L71" s="377"/>
      <c r="O71" s="808"/>
    </row>
    <row r="72" spans="1:15" ht="27.75">
      <c r="A72" s="1659" t="s">
        <v>191</v>
      </c>
      <c r="B72" s="1495"/>
      <c r="C72" s="1495"/>
      <c r="D72" s="523" t="s">
        <v>187</v>
      </c>
      <c r="E72" s="455">
        <f>'29'!F72</f>
        <v>855444</v>
      </c>
      <c r="F72" s="519">
        <v>855461</v>
      </c>
      <c r="G72" s="473">
        <f t="shared" ref="G72:G84" si="6">F72-E72</f>
        <v>17</v>
      </c>
      <c r="H72" s="460">
        <f>G72+'29'!H72</f>
        <v>2198</v>
      </c>
      <c r="I72" s="480"/>
      <c r="J72" s="552">
        <f>H72/DAY(B2)</f>
        <v>73.266666666666666</v>
      </c>
      <c r="K72" s="431"/>
      <c r="L72" s="377"/>
      <c r="O72" s="808"/>
    </row>
    <row r="73" spans="1:15" ht="27.75">
      <c r="A73" s="1659" t="s">
        <v>192</v>
      </c>
      <c r="B73" s="1495"/>
      <c r="C73" s="1495"/>
      <c r="D73" s="523" t="s">
        <v>187</v>
      </c>
      <c r="E73" s="455">
        <f>'29'!F73</f>
        <v>885871</v>
      </c>
      <c r="F73" s="520">
        <v>885876</v>
      </c>
      <c r="G73" s="473">
        <f t="shared" si="6"/>
        <v>5</v>
      </c>
      <c r="H73" s="460">
        <f>G73+'29'!H73</f>
        <v>1297</v>
      </c>
      <c r="I73" s="480"/>
      <c r="J73" s="552">
        <f>H73/DAY(B2)</f>
        <v>43.233333333333334</v>
      </c>
      <c r="K73" s="430"/>
      <c r="L73" s="377"/>
      <c r="O73" s="808"/>
    </row>
    <row r="74" spans="1:15" ht="27.75">
      <c r="A74" s="1659" t="s">
        <v>193</v>
      </c>
      <c r="B74" s="1495"/>
      <c r="C74" s="1495"/>
      <c r="D74" s="523" t="s">
        <v>187</v>
      </c>
      <c r="E74" s="455">
        <f>'29'!F74</f>
        <v>2248.48</v>
      </c>
      <c r="F74" s="521">
        <v>2279</v>
      </c>
      <c r="G74" s="473">
        <f t="shared" si="6"/>
        <v>30.519999999999982</v>
      </c>
      <c r="H74" s="460">
        <f>G74+'29'!H74</f>
        <v>909</v>
      </c>
      <c r="I74" s="480"/>
      <c r="J74" s="552">
        <f>H74/DAY(B2)</f>
        <v>30.3</v>
      </c>
      <c r="K74" s="431"/>
      <c r="L74" s="377"/>
      <c r="O74" s="808"/>
    </row>
    <row r="75" spans="1:15" ht="27.75">
      <c r="A75" s="1661" t="s">
        <v>194</v>
      </c>
      <c r="B75" s="1662"/>
      <c r="C75" s="1662"/>
      <c r="D75" s="523" t="s">
        <v>187</v>
      </c>
      <c r="E75" s="455">
        <f>'29'!F75</f>
        <v>10911.43</v>
      </c>
      <c r="F75" s="521">
        <v>10970</v>
      </c>
      <c r="G75" s="473">
        <f t="shared" si="6"/>
        <v>58.569999999999709</v>
      </c>
      <c r="H75" s="460">
        <f>G75+'29'!H75</f>
        <v>2290</v>
      </c>
      <c r="I75" s="480"/>
      <c r="J75" s="552">
        <f>H75/DAY(B2)</f>
        <v>76.333333333333329</v>
      </c>
      <c r="K75" s="430"/>
      <c r="L75" s="377"/>
      <c r="O75" s="808"/>
    </row>
    <row r="76" spans="1:15" ht="27.75">
      <c r="A76" s="1661" t="s">
        <v>195</v>
      </c>
      <c r="B76" s="1662"/>
      <c r="C76" s="1662"/>
      <c r="D76" s="523" t="s">
        <v>187</v>
      </c>
      <c r="E76" s="455">
        <f>'29'!F76</f>
        <v>5659.36</v>
      </c>
      <c r="F76" s="520">
        <v>5709</v>
      </c>
      <c r="G76" s="473">
        <f t="shared" si="6"/>
        <v>49.640000000000327</v>
      </c>
      <c r="H76" s="460">
        <f>G76+'29'!H76</f>
        <v>2083</v>
      </c>
      <c r="I76" s="505"/>
      <c r="J76" s="552">
        <f>H76/DAY(B2)</f>
        <v>69.433333333333337</v>
      </c>
      <c r="K76" s="430"/>
      <c r="L76" s="377"/>
      <c r="O76" s="808"/>
    </row>
    <row r="77" spans="1:15" ht="27.75">
      <c r="A77" s="1659" t="s">
        <v>196</v>
      </c>
      <c r="B77" s="1495"/>
      <c r="C77" s="1495"/>
      <c r="D77" s="523" t="s">
        <v>187</v>
      </c>
      <c r="E77" s="455">
        <f>'29'!F77</f>
        <v>701513</v>
      </c>
      <c r="F77" s="521">
        <v>701562</v>
      </c>
      <c r="G77" s="473">
        <f t="shared" si="6"/>
        <v>49</v>
      </c>
      <c r="H77" s="460">
        <f>G77+'29'!H77</f>
        <v>1348</v>
      </c>
      <c r="I77" s="505"/>
      <c r="J77" s="552">
        <f>H77/DAY(B2)</f>
        <v>44.93333333333333</v>
      </c>
      <c r="K77" s="430"/>
      <c r="L77" s="377"/>
      <c r="O77" s="808"/>
    </row>
    <row r="78" spans="1:15" ht="27.75">
      <c r="A78" s="1147" t="s">
        <v>197</v>
      </c>
      <c r="B78" s="1120"/>
      <c r="C78" s="1120"/>
      <c r="D78" s="523" t="s">
        <v>187</v>
      </c>
      <c r="E78" s="455">
        <f>'29'!F78</f>
        <v>669798</v>
      </c>
      <c r="F78" s="521">
        <v>670025</v>
      </c>
      <c r="G78" s="473">
        <f t="shared" si="6"/>
        <v>227</v>
      </c>
      <c r="H78" s="460">
        <f>G78+'29'!H78</f>
        <v>4645</v>
      </c>
      <c r="I78" s="505"/>
      <c r="J78" s="552">
        <f>H78/DAY(B2)</f>
        <v>154.83333333333334</v>
      </c>
      <c r="K78" s="430"/>
      <c r="L78" s="377"/>
      <c r="O78" s="808"/>
    </row>
    <row r="79" spans="1:15" ht="27.75">
      <c r="A79" s="1661" t="s">
        <v>92</v>
      </c>
      <c r="B79" s="1662"/>
      <c r="C79" s="1662"/>
      <c r="D79" s="524" t="s">
        <v>187</v>
      </c>
      <c r="E79" s="455">
        <f>'29'!F79</f>
        <v>826590</v>
      </c>
      <c r="F79" s="521">
        <v>826784</v>
      </c>
      <c r="G79" s="473">
        <f t="shared" si="6"/>
        <v>194</v>
      </c>
      <c r="H79" s="460">
        <f>G79+'29'!H79</f>
        <v>6593</v>
      </c>
      <c r="I79" s="505"/>
      <c r="J79" s="552">
        <f>H79/DAY(B2)</f>
        <v>219.76666666666668</v>
      </c>
      <c r="K79" s="430"/>
      <c r="L79" s="377"/>
      <c r="O79" s="808"/>
    </row>
    <row r="80" spans="1:15" ht="27.75">
      <c r="A80" s="1661" t="s">
        <v>198</v>
      </c>
      <c r="B80" s="1662"/>
      <c r="C80" s="1662"/>
      <c r="D80" s="524" t="s">
        <v>187</v>
      </c>
      <c r="E80" s="455">
        <f>'29'!F80</f>
        <v>516357.24</v>
      </c>
      <c r="F80" s="520">
        <v>516738</v>
      </c>
      <c r="G80" s="473">
        <f t="shared" si="6"/>
        <v>380.76000000000931</v>
      </c>
      <c r="H80" s="460">
        <f>G80+'29'!H80</f>
        <v>8810</v>
      </c>
      <c r="I80" s="505"/>
      <c r="J80" s="552">
        <f>H80/DAY(B2)</f>
        <v>293.66666666666669</v>
      </c>
      <c r="K80" s="430"/>
      <c r="L80" s="377"/>
      <c r="O80" s="808"/>
    </row>
    <row r="81" spans="1:15" ht="27.75">
      <c r="A81" s="1661" t="s">
        <v>199</v>
      </c>
      <c r="B81" s="1662"/>
      <c r="C81" s="1662"/>
      <c r="D81" s="524" t="s">
        <v>187</v>
      </c>
      <c r="E81" s="455">
        <f>'29'!F81</f>
        <v>636404.12</v>
      </c>
      <c r="F81" s="520">
        <v>636478</v>
      </c>
      <c r="G81" s="473">
        <f t="shared" si="6"/>
        <v>73.880000000004657</v>
      </c>
      <c r="H81" s="460">
        <f>G81+'29'!H81</f>
        <v>6293</v>
      </c>
      <c r="I81" s="505"/>
      <c r="J81" s="552">
        <f>H81/DAY(B2)</f>
        <v>209.76666666666668</v>
      </c>
      <c r="K81" s="430"/>
      <c r="L81" s="377"/>
      <c r="O81" s="808"/>
    </row>
    <row r="82" spans="1:15" ht="27.75">
      <c r="A82" s="1661" t="s">
        <v>93</v>
      </c>
      <c r="B82" s="1662"/>
      <c r="C82" s="1662"/>
      <c r="D82" s="485" t="s">
        <v>132</v>
      </c>
      <c r="E82" s="455">
        <f>'29'!F82</f>
        <v>107569.60000000001</v>
      </c>
      <c r="F82" s="522">
        <v>107612</v>
      </c>
      <c r="G82" s="473">
        <f t="shared" si="6"/>
        <v>42.399999999994179</v>
      </c>
      <c r="H82" s="460">
        <f>G82+'29'!H82</f>
        <v>717</v>
      </c>
      <c r="I82" s="486"/>
      <c r="J82" s="552">
        <f>H82/DAY(B2)</f>
        <v>23.9</v>
      </c>
      <c r="K82" s="430"/>
      <c r="L82" s="377"/>
      <c r="O82" s="808"/>
    </row>
    <row r="83" spans="1:15" ht="27.75">
      <c r="A83" s="1661" t="s">
        <v>200</v>
      </c>
      <c r="B83" s="1662"/>
      <c r="C83" s="1662"/>
      <c r="D83" s="620" t="s">
        <v>132</v>
      </c>
      <c r="E83" s="455">
        <f>'29'!F83</f>
        <v>14522</v>
      </c>
      <c r="F83" s="511">
        <v>14771</v>
      </c>
      <c r="G83" s="473">
        <f t="shared" si="6"/>
        <v>249</v>
      </c>
      <c r="H83" s="460">
        <f>G83+'29'!H83</f>
        <v>7714</v>
      </c>
      <c r="I83" s="481"/>
      <c r="J83" s="552">
        <f>H83/DAY(B2)</f>
        <v>257.13333333333333</v>
      </c>
      <c r="K83" s="429"/>
      <c r="L83" s="377"/>
      <c r="O83" s="808"/>
    </row>
    <row r="84" spans="1:15" ht="29.25">
      <c r="A84" s="1148" t="s">
        <v>201</v>
      </c>
      <c r="B84" s="571"/>
      <c r="C84" s="571"/>
      <c r="D84" s="478" t="s">
        <v>132</v>
      </c>
      <c r="E84" s="455">
        <f>'29'!F84</f>
        <v>479363</v>
      </c>
      <c r="F84" s="523">
        <v>480133</v>
      </c>
      <c r="G84" s="473">
        <f t="shared" si="6"/>
        <v>770</v>
      </c>
      <c r="H84" s="460">
        <f>G84+'29'!H84</f>
        <v>25449</v>
      </c>
      <c r="I84" s="481"/>
      <c r="J84" s="552">
        <f>H84/DAY(B2)</f>
        <v>848.3</v>
      </c>
      <c r="K84" s="380"/>
      <c r="L84" s="377"/>
      <c r="O84" s="808"/>
    </row>
    <row r="85" spans="1:15" s="379" customFormat="1" ht="21.95" customHeight="1">
      <c r="A85" s="605" t="s">
        <v>202</v>
      </c>
      <c r="B85" s="572"/>
      <c r="C85" s="572"/>
      <c r="D85" s="489"/>
      <c r="E85" s="455">
        <f>'29'!F85</f>
        <v>0</v>
      </c>
      <c r="F85" s="523"/>
      <c r="G85" s="460">
        <f xml:space="preserve"> SUM(G72:G84)</f>
        <v>2146.7700000000082</v>
      </c>
      <c r="H85" s="460">
        <f>G85+'29'!H85</f>
        <v>70005</v>
      </c>
      <c r="I85" s="481"/>
      <c r="J85" s="552">
        <f>H85/DAY(B2)</f>
        <v>2333.5</v>
      </c>
      <c r="K85" s="380"/>
      <c r="L85" s="378"/>
      <c r="O85" s="808"/>
    </row>
    <row r="86" spans="1:15" s="738" customFormat="1" ht="29.25">
      <c r="A86" s="733" t="s">
        <v>94</v>
      </c>
      <c r="B86" s="734"/>
      <c r="C86" s="734"/>
      <c r="D86" s="735" t="s">
        <v>183</v>
      </c>
      <c r="E86" s="455">
        <f>'29'!F86</f>
        <v>459096.76</v>
      </c>
      <c r="F86" s="650">
        <v>459267</v>
      </c>
      <c r="G86" s="708">
        <f t="shared" ref="G86:G90" si="7">F86-E86</f>
        <v>170.23999999999069</v>
      </c>
      <c r="H86" s="460">
        <f>G86+'29'!H86</f>
        <v>329.11999999999534</v>
      </c>
      <c r="I86" s="655"/>
      <c r="J86" s="710">
        <f>H86/DAY(B2)</f>
        <v>10.970666666666512</v>
      </c>
      <c r="K86" s="736"/>
      <c r="L86" s="737"/>
      <c r="O86" s="808"/>
    </row>
    <row r="87" spans="1:15" s="738" customFormat="1" ht="27.75" customHeight="1">
      <c r="A87" s="733" t="s">
        <v>95</v>
      </c>
      <c r="B87" s="734"/>
      <c r="C87" s="734"/>
      <c r="D87" s="735" t="s">
        <v>183</v>
      </c>
      <c r="E87" s="455">
        <f>'29'!F87</f>
        <v>80905</v>
      </c>
      <c r="F87" s="650">
        <v>80919</v>
      </c>
      <c r="G87" s="708">
        <f t="shared" si="7"/>
        <v>14</v>
      </c>
      <c r="H87" s="460">
        <f>G87+'29'!H87</f>
        <v>28.80000000000291</v>
      </c>
      <c r="I87" s="655"/>
      <c r="J87" s="710">
        <f>H87/DAY(B2)</f>
        <v>0.960000000000097</v>
      </c>
      <c r="K87" s="736"/>
      <c r="L87" s="737"/>
      <c r="O87" s="808"/>
    </row>
    <row r="88" spans="1:15" s="738" customFormat="1" ht="29.25">
      <c r="A88" s="733" t="s">
        <v>96</v>
      </c>
      <c r="B88" s="734"/>
      <c r="C88" s="734"/>
      <c r="D88" s="735" t="s">
        <v>183</v>
      </c>
      <c r="E88" s="455">
        <f>'29'!F88</f>
        <v>151781</v>
      </c>
      <c r="F88" s="650">
        <v>151805</v>
      </c>
      <c r="G88" s="708">
        <f t="shared" si="7"/>
        <v>24</v>
      </c>
      <c r="H88" s="460">
        <f>G88+'29'!H88</f>
        <v>46.670000000012806</v>
      </c>
      <c r="I88" s="655"/>
      <c r="J88" s="710">
        <f>H88/DAY(B2)</f>
        <v>1.5556666666670935</v>
      </c>
      <c r="K88" s="736"/>
      <c r="L88" s="737"/>
      <c r="O88" s="808"/>
    </row>
    <row r="89" spans="1:15" s="738" customFormat="1" ht="29.25">
      <c r="A89" s="733" t="s">
        <v>204</v>
      </c>
      <c r="B89" s="734"/>
      <c r="C89" s="734"/>
      <c r="D89" s="735" t="s">
        <v>183</v>
      </c>
      <c r="E89" s="455">
        <f>'29'!F89</f>
        <v>64803.8</v>
      </c>
      <c r="F89" s="650">
        <v>64834</v>
      </c>
      <c r="G89" s="708">
        <f t="shared" si="7"/>
        <v>30.19999999999709</v>
      </c>
      <c r="H89" s="460">
        <f>G89+'29'!H89</f>
        <v>73.099999999998545</v>
      </c>
      <c r="I89" s="655"/>
      <c r="J89" s="710">
        <f>H89/DAY(B2)</f>
        <v>2.4366666666666181</v>
      </c>
      <c r="K89" s="736"/>
      <c r="L89" s="737"/>
      <c r="N89" s="781"/>
      <c r="O89" s="808"/>
    </row>
    <row r="90" spans="1:15" s="738" customFormat="1" ht="29.25">
      <c r="A90" s="733" t="s">
        <v>204</v>
      </c>
      <c r="B90" s="734"/>
      <c r="C90" s="734"/>
      <c r="D90" s="735" t="s">
        <v>183</v>
      </c>
      <c r="E90" s="455">
        <f>'29'!F90</f>
        <v>3272.4</v>
      </c>
      <c r="F90" s="650">
        <v>3272</v>
      </c>
      <c r="G90" s="708">
        <f t="shared" si="7"/>
        <v>-0.40000000000009095</v>
      </c>
      <c r="H90" s="460">
        <f>G90+'29'!H90</f>
        <v>-0.40000000000009095</v>
      </c>
      <c r="I90" s="655"/>
      <c r="J90" s="710">
        <f>H90/DAY(B2)</f>
        <v>-1.3333333333336365E-2</v>
      </c>
      <c r="K90" s="736"/>
      <c r="L90" s="737"/>
      <c r="N90" s="781"/>
      <c r="O90" s="808"/>
    </row>
    <row r="91" spans="1:15" s="379" customFormat="1" ht="29.25">
      <c r="A91" s="606" t="s">
        <v>205</v>
      </c>
      <c r="B91" s="1150"/>
      <c r="C91" s="1150"/>
      <c r="D91" s="472"/>
      <c r="E91" s="472"/>
      <c r="F91" s="472"/>
      <c r="G91" s="488"/>
      <c r="H91" s="472"/>
      <c r="I91" s="472"/>
      <c r="J91" s="551"/>
      <c r="K91" s="380"/>
      <c r="L91" s="378"/>
      <c r="O91" s="808"/>
    </row>
    <row r="92" spans="1:15" ht="27.75">
      <c r="A92" s="1646" t="s">
        <v>206</v>
      </c>
      <c r="B92" s="1647"/>
      <c r="C92" s="1647"/>
      <c r="D92" s="523" t="s">
        <v>144</v>
      </c>
      <c r="E92" s="455">
        <f>'29'!F92</f>
        <v>244468</v>
      </c>
      <c r="F92" s="484">
        <v>244524</v>
      </c>
      <c r="G92" s="473">
        <f t="shared" ref="G92:G93" si="8">F92-E92</f>
        <v>56</v>
      </c>
      <c r="H92" s="460">
        <f>G92+'29'!H92</f>
        <v>1878</v>
      </c>
      <c r="I92" s="480"/>
      <c r="J92" s="552">
        <f>H92/DAY(B2)</f>
        <v>62.6</v>
      </c>
      <c r="K92" s="429"/>
      <c r="L92" s="377"/>
      <c r="O92" s="808"/>
    </row>
    <row r="93" spans="1:15" ht="27.75">
      <c r="A93" s="1646" t="s">
        <v>207</v>
      </c>
      <c r="B93" s="1647"/>
      <c r="C93" s="1647"/>
      <c r="D93" s="523" t="s">
        <v>144</v>
      </c>
      <c r="E93" s="455">
        <f>'29'!F93</f>
        <v>183446</v>
      </c>
      <c r="F93" s="484">
        <v>183531</v>
      </c>
      <c r="G93" s="473">
        <f t="shared" si="8"/>
        <v>85</v>
      </c>
      <c r="H93" s="460">
        <f>G93+'29'!H93</f>
        <v>3852</v>
      </c>
      <c r="I93" s="480"/>
      <c r="J93" s="552">
        <f>H93/DAY(B2)</f>
        <v>128.4</v>
      </c>
      <c r="K93" s="380"/>
      <c r="L93" s="377"/>
      <c r="O93" s="808"/>
    </row>
    <row r="94" spans="1:15" ht="29.25">
      <c r="A94" s="1663" t="s">
        <v>208</v>
      </c>
      <c r="B94" s="1664"/>
      <c r="C94" s="1664"/>
      <c r="D94" s="523"/>
      <c r="E94" s="455"/>
      <c r="F94" s="484"/>
      <c r="G94" s="473">
        <f>G92+G93</f>
        <v>141</v>
      </c>
      <c r="H94" s="460">
        <f>G94+'29'!H94</f>
        <v>5511</v>
      </c>
      <c r="I94" s="480"/>
      <c r="J94" s="552">
        <f>H94/DAY(B2)</f>
        <v>183.7</v>
      </c>
      <c r="K94" s="380"/>
      <c r="L94" s="377"/>
      <c r="O94" s="808"/>
    </row>
    <row r="95" spans="1:15" ht="27.75">
      <c r="A95" s="1646" t="s">
        <v>209</v>
      </c>
      <c r="B95" s="1647"/>
      <c r="C95" s="1647"/>
      <c r="D95" s="523" t="s">
        <v>144</v>
      </c>
      <c r="E95" s="455">
        <f>'29'!F95</f>
        <v>412812</v>
      </c>
      <c r="F95" s="484">
        <v>412886</v>
      </c>
      <c r="G95" s="473">
        <f t="shared" ref="G95:G99" si="9">F95-E95</f>
        <v>74</v>
      </c>
      <c r="H95" s="460">
        <f>G95+'29'!H95</f>
        <v>2101</v>
      </c>
      <c r="I95" s="480"/>
      <c r="J95" s="552">
        <f>H95/DAY(B2)</f>
        <v>70.033333333333331</v>
      </c>
      <c r="K95" s="380"/>
      <c r="L95" s="377"/>
      <c r="O95" s="808"/>
    </row>
    <row r="96" spans="1:15" ht="27.75">
      <c r="A96" s="1144" t="s">
        <v>210</v>
      </c>
      <c r="B96" s="1145"/>
      <c r="C96" s="1145"/>
      <c r="D96" s="523" t="s">
        <v>144</v>
      </c>
      <c r="E96" s="455">
        <f>'29'!F96</f>
        <v>102333</v>
      </c>
      <c r="F96" s="484">
        <v>102343</v>
      </c>
      <c r="G96" s="473">
        <f t="shared" si="9"/>
        <v>10</v>
      </c>
      <c r="H96" s="460">
        <f>G96+'29'!H96</f>
        <v>512</v>
      </c>
      <c r="I96" s="480"/>
      <c r="J96" s="552">
        <f>H96/DAY(B2)</f>
        <v>17.066666666666666</v>
      </c>
      <c r="K96" s="427"/>
      <c r="L96" s="377"/>
      <c r="O96" s="808"/>
    </row>
    <row r="97" spans="1:15" ht="27.75">
      <c r="A97" s="1144" t="s">
        <v>211</v>
      </c>
      <c r="B97" s="1145"/>
      <c r="C97" s="1145"/>
      <c r="D97" s="523" t="s">
        <v>144</v>
      </c>
      <c r="E97" s="455">
        <f>'29'!F97</f>
        <v>97411</v>
      </c>
      <c r="F97" s="484">
        <v>97427</v>
      </c>
      <c r="G97" s="473">
        <f t="shared" si="9"/>
        <v>16</v>
      </c>
      <c r="H97" s="460">
        <f>G97+'29'!H97</f>
        <v>499</v>
      </c>
      <c r="I97" s="480"/>
      <c r="J97" s="552">
        <f>H97/DAY(B2)</f>
        <v>16.633333333333333</v>
      </c>
      <c r="K97" s="432"/>
      <c r="L97" s="377"/>
      <c r="O97" s="808"/>
    </row>
    <row r="98" spans="1:15" ht="27.75">
      <c r="A98" s="1144" t="s">
        <v>212</v>
      </c>
      <c r="B98" s="1145"/>
      <c r="C98" s="1145"/>
      <c r="D98" s="523" t="s">
        <v>144</v>
      </c>
      <c r="E98" s="455">
        <f>'29'!F98</f>
        <v>149525</v>
      </c>
      <c r="F98" s="484">
        <v>149533</v>
      </c>
      <c r="G98" s="473">
        <f t="shared" si="9"/>
        <v>8</v>
      </c>
      <c r="H98" s="460">
        <f>G98+'29'!H98</f>
        <v>624</v>
      </c>
      <c r="I98" s="480"/>
      <c r="J98" s="552">
        <f>H98/DAY(B2)</f>
        <v>20.8</v>
      </c>
      <c r="K98" s="380"/>
      <c r="L98" s="377"/>
      <c r="O98" s="808"/>
    </row>
    <row r="99" spans="1:15" ht="27.75">
      <c r="A99" s="1144" t="s">
        <v>213</v>
      </c>
      <c r="B99" s="1145"/>
      <c r="C99" s="1145"/>
      <c r="D99" s="523" t="s">
        <v>144</v>
      </c>
      <c r="E99" s="455">
        <f>'29'!F99</f>
        <v>7181</v>
      </c>
      <c r="F99" s="484">
        <v>7185</v>
      </c>
      <c r="G99" s="473">
        <f t="shared" si="9"/>
        <v>4</v>
      </c>
      <c r="H99" s="460">
        <f>G99+'29'!H99</f>
        <v>330</v>
      </c>
      <c r="I99" s="480"/>
      <c r="J99" s="552">
        <f>H99/DAY(B2)</f>
        <v>11</v>
      </c>
      <c r="K99" s="380"/>
      <c r="L99" s="377"/>
      <c r="O99" s="808"/>
    </row>
    <row r="100" spans="1:15" ht="27.75">
      <c r="A100" s="1144" t="s">
        <v>214</v>
      </c>
      <c r="B100" s="1145"/>
      <c r="C100" s="1145"/>
      <c r="D100" s="523" t="s">
        <v>144</v>
      </c>
      <c r="E100" s="455">
        <f>'29'!F100</f>
        <v>5133</v>
      </c>
      <c r="F100" s="484">
        <v>5138</v>
      </c>
      <c r="G100" s="473">
        <f>F100-E100</f>
        <v>5</v>
      </c>
      <c r="H100" s="460">
        <f>G100+'29'!H100</f>
        <v>195</v>
      </c>
      <c r="I100" s="480"/>
      <c r="J100" s="552">
        <f>H100/DAY(B2)</f>
        <v>6.5</v>
      </c>
      <c r="K100" s="380"/>
      <c r="L100" s="377"/>
      <c r="O100" s="808"/>
    </row>
    <row r="101" spans="1:15" ht="29.25">
      <c r="A101" s="1663" t="s">
        <v>216</v>
      </c>
      <c r="B101" s="1664"/>
      <c r="C101" s="1664"/>
      <c r="D101" s="524"/>
      <c r="E101" s="524"/>
      <c r="F101" s="524"/>
      <c r="G101" s="525">
        <f>SUM(G95:G100)</f>
        <v>117</v>
      </c>
      <c r="H101" s="460">
        <f>G101+'29'!H101</f>
        <v>4261</v>
      </c>
      <c r="I101" s="526"/>
      <c r="J101" s="552">
        <f>H101/DAY(B2)</f>
        <v>142.03333333333333</v>
      </c>
      <c r="K101" s="380"/>
      <c r="L101" s="377"/>
      <c r="O101" s="808"/>
    </row>
    <row r="102" spans="1:15" s="442" customFormat="1" ht="27">
      <c r="A102" s="607" t="s">
        <v>217</v>
      </c>
      <c r="B102" s="608"/>
      <c r="C102" s="608"/>
      <c r="D102" s="621"/>
      <c r="E102" s="527"/>
      <c r="F102" s="528"/>
      <c r="G102" s="529"/>
      <c r="H102" s="530"/>
      <c r="I102" s="531"/>
      <c r="J102" s="557"/>
      <c r="O102" s="808"/>
    </row>
    <row r="103" spans="1:15" s="442" customFormat="1" ht="27.75">
      <c r="A103" s="1669" t="s">
        <v>218</v>
      </c>
      <c r="B103" s="1670"/>
      <c r="C103" s="573"/>
      <c r="D103" s="622"/>
      <c r="E103" s="532"/>
      <c r="F103" s="532"/>
      <c r="G103" s="532"/>
      <c r="H103" s="533"/>
      <c r="I103" s="532"/>
      <c r="J103" s="558"/>
      <c r="O103" s="808"/>
    </row>
    <row r="104" spans="1:15" s="442" customFormat="1" ht="27.75">
      <c r="A104" s="1644" t="s">
        <v>219</v>
      </c>
      <c r="B104" s="1645"/>
      <c r="C104" s="1142"/>
      <c r="D104" s="622" t="s">
        <v>144</v>
      </c>
      <c r="E104" s="532">
        <f>'29'!F104</f>
        <v>7431</v>
      </c>
      <c r="F104" s="532">
        <v>7431</v>
      </c>
      <c r="G104" s="532">
        <f>F104-E104</f>
        <v>0</v>
      </c>
      <c r="H104" s="460">
        <f>G104+'29'!H104</f>
        <v>59</v>
      </c>
      <c r="I104" s="532"/>
      <c r="J104" s="558">
        <f>H104/DAY(B2)</f>
        <v>1.9666666666666666</v>
      </c>
      <c r="O104" s="808"/>
    </row>
    <row r="105" spans="1:15" s="442" customFormat="1" ht="27.75">
      <c r="A105" s="1644" t="s">
        <v>77</v>
      </c>
      <c r="B105" s="1645"/>
      <c r="C105" s="1142"/>
      <c r="D105" s="622" t="s">
        <v>144</v>
      </c>
      <c r="E105" s="532">
        <f>'29'!F105</f>
        <v>35828</v>
      </c>
      <c r="F105" s="534">
        <v>35828</v>
      </c>
      <c r="G105" s="532">
        <f t="shared" ref="G105:G106" si="10">F105-E105</f>
        <v>0</v>
      </c>
      <c r="H105" s="460">
        <f>G105+'29'!H105</f>
        <v>59</v>
      </c>
      <c r="I105" s="532"/>
      <c r="J105" s="558">
        <f>H105/DAY(B2)</f>
        <v>1.9666666666666666</v>
      </c>
      <c r="O105" s="808"/>
    </row>
    <row r="106" spans="1:15" s="442" customFormat="1" ht="27.75">
      <c r="A106" s="1644" t="s">
        <v>78</v>
      </c>
      <c r="B106" s="1645"/>
      <c r="C106" s="1645"/>
      <c r="D106" s="622" t="s">
        <v>144</v>
      </c>
      <c r="E106" s="532">
        <f>'29'!F106</f>
        <v>19614</v>
      </c>
      <c r="F106" s="532">
        <v>19617</v>
      </c>
      <c r="G106" s="532">
        <f t="shared" si="10"/>
        <v>3</v>
      </c>
      <c r="H106" s="460">
        <f>G106+'29'!H106</f>
        <v>405</v>
      </c>
      <c r="I106" s="532"/>
      <c r="J106" s="558">
        <f>H106/DAY(B2)</f>
        <v>13.5</v>
      </c>
      <c r="O106" s="808"/>
    </row>
    <row r="107" spans="1:15" s="442" customFormat="1" ht="27.75">
      <c r="A107" s="1634" t="s">
        <v>202</v>
      </c>
      <c r="B107" s="1635"/>
      <c r="C107" s="1142"/>
      <c r="D107" s="622"/>
      <c r="E107" s="532"/>
      <c r="F107" s="532"/>
      <c r="G107" s="532">
        <f>SUM(G104:G106)</f>
        <v>3</v>
      </c>
      <c r="H107" s="460">
        <f>G107+'29'!H107</f>
        <v>213</v>
      </c>
      <c r="I107" s="532"/>
      <c r="J107" s="558">
        <f>H107/DAY(B2)</f>
        <v>7.1</v>
      </c>
      <c r="O107" s="808"/>
    </row>
    <row r="108" spans="1:15" s="442" customFormat="1" ht="27.75">
      <c r="A108" s="1642" t="s">
        <v>79</v>
      </c>
      <c r="B108" s="1643"/>
      <c r="C108" s="1142"/>
      <c r="D108" s="622" t="s">
        <v>144</v>
      </c>
      <c r="E108" s="532"/>
      <c r="F108" s="532"/>
      <c r="G108" s="532"/>
      <c r="H108" s="533"/>
      <c r="I108" s="532"/>
      <c r="J108" s="558"/>
      <c r="O108" s="808"/>
    </row>
    <row r="109" spans="1:15" s="442" customFormat="1" ht="27.75">
      <c r="A109" s="1644" t="s">
        <v>220</v>
      </c>
      <c r="B109" s="1645"/>
      <c r="C109" s="1142"/>
      <c r="D109" s="622" t="s">
        <v>144</v>
      </c>
      <c r="E109" s="532">
        <f>'29'!F109</f>
        <v>61077</v>
      </c>
      <c r="F109" s="532">
        <v>61174</v>
      </c>
      <c r="G109" s="532">
        <f>F109-E109</f>
        <v>97</v>
      </c>
      <c r="H109" s="460">
        <f>G109+'29'!H109</f>
        <v>378</v>
      </c>
      <c r="I109" s="532"/>
      <c r="J109" s="558">
        <f>H109/DAY(B2)</f>
        <v>12.6</v>
      </c>
      <c r="O109" s="808"/>
    </row>
    <row r="110" spans="1:15" s="442" customFormat="1" ht="27.75">
      <c r="A110" s="1644" t="s">
        <v>221</v>
      </c>
      <c r="B110" s="1645"/>
      <c r="C110" s="1142"/>
      <c r="D110" s="622" t="s">
        <v>144</v>
      </c>
      <c r="E110" s="532">
        <f>'29'!F110</f>
        <v>32235</v>
      </c>
      <c r="F110" s="532">
        <v>32235</v>
      </c>
      <c r="G110" s="532">
        <f t="shared" ref="G110:G111" si="11">F110-E110</f>
        <v>0</v>
      </c>
      <c r="H110" s="460">
        <f>G110+'29'!H110</f>
        <v>45</v>
      </c>
      <c r="I110" s="532"/>
      <c r="J110" s="558">
        <f>H110/DAY(B2)</f>
        <v>1.5</v>
      </c>
      <c r="O110" s="808"/>
    </row>
    <row r="111" spans="1:15" s="442" customFormat="1" ht="27.75">
      <c r="A111" s="1644" t="s">
        <v>222</v>
      </c>
      <c r="B111" s="1645"/>
      <c r="C111" s="1142"/>
      <c r="D111" s="622" t="s">
        <v>144</v>
      </c>
      <c r="E111" s="532">
        <f>'29'!F111</f>
        <v>4368</v>
      </c>
      <c r="F111" s="532">
        <v>4368</v>
      </c>
      <c r="G111" s="532">
        <f t="shared" si="11"/>
        <v>0</v>
      </c>
      <c r="H111" s="460">
        <f>G111+'29'!H111</f>
        <v>244</v>
      </c>
      <c r="I111" s="532"/>
      <c r="J111" s="558">
        <f>H111/DAY(B2)</f>
        <v>8.1333333333333329</v>
      </c>
      <c r="O111" s="808"/>
    </row>
    <row r="112" spans="1:15" s="442" customFormat="1" ht="27.75">
      <c r="A112" s="1640" t="s">
        <v>110</v>
      </c>
      <c r="B112" s="1641"/>
      <c r="C112" s="1142"/>
      <c r="D112" s="622"/>
      <c r="E112" s="532"/>
      <c r="F112" s="532"/>
      <c r="G112" s="532">
        <f>SUM(G109:G111)</f>
        <v>97</v>
      </c>
      <c r="H112" s="460">
        <f>G112+'29'!H112</f>
        <v>1122</v>
      </c>
      <c r="I112" s="532"/>
      <c r="J112" s="558">
        <f>H112/DAY(B2)</f>
        <v>37.4</v>
      </c>
      <c r="O112" s="808"/>
    </row>
    <row r="113" spans="1:15" s="442" customFormat="1" ht="27.75">
      <c r="A113" s="1642" t="s">
        <v>223</v>
      </c>
      <c r="B113" s="1643"/>
      <c r="C113" s="1142"/>
      <c r="D113" s="622"/>
      <c r="E113" s="532"/>
      <c r="F113" s="532"/>
      <c r="G113" s="532"/>
      <c r="H113" s="533"/>
      <c r="I113" s="532"/>
      <c r="J113" s="558">
        <f>H113/DAY(B2)</f>
        <v>0</v>
      </c>
      <c r="O113" s="808"/>
    </row>
    <row r="114" spans="1:15" s="442" customFormat="1" ht="27.75">
      <c r="A114" s="1644" t="s">
        <v>224</v>
      </c>
      <c r="B114" s="1645"/>
      <c r="C114" s="574"/>
      <c r="D114" s="622" t="s">
        <v>144</v>
      </c>
      <c r="E114" s="532">
        <f>'29'!F114</f>
        <v>11254</v>
      </c>
      <c r="F114" s="534">
        <v>11259</v>
      </c>
      <c r="G114" s="534">
        <f>F114-E114</f>
        <v>5</v>
      </c>
      <c r="H114" s="460">
        <f>G114+'29'!H114</f>
        <v>10</v>
      </c>
      <c r="I114" s="532"/>
      <c r="J114" s="558">
        <f>H114/DAY(B2)</f>
        <v>0.33333333333333331</v>
      </c>
      <c r="O114" s="808"/>
    </row>
    <row r="115" spans="1:15" s="442" customFormat="1" ht="27.75">
      <c r="A115" s="1644" t="s">
        <v>225</v>
      </c>
      <c r="B115" s="1645"/>
      <c r="C115" s="574"/>
      <c r="D115" s="622" t="s">
        <v>144</v>
      </c>
      <c r="E115" s="532">
        <f>'29'!F115</f>
        <v>8123</v>
      </c>
      <c r="F115" s="534">
        <v>8126</v>
      </c>
      <c r="G115" s="534">
        <f t="shared" ref="G115:G116" si="12">F115-E115</f>
        <v>3</v>
      </c>
      <c r="H115" s="460">
        <f>G115+'29'!H115</f>
        <v>97</v>
      </c>
      <c r="I115" s="532"/>
      <c r="J115" s="558">
        <f>H115/DAY(B2)</f>
        <v>3.2333333333333334</v>
      </c>
      <c r="O115" s="808"/>
    </row>
    <row r="116" spans="1:15" s="442" customFormat="1" ht="27.75">
      <c r="A116" s="1644" t="s">
        <v>226</v>
      </c>
      <c r="B116" s="1645"/>
      <c r="C116" s="574"/>
      <c r="D116" s="622" t="s">
        <v>144</v>
      </c>
      <c r="E116" s="534"/>
      <c r="F116" s="534"/>
      <c r="G116" s="534">
        <f t="shared" si="12"/>
        <v>0</v>
      </c>
      <c r="H116" s="460">
        <f>G116+'29'!H116</f>
        <v>127</v>
      </c>
      <c r="I116" s="532"/>
      <c r="J116" s="558">
        <f>H116/DAY(B2)</f>
        <v>4.2333333333333334</v>
      </c>
      <c r="O116" s="808"/>
    </row>
    <row r="117" spans="1:15" s="445" customFormat="1" ht="27.75">
      <c r="A117" s="1634" t="s">
        <v>202</v>
      </c>
      <c r="B117" s="1635"/>
      <c r="C117" s="574"/>
      <c r="D117" s="623"/>
      <c r="E117" s="534"/>
      <c r="F117" s="534"/>
      <c r="G117" s="534">
        <f>SUM(G114:G116)</f>
        <v>8</v>
      </c>
      <c r="H117" s="460">
        <f>G117+'29'!H117</f>
        <v>92</v>
      </c>
      <c r="I117" s="534"/>
      <c r="J117" s="558">
        <f>H117/DAY(B2)</f>
        <v>3.0666666666666669</v>
      </c>
      <c r="O117" s="808"/>
    </row>
    <row r="118" spans="1:15" s="446" customFormat="1" ht="27.75">
      <c r="A118" s="1636" t="s">
        <v>227</v>
      </c>
      <c r="B118" s="1637"/>
      <c r="C118" s="1141"/>
      <c r="D118" s="624" t="s">
        <v>144</v>
      </c>
      <c r="E118" s="535"/>
      <c r="F118" s="536"/>
      <c r="G118" s="536">
        <f>SUM(G19+G92)</f>
        <v>110</v>
      </c>
      <c r="H118" s="460">
        <f>G118+'29'!H118</f>
        <v>199</v>
      </c>
      <c r="I118" s="535"/>
      <c r="J118" s="559">
        <f>H118/DAY(B2)</f>
        <v>6.6333333333333337</v>
      </c>
      <c r="O118" s="808"/>
    </row>
    <row r="119" spans="1:15" s="446" customFormat="1" ht="27.75">
      <c r="A119" s="1636" t="s">
        <v>228</v>
      </c>
      <c r="B119" s="1637"/>
      <c r="C119" s="1141"/>
      <c r="D119" s="624" t="s">
        <v>144</v>
      </c>
      <c r="E119" s="535"/>
      <c r="F119" s="536"/>
      <c r="G119" s="536">
        <f>SUM(G95,G96,G97,G99,G100)</f>
        <v>109</v>
      </c>
      <c r="H119" s="460">
        <f>G119+'29'!H119</f>
        <v>222</v>
      </c>
      <c r="I119" s="535"/>
      <c r="J119" s="559">
        <f>H119/DAY(B2)</f>
        <v>7.4</v>
      </c>
      <c r="O119" s="808"/>
    </row>
    <row r="120" spans="1:15" s="446" customFormat="1" ht="27.75">
      <c r="A120" s="1636" t="s">
        <v>229</v>
      </c>
      <c r="B120" s="1637"/>
      <c r="C120" s="1141"/>
      <c r="D120" s="624" t="s">
        <v>144</v>
      </c>
      <c r="E120" s="535"/>
      <c r="F120" s="534"/>
      <c r="G120" s="534">
        <f>SUM(G112)</f>
        <v>97</v>
      </c>
      <c r="H120" s="460">
        <f>G120+'29'!H120</f>
        <v>213</v>
      </c>
      <c r="I120" s="535"/>
      <c r="J120" s="559">
        <f>H120/DAY(B2)</f>
        <v>7.1</v>
      </c>
      <c r="O120" s="808"/>
    </row>
    <row r="121" spans="1:15" s="442" customFormat="1" ht="27.75">
      <c r="A121" s="1638"/>
      <c r="B121" s="1639"/>
      <c r="C121" s="1142"/>
      <c r="D121" s="560"/>
      <c r="E121" s="560"/>
      <c r="F121" s="560"/>
      <c r="G121" s="560"/>
      <c r="H121" s="561"/>
      <c r="I121" s="560"/>
      <c r="J121" s="562"/>
      <c r="O121" s="808"/>
    </row>
    <row r="122" spans="1:15" ht="29.25">
      <c r="A122" s="1665" t="s">
        <v>230</v>
      </c>
      <c r="B122" s="1666"/>
      <c r="C122" s="1666"/>
      <c r="D122" s="472"/>
      <c r="E122" s="472"/>
      <c r="F122" s="472"/>
      <c r="G122" s="483"/>
      <c r="H122" s="483"/>
      <c r="I122" s="483"/>
      <c r="J122" s="563"/>
      <c r="K122" s="380"/>
      <c r="L122" s="377"/>
      <c r="O122" s="808"/>
    </row>
    <row r="123" spans="1:15" ht="21.95" customHeight="1">
      <c r="A123" s="1144" t="s">
        <v>231</v>
      </c>
      <c r="B123" s="1145"/>
      <c r="C123" s="1145"/>
      <c r="D123" s="523" t="s">
        <v>141</v>
      </c>
      <c r="E123" s="455">
        <f>'29'!F123</f>
        <v>825896.04</v>
      </c>
      <c r="F123" s="478">
        <v>826088.46</v>
      </c>
      <c r="G123" s="473">
        <f t="shared" ref="G123:G127" si="13">F123-E123</f>
        <v>192.41999999992549</v>
      </c>
      <c r="H123" s="460">
        <f>G123+'29'!H123</f>
        <v>7278.4599999999627</v>
      </c>
      <c r="I123" s="526"/>
      <c r="J123" s="552">
        <f>H123/DAY(B2)</f>
        <v>242.6153333333321</v>
      </c>
      <c r="K123" s="380"/>
      <c r="L123" s="377"/>
      <c r="O123" s="808"/>
    </row>
    <row r="124" spans="1:15" ht="21.95" customHeight="1">
      <c r="A124" s="1144" t="s">
        <v>232</v>
      </c>
      <c r="B124" s="1145"/>
      <c r="C124" s="1145"/>
      <c r="D124" s="523" t="s">
        <v>141</v>
      </c>
      <c r="E124" s="455">
        <f>'29'!F124</f>
        <v>73583</v>
      </c>
      <c r="F124" s="478">
        <v>73583.399999999994</v>
      </c>
      <c r="G124" s="473">
        <f t="shared" si="13"/>
        <v>0.39999999999417923</v>
      </c>
      <c r="H124" s="460">
        <f>G124+'29'!H124</f>
        <v>0</v>
      </c>
      <c r="I124" s="526"/>
      <c r="J124" s="552">
        <f>H124/DAY(B2)</f>
        <v>0</v>
      </c>
      <c r="K124" s="380"/>
      <c r="L124" s="377"/>
      <c r="O124" s="808"/>
    </row>
    <row r="125" spans="1:15" ht="21.95" customHeight="1">
      <c r="A125" s="1659" t="s">
        <v>233</v>
      </c>
      <c r="B125" s="1495"/>
      <c r="C125" s="1495"/>
      <c r="D125" s="523" t="s">
        <v>141</v>
      </c>
      <c r="E125" s="455">
        <f>'29'!F125</f>
        <v>144610</v>
      </c>
      <c r="F125" s="478">
        <v>144687.44</v>
      </c>
      <c r="G125" s="473">
        <f t="shared" si="13"/>
        <v>77.440000000002328</v>
      </c>
      <c r="H125" s="460">
        <f>G125+'29'!H125</f>
        <v>2551.4400000000023</v>
      </c>
      <c r="I125" s="526"/>
      <c r="J125" s="552">
        <f>H125/DAY(B2)</f>
        <v>85.048000000000073</v>
      </c>
      <c r="K125" s="380"/>
      <c r="L125" s="377"/>
      <c r="O125" s="808"/>
    </row>
    <row r="126" spans="1:15" ht="21.95" customHeight="1">
      <c r="A126" s="609" t="s">
        <v>234</v>
      </c>
      <c r="B126" s="1145"/>
      <c r="C126" s="1145"/>
      <c r="D126" s="523" t="s">
        <v>141</v>
      </c>
      <c r="E126" s="455">
        <f>'29'!F126</f>
        <v>31404</v>
      </c>
      <c r="F126" s="478">
        <v>31404</v>
      </c>
      <c r="G126" s="473">
        <f t="shared" si="13"/>
        <v>0</v>
      </c>
      <c r="H126" s="460">
        <f>G126+'29'!H126</f>
        <v>85.299999999999272</v>
      </c>
      <c r="I126" s="526"/>
      <c r="J126" s="552">
        <f>H126/DAY(B2)</f>
        <v>2.8433333333333093</v>
      </c>
      <c r="K126" s="380"/>
      <c r="L126" s="377"/>
      <c r="O126" s="808"/>
    </row>
    <row r="127" spans="1:15" ht="21.95" customHeight="1">
      <c r="A127" s="609" t="s">
        <v>235</v>
      </c>
      <c r="B127" s="1145"/>
      <c r="C127" s="1145"/>
      <c r="D127" s="523" t="s">
        <v>141</v>
      </c>
      <c r="E127" s="455">
        <f>'29'!F127</f>
        <v>8969.7000000000007</v>
      </c>
      <c r="F127" s="478">
        <v>8969.7000000000007</v>
      </c>
      <c r="G127" s="473">
        <f t="shared" si="13"/>
        <v>0</v>
      </c>
      <c r="H127" s="460">
        <f>G127+'29'!H127</f>
        <v>7.7000000000007276</v>
      </c>
      <c r="I127" s="480"/>
      <c r="J127" s="552">
        <f>H127/DAY(B2)</f>
        <v>0.25666666666669091</v>
      </c>
      <c r="K127" s="380"/>
      <c r="L127" s="377"/>
      <c r="O127" s="808"/>
    </row>
    <row r="128" spans="1:15" s="281" customFormat="1" ht="21.75" customHeight="1">
      <c r="A128" s="609" t="s">
        <v>236</v>
      </c>
      <c r="B128" s="1145"/>
      <c r="C128" s="1145"/>
      <c r="D128" s="523"/>
      <c r="E128" s="455"/>
      <c r="F128" s="478"/>
      <c r="G128" s="473">
        <f>G15-SUM(G123:G127)</f>
        <v>206.45000000004075</v>
      </c>
      <c r="H128" s="460"/>
      <c r="I128" s="480"/>
      <c r="J128" s="552"/>
      <c r="K128" s="364"/>
      <c r="L128" s="292"/>
      <c r="O128" s="808"/>
    </row>
    <row r="129" spans="1:15" ht="29.2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808"/>
    </row>
    <row r="130" spans="1:15" ht="27.75">
      <c r="A130" s="1144" t="s">
        <v>238</v>
      </c>
      <c r="B130" s="1145"/>
      <c r="C130" s="1145"/>
      <c r="D130" s="523" t="s">
        <v>239</v>
      </c>
      <c r="E130" s="455">
        <f>'29'!F130</f>
        <v>0</v>
      </c>
      <c r="F130" s="484"/>
      <c r="G130" s="473">
        <f t="shared" ref="G130:G140" si="14">F130-E130</f>
        <v>0</v>
      </c>
      <c r="H130" s="460">
        <f>G130+'29'!H130</f>
        <v>0</v>
      </c>
      <c r="I130" s="480"/>
      <c r="J130" s="552">
        <f>H130/DAY(B2)</f>
        <v>0</v>
      </c>
      <c r="O130" s="808"/>
    </row>
    <row r="131" spans="1:15" ht="27.75">
      <c r="A131" s="1144" t="s">
        <v>240</v>
      </c>
      <c r="B131" s="1145"/>
      <c r="C131" s="1145"/>
      <c r="D131" s="523" t="s">
        <v>239</v>
      </c>
      <c r="E131" s="455">
        <f>'29'!F131</f>
        <v>0</v>
      </c>
      <c r="F131" s="484"/>
      <c r="G131" s="473">
        <f t="shared" si="14"/>
        <v>0</v>
      </c>
      <c r="H131" s="460">
        <f>G131+'29'!H131</f>
        <v>0</v>
      </c>
      <c r="I131" s="480"/>
      <c r="J131" s="552">
        <f>H131/DAY(B2)</f>
        <v>0</v>
      </c>
      <c r="O131" s="808"/>
    </row>
    <row r="132" spans="1:15" ht="27.75">
      <c r="A132" s="1144" t="s">
        <v>241</v>
      </c>
      <c r="B132" s="1145"/>
      <c r="C132" s="1145"/>
      <c r="D132" s="523" t="s">
        <v>239</v>
      </c>
      <c r="E132" s="455">
        <f>'29'!F132</f>
        <v>39728.32</v>
      </c>
      <c r="F132" s="541">
        <v>39746.480000000003</v>
      </c>
      <c r="G132" s="473">
        <f t="shared" si="14"/>
        <v>18.160000000003492</v>
      </c>
      <c r="H132" s="460">
        <f>G132+'29'!H132</f>
        <v>213.4800000000032</v>
      </c>
      <c r="I132" s="480"/>
      <c r="J132" s="552">
        <f>H132/DAY(B2)</f>
        <v>7.1160000000001071</v>
      </c>
      <c r="O132" s="808"/>
    </row>
    <row r="133" spans="1:15" ht="27.75">
      <c r="A133" s="1144" t="s">
        <v>242</v>
      </c>
      <c r="B133" s="1145"/>
      <c r="C133" s="1145"/>
      <c r="D133" s="523" t="s">
        <v>239</v>
      </c>
      <c r="E133" s="455">
        <f>'29'!F133</f>
        <v>300</v>
      </c>
      <c r="F133" s="541">
        <v>300</v>
      </c>
      <c r="G133" s="473">
        <f t="shared" si="14"/>
        <v>0</v>
      </c>
      <c r="H133" s="460">
        <f>G133+'29'!H133</f>
        <v>0</v>
      </c>
      <c r="I133" s="480">
        <f>G130+G131+G132+G133</f>
        <v>18.160000000003492</v>
      </c>
      <c r="J133" s="552">
        <f>H133/DAY(B2)</f>
        <v>0</v>
      </c>
      <c r="O133" s="808"/>
    </row>
    <row r="134" spans="1:15" ht="27.75">
      <c r="A134" s="1144" t="s">
        <v>243</v>
      </c>
      <c r="B134" s="1145"/>
      <c r="C134" s="1145"/>
      <c r="D134" s="523" t="s">
        <v>239</v>
      </c>
      <c r="E134" s="455">
        <f>'29'!F134</f>
        <v>41377</v>
      </c>
      <c r="F134" s="541">
        <v>41385</v>
      </c>
      <c r="G134" s="473">
        <f t="shared" si="14"/>
        <v>8</v>
      </c>
      <c r="H134" s="460">
        <f>G134+'29'!H134</f>
        <v>114</v>
      </c>
      <c r="I134" s="480"/>
      <c r="J134" s="552">
        <f>H134/DAY(B2)</f>
        <v>3.8</v>
      </c>
      <c r="O134" s="808"/>
    </row>
    <row r="135" spans="1:15" ht="27.75">
      <c r="A135" s="1144" t="s">
        <v>244</v>
      </c>
      <c r="B135" s="1145"/>
      <c r="C135" s="1145"/>
      <c r="D135" s="523" t="s">
        <v>239</v>
      </c>
      <c r="E135" s="455">
        <f>'29'!F135</f>
        <v>32583</v>
      </c>
      <c r="F135" s="541">
        <v>32583</v>
      </c>
      <c r="G135" s="473">
        <f t="shared" si="14"/>
        <v>0</v>
      </c>
      <c r="H135" s="460">
        <f>G135+'29'!H135</f>
        <v>13.069999999999709</v>
      </c>
      <c r="I135" s="480"/>
      <c r="J135" s="552">
        <f>H135/DAY(B2)</f>
        <v>0.43566666666665699</v>
      </c>
      <c r="O135" s="808"/>
    </row>
    <row r="136" spans="1:15" ht="27.75">
      <c r="A136" s="1144" t="s">
        <v>245</v>
      </c>
      <c r="B136" s="1145"/>
      <c r="C136" s="1145"/>
      <c r="D136" s="523" t="s">
        <v>239</v>
      </c>
      <c r="E136" s="455">
        <f>'29'!F136</f>
        <v>22739.59</v>
      </c>
      <c r="F136" s="541">
        <v>22739.59</v>
      </c>
      <c r="G136" s="473">
        <f t="shared" si="14"/>
        <v>0</v>
      </c>
      <c r="H136" s="460">
        <f>G136+'29'!H136</f>
        <v>250.93999999999869</v>
      </c>
      <c r="I136" s="480">
        <f>G134+G135+G136</f>
        <v>8</v>
      </c>
      <c r="J136" s="552">
        <f>H136/DAY(B2)</f>
        <v>8.3646666666666238</v>
      </c>
      <c r="O136" s="808"/>
    </row>
    <row r="137" spans="1:15" ht="27.75">
      <c r="A137" s="1144" t="s">
        <v>246</v>
      </c>
      <c r="B137" s="1145"/>
      <c r="C137" s="1145"/>
      <c r="D137" s="523" t="s">
        <v>239</v>
      </c>
      <c r="E137" s="455">
        <f>'29'!F137</f>
        <v>25051.59</v>
      </c>
      <c r="F137" s="541">
        <v>25051.59</v>
      </c>
      <c r="G137" s="473">
        <f t="shared" si="14"/>
        <v>0</v>
      </c>
      <c r="H137" s="460">
        <f>G137+'29'!H137</f>
        <v>8.0999999999985448</v>
      </c>
      <c r="I137" s="480"/>
      <c r="J137" s="552">
        <f>H137/DAY(B2)</f>
        <v>0.2699999999999515</v>
      </c>
      <c r="O137" s="808"/>
    </row>
    <row r="138" spans="1:15" ht="27.75">
      <c r="A138" s="1144" t="s">
        <v>247</v>
      </c>
      <c r="B138" s="1145"/>
      <c r="C138" s="1145"/>
      <c r="D138" s="523" t="s">
        <v>239</v>
      </c>
      <c r="E138" s="455">
        <f>'29'!F138</f>
        <v>70306.759999999995</v>
      </c>
      <c r="F138" s="541">
        <v>70315.81</v>
      </c>
      <c r="G138" s="473">
        <f t="shared" si="14"/>
        <v>9.0500000000029104</v>
      </c>
      <c r="H138" s="460">
        <f>G138+'29'!H138</f>
        <v>35.580000000001746</v>
      </c>
      <c r="I138" s="480">
        <f>G137+G138</f>
        <v>9.0500000000029104</v>
      </c>
      <c r="J138" s="552">
        <f>H138/DAY(B2)</f>
        <v>1.1860000000000581</v>
      </c>
      <c r="O138" s="808"/>
    </row>
    <row r="139" spans="1:15" ht="27.75">
      <c r="A139" s="1144" t="s">
        <v>248</v>
      </c>
      <c r="B139" s="1145"/>
      <c r="C139" s="1145"/>
      <c r="D139" s="523" t="s">
        <v>239</v>
      </c>
      <c r="E139" s="455">
        <f>'29'!F139</f>
        <v>1609.55</v>
      </c>
      <c r="F139" s="484">
        <v>1616.86</v>
      </c>
      <c r="G139" s="473">
        <f t="shared" si="14"/>
        <v>7.3099999999999454</v>
      </c>
      <c r="H139" s="460">
        <f>G139+'29'!H139</f>
        <v>80.339999999999918</v>
      </c>
      <c r="I139" s="542"/>
      <c r="J139" s="552">
        <f>H139/DAY(B2)</f>
        <v>2.6779999999999973</v>
      </c>
      <c r="O139" s="808"/>
    </row>
    <row r="140" spans="1:15" ht="27.75">
      <c r="A140" s="1144" t="s">
        <v>249</v>
      </c>
      <c r="B140" s="1145"/>
      <c r="C140" s="1145"/>
      <c r="D140" s="523" t="s">
        <v>239</v>
      </c>
      <c r="E140" s="455">
        <f>'29'!F140</f>
        <v>4637</v>
      </c>
      <c r="F140" s="484">
        <v>4637</v>
      </c>
      <c r="G140" s="473">
        <f t="shared" si="14"/>
        <v>0</v>
      </c>
      <c r="H140" s="460">
        <f>G140+'29'!H140</f>
        <v>168.46000000000004</v>
      </c>
      <c r="I140" s="542"/>
      <c r="J140" s="552">
        <f>H140/DAY(B2)</f>
        <v>5.6153333333333348</v>
      </c>
      <c r="O140" s="808"/>
    </row>
    <row r="141" spans="1:15" ht="21.95" customHeight="1">
      <c r="A141" s="1667" t="s">
        <v>250</v>
      </c>
      <c r="B141" s="1668"/>
      <c r="C141" s="1150"/>
      <c r="D141" s="472"/>
      <c r="E141" s="472"/>
      <c r="F141" s="472"/>
      <c r="G141" s="483"/>
      <c r="H141" s="483"/>
      <c r="I141" s="483"/>
      <c r="J141" s="563"/>
      <c r="K141" s="380"/>
      <c r="L141" s="377"/>
      <c r="O141" s="808"/>
    </row>
    <row r="142" spans="1:15" ht="21.95" customHeight="1">
      <c r="A142" s="1646" t="s">
        <v>251</v>
      </c>
      <c r="B142" s="1647"/>
      <c r="C142" s="1647"/>
      <c r="D142" s="523" t="s">
        <v>132</v>
      </c>
      <c r="E142" s="523"/>
      <c r="F142" s="523"/>
      <c r="G142" s="460">
        <f>G35+G43+G49+G57</f>
        <v>4871.4599999999627</v>
      </c>
      <c r="H142" s="460">
        <f>G142+'29'!H142</f>
        <v>158370.13</v>
      </c>
      <c r="I142" s="480"/>
      <c r="J142" s="552">
        <f>H142/DAY(B2)</f>
        <v>5279.0043333333333</v>
      </c>
      <c r="K142" s="380"/>
      <c r="L142" s="377"/>
      <c r="O142" s="808"/>
    </row>
    <row r="143" spans="1:15" ht="21.95" customHeight="1">
      <c r="A143" s="1646" t="s">
        <v>252</v>
      </c>
      <c r="B143" s="1647"/>
      <c r="C143" s="1647"/>
      <c r="D143" s="523" t="s">
        <v>24</v>
      </c>
      <c r="E143" s="511"/>
      <c r="F143" s="511"/>
      <c r="G143" s="543">
        <f>G142/G7</f>
        <v>0.2599775856548171</v>
      </c>
      <c r="H143" s="460">
        <f>G143+'29'!H143</f>
        <v>7.7404363270114072</v>
      </c>
      <c r="I143" s="544"/>
      <c r="J143" s="552">
        <f>H143/DAY(B2)</f>
        <v>0.25801454423371356</v>
      </c>
      <c r="K143" s="380"/>
      <c r="L143" s="377"/>
      <c r="O143" s="808"/>
    </row>
    <row r="144" spans="1:15" ht="21.95" customHeight="1">
      <c r="A144" s="1646" t="s">
        <v>253</v>
      </c>
      <c r="B144" s="1647"/>
      <c r="C144" s="1647"/>
      <c r="D144" s="523" t="s">
        <v>132</v>
      </c>
      <c r="E144" s="455"/>
      <c r="F144" s="455"/>
      <c r="G144" s="460">
        <f>G41+G42+G55+G56</f>
        <v>5778.3299999999872</v>
      </c>
      <c r="H144" s="460">
        <f>G144+'29'!H144</f>
        <v>179609.30999999997</v>
      </c>
      <c r="I144" s="480"/>
      <c r="J144" s="552">
        <f>H144/DAY(B2)</f>
        <v>5986.976999999999</v>
      </c>
      <c r="K144" s="380"/>
      <c r="L144" s="377"/>
      <c r="O144" s="808"/>
    </row>
    <row r="145" spans="1:15" ht="21.95" customHeight="1">
      <c r="A145" s="1646" t="s">
        <v>254</v>
      </c>
      <c r="B145" s="1647"/>
      <c r="C145" s="1647"/>
      <c r="D145" s="523" t="s">
        <v>24</v>
      </c>
      <c r="E145" s="455"/>
      <c r="F145" s="455"/>
      <c r="G145" s="543">
        <f>G144/G7</f>
        <v>0.30837495997438291</v>
      </c>
      <c r="H145" s="460">
        <f>G145+'29'!H145</f>
        <v>8.7919634344450373</v>
      </c>
      <c r="I145" s="544"/>
      <c r="J145" s="552">
        <f>H145/DAY(B2)</f>
        <v>0.29306544781483457</v>
      </c>
      <c r="K145" s="380"/>
      <c r="L145" s="377"/>
      <c r="O145" s="808"/>
    </row>
    <row r="146" spans="1:15" ht="21.95" customHeight="1">
      <c r="A146" s="1646" t="s">
        <v>255</v>
      </c>
      <c r="B146" s="1647"/>
      <c r="C146" s="1647"/>
      <c r="D146" s="523" t="s">
        <v>132</v>
      </c>
      <c r="E146" s="455"/>
      <c r="F146" s="455"/>
      <c r="G146" s="460">
        <f>G39+G53</f>
        <v>2767.7600000000093</v>
      </c>
      <c r="H146" s="460">
        <f>G146+'29'!H146</f>
        <v>106532</v>
      </c>
      <c r="I146" s="545"/>
      <c r="J146" s="552">
        <f>H146/DAY(B2)</f>
        <v>3551.0666666666666</v>
      </c>
      <c r="K146" s="380"/>
      <c r="L146" s="377"/>
      <c r="O146" s="808"/>
    </row>
    <row r="147" spans="1:15" ht="21.95" customHeight="1">
      <c r="A147" s="1646" t="s">
        <v>256</v>
      </c>
      <c r="B147" s="1647"/>
      <c r="C147" s="1647"/>
      <c r="D147" s="523" t="s">
        <v>24</v>
      </c>
      <c r="E147" s="455"/>
      <c r="F147" s="455"/>
      <c r="G147" s="543">
        <f>G146/G7</f>
        <v>0.14770840004269448</v>
      </c>
      <c r="H147" s="460">
        <f>G147+'29'!H147</f>
        <v>5.1965312959033634</v>
      </c>
      <c r="I147" s="545"/>
      <c r="J147" s="552">
        <f>H147/DAY(B2)</f>
        <v>0.17321770986344545</v>
      </c>
      <c r="O147" s="808"/>
    </row>
    <row r="148" spans="1:15" ht="21.95" customHeight="1">
      <c r="A148" s="1646" t="s">
        <v>257</v>
      </c>
      <c r="B148" s="1647"/>
      <c r="C148" s="1647"/>
      <c r="D148" s="523" t="s">
        <v>183</v>
      </c>
      <c r="E148" s="455"/>
      <c r="F148" s="455"/>
      <c r="G148" s="460">
        <f>G38+G52</f>
        <v>1456.690000000046</v>
      </c>
      <c r="H148" s="460">
        <f>G148+'29'!H148</f>
        <v>47286</v>
      </c>
      <c r="I148" s="480"/>
      <c r="J148" s="552">
        <f>H148/DAY(B2)</f>
        <v>1576.2</v>
      </c>
      <c r="K148" s="381"/>
      <c r="O148" s="808"/>
    </row>
    <row r="149" spans="1:15" ht="21.95" customHeight="1">
      <c r="A149" s="1646" t="s">
        <v>258</v>
      </c>
      <c r="B149" s="1647"/>
      <c r="C149" s="1647"/>
      <c r="D149" s="523" t="s">
        <v>24</v>
      </c>
      <c r="E149" s="455"/>
      <c r="F149" s="455"/>
      <c r="G149" s="543">
        <f>G148/G7</f>
        <v>7.7739886860926782E-2</v>
      </c>
      <c r="H149" s="460">
        <f>G149+'29'!H149</f>
        <v>2.3120672575066732</v>
      </c>
      <c r="I149" s="545"/>
      <c r="J149" s="552">
        <f>H149/DAY(B2)</f>
        <v>7.7068908583555779E-2</v>
      </c>
      <c r="O149" s="808"/>
    </row>
    <row r="150" spans="1:15" ht="21.95" customHeight="1">
      <c r="A150" s="1646" t="s">
        <v>259</v>
      </c>
      <c r="B150" s="1647"/>
      <c r="C150" s="1647"/>
      <c r="D150" s="523" t="s">
        <v>183</v>
      </c>
      <c r="E150" s="455"/>
      <c r="F150" s="455"/>
      <c r="G150" s="460">
        <f>G36+G50</f>
        <v>2098.0599999999977</v>
      </c>
      <c r="H150" s="460">
        <f>G150+'29'!H150</f>
        <v>60476</v>
      </c>
      <c r="I150" s="545"/>
      <c r="J150" s="552">
        <f>H150/DAY(B2)</f>
        <v>2015.8666666666666</v>
      </c>
      <c r="O150" s="808"/>
    </row>
    <row r="151" spans="1:15" ht="21.95" customHeight="1">
      <c r="A151" s="1646" t="s">
        <v>260</v>
      </c>
      <c r="B151" s="1647"/>
      <c r="C151" s="1647"/>
      <c r="D151" s="523" t="s">
        <v>24</v>
      </c>
      <c r="E151" s="455"/>
      <c r="F151" s="455"/>
      <c r="G151" s="543">
        <f>G150/G7</f>
        <v>0.11196819297683838</v>
      </c>
      <c r="H151" s="460">
        <f>G151+'29'!H151</f>
        <v>2.9539574548000855</v>
      </c>
      <c r="I151" s="480"/>
      <c r="J151" s="552">
        <f>H151/DAY(B2)</f>
        <v>9.8465248493336183E-2</v>
      </c>
      <c r="O151" s="808"/>
    </row>
    <row r="152" spans="1:15" ht="27.75">
      <c r="A152" s="1646" t="s">
        <v>261</v>
      </c>
      <c r="B152" s="1647"/>
      <c r="C152" s="1647"/>
      <c r="D152" s="523" t="s">
        <v>183</v>
      </c>
      <c r="E152" s="455"/>
      <c r="F152" s="455"/>
      <c r="G152" s="460">
        <f>G37+G51</f>
        <v>1371.1800000000076</v>
      </c>
      <c r="H152" s="460">
        <f>G152+'29'!H152</f>
        <v>40428</v>
      </c>
      <c r="I152" s="480"/>
      <c r="J152" s="552">
        <f>H152/DAY(B2)</f>
        <v>1347.6</v>
      </c>
      <c r="O152" s="808"/>
    </row>
    <row r="153" spans="1:15" ht="28.5" thickBot="1">
      <c r="A153" s="1671" t="s">
        <v>262</v>
      </c>
      <c r="B153" s="1672"/>
      <c r="C153" s="1672"/>
      <c r="D153" s="625" t="s">
        <v>24</v>
      </c>
      <c r="E153" s="565"/>
      <c r="F153" s="565"/>
      <c r="G153" s="566">
        <f>G152/G7</f>
        <v>7.3176432917067324E-2</v>
      </c>
      <c r="H153" s="567">
        <f>G153+'29'!H153</f>
        <v>1.982109469562872</v>
      </c>
      <c r="I153" s="568"/>
      <c r="J153" s="569">
        <f>H153/DAY(B2)</f>
        <v>6.6070315652095729E-2</v>
      </c>
      <c r="O153" s="808"/>
    </row>
    <row r="154" spans="1:15" ht="29.25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</row>
    <row r="160" spans="1:15" ht="21.95" customHeight="1">
      <c r="A160" s="788" t="s">
        <v>263</v>
      </c>
      <c r="B160" s="789"/>
      <c r="C160" s="789"/>
      <c r="D160" s="511" t="s">
        <v>187</v>
      </c>
      <c r="E160" s="455">
        <f>'29'!F160</f>
        <v>35854.19</v>
      </c>
      <c r="F160" s="661">
        <v>35932</v>
      </c>
      <c r="G160" s="473">
        <f t="shared" ref="G160:G163" si="15">F160-E160</f>
        <v>77.809999999997672</v>
      </c>
    </row>
    <row r="161" spans="1:7" ht="21.95" customHeight="1">
      <c r="A161" s="788" t="s">
        <v>264</v>
      </c>
      <c r="B161" s="789"/>
      <c r="C161" s="789"/>
      <c r="D161" s="511" t="s">
        <v>187</v>
      </c>
      <c r="E161" s="455">
        <f>'29'!F161</f>
        <v>81901.69</v>
      </c>
      <c r="F161" s="661">
        <v>82358</v>
      </c>
      <c r="G161" s="473">
        <f t="shared" si="15"/>
        <v>456.30999999999767</v>
      </c>
    </row>
    <row r="162" spans="1:7" ht="21.95" customHeight="1">
      <c r="A162" s="788" t="s">
        <v>265</v>
      </c>
      <c r="B162" s="789"/>
      <c r="C162" s="789"/>
      <c r="D162" s="511" t="s">
        <v>187</v>
      </c>
      <c r="E162" s="455">
        <f>'29'!F162</f>
        <v>37630</v>
      </c>
      <c r="F162" s="661">
        <v>38300</v>
      </c>
      <c r="G162" s="473">
        <f t="shared" si="15"/>
        <v>670</v>
      </c>
    </row>
    <row r="163" spans="1:7" ht="21.95" customHeight="1">
      <c r="A163" s="788" t="s">
        <v>266</v>
      </c>
      <c r="B163" s="789"/>
      <c r="C163" s="789"/>
      <c r="D163" s="511" t="s">
        <v>187</v>
      </c>
      <c r="E163" s="455">
        <f>'29'!F163</f>
        <v>6201.66</v>
      </c>
      <c r="F163" s="661">
        <v>6219</v>
      </c>
      <c r="G163" s="473">
        <f t="shared" si="15"/>
        <v>17.340000000000146</v>
      </c>
    </row>
    <row r="164" spans="1:7" ht="21.95" customHeight="1">
      <c r="A164" s="790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6">F164-E164</f>
        <v>0</v>
      </c>
    </row>
    <row r="165" spans="1:7" ht="21.95" customHeight="1">
      <c r="A165" s="790" t="s">
        <v>188</v>
      </c>
      <c r="B165" s="604"/>
      <c r="C165" s="604"/>
      <c r="D165" s="511" t="s">
        <v>187</v>
      </c>
      <c r="E165" s="514">
        <f t="shared" ref="E165:E171" si="17">E63</f>
        <v>2355.71</v>
      </c>
      <c r="F165" s="514">
        <f t="shared" ref="F165:F171" si="18">F63</f>
        <v>2359</v>
      </c>
      <c r="G165" s="473">
        <f t="shared" si="16"/>
        <v>3.2899999999999636</v>
      </c>
    </row>
    <row r="166" spans="1:7" ht="21.95" customHeight="1">
      <c r="A166" s="1495" t="s">
        <v>99</v>
      </c>
      <c r="B166" s="1495"/>
      <c r="C166" s="1495"/>
      <c r="D166" s="523" t="s">
        <v>187</v>
      </c>
      <c r="E166" s="514">
        <f t="shared" si="17"/>
        <v>153063.73000000001</v>
      </c>
      <c r="F166" s="514">
        <f t="shared" si="18"/>
        <v>153299</v>
      </c>
      <c r="G166" s="473">
        <f t="shared" si="16"/>
        <v>235.26999999998952</v>
      </c>
    </row>
    <row r="167" spans="1:7" ht="21.95" customHeight="1">
      <c r="A167" s="1495" t="s">
        <v>100</v>
      </c>
      <c r="B167" s="1495"/>
      <c r="C167" s="1495"/>
      <c r="D167" s="523" t="s">
        <v>187</v>
      </c>
      <c r="E167" s="514">
        <f t="shared" si="17"/>
        <v>154390.29999999999</v>
      </c>
      <c r="F167" s="514">
        <f t="shared" si="18"/>
        <v>154599</v>
      </c>
      <c r="G167" s="473">
        <f t="shared" si="16"/>
        <v>208.70000000001164</v>
      </c>
    </row>
    <row r="168" spans="1:7" ht="21.95" customHeight="1">
      <c r="A168" s="1495" t="s">
        <v>101</v>
      </c>
      <c r="B168" s="1495"/>
      <c r="C168" s="1495"/>
      <c r="D168" s="523" t="s">
        <v>187</v>
      </c>
      <c r="E168" s="514">
        <f t="shared" si="17"/>
        <v>48305.58</v>
      </c>
      <c r="F168" s="514">
        <f t="shared" si="18"/>
        <v>48571</v>
      </c>
      <c r="G168" s="473">
        <f t="shared" si="16"/>
        <v>265.41999999999825</v>
      </c>
    </row>
    <row r="169" spans="1:7" ht="21.95" customHeight="1">
      <c r="A169" s="1495" t="s">
        <v>102</v>
      </c>
      <c r="B169" s="1495"/>
      <c r="C169" s="1495"/>
      <c r="D169" s="523" t="s">
        <v>187</v>
      </c>
      <c r="E169" s="514">
        <f t="shared" si="17"/>
        <v>242893.27</v>
      </c>
      <c r="F169" s="514">
        <f t="shared" si="18"/>
        <v>243174</v>
      </c>
      <c r="G169" s="473">
        <f t="shared" si="16"/>
        <v>280.73000000001048</v>
      </c>
    </row>
    <row r="170" spans="1:7" ht="21.95" customHeight="1">
      <c r="A170" s="1495" t="s">
        <v>103</v>
      </c>
      <c r="B170" s="1495"/>
      <c r="C170" s="1495"/>
      <c r="D170" s="523" t="s">
        <v>187</v>
      </c>
      <c r="E170" s="514">
        <f t="shared" si="17"/>
        <v>85321</v>
      </c>
      <c r="F170" s="514">
        <f t="shared" si="18"/>
        <v>85321</v>
      </c>
      <c r="G170" s="473">
        <f t="shared" si="16"/>
        <v>0</v>
      </c>
    </row>
    <row r="171" spans="1:7" ht="21.95" customHeight="1">
      <c r="A171" s="1495" t="s">
        <v>104</v>
      </c>
      <c r="B171" s="1495"/>
      <c r="C171" s="1495"/>
      <c r="D171" s="523" t="s">
        <v>187</v>
      </c>
      <c r="E171" s="514">
        <f t="shared" si="17"/>
        <v>78874.87</v>
      </c>
      <c r="F171" s="514">
        <f t="shared" si="18"/>
        <v>78994</v>
      </c>
      <c r="G171" s="473">
        <f t="shared" si="16"/>
        <v>119.13000000000466</v>
      </c>
    </row>
    <row r="172" spans="1:7" ht="21.95" customHeight="1">
      <c r="G172" s="538">
        <f>SUM(G160:G171)</f>
        <v>2334.00000000001</v>
      </c>
    </row>
  </sheetData>
  <mergeCells count="74">
    <mergeCell ref="A153:C153"/>
    <mergeCell ref="A147:C147"/>
    <mergeCell ref="A148:C148"/>
    <mergeCell ref="A149:C149"/>
    <mergeCell ref="A150:C150"/>
    <mergeCell ref="A151:C151"/>
    <mergeCell ref="A152:C152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3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8"/>
  <sheetViews>
    <sheetView view="pageBreakPreview" zoomScale="55" zoomScaleNormal="75" zoomScaleSheetLayoutView="55" workbookViewId="0">
      <selection activeCell="E11" sqref="E11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28" t="s">
        <v>117</v>
      </c>
      <c r="B1" s="1529"/>
      <c r="C1" s="1529"/>
      <c r="D1" s="1529"/>
      <c r="E1" s="1529"/>
      <c r="F1" s="1529"/>
      <c r="G1" s="1529"/>
      <c r="H1" s="1529"/>
      <c r="I1" s="1529"/>
      <c r="J1" s="1530"/>
    </row>
    <row r="2" spans="1:15" s="281" customFormat="1" ht="27">
      <c r="A2" s="575" t="s">
        <v>343</v>
      </c>
      <c r="B2" s="1116">
        <v>44286</v>
      </c>
      <c r="C2" s="1146" t="s">
        <v>69</v>
      </c>
      <c r="D2" s="611">
        <v>0.66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6" t="s">
        <v>120</v>
      </c>
      <c r="D3" s="612">
        <v>33</v>
      </c>
      <c r="E3" s="1537" t="s">
        <v>121</v>
      </c>
      <c r="F3" s="1538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6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531" t="s">
        <v>130</v>
      </c>
      <c r="B6" s="1532"/>
      <c r="C6" s="1533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'30'!F7</f>
        <v>5727433</v>
      </c>
      <c r="F7" s="455">
        <v>5113923</v>
      </c>
      <c r="G7" s="473">
        <f>F7-E7</f>
        <v>-613510</v>
      </c>
      <c r="H7" s="460">
        <f>G7+'30'!H7</f>
        <v>0</v>
      </c>
      <c r="I7" s="474">
        <f>'1'!I7</f>
        <v>12000</v>
      </c>
      <c r="J7" s="552">
        <f>H7/DAY(B2)</f>
        <v>0</v>
      </c>
      <c r="K7" s="549">
        <v>1375467</v>
      </c>
      <c r="L7" s="377"/>
      <c r="N7" s="440">
        <f>F7-'1'!E7</f>
        <v>0</v>
      </c>
      <c r="O7" s="382"/>
    </row>
    <row r="8" spans="1:15" ht="21.95" customHeight="1" thickBot="1">
      <c r="A8" s="580" t="s">
        <v>133</v>
      </c>
      <c r="B8" s="581"/>
      <c r="C8" s="582"/>
      <c r="D8" s="617" t="s">
        <v>25</v>
      </c>
      <c r="E8" s="455">
        <f>'30'!F8</f>
        <v>5761244</v>
      </c>
      <c r="F8" s="475">
        <v>5145318</v>
      </c>
      <c r="G8" s="476">
        <f>F8-E8</f>
        <v>-615926</v>
      </c>
      <c r="H8" s="460">
        <f>G8+'30'!H8</f>
        <v>0</v>
      </c>
      <c r="I8" s="477"/>
      <c r="J8" s="552">
        <f>H8/DAY(B2)</f>
        <v>0</v>
      </c>
      <c r="K8" s="549">
        <v>1715917</v>
      </c>
      <c r="L8" s="425">
        <v>1728480</v>
      </c>
      <c r="M8" s="440">
        <f>L8-K8</f>
        <v>12563</v>
      </c>
      <c r="N8" s="440">
        <f>F8-'1'!E8</f>
        <v>0</v>
      </c>
      <c r="O8" s="382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'30'!F9</f>
        <v>990714</v>
      </c>
      <c r="F9" s="478">
        <v>396069</v>
      </c>
      <c r="G9" s="473">
        <f>F9-E9</f>
        <v>-594645</v>
      </c>
      <c r="H9" s="460">
        <f>G9+'30'!H9</f>
        <v>0</v>
      </c>
      <c r="I9" s="479">
        <f>I7-J7</f>
        <v>12000</v>
      </c>
      <c r="J9" s="552">
        <f>H9/DAY(B2)</f>
        <v>0</v>
      </c>
      <c r="K9" s="428">
        <f>K8-100</f>
        <v>1715817</v>
      </c>
      <c r="L9" s="377"/>
      <c r="N9" s="440">
        <f>F9-'1'!E9</f>
        <v>0</v>
      </c>
      <c r="O9" s="382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'30'!F10</f>
        <v>2322.58</v>
      </c>
      <c r="F10" s="478">
        <v>2322.58</v>
      </c>
      <c r="G10" s="473">
        <f t="shared" ref="G10:G12" si="0">F10-E10</f>
        <v>0</v>
      </c>
      <c r="H10" s="460">
        <f>G10+'30'!H10</f>
        <v>0</v>
      </c>
      <c r="I10" s="480"/>
      <c r="J10" s="552">
        <f>H10/DAY(B2)</f>
        <v>0</v>
      </c>
      <c r="K10" s="428"/>
      <c r="L10" s="377"/>
      <c r="N10" s="440">
        <f>F10-'1'!E10</f>
        <v>0</v>
      </c>
      <c r="O10" s="382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G11+'30'!H11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382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G12+'30'!H12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382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-594645</v>
      </c>
      <c r="H13" s="460">
        <f>G13+'30'!H13</f>
        <v>-20190.639999999898</v>
      </c>
      <c r="I13" s="482">
        <f>G7-G13</f>
        <v>-18865</v>
      </c>
      <c r="J13" s="552">
        <f>H13/DAY(B2)</f>
        <v>-651.31096774193213</v>
      </c>
      <c r="K13" s="428"/>
      <c r="L13" s="377"/>
      <c r="N13" s="440">
        <f>F13-'1'!E13</f>
        <v>0</v>
      </c>
      <c r="O13" s="382"/>
    </row>
    <row r="14" spans="1:15" ht="29.25">
      <c r="A14" s="1534" t="s">
        <v>139</v>
      </c>
      <c r="B14" s="1535"/>
      <c r="C14" s="1536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382"/>
    </row>
    <row r="15" spans="1:15" ht="21.95" customHeight="1">
      <c r="A15" s="1144" t="s">
        <v>140</v>
      </c>
      <c r="B15" s="589"/>
      <c r="C15" s="589"/>
      <c r="D15" s="523" t="s">
        <v>141</v>
      </c>
      <c r="E15" s="455">
        <f>'30'!F15</f>
        <v>1670657</v>
      </c>
      <c r="F15" s="484">
        <v>1646689</v>
      </c>
      <c r="G15" s="473">
        <f>(F15-E15)</f>
        <v>-23968</v>
      </c>
      <c r="H15" s="460">
        <f>G15+'30'!H15</f>
        <v>0</v>
      </c>
      <c r="I15" s="474">
        <f>'1'!I15</f>
        <v>800</v>
      </c>
      <c r="J15" s="552">
        <f>H15/DAY(B2)</f>
        <v>0</v>
      </c>
      <c r="K15" s="428"/>
      <c r="L15" s="377"/>
      <c r="N15" s="440">
        <f>F15-'1'!E15</f>
        <v>0</v>
      </c>
      <c r="O15" s="382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800</v>
      </c>
      <c r="J16" s="553"/>
      <c r="K16" s="428"/>
      <c r="L16" s="377"/>
      <c r="N16" s="440">
        <f>F16-'1'!E16</f>
        <v>0</v>
      </c>
      <c r="O16" s="382"/>
    </row>
    <row r="17" spans="1:15" ht="29.25">
      <c r="A17" s="1534" t="s">
        <v>142</v>
      </c>
      <c r="B17" s="1535"/>
      <c r="C17" s="1536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382"/>
    </row>
    <row r="18" spans="1:15" ht="27.75">
      <c r="A18" s="1520" t="s">
        <v>143</v>
      </c>
      <c r="B18" s="1521"/>
      <c r="C18" s="1522"/>
      <c r="D18" s="523" t="s">
        <v>144</v>
      </c>
      <c r="E18" s="455">
        <f>'30'!F18</f>
        <v>6</v>
      </c>
      <c r="F18" s="484">
        <v>15</v>
      </c>
      <c r="G18" s="481">
        <f>F18*10</f>
        <v>150</v>
      </c>
      <c r="H18" s="460">
        <f>G18+'30'!H18</f>
        <v>2790</v>
      </c>
      <c r="I18" s="474">
        <f>'1'!I18</f>
        <v>65</v>
      </c>
      <c r="J18" s="552">
        <f>H18/DAY(B2)</f>
        <v>90</v>
      </c>
      <c r="K18" s="428"/>
      <c r="L18" s="377"/>
      <c r="N18" s="440">
        <f>F18-'1'!E18</f>
        <v>0</v>
      </c>
      <c r="O18" s="382"/>
    </row>
    <row r="19" spans="1:15" ht="27.75">
      <c r="A19" s="1520" t="s">
        <v>71</v>
      </c>
      <c r="B19" s="1521"/>
      <c r="C19" s="1522"/>
      <c r="D19" s="523" t="s">
        <v>144</v>
      </c>
      <c r="E19" s="455">
        <f>'30'!F19</f>
        <v>137812</v>
      </c>
      <c r="F19" s="484">
        <v>136090</v>
      </c>
      <c r="G19" s="473">
        <f t="shared" ref="G19" si="1">F19-E19</f>
        <v>-1722</v>
      </c>
      <c r="H19" s="460">
        <f>G19+'30'!H19</f>
        <v>0</v>
      </c>
      <c r="I19" s="489"/>
      <c r="J19" s="552">
        <f>H19/DAY(B2)</f>
        <v>0</v>
      </c>
      <c r="K19" s="428"/>
      <c r="L19" s="377"/>
      <c r="N19" s="440">
        <f>F19-'1'!E19</f>
        <v>0</v>
      </c>
      <c r="O19" s="382"/>
    </row>
    <row r="20" spans="1:15" ht="29.25">
      <c r="A20" s="585" t="s">
        <v>145</v>
      </c>
      <c r="B20" s="586"/>
      <c r="C20" s="586"/>
      <c r="D20" s="490"/>
      <c r="E20" s="490"/>
      <c r="F20" s="490"/>
      <c r="G20" s="491">
        <f>G18+G19</f>
        <v>-1572</v>
      </c>
      <c r="H20" s="460">
        <f>G20+'30'!H20</f>
        <v>2826</v>
      </c>
      <c r="I20" s="492">
        <f>I18-J20</f>
        <v>-26.161290322580641</v>
      </c>
      <c r="J20" s="552">
        <f>H20/DAY(B2)</f>
        <v>91.161290322580641</v>
      </c>
      <c r="K20" s="428"/>
      <c r="L20" s="377"/>
      <c r="N20" s="440">
        <f>F20-'1'!E20</f>
        <v>0</v>
      </c>
      <c r="O20" s="382"/>
    </row>
    <row r="21" spans="1:15" ht="29.25">
      <c r="A21" s="1534" t="s">
        <v>146</v>
      </c>
      <c r="B21" s="1535"/>
      <c r="C21" s="1536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382"/>
    </row>
    <row r="22" spans="1:15" ht="29.25">
      <c r="A22" s="1144" t="s">
        <v>147</v>
      </c>
      <c r="B22" s="589"/>
      <c r="C22" s="589"/>
      <c r="D22" s="523" t="s">
        <v>148</v>
      </c>
      <c r="E22" s="484">
        <f>'30'!F22</f>
        <v>1290</v>
      </c>
      <c r="F22" s="484">
        <v>1290</v>
      </c>
      <c r="G22" s="481">
        <f t="shared" ref="G22" si="2">(F22-E22)</f>
        <v>0</v>
      </c>
      <c r="H22" s="460">
        <f>'30'!H22</f>
        <v>1290</v>
      </c>
      <c r="I22" s="480"/>
      <c r="J22" s="552">
        <f>H22/DAY(B2)</f>
        <v>41.612903225806448</v>
      </c>
      <c r="K22" s="428"/>
      <c r="L22" s="377"/>
      <c r="N22" s="440">
        <f>F22-'1'!E22</f>
        <v>0</v>
      </c>
      <c r="O22" s="382"/>
    </row>
    <row r="23" spans="1:15" ht="29.25">
      <c r="A23" s="1144" t="s">
        <v>149</v>
      </c>
      <c r="B23" s="589"/>
      <c r="C23" s="589"/>
      <c r="D23" s="523" t="s">
        <v>148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382"/>
    </row>
    <row r="24" spans="1:15" ht="29.25">
      <c r="A24" s="590" t="s">
        <v>150</v>
      </c>
      <c r="B24" s="591"/>
      <c r="C24" s="591"/>
      <c r="D24" s="511" t="s">
        <v>148</v>
      </c>
      <c r="E24" s="484">
        <f>'30'!F24</f>
        <v>3290</v>
      </c>
      <c r="F24" s="493">
        <v>3290</v>
      </c>
      <c r="G24" s="481">
        <v>0</v>
      </c>
      <c r="H24" s="460">
        <f>'30'!H24</f>
        <v>1290</v>
      </c>
      <c r="I24" s="480"/>
      <c r="J24" s="552">
        <f>H24/DAY(B2)</f>
        <v>41.612903225806448</v>
      </c>
      <c r="K24" s="428"/>
      <c r="L24" s="377"/>
      <c r="N24" s="440">
        <f>F24-'1'!E24</f>
        <v>0</v>
      </c>
      <c r="O24" s="382"/>
    </row>
    <row r="25" spans="1:15" s="442" customFormat="1" ht="27">
      <c r="A25" s="1539" t="s">
        <v>151</v>
      </c>
      <c r="B25" s="1540"/>
      <c r="C25" s="1541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-615926</v>
      </c>
      <c r="F27" s="501">
        <v>0</v>
      </c>
      <c r="G27" s="502">
        <f>E27*F27</f>
        <v>0</v>
      </c>
      <c r="H27" s="460">
        <f>G27+'30'!H27</f>
        <v>5543334</v>
      </c>
      <c r="I27" s="503"/>
      <c r="J27" s="552">
        <f>H27/DAY(B2)</f>
        <v>178817.22580645161</v>
      </c>
      <c r="K27" s="373"/>
      <c r="L27" s="443"/>
      <c r="N27" s="440">
        <f>F27-'1'!E27</f>
        <v>-23784</v>
      </c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-23968</v>
      </c>
      <c r="F28" s="501">
        <v>51.45</v>
      </c>
      <c r="G28" s="502">
        <f>E28*F28</f>
        <v>-1233153.6000000001</v>
      </c>
      <c r="H28" s="460">
        <f>G28+'30'!H28</f>
        <v>0</v>
      </c>
      <c r="I28" s="505"/>
      <c r="J28" s="552">
        <f>H28/DAY(B2)</f>
        <v>0</v>
      </c>
      <c r="K28" s="373"/>
      <c r="L28" s="443"/>
      <c r="N28" s="440">
        <f>F28-'1'!E28</f>
        <v>-917.55</v>
      </c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89010</v>
      </c>
      <c r="I29" s="505"/>
      <c r="J29" s="552">
        <f>H29/DAY(B2)</f>
        <v>2871.2903225806454</v>
      </c>
      <c r="K29" s="373"/>
      <c r="L29" s="443"/>
      <c r="N29" s="440">
        <f>F29-'1'!E29</f>
        <v>69</v>
      </c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-1722</v>
      </c>
      <c r="F30" s="501">
        <v>134</v>
      </c>
      <c r="G30" s="502">
        <f>E30*F30</f>
        <v>-230748</v>
      </c>
      <c r="H30" s="460">
        <f>G30+'30'!H30</f>
        <v>1368</v>
      </c>
      <c r="I30" s="505"/>
      <c r="J30" s="552">
        <f>H30/DAY(B2)</f>
        <v>44.12903225806452</v>
      </c>
      <c r="K30" s="373"/>
      <c r="L30" s="443"/>
      <c r="N30" s="440">
        <f>F30-'1'!E30</f>
        <v>81</v>
      </c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150</v>
      </c>
      <c r="F31" s="501">
        <v>80</v>
      </c>
      <c r="G31" s="502">
        <f>E31*F31</f>
        <v>12000</v>
      </c>
      <c r="H31" s="460">
        <f>G31+'30'!H31</f>
        <v>223200</v>
      </c>
      <c r="I31" s="505"/>
      <c r="J31" s="552">
        <f>H31/DAY(B2)</f>
        <v>7200</v>
      </c>
      <c r="K31" s="373"/>
      <c r="L31" s="443"/>
      <c r="N31" s="440">
        <f>F31-'1'!E31</f>
        <v>-60</v>
      </c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-1451901.6</v>
      </c>
      <c r="H32" s="460">
        <f>G32+'30'!H32</f>
        <v>5856912.0000000019</v>
      </c>
      <c r="I32" s="509"/>
      <c r="J32" s="552">
        <f>H32/DAY(B2)</f>
        <v>188932.64516129039</v>
      </c>
      <c r="K32" s="373"/>
      <c r="L32" s="443"/>
      <c r="N32" s="440">
        <f>F32-'1'!E32</f>
        <v>0</v>
      </c>
      <c r="O32" s="382"/>
    </row>
    <row r="33" spans="1:15" ht="25.5" customHeight="1">
      <c r="A33" s="1542" t="s">
        <v>162</v>
      </c>
      <c r="B33" s="1543"/>
      <c r="C33" s="1543"/>
      <c r="D33" s="1543"/>
      <c r="E33" s="1543"/>
      <c r="F33" s="1543"/>
      <c r="G33" s="1543"/>
      <c r="H33" s="1543"/>
      <c r="I33" s="1543"/>
      <c r="J33" s="1544"/>
      <c r="K33" s="428"/>
      <c r="L33" s="377"/>
      <c r="N33" s="440">
        <f>F33-'1'!E33</f>
        <v>0</v>
      </c>
      <c r="O33" s="382"/>
    </row>
    <row r="34" spans="1:15" ht="29.25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440">
        <f>F34-'1'!E34</f>
        <v>0</v>
      </c>
      <c r="O34" s="382"/>
    </row>
    <row r="35" spans="1:15" ht="29.25">
      <c r="A35" s="578" t="s">
        <v>164</v>
      </c>
      <c r="B35" s="579"/>
      <c r="C35" s="579"/>
      <c r="D35" s="523" t="s">
        <v>132</v>
      </c>
      <c r="E35" s="455">
        <f>'30'!F35</f>
        <v>886459</v>
      </c>
      <c r="F35" s="510">
        <v>798389</v>
      </c>
      <c r="G35" s="473">
        <f t="shared" ref="G35:G46" si="3">F35-E35</f>
        <v>-88070</v>
      </c>
      <c r="H35" s="460">
        <f>G35+'30'!H35</f>
        <v>0</v>
      </c>
      <c r="I35" s="455"/>
      <c r="J35" s="552">
        <f>H35/DAY(B2)</f>
        <v>0</v>
      </c>
      <c r="K35" s="428"/>
      <c r="L35" s="377"/>
      <c r="N35" s="440">
        <f>F35-'1'!E35</f>
        <v>0</v>
      </c>
      <c r="O35" s="382"/>
    </row>
    <row r="36" spans="1:15" ht="29.25">
      <c r="A36" s="578" t="s">
        <v>165</v>
      </c>
      <c r="B36" s="579"/>
      <c r="C36" s="579"/>
      <c r="D36" s="523" t="s">
        <v>132</v>
      </c>
      <c r="E36" s="455">
        <f>'30'!F36</f>
        <v>344608</v>
      </c>
      <c r="F36" s="510">
        <v>317436</v>
      </c>
      <c r="G36" s="473">
        <f t="shared" si="3"/>
        <v>-27172</v>
      </c>
      <c r="H36" s="460">
        <f>G36+'30'!H36</f>
        <v>0</v>
      </c>
      <c r="I36" s="455"/>
      <c r="J36" s="552">
        <f>H36/DAY(B2)</f>
        <v>0</v>
      </c>
      <c r="K36" s="428"/>
      <c r="L36" s="377"/>
      <c r="N36" s="440">
        <f>F36-'1'!E36</f>
        <v>0</v>
      </c>
      <c r="O36" s="628"/>
    </row>
    <row r="37" spans="1:15" ht="29.25">
      <c r="A37" s="578" t="s">
        <v>166</v>
      </c>
      <c r="B37" s="579"/>
      <c r="C37" s="579"/>
      <c r="D37" s="523" t="s">
        <v>132</v>
      </c>
      <c r="E37" s="455">
        <f>'30'!F37</f>
        <v>95225</v>
      </c>
      <c r="F37" s="510">
        <v>54797</v>
      </c>
      <c r="G37" s="473">
        <f t="shared" si="3"/>
        <v>-40428</v>
      </c>
      <c r="H37" s="460">
        <f>G37+'30'!H37</f>
        <v>0</v>
      </c>
      <c r="I37" s="455"/>
      <c r="J37" s="552">
        <f>H37/DAY(B2)</f>
        <v>0</v>
      </c>
      <c r="K37" s="428"/>
      <c r="L37" s="377"/>
      <c r="N37" s="440">
        <f>F37-'1'!E37</f>
        <v>0</v>
      </c>
      <c r="O37" s="629"/>
    </row>
    <row r="38" spans="1:15" ht="29.25">
      <c r="A38" s="578" t="s">
        <v>167</v>
      </c>
      <c r="B38" s="579"/>
      <c r="C38" s="579"/>
      <c r="D38" s="523" t="s">
        <v>132</v>
      </c>
      <c r="E38" s="469">
        <v>70415</v>
      </c>
      <c r="F38" s="469">
        <v>72308</v>
      </c>
      <c r="G38" s="473">
        <f t="shared" si="3"/>
        <v>1893</v>
      </c>
      <c r="H38" s="460">
        <f>G38+'30'!H38</f>
        <v>49181</v>
      </c>
      <c r="I38" s="455"/>
      <c r="J38" s="552">
        <f>H38/DAY(B2)</f>
        <v>1586.483870967742</v>
      </c>
      <c r="K38" s="428"/>
      <c r="L38" s="377"/>
      <c r="N38" s="440">
        <f>F38-'1'!E38</f>
        <v>0</v>
      </c>
      <c r="O38" s="382"/>
    </row>
    <row r="39" spans="1:15" ht="29.25">
      <c r="A39" s="578" t="s">
        <v>168</v>
      </c>
      <c r="B39" s="579"/>
      <c r="C39" s="579"/>
      <c r="D39" s="523" t="s">
        <v>132</v>
      </c>
      <c r="E39" s="455">
        <f>'30'!F39</f>
        <v>246653</v>
      </c>
      <c r="F39" s="510">
        <v>152822</v>
      </c>
      <c r="G39" s="473">
        <f t="shared" si="3"/>
        <v>-93831</v>
      </c>
      <c r="H39" s="460">
        <f>G39+'30'!H39</f>
        <v>0</v>
      </c>
      <c r="I39" s="455"/>
      <c r="J39" s="552">
        <f>H39/DAY(B2)</f>
        <v>0</v>
      </c>
      <c r="K39" s="428"/>
      <c r="L39" s="377"/>
      <c r="N39" s="440">
        <f>F39-'1'!E39</f>
        <v>0</v>
      </c>
      <c r="O39" s="382"/>
    </row>
    <row r="40" spans="1:15" ht="29.25">
      <c r="A40" s="599" t="s">
        <v>169</v>
      </c>
      <c r="B40" s="600"/>
      <c r="C40" s="600"/>
      <c r="D40" s="523" t="s">
        <v>132</v>
      </c>
      <c r="E40" s="455">
        <f>'30'!F40</f>
        <v>0.23</v>
      </c>
      <c r="F40" s="510">
        <v>0.23</v>
      </c>
      <c r="G40" s="473">
        <f t="shared" si="3"/>
        <v>0</v>
      </c>
      <c r="H40" s="460">
        <f>G40+'30'!H40</f>
        <v>0.4</v>
      </c>
      <c r="I40" s="455"/>
      <c r="J40" s="552">
        <f>H40/DAY(B2)</f>
        <v>1.2903225806451613E-2</v>
      </c>
      <c r="K40" s="429"/>
      <c r="L40" s="377"/>
      <c r="N40" s="440">
        <f>F40-'1'!E40</f>
        <v>0.23</v>
      </c>
      <c r="O40" s="382"/>
    </row>
    <row r="41" spans="1:15" ht="29.25">
      <c r="A41" s="578" t="s">
        <v>170</v>
      </c>
      <c r="B41" s="579"/>
      <c r="C41" s="579"/>
      <c r="D41" s="523" t="s">
        <v>132</v>
      </c>
      <c r="E41" s="455">
        <f>'30'!F41</f>
        <v>181528</v>
      </c>
      <c r="F41" s="510">
        <v>133141</v>
      </c>
      <c r="G41" s="473">
        <f t="shared" si="3"/>
        <v>-48387</v>
      </c>
      <c r="H41" s="460">
        <f>G41+'30'!H41</f>
        <v>0</v>
      </c>
      <c r="I41" s="455"/>
      <c r="J41" s="552">
        <f>H41/DAY(B2)</f>
        <v>0</v>
      </c>
      <c r="K41" s="428"/>
      <c r="L41" s="377"/>
      <c r="N41" s="440">
        <f>F41-'1'!E41</f>
        <v>0</v>
      </c>
      <c r="O41" s="382"/>
    </row>
    <row r="42" spans="1:15" ht="29.25">
      <c r="A42" s="578" t="s">
        <v>171</v>
      </c>
      <c r="B42" s="579"/>
      <c r="C42" s="579"/>
      <c r="D42" s="523" t="s">
        <v>132</v>
      </c>
      <c r="E42" s="455">
        <f>'30'!F42</f>
        <v>59200</v>
      </c>
      <c r="F42" s="510">
        <v>59128.160000000003</v>
      </c>
      <c r="G42" s="473">
        <f t="shared" si="3"/>
        <v>-71.839999999996508</v>
      </c>
      <c r="H42" s="460">
        <f>G42+'30'!H42</f>
        <v>0</v>
      </c>
      <c r="I42" s="455"/>
      <c r="J42" s="552">
        <f>H42/DAY(B2)</f>
        <v>0</v>
      </c>
      <c r="K42" s="428"/>
      <c r="L42" s="377"/>
      <c r="N42" s="440">
        <f>H42-'1'!E42</f>
        <v>-59128.160000000003</v>
      </c>
      <c r="O42" s="382"/>
    </row>
    <row r="43" spans="1:15" ht="29.25">
      <c r="A43" s="578" t="s">
        <v>172</v>
      </c>
      <c r="B43" s="579"/>
      <c r="C43" s="579"/>
      <c r="D43" s="523" t="s">
        <v>132</v>
      </c>
      <c r="E43" s="455">
        <f>'30'!F43</f>
        <v>973958</v>
      </c>
      <c r="F43" s="510">
        <v>902048</v>
      </c>
      <c r="G43" s="473">
        <f t="shared" si="3"/>
        <v>-71910</v>
      </c>
      <c r="H43" s="460">
        <f>G43+'30'!H43</f>
        <v>0</v>
      </c>
      <c r="I43" s="455"/>
      <c r="J43" s="552">
        <f>H43/DAY(B2)</f>
        <v>0</v>
      </c>
      <c r="K43" s="428"/>
      <c r="L43" s="377"/>
      <c r="N43" s="440">
        <f>H43-'1'!E43</f>
        <v>-902048</v>
      </c>
      <c r="O43" s="382"/>
    </row>
    <row r="44" spans="1:15" ht="29.25">
      <c r="A44" s="578" t="s">
        <v>173</v>
      </c>
      <c r="B44" s="579"/>
      <c r="C44" s="579"/>
      <c r="D44" s="523" t="s">
        <v>132</v>
      </c>
      <c r="E44" s="455">
        <f>'30'!F44</f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2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8" t="s">
        <v>174</v>
      </c>
      <c r="B45" s="579"/>
      <c r="C45" s="579"/>
      <c r="D45" s="523" t="s">
        <v>132</v>
      </c>
      <c r="E45" s="455">
        <f>'30'!F45</f>
        <v>614</v>
      </c>
      <c r="F45" s="510">
        <v>614</v>
      </c>
      <c r="G45" s="473">
        <f t="shared" si="3"/>
        <v>0</v>
      </c>
      <c r="H45" s="460">
        <f>G45+'30'!H45</f>
        <v>614</v>
      </c>
      <c r="I45" s="455"/>
      <c r="J45" s="552">
        <f>H45/DAY(B2)</f>
        <v>19.806451612903224</v>
      </c>
      <c r="K45" s="428"/>
      <c r="L45" s="377"/>
      <c r="N45" s="440">
        <f>H45-'1'!E45</f>
        <v>614</v>
      </c>
      <c r="O45" s="382"/>
    </row>
    <row r="46" spans="1:15" ht="29.25">
      <c r="A46" s="578" t="s">
        <v>175</v>
      </c>
      <c r="B46" s="579"/>
      <c r="C46" s="579"/>
      <c r="D46" s="523" t="s">
        <v>132</v>
      </c>
      <c r="E46" s="455">
        <f>'30'!F46</f>
        <v>187</v>
      </c>
      <c r="F46" s="510">
        <v>187</v>
      </c>
      <c r="G46" s="473">
        <f t="shared" si="3"/>
        <v>0</v>
      </c>
      <c r="H46" s="460">
        <f>G46+'30'!H46</f>
        <v>186.95</v>
      </c>
      <c r="I46" s="455"/>
      <c r="J46" s="552">
        <f>H46/DAY(B2)</f>
        <v>6.0306451612903222</v>
      </c>
      <c r="K46" s="428"/>
      <c r="L46" s="377"/>
      <c r="N46" s="440">
        <f>H46-'1'!E46</f>
        <v>186.95</v>
      </c>
      <c r="O46" s="382"/>
    </row>
    <row r="47" spans="1:15" ht="29.2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-367976.83999999997</v>
      </c>
      <c r="H47" s="460">
        <f>G47+'30'!H47</f>
        <v>50783.840000000084</v>
      </c>
      <c r="I47" s="455"/>
      <c r="J47" s="552">
        <f>H47/DAY(B2)</f>
        <v>1638.188387096777</v>
      </c>
      <c r="K47" s="428"/>
      <c r="L47" s="377"/>
      <c r="N47" s="440">
        <f>H47-'1'!E47</f>
        <v>50783.840000000084</v>
      </c>
      <c r="O47" s="382"/>
    </row>
    <row r="48" spans="1:15" ht="29.25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440">
        <f>H48-'1'!E48</f>
        <v>0</v>
      </c>
      <c r="O48" s="382"/>
    </row>
    <row r="49" spans="1:15" ht="29.25">
      <c r="A49" s="578" t="s">
        <v>164</v>
      </c>
      <c r="B49" s="601"/>
      <c r="C49" s="601"/>
      <c r="D49" s="523" t="s">
        <v>132</v>
      </c>
      <c r="E49" s="455">
        <f>'30'!F49</f>
        <v>260732.13</v>
      </c>
      <c r="F49" s="510">
        <v>260732</v>
      </c>
      <c r="G49" s="473">
        <f t="shared" ref="G49:G58" si="4">F49-E49</f>
        <v>-0.13000000000465661</v>
      </c>
      <c r="H49" s="460">
        <f>G49+'30'!H49</f>
        <v>0</v>
      </c>
      <c r="I49" s="455"/>
      <c r="J49" s="552">
        <f>H49/DAY(B2)</f>
        <v>0</v>
      </c>
      <c r="K49" s="428"/>
      <c r="L49" s="377"/>
      <c r="N49" s="440">
        <f>H49-'1'!E49</f>
        <v>-260732</v>
      </c>
      <c r="O49" s="382"/>
    </row>
    <row r="50" spans="1:15" ht="29.25">
      <c r="A50" s="578" t="s">
        <v>178</v>
      </c>
      <c r="B50" s="601"/>
      <c r="C50" s="601"/>
      <c r="D50" s="523" t="s">
        <v>132</v>
      </c>
      <c r="E50" s="455">
        <f>'30'!F50</f>
        <v>474536</v>
      </c>
      <c r="F50" s="510">
        <v>441232</v>
      </c>
      <c r="G50" s="473">
        <f t="shared" si="4"/>
        <v>-33304</v>
      </c>
      <c r="H50" s="460">
        <f>G50+'30'!H50</f>
        <v>-1042.0400000000373</v>
      </c>
      <c r="I50" s="455"/>
      <c r="J50" s="552">
        <f>H50/DAY(B2)</f>
        <v>-33.6141935483883</v>
      </c>
      <c r="K50" s="428"/>
      <c r="L50" s="377"/>
      <c r="N50" s="440">
        <f>H50-'1'!E50</f>
        <v>-442274.04000000004</v>
      </c>
      <c r="O50" s="382"/>
    </row>
    <row r="51" spans="1:15" ht="29.25">
      <c r="A51" s="578" t="s">
        <v>166</v>
      </c>
      <c r="B51" s="601"/>
      <c r="C51" s="601"/>
      <c r="D51" s="523" t="s">
        <v>132</v>
      </c>
      <c r="E51" s="455">
        <f>'30'!F51</f>
        <v>144640</v>
      </c>
      <c r="F51" s="510">
        <v>144640</v>
      </c>
      <c r="G51" s="473">
        <f t="shared" si="4"/>
        <v>0</v>
      </c>
      <c r="H51" s="460">
        <f>G51+'30'!H51</f>
        <v>0</v>
      </c>
      <c r="I51" s="455"/>
      <c r="J51" s="552">
        <f>H51/DAY(B2)</f>
        <v>0</v>
      </c>
      <c r="K51" s="428"/>
      <c r="L51" s="377"/>
      <c r="N51" s="440">
        <f>H51-'1'!E51</f>
        <v>-144640</v>
      </c>
      <c r="O51" s="382"/>
    </row>
    <row r="52" spans="1:15" ht="29.25">
      <c r="A52" s="578" t="s">
        <v>179</v>
      </c>
      <c r="B52" s="601"/>
      <c r="C52" s="601"/>
      <c r="D52" s="523" t="s">
        <v>132</v>
      </c>
      <c r="E52" s="455">
        <f>'30'!F52</f>
        <v>539606</v>
      </c>
      <c r="F52" s="510">
        <v>539608</v>
      </c>
      <c r="G52" s="473">
        <f t="shared" si="4"/>
        <v>2</v>
      </c>
      <c r="H52" s="460">
        <f>G52+'30'!H52</f>
        <v>2</v>
      </c>
      <c r="I52" s="455"/>
      <c r="J52" s="552">
        <f>H52/DAY(B2)</f>
        <v>6.4516129032258063E-2</v>
      </c>
      <c r="K52" s="428"/>
      <c r="L52" s="377"/>
      <c r="N52" s="440">
        <f>H52-'1'!E52</f>
        <v>-539606</v>
      </c>
      <c r="O52" s="382"/>
    </row>
    <row r="53" spans="1:15" ht="29.25">
      <c r="A53" s="578" t="s">
        <v>168</v>
      </c>
      <c r="B53" s="601"/>
      <c r="C53" s="601"/>
      <c r="D53" s="523" t="s">
        <v>132</v>
      </c>
      <c r="E53" s="455">
        <f>'30'!F53</f>
        <v>416311</v>
      </c>
      <c r="F53" s="510">
        <v>401264</v>
      </c>
      <c r="G53" s="473">
        <f t="shared" si="4"/>
        <v>-15047</v>
      </c>
      <c r="H53" s="460">
        <f>G53+'30'!H53</f>
        <v>-2915.7999999999884</v>
      </c>
      <c r="I53" s="455"/>
      <c r="J53" s="552">
        <f>H53/DAY(B2)</f>
        <v>-94.058064516128653</v>
      </c>
      <c r="K53" s="428"/>
      <c r="L53" s="377"/>
      <c r="N53" s="440">
        <f>H53-'1'!E53</f>
        <v>-404179.8</v>
      </c>
      <c r="O53" s="382"/>
    </row>
    <row r="54" spans="1:15" ht="29.25">
      <c r="A54" s="578" t="s">
        <v>180</v>
      </c>
      <c r="B54" s="601"/>
      <c r="C54" s="601"/>
      <c r="D54" s="523" t="s">
        <v>132</v>
      </c>
      <c r="E54" s="455">
        <f>'30'!F54</f>
        <v>11378</v>
      </c>
      <c r="F54" s="510">
        <v>9166</v>
      </c>
      <c r="G54" s="473">
        <f t="shared" si="4"/>
        <v>-2212</v>
      </c>
      <c r="H54" s="460">
        <f>G54+'30'!H54</f>
        <v>2941.0300000000007</v>
      </c>
      <c r="I54" s="455"/>
      <c r="J54" s="552">
        <f>H54/DAY(B2)</f>
        <v>94.871935483870985</v>
      </c>
      <c r="K54" s="428"/>
      <c r="L54" s="377"/>
      <c r="N54" s="440">
        <f>H54-'1'!E54</f>
        <v>-6224.9699999999993</v>
      </c>
      <c r="O54" s="382"/>
    </row>
    <row r="55" spans="1:15" ht="29.25">
      <c r="A55" s="578" t="s">
        <v>181</v>
      </c>
      <c r="B55" s="601"/>
      <c r="C55" s="601"/>
      <c r="D55" s="523" t="s">
        <v>132</v>
      </c>
      <c r="E55" s="455">
        <f>'30'!F55</f>
        <v>346926</v>
      </c>
      <c r="F55" s="510">
        <v>216097</v>
      </c>
      <c r="G55" s="473">
        <f t="shared" si="4"/>
        <v>-130829</v>
      </c>
      <c r="H55" s="460">
        <f>G55+'30'!H55</f>
        <v>-5356.2000000000116</v>
      </c>
      <c r="I55" s="455"/>
      <c r="J55" s="552">
        <f>H55/DAY(B2)</f>
        <v>-172.78064516129069</v>
      </c>
      <c r="K55" s="428"/>
      <c r="L55" s="377"/>
      <c r="N55" s="440">
        <f>H55-'1'!E55</f>
        <v>-221453.2</v>
      </c>
      <c r="O55" s="382"/>
    </row>
    <row r="56" spans="1:15" ht="29.25">
      <c r="A56" s="578" t="s">
        <v>182</v>
      </c>
      <c r="B56" s="601"/>
      <c r="C56" s="601"/>
      <c r="D56" s="523" t="s">
        <v>183</v>
      </c>
      <c r="E56" s="455">
        <f>'30'!F56</f>
        <v>589288.47</v>
      </c>
      <c r="F56" s="510">
        <v>588967</v>
      </c>
      <c r="G56" s="473">
        <f t="shared" si="4"/>
        <v>-321.46999999997206</v>
      </c>
      <c r="H56" s="460">
        <f>G56+'30'!H56</f>
        <v>-9.1600000000325963</v>
      </c>
      <c r="I56" s="455"/>
      <c r="J56" s="552">
        <f>H56/DAY(B2)</f>
        <v>-0.29548387096879342</v>
      </c>
      <c r="K56" s="427"/>
      <c r="L56" s="377"/>
      <c r="N56" s="440">
        <f>H56-'1'!E56</f>
        <v>-588976.16</v>
      </c>
      <c r="O56" s="382"/>
    </row>
    <row r="57" spans="1:15" ht="29.25">
      <c r="A57" s="578" t="s">
        <v>172</v>
      </c>
      <c r="B57" s="601"/>
      <c r="C57" s="601"/>
      <c r="D57" s="523" t="s">
        <v>132</v>
      </c>
      <c r="E57" s="455">
        <f>'30'!F57</f>
        <v>7711</v>
      </c>
      <c r="F57" s="510">
        <v>7711</v>
      </c>
      <c r="G57" s="473">
        <f t="shared" si="4"/>
        <v>0</v>
      </c>
      <c r="H57" s="460">
        <f>G57+'30'!H57</f>
        <v>0</v>
      </c>
      <c r="I57" s="455"/>
      <c r="J57" s="552">
        <f>H57/DAY(B2)</f>
        <v>0</v>
      </c>
      <c r="K57" s="428"/>
      <c r="L57" s="377"/>
      <c r="N57" s="440">
        <f>H57-'1'!E57</f>
        <v>-7711</v>
      </c>
      <c r="O57" s="382"/>
    </row>
    <row r="58" spans="1:15" ht="29.25">
      <c r="A58" s="578" t="s">
        <v>184</v>
      </c>
      <c r="B58" s="601"/>
      <c r="C58" s="601"/>
      <c r="D58" s="523" t="s">
        <v>132</v>
      </c>
      <c r="E58" s="455">
        <f>'30'!F58</f>
        <v>46668</v>
      </c>
      <c r="F58" s="510">
        <v>41547</v>
      </c>
      <c r="G58" s="473">
        <f t="shared" si="4"/>
        <v>-5121</v>
      </c>
      <c r="H58" s="460">
        <f>G58+'30'!H58</f>
        <v>-154.34000000000378</v>
      </c>
      <c r="I58" s="455"/>
      <c r="J58" s="552">
        <f>H58/DAY(B2)</f>
        <v>-4.9787096774194772</v>
      </c>
      <c r="K58" s="428"/>
      <c r="L58" s="377"/>
      <c r="N58" s="440">
        <f>H58-'1'!E58</f>
        <v>-41701.340000000004</v>
      </c>
      <c r="O58" s="382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-186832.59999999998</v>
      </c>
      <c r="H59" s="460">
        <f>G59+'30'!H59</f>
        <v>-6536.5100000000384</v>
      </c>
      <c r="I59" s="455">
        <f>G7-G60</f>
        <v>-58700.560000000056</v>
      </c>
      <c r="J59" s="552">
        <f>H59/DAY(B2)</f>
        <v>-210.85516129032382</v>
      </c>
      <c r="K59" s="428"/>
      <c r="L59" s="377"/>
      <c r="N59" s="440">
        <f>H59-'1'!E59</f>
        <v>-6536.5100000000384</v>
      </c>
      <c r="O59" s="382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-554809.43999999994</v>
      </c>
      <c r="H60" s="460">
        <f>G60+'30'!H60</f>
        <v>51446.880000000005</v>
      </c>
      <c r="I60" s="455">
        <f>G13-G60</f>
        <v>-39835.560000000056</v>
      </c>
      <c r="J60" s="552">
        <f>H60/DAY(B2)</f>
        <v>1659.5767741935485</v>
      </c>
      <c r="K60" s="428"/>
      <c r="L60" s="377"/>
      <c r="N60" s="440">
        <f>H60-'1'!E60</f>
        <v>51446.880000000005</v>
      </c>
      <c r="O60" s="382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440">
        <f>H61-'1'!E61</f>
        <v>0</v>
      </c>
      <c r="O61" s="382"/>
    </row>
    <row r="62" spans="1:15" ht="29.25">
      <c r="A62" s="603" t="s">
        <v>98</v>
      </c>
      <c r="B62" s="604"/>
      <c r="C62" s="604"/>
      <c r="D62" s="511" t="s">
        <v>187</v>
      </c>
      <c r="E62" s="455">
        <f>'30'!F62</f>
        <v>20419</v>
      </c>
      <c r="F62" s="514">
        <v>20419</v>
      </c>
      <c r="G62" s="473">
        <f t="shared" ref="G62:G69" si="5">F62-E62</f>
        <v>0</v>
      </c>
      <c r="H62" s="460">
        <f>G62+'30'!H62</f>
        <v>0.18199999999706051</v>
      </c>
      <c r="I62" s="515"/>
      <c r="J62" s="552">
        <f>H62/DAY(B2)</f>
        <v>5.8709677418406613E-3</v>
      </c>
      <c r="K62" s="428"/>
      <c r="L62" s="377"/>
      <c r="N62" s="440">
        <f>H62-'1'!E62</f>
        <v>0.18199999999706051</v>
      </c>
      <c r="O62" s="382"/>
    </row>
    <row r="63" spans="1:15" ht="29.25">
      <c r="A63" s="603" t="s">
        <v>188</v>
      </c>
      <c r="B63" s="604"/>
      <c r="C63" s="604"/>
      <c r="D63" s="511" t="s">
        <v>187</v>
      </c>
      <c r="E63" s="455">
        <f>'30'!F63</f>
        <v>2359</v>
      </c>
      <c r="F63" s="514">
        <v>2096</v>
      </c>
      <c r="G63" s="473">
        <f t="shared" si="5"/>
        <v>-263</v>
      </c>
      <c r="H63" s="460">
        <f>G63+'30'!H63</f>
        <v>0</v>
      </c>
      <c r="I63" s="515"/>
      <c r="J63" s="552">
        <f>H63/DAY(B2)</f>
        <v>0</v>
      </c>
      <c r="K63" s="428"/>
      <c r="L63" s="377"/>
      <c r="N63" s="440">
        <f>H63-'1'!E63</f>
        <v>-2096</v>
      </c>
      <c r="O63" s="382"/>
    </row>
    <row r="64" spans="1:15" ht="27.75">
      <c r="A64" s="1499" t="s">
        <v>99</v>
      </c>
      <c r="B64" s="1500"/>
      <c r="C64" s="1501"/>
      <c r="D64" s="523" t="s">
        <v>187</v>
      </c>
      <c r="E64" s="455">
        <f>'30'!F64</f>
        <v>153299</v>
      </c>
      <c r="F64" s="484">
        <v>139180</v>
      </c>
      <c r="G64" s="473">
        <f t="shared" si="5"/>
        <v>-14119</v>
      </c>
      <c r="H64" s="460">
        <f>G64+'30'!H64</f>
        <v>0</v>
      </c>
      <c r="I64" s="480"/>
      <c r="J64" s="552">
        <f>H64/DAY(B2)</f>
        <v>0</v>
      </c>
      <c r="K64" s="428"/>
      <c r="L64" s="377"/>
      <c r="N64" s="440">
        <f>H64-'1'!E64</f>
        <v>-139180</v>
      </c>
      <c r="O64" s="382"/>
    </row>
    <row r="65" spans="1:15" ht="27.75">
      <c r="A65" s="1499" t="s">
        <v>100</v>
      </c>
      <c r="B65" s="1500"/>
      <c r="C65" s="1501"/>
      <c r="D65" s="523" t="s">
        <v>187</v>
      </c>
      <c r="E65" s="455">
        <f>'30'!F65</f>
        <v>154599</v>
      </c>
      <c r="F65" s="484">
        <v>144205</v>
      </c>
      <c r="G65" s="473">
        <f t="shared" si="5"/>
        <v>-10394</v>
      </c>
      <c r="H65" s="460">
        <f>G65+'30'!H65</f>
        <v>0</v>
      </c>
      <c r="I65" s="489"/>
      <c r="J65" s="552">
        <f>H65/DAY(B2)</f>
        <v>0</v>
      </c>
      <c r="K65" s="428"/>
      <c r="L65" s="377"/>
      <c r="N65" s="440">
        <f>H65-'1'!E65</f>
        <v>-144205</v>
      </c>
      <c r="O65" s="382"/>
    </row>
    <row r="66" spans="1:15" ht="27.75">
      <c r="A66" s="1499" t="s">
        <v>101</v>
      </c>
      <c r="B66" s="1500"/>
      <c r="C66" s="1501"/>
      <c r="D66" s="523" t="s">
        <v>187</v>
      </c>
      <c r="E66" s="455">
        <f>'30'!F66</f>
        <v>48571</v>
      </c>
      <c r="F66" s="484">
        <v>37208</v>
      </c>
      <c r="G66" s="473">
        <f t="shared" si="5"/>
        <v>-11363</v>
      </c>
      <c r="H66" s="460">
        <f>G66+'30'!H66</f>
        <v>0</v>
      </c>
      <c r="I66" s="480"/>
      <c r="J66" s="552">
        <f>H66/DAY(B2)</f>
        <v>0</v>
      </c>
      <c r="K66" s="428"/>
      <c r="L66" s="377"/>
      <c r="N66" s="440">
        <f>H66-'1'!E66</f>
        <v>-37208</v>
      </c>
      <c r="O66" s="382"/>
    </row>
    <row r="67" spans="1:15" ht="27.75">
      <c r="A67" s="1499" t="s">
        <v>102</v>
      </c>
      <c r="B67" s="1500"/>
      <c r="C67" s="1501"/>
      <c r="D67" s="523" t="s">
        <v>187</v>
      </c>
      <c r="E67" s="455">
        <f>'30'!F67</f>
        <v>243174</v>
      </c>
      <c r="F67" s="484">
        <v>229100</v>
      </c>
      <c r="G67" s="473">
        <f t="shared" si="5"/>
        <v>-14074</v>
      </c>
      <c r="H67" s="460">
        <f>G67+'30'!H67</f>
        <v>0</v>
      </c>
      <c r="I67" s="489"/>
      <c r="J67" s="552">
        <f>H67/DAY(B2)</f>
        <v>0</v>
      </c>
      <c r="K67" s="429"/>
      <c r="L67" s="377"/>
      <c r="N67" s="440">
        <f>H67-'1'!E67</f>
        <v>-229100</v>
      </c>
      <c r="O67" s="382"/>
    </row>
    <row r="68" spans="1:15" ht="27.75">
      <c r="A68" s="1499" t="s">
        <v>103</v>
      </c>
      <c r="B68" s="1500"/>
      <c r="C68" s="1501"/>
      <c r="D68" s="523" t="s">
        <v>187</v>
      </c>
      <c r="E68" s="455">
        <f>'30'!F68</f>
        <v>85321</v>
      </c>
      <c r="F68" s="484">
        <v>83087</v>
      </c>
      <c r="G68" s="473">
        <f t="shared" si="5"/>
        <v>-2234</v>
      </c>
      <c r="H68" s="460">
        <f>G68+'30'!H68</f>
        <v>0</v>
      </c>
      <c r="I68" s="516"/>
      <c r="J68" s="552">
        <f>H68/DAY(B2)</f>
        <v>0</v>
      </c>
      <c r="K68" s="430"/>
      <c r="L68" s="377"/>
      <c r="N68" s="440">
        <f>H68-'1'!E68</f>
        <v>-83087</v>
      </c>
      <c r="O68" s="382"/>
    </row>
    <row r="69" spans="1:15" ht="27.75">
      <c r="A69" s="1499" t="s">
        <v>104</v>
      </c>
      <c r="B69" s="1500"/>
      <c r="C69" s="1501"/>
      <c r="D69" s="523" t="s">
        <v>187</v>
      </c>
      <c r="E69" s="455">
        <f>'30'!F69</f>
        <v>78994</v>
      </c>
      <c r="F69" s="484">
        <v>74329</v>
      </c>
      <c r="G69" s="473">
        <f t="shared" si="5"/>
        <v>-4665</v>
      </c>
      <c r="H69" s="460">
        <f>G69+'30'!H69</f>
        <v>0</v>
      </c>
      <c r="I69" s="516"/>
      <c r="J69" s="552">
        <f>H69/DAY(B2)</f>
        <v>0</v>
      </c>
      <c r="K69" s="431"/>
      <c r="L69" s="377"/>
      <c r="N69" s="440">
        <f>H69-'1'!E69</f>
        <v>-74329</v>
      </c>
      <c r="O69" s="382"/>
    </row>
    <row r="70" spans="1:15" ht="27.75">
      <c r="A70" s="1505" t="s">
        <v>189</v>
      </c>
      <c r="B70" s="1506"/>
      <c r="C70" s="1507"/>
      <c r="D70" s="523" t="s">
        <v>187</v>
      </c>
      <c r="E70" s="518"/>
      <c r="F70" s="518"/>
      <c r="G70" s="518"/>
      <c r="H70" s="460">
        <f>G70+'30'!H70</f>
        <v>0</v>
      </c>
      <c r="I70" s="518"/>
      <c r="J70" s="556"/>
      <c r="K70" s="431"/>
      <c r="L70" s="377"/>
      <c r="N70" s="440">
        <f>H70-'1'!E70</f>
        <v>0</v>
      </c>
      <c r="O70" s="382"/>
    </row>
    <row r="71" spans="1:15" ht="31.5">
      <c r="A71" s="1502" t="s">
        <v>190</v>
      </c>
      <c r="B71" s="1503"/>
      <c r="C71" s="1503"/>
      <c r="D71" s="1503"/>
      <c r="E71" s="1503"/>
      <c r="F71" s="1503"/>
      <c r="G71" s="1503"/>
      <c r="H71" s="1503"/>
      <c r="I71" s="1503"/>
      <c r="J71" s="1504"/>
      <c r="K71" s="430"/>
      <c r="L71" s="377"/>
      <c r="N71" s="440">
        <f>H71-'1'!E71</f>
        <v>0</v>
      </c>
      <c r="O71" s="382"/>
    </row>
    <row r="72" spans="1:15" ht="27.75">
      <c r="A72" s="1499" t="s">
        <v>191</v>
      </c>
      <c r="B72" s="1500"/>
      <c r="C72" s="1501"/>
      <c r="D72" s="523" t="s">
        <v>187</v>
      </c>
      <c r="E72" s="455">
        <f>'30'!F72</f>
        <v>855461</v>
      </c>
      <c r="F72" s="519">
        <v>853179</v>
      </c>
      <c r="G72" s="473">
        <f t="shared" ref="G72:G84" si="6">F72-E72</f>
        <v>-2282</v>
      </c>
      <c r="H72" s="460">
        <f>G72+'30'!H72</f>
        <v>-84</v>
      </c>
      <c r="I72" s="480"/>
      <c r="J72" s="552">
        <f>H72/DAY(B2)</f>
        <v>-2.7096774193548385</v>
      </c>
      <c r="K72" s="431"/>
      <c r="L72" s="377"/>
      <c r="N72" s="440">
        <f>H72-'1'!E72</f>
        <v>-853263</v>
      </c>
      <c r="O72" s="382"/>
    </row>
    <row r="73" spans="1:15" ht="27.75">
      <c r="A73" s="1499" t="s">
        <v>192</v>
      </c>
      <c r="B73" s="1500"/>
      <c r="C73" s="1501"/>
      <c r="D73" s="523" t="s">
        <v>187</v>
      </c>
      <c r="E73" s="455">
        <f>'30'!F73</f>
        <v>885876</v>
      </c>
      <c r="F73" s="520">
        <v>885800</v>
      </c>
      <c r="G73" s="473">
        <f t="shared" si="6"/>
        <v>-76</v>
      </c>
      <c r="H73" s="460">
        <f>G73+'30'!H73</f>
        <v>1221</v>
      </c>
      <c r="I73" s="480"/>
      <c r="J73" s="552">
        <f>H73/DAY(B2)</f>
        <v>39.387096774193552</v>
      </c>
      <c r="K73" s="430"/>
      <c r="L73" s="377"/>
      <c r="N73" s="440">
        <f>H73-'1'!E73</f>
        <v>-884579</v>
      </c>
      <c r="O73" s="382"/>
    </row>
    <row r="74" spans="1:15" ht="27.75">
      <c r="A74" s="1499" t="s">
        <v>193</v>
      </c>
      <c r="B74" s="1500"/>
      <c r="C74" s="1501"/>
      <c r="D74" s="523" t="s">
        <v>187</v>
      </c>
      <c r="E74" s="455">
        <f>'30'!F74</f>
        <v>2279</v>
      </c>
      <c r="F74" s="521">
        <v>1370</v>
      </c>
      <c r="G74" s="473">
        <f t="shared" si="6"/>
        <v>-909</v>
      </c>
      <c r="H74" s="460">
        <f>G74+'30'!H74</f>
        <v>0</v>
      </c>
      <c r="I74" s="480"/>
      <c r="J74" s="552">
        <f>H74/DAY(B2)</f>
        <v>0</v>
      </c>
      <c r="K74" s="431"/>
      <c r="L74" s="377"/>
      <c r="N74" s="440">
        <f>H74-'1'!E74</f>
        <v>-1370</v>
      </c>
      <c r="O74" s="382"/>
    </row>
    <row r="75" spans="1:15" ht="27.75">
      <c r="A75" s="1496" t="s">
        <v>194</v>
      </c>
      <c r="B75" s="1497"/>
      <c r="C75" s="1498"/>
      <c r="D75" s="523" t="s">
        <v>187</v>
      </c>
      <c r="E75" s="455">
        <f>'30'!F75</f>
        <v>10970</v>
      </c>
      <c r="F75" s="521">
        <v>8680</v>
      </c>
      <c r="G75" s="473">
        <f t="shared" si="6"/>
        <v>-2290</v>
      </c>
      <c r="H75" s="460">
        <f>G75+'30'!H75</f>
        <v>0</v>
      </c>
      <c r="I75" s="480"/>
      <c r="J75" s="552">
        <f>H75/DAY(B2)</f>
        <v>0</v>
      </c>
      <c r="K75" s="430"/>
      <c r="L75" s="377"/>
      <c r="N75" s="440">
        <f>H75-'1'!E75</f>
        <v>-8680</v>
      </c>
      <c r="O75" s="382"/>
    </row>
    <row r="76" spans="1:15" ht="27.75">
      <c r="A76" s="1496" t="s">
        <v>195</v>
      </c>
      <c r="B76" s="1497"/>
      <c r="C76" s="1498"/>
      <c r="D76" s="523" t="s">
        <v>187</v>
      </c>
      <c r="E76" s="455">
        <f>'30'!F76</f>
        <v>5709</v>
      </c>
      <c r="F76" s="520">
        <v>4037</v>
      </c>
      <c r="G76" s="473">
        <f t="shared" si="6"/>
        <v>-1672</v>
      </c>
      <c r="H76" s="460">
        <f>G76+'30'!H76</f>
        <v>411</v>
      </c>
      <c r="I76" s="505"/>
      <c r="J76" s="552">
        <f>H76/DAY(B2)</f>
        <v>13.258064516129032</v>
      </c>
      <c r="K76" s="430"/>
      <c r="L76" s="377"/>
      <c r="N76" s="440">
        <f>H76-'1'!E76</f>
        <v>-3626</v>
      </c>
      <c r="O76" s="382"/>
    </row>
    <row r="77" spans="1:15" ht="27.75">
      <c r="A77" s="1499" t="s">
        <v>196</v>
      </c>
      <c r="B77" s="1500"/>
      <c r="C77" s="1501"/>
      <c r="D77" s="523" t="s">
        <v>187</v>
      </c>
      <c r="E77" s="455">
        <f>'30'!F77</f>
        <v>701562</v>
      </c>
      <c r="F77" s="521">
        <v>700214</v>
      </c>
      <c r="G77" s="473">
        <f t="shared" si="6"/>
        <v>-1348</v>
      </c>
      <c r="H77" s="460">
        <f>G77+'30'!H77</f>
        <v>0</v>
      </c>
      <c r="I77" s="505"/>
      <c r="J77" s="552">
        <f>H77/DAY(B2)</f>
        <v>0</v>
      </c>
      <c r="K77" s="430"/>
      <c r="L77" s="377"/>
      <c r="N77" s="440">
        <f>H77-'1'!E77</f>
        <v>-700214</v>
      </c>
      <c r="O77" s="382"/>
    </row>
    <row r="78" spans="1:15" ht="27.75">
      <c r="A78" s="1147" t="s">
        <v>197</v>
      </c>
      <c r="B78" s="1120"/>
      <c r="C78" s="1120"/>
      <c r="D78" s="523" t="s">
        <v>187</v>
      </c>
      <c r="E78" s="455">
        <f>'30'!F78</f>
        <v>670025</v>
      </c>
      <c r="F78" s="521">
        <v>665380</v>
      </c>
      <c r="G78" s="473">
        <f t="shared" si="6"/>
        <v>-4645</v>
      </c>
      <c r="H78" s="460">
        <f>G78+'30'!H78</f>
        <v>0</v>
      </c>
      <c r="I78" s="505"/>
      <c r="J78" s="552">
        <f>H78/DAY(B2)</f>
        <v>0</v>
      </c>
      <c r="K78" s="430"/>
      <c r="L78" s="377"/>
      <c r="N78" s="440">
        <f>H78-'1'!E78</f>
        <v>-665380</v>
      </c>
      <c r="O78" s="382"/>
    </row>
    <row r="79" spans="1:15" ht="27.75">
      <c r="A79" s="1496" t="s">
        <v>92</v>
      </c>
      <c r="B79" s="1497"/>
      <c r="C79" s="1498"/>
      <c r="D79" s="524" t="s">
        <v>187</v>
      </c>
      <c r="E79" s="455">
        <f>'30'!F79</f>
        <v>826784</v>
      </c>
      <c r="F79" s="521">
        <v>821213</v>
      </c>
      <c r="G79" s="473">
        <f t="shared" si="6"/>
        <v>-5571</v>
      </c>
      <c r="H79" s="460">
        <f>G79+'30'!H79</f>
        <v>1022</v>
      </c>
      <c r="I79" s="505"/>
      <c r="J79" s="552">
        <f>H79/DAY(B2)</f>
        <v>32.967741935483872</v>
      </c>
      <c r="K79" s="430"/>
      <c r="L79" s="377"/>
      <c r="N79" s="440">
        <f>H79-'1'!E79</f>
        <v>-820191</v>
      </c>
      <c r="O79" s="382"/>
    </row>
    <row r="80" spans="1:15" ht="27.75">
      <c r="A80" s="1496" t="s">
        <v>198</v>
      </c>
      <c r="B80" s="1497"/>
      <c r="C80" s="1498"/>
      <c r="D80" s="524" t="s">
        <v>187</v>
      </c>
      <c r="E80" s="455">
        <f>'30'!F80</f>
        <v>516738</v>
      </c>
      <c r="F80" s="520">
        <v>505699</v>
      </c>
      <c r="G80" s="473">
        <f t="shared" si="6"/>
        <v>-11039</v>
      </c>
      <c r="H80" s="460">
        <f>G80+'30'!H80</f>
        <v>-2229</v>
      </c>
      <c r="I80" s="505"/>
      <c r="J80" s="552">
        <f>H80/DAY(B2)</f>
        <v>-71.903225806451616</v>
      </c>
      <c r="K80" s="430"/>
      <c r="L80" s="377"/>
      <c r="N80" s="440">
        <f>H80-'1'!E80</f>
        <v>-507928</v>
      </c>
      <c r="O80" s="382"/>
    </row>
    <row r="81" spans="1:15" ht="27.75">
      <c r="A81" s="1496" t="s">
        <v>199</v>
      </c>
      <c r="B81" s="1497"/>
      <c r="C81" s="1498"/>
      <c r="D81" s="524" t="s">
        <v>187</v>
      </c>
      <c r="E81" s="455">
        <f>'30'!F81</f>
        <v>636478</v>
      </c>
      <c r="F81" s="520">
        <v>630185</v>
      </c>
      <c r="G81" s="473">
        <f t="shared" si="6"/>
        <v>-6293</v>
      </c>
      <c r="H81" s="460">
        <f>G81+'30'!H81</f>
        <v>0</v>
      </c>
      <c r="I81" s="505"/>
      <c r="J81" s="552">
        <f>H81/DAY(B2)</f>
        <v>0</v>
      </c>
      <c r="K81" s="430"/>
      <c r="L81" s="377"/>
      <c r="N81" s="440">
        <f>H81-'1'!E81</f>
        <v>-630185</v>
      </c>
      <c r="O81" s="382"/>
    </row>
    <row r="82" spans="1:15" ht="27.75">
      <c r="A82" s="1496" t="s">
        <v>93</v>
      </c>
      <c r="B82" s="1497"/>
      <c r="C82" s="1498"/>
      <c r="D82" s="485" t="s">
        <v>132</v>
      </c>
      <c r="E82" s="455">
        <f>'30'!F82</f>
        <v>107612</v>
      </c>
      <c r="F82" s="522">
        <v>106895</v>
      </c>
      <c r="G82" s="473">
        <f t="shared" si="6"/>
        <v>-717</v>
      </c>
      <c r="H82" s="460">
        <f>G82+'30'!H82</f>
        <v>0</v>
      </c>
      <c r="I82" s="486"/>
      <c r="J82" s="552">
        <f>H82/DAY(B2)</f>
        <v>0</v>
      </c>
      <c r="K82" s="430"/>
      <c r="L82" s="377"/>
      <c r="N82" s="440">
        <f>H82-'1'!E82</f>
        <v>-106895</v>
      </c>
      <c r="O82" s="382"/>
    </row>
    <row r="83" spans="1:15" ht="27.75">
      <c r="A83" s="1496" t="s">
        <v>200</v>
      </c>
      <c r="B83" s="1497"/>
      <c r="C83" s="1498"/>
      <c r="D83" s="620" t="s">
        <v>132</v>
      </c>
      <c r="E83" s="455">
        <f>'30'!F83</f>
        <v>14771</v>
      </c>
      <c r="F83" s="511">
        <v>7057</v>
      </c>
      <c r="G83" s="473">
        <f t="shared" si="6"/>
        <v>-7714</v>
      </c>
      <c r="H83" s="460">
        <f>G83+'30'!H83</f>
        <v>0</v>
      </c>
      <c r="I83" s="481"/>
      <c r="J83" s="552">
        <f>H83/DAY(B2)</f>
        <v>0</v>
      </c>
      <c r="K83" s="429"/>
      <c r="L83" s="377"/>
      <c r="N83" s="440">
        <f>H83-'1'!E83</f>
        <v>-7057</v>
      </c>
      <c r="O83" s="382"/>
    </row>
    <row r="84" spans="1:15" ht="29.25">
      <c r="A84" s="1148" t="s">
        <v>201</v>
      </c>
      <c r="B84" s="571"/>
      <c r="C84" s="571"/>
      <c r="D84" s="478" t="s">
        <v>132</v>
      </c>
      <c r="E84" s="455">
        <f>'30'!F84</f>
        <v>480133</v>
      </c>
      <c r="F84" s="627">
        <v>454684</v>
      </c>
      <c r="G84" s="473">
        <f t="shared" si="6"/>
        <v>-25449</v>
      </c>
      <c r="H84" s="460">
        <f>G84+'30'!H84</f>
        <v>0</v>
      </c>
      <c r="I84" s="481"/>
      <c r="J84" s="552">
        <f>H84/DAY(B2)</f>
        <v>0</v>
      </c>
      <c r="K84" s="380"/>
      <c r="L84" s="377"/>
      <c r="N84" s="440">
        <f>H84-'1'!E84</f>
        <v>-454684</v>
      </c>
      <c r="O84" s="382"/>
    </row>
    <row r="85" spans="1:15" s="379" customFormat="1" ht="29.25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-70005</v>
      </c>
      <c r="H85" s="460">
        <f>G85+'30'!H85</f>
        <v>0</v>
      </c>
      <c r="I85" s="481"/>
      <c r="J85" s="552">
        <f>H85/DAY(B2)</f>
        <v>0</v>
      </c>
      <c r="K85" s="380"/>
      <c r="L85" s="378"/>
      <c r="N85" s="440">
        <f>H85-'1'!E85</f>
        <v>0</v>
      </c>
      <c r="O85" s="382"/>
    </row>
    <row r="86" spans="1:15" s="738" customFormat="1" ht="29.25">
      <c r="A86" s="733" t="s">
        <v>94</v>
      </c>
      <c r="B86" s="734"/>
      <c r="C86" s="734"/>
      <c r="D86" s="735" t="s">
        <v>183</v>
      </c>
      <c r="E86" s="455">
        <f>'30'!F86</f>
        <v>459267</v>
      </c>
      <c r="F86" s="650">
        <v>454581</v>
      </c>
      <c r="G86" s="708">
        <f t="shared" ref="G86" si="7">F86-E86</f>
        <v>-4686</v>
      </c>
      <c r="H86" s="460">
        <f>G86+'30'!H86</f>
        <v>-4356.8800000000047</v>
      </c>
      <c r="I86" s="655"/>
      <c r="J86" s="710">
        <f>H86/DAY(B2)</f>
        <v>-140.54451612903242</v>
      </c>
      <c r="K86" s="736"/>
      <c r="L86" s="737"/>
      <c r="N86" s="440">
        <f>H86-'1'!E86</f>
        <v>-458937.88</v>
      </c>
      <c r="O86" s="716"/>
    </row>
    <row r="87" spans="1:15" s="738" customFormat="1" ht="29.25">
      <c r="A87" s="733" t="s">
        <v>95</v>
      </c>
      <c r="B87" s="734"/>
      <c r="C87" s="734"/>
      <c r="D87" s="735" t="s">
        <v>183</v>
      </c>
      <c r="E87" s="455">
        <f>'30'!F87</f>
        <v>80919</v>
      </c>
      <c r="F87" s="650">
        <v>80185</v>
      </c>
      <c r="G87" s="708">
        <f t="shared" ref="G87:G90" si="8">F87-E87</f>
        <v>-734</v>
      </c>
      <c r="H87" s="460">
        <f>G87+'30'!H87</f>
        <v>-705.19999999999709</v>
      </c>
      <c r="I87" s="655"/>
      <c r="J87" s="710">
        <f>H87/DAY(B2)</f>
        <v>-22.748387096774099</v>
      </c>
      <c r="K87" s="736"/>
      <c r="L87" s="737"/>
      <c r="N87" s="440">
        <f>H87-'1'!E87</f>
        <v>-80890.2</v>
      </c>
      <c r="O87" s="716"/>
    </row>
    <row r="88" spans="1:15" s="738" customFormat="1" ht="29.25">
      <c r="A88" s="733" t="s">
        <v>96</v>
      </c>
      <c r="B88" s="734"/>
      <c r="C88" s="734"/>
      <c r="D88" s="735" t="s">
        <v>183</v>
      </c>
      <c r="E88" s="455">
        <f>'30'!F88</f>
        <v>151805</v>
      </c>
      <c r="F88" s="650">
        <v>150599</v>
      </c>
      <c r="G88" s="708">
        <f t="shared" si="8"/>
        <v>-1206</v>
      </c>
      <c r="H88" s="460">
        <f>G88+'30'!H88</f>
        <v>-1159.3299999999872</v>
      </c>
      <c r="I88" s="655"/>
      <c r="J88" s="710">
        <f>H88/DAY(B2)</f>
        <v>-37.397741935483459</v>
      </c>
      <c r="K88" s="736"/>
      <c r="L88" s="737"/>
      <c r="N88" s="440">
        <f>H88-'1'!E88</f>
        <v>-151758.32999999999</v>
      </c>
      <c r="O88" s="716"/>
    </row>
    <row r="89" spans="1:15" s="738" customFormat="1" ht="29.25">
      <c r="A89" s="733" t="s">
        <v>204</v>
      </c>
      <c r="B89" s="734"/>
      <c r="C89" s="734"/>
      <c r="D89" s="735" t="s">
        <v>183</v>
      </c>
      <c r="E89" s="455">
        <f>'30'!F89</f>
        <v>64834</v>
      </c>
      <c r="F89" s="650">
        <v>63554</v>
      </c>
      <c r="G89" s="708">
        <f t="shared" si="8"/>
        <v>-1280</v>
      </c>
      <c r="H89" s="460">
        <f>G89+'30'!H89</f>
        <v>-1206.9000000000015</v>
      </c>
      <c r="I89" s="655"/>
      <c r="J89" s="710">
        <f>H89/DAY(B2)</f>
        <v>-38.932258064516176</v>
      </c>
      <c r="K89" s="736"/>
      <c r="L89" s="737"/>
      <c r="N89" s="440">
        <f>H89-'1'!E89</f>
        <v>-64760.9</v>
      </c>
      <c r="O89" s="382"/>
    </row>
    <row r="90" spans="1:15" s="738" customFormat="1" ht="29.25">
      <c r="A90" s="733" t="s">
        <v>204</v>
      </c>
      <c r="B90" s="734"/>
      <c r="C90" s="734"/>
      <c r="D90" s="735" t="s">
        <v>183</v>
      </c>
      <c r="E90" s="455">
        <f>'30'!F90</f>
        <v>3272</v>
      </c>
      <c r="F90" s="650">
        <v>3270</v>
      </c>
      <c r="G90" s="708">
        <f t="shared" si="8"/>
        <v>-2</v>
      </c>
      <c r="H90" s="460">
        <f>G90+'30'!H90</f>
        <v>-2.4000000000000909</v>
      </c>
      <c r="I90" s="655"/>
      <c r="J90" s="710">
        <f>H90/DAY(B2)</f>
        <v>-7.7419354838712609E-2</v>
      </c>
      <c r="K90" s="736"/>
      <c r="L90" s="737"/>
      <c r="N90" s="440">
        <f>H90-'1'!E90</f>
        <v>-3272.4</v>
      </c>
      <c r="O90" s="382"/>
    </row>
    <row r="91" spans="1:15" s="379" customFormat="1" ht="29.25">
      <c r="A91" s="606" t="s">
        <v>205</v>
      </c>
      <c r="B91" s="1150"/>
      <c r="C91" s="1150"/>
      <c r="D91" s="472"/>
      <c r="E91" s="472"/>
      <c r="F91" s="472"/>
      <c r="G91" s="488"/>
      <c r="H91" s="472"/>
      <c r="I91" s="472"/>
      <c r="J91" s="551"/>
      <c r="K91" s="380"/>
      <c r="L91" s="378"/>
      <c r="N91" s="440">
        <f>H91-'1'!E91</f>
        <v>0</v>
      </c>
      <c r="O91" s="382"/>
    </row>
    <row r="92" spans="1:15" ht="27.75">
      <c r="A92" s="1520" t="s">
        <v>206</v>
      </c>
      <c r="B92" s="1521"/>
      <c r="C92" s="1522"/>
      <c r="D92" s="523" t="s">
        <v>144</v>
      </c>
      <c r="E92" s="455">
        <f>'30'!F92</f>
        <v>244524</v>
      </c>
      <c r="F92" s="484">
        <v>242646</v>
      </c>
      <c r="G92" s="473">
        <f t="shared" ref="G92:G93" si="9">F92-E92</f>
        <v>-1878</v>
      </c>
      <c r="H92" s="460">
        <f>G92+'30'!H92</f>
        <v>0</v>
      </c>
      <c r="I92" s="480"/>
      <c r="J92" s="552">
        <f>H92/DAY(B2)</f>
        <v>0</v>
      </c>
      <c r="K92" s="429"/>
      <c r="L92" s="377"/>
      <c r="N92" s="440">
        <f>H92-'1'!E92</f>
        <v>-242646</v>
      </c>
      <c r="O92" s="382"/>
    </row>
    <row r="93" spans="1:15" ht="27.75">
      <c r="A93" s="1520" t="s">
        <v>207</v>
      </c>
      <c r="B93" s="1521"/>
      <c r="C93" s="1522"/>
      <c r="D93" s="523" t="s">
        <v>144</v>
      </c>
      <c r="E93" s="455">
        <f>'30'!F93</f>
        <v>183531</v>
      </c>
      <c r="F93" s="484">
        <v>179679</v>
      </c>
      <c r="G93" s="473">
        <f t="shared" si="9"/>
        <v>-3852</v>
      </c>
      <c r="H93" s="460">
        <f>G93+'30'!H93</f>
        <v>0</v>
      </c>
      <c r="I93" s="480"/>
      <c r="J93" s="552">
        <f>H93/DAY(B2)</f>
        <v>0</v>
      </c>
      <c r="K93" s="380"/>
      <c r="L93" s="377"/>
      <c r="N93" s="440">
        <f>H93-'1'!E93</f>
        <v>-179679</v>
      </c>
      <c r="O93" s="382"/>
    </row>
    <row r="94" spans="1:15" ht="29.25">
      <c r="A94" s="1548" t="s">
        <v>208</v>
      </c>
      <c r="B94" s="1549"/>
      <c r="C94" s="1550"/>
      <c r="D94" s="523"/>
      <c r="E94" s="484"/>
      <c r="F94" s="484"/>
      <c r="G94" s="473">
        <f>G92+G93</f>
        <v>-5730</v>
      </c>
      <c r="H94" s="460">
        <f>G94+'30'!H94</f>
        <v>-219</v>
      </c>
      <c r="I94" s="480"/>
      <c r="J94" s="552">
        <f>H94/DAY(B2)</f>
        <v>-7.064516129032258</v>
      </c>
      <c r="K94" s="380"/>
      <c r="L94" s="377"/>
      <c r="N94" s="440">
        <f>H94-'1'!E94</f>
        <v>-219</v>
      </c>
      <c r="O94" s="382"/>
    </row>
    <row r="95" spans="1:15" ht="27.75">
      <c r="A95" s="1520" t="s">
        <v>209</v>
      </c>
      <c r="B95" s="1521"/>
      <c r="C95" s="1522"/>
      <c r="D95" s="523" t="s">
        <v>144</v>
      </c>
      <c r="E95" s="455">
        <f>'30'!F95</f>
        <v>412886</v>
      </c>
      <c r="F95" s="484">
        <v>410785</v>
      </c>
      <c r="G95" s="473">
        <f t="shared" ref="G95:G100" si="10">F95-E95</f>
        <v>-2101</v>
      </c>
      <c r="H95" s="460">
        <f>G95+'30'!H95</f>
        <v>0</v>
      </c>
      <c r="I95" s="480"/>
      <c r="J95" s="552">
        <f>H95/DAY(B2)</f>
        <v>0</v>
      </c>
      <c r="K95" s="380"/>
      <c r="L95" s="377"/>
      <c r="N95" s="440">
        <f>H95-'1'!E95</f>
        <v>-410785</v>
      </c>
      <c r="O95" s="382"/>
    </row>
    <row r="96" spans="1:15" ht="27.75">
      <c r="A96" s="1144" t="s">
        <v>210</v>
      </c>
      <c r="B96" s="1145"/>
      <c r="C96" s="1145"/>
      <c r="D96" s="523" t="s">
        <v>144</v>
      </c>
      <c r="E96" s="455">
        <f>'30'!F96</f>
        <v>102343</v>
      </c>
      <c r="F96" s="484">
        <v>101831</v>
      </c>
      <c r="G96" s="473">
        <f t="shared" si="10"/>
        <v>-512</v>
      </c>
      <c r="H96" s="460">
        <f>G96+'30'!H96</f>
        <v>0</v>
      </c>
      <c r="I96" s="480"/>
      <c r="J96" s="552">
        <f>H96/DAY(B2)</f>
        <v>0</v>
      </c>
      <c r="K96" s="427"/>
      <c r="L96" s="377"/>
      <c r="N96" s="440">
        <f>H96-'1'!E96</f>
        <v>-101831</v>
      </c>
      <c r="O96" s="382"/>
    </row>
    <row r="97" spans="1:15" ht="27.75">
      <c r="A97" s="1144" t="s">
        <v>211</v>
      </c>
      <c r="B97" s="1145"/>
      <c r="C97" s="1145"/>
      <c r="D97" s="523" t="s">
        <v>144</v>
      </c>
      <c r="E97" s="455">
        <f>'30'!F97</f>
        <v>97427</v>
      </c>
      <c r="F97" s="484">
        <v>96928</v>
      </c>
      <c r="G97" s="473">
        <f t="shared" si="10"/>
        <v>-499</v>
      </c>
      <c r="H97" s="460">
        <f>G97+'30'!H97</f>
        <v>0</v>
      </c>
      <c r="I97" s="480"/>
      <c r="J97" s="552">
        <f>H97/DAY(B2)</f>
        <v>0</v>
      </c>
      <c r="K97" s="432"/>
      <c r="L97" s="377"/>
      <c r="N97" s="440">
        <f>H97-'1'!E97</f>
        <v>-96928</v>
      </c>
      <c r="O97" s="382"/>
    </row>
    <row r="98" spans="1:15" ht="27.75">
      <c r="A98" s="1144" t="s">
        <v>212</v>
      </c>
      <c r="B98" s="1145"/>
      <c r="C98" s="1145"/>
      <c r="D98" s="523" t="s">
        <v>144</v>
      </c>
      <c r="E98" s="455">
        <f>'30'!F98</f>
        <v>149533</v>
      </c>
      <c r="F98" s="484">
        <v>148909</v>
      </c>
      <c r="G98" s="473">
        <f t="shared" si="10"/>
        <v>-624</v>
      </c>
      <c r="H98" s="460">
        <f>G98+'30'!H98</f>
        <v>0</v>
      </c>
      <c r="I98" s="480"/>
      <c r="J98" s="552">
        <f>H98/DAY(B2)</f>
        <v>0</v>
      </c>
      <c r="K98" s="380"/>
      <c r="L98" s="377"/>
      <c r="N98" s="440">
        <f>H98-'1'!E98</f>
        <v>-148909</v>
      </c>
      <c r="O98" s="382"/>
    </row>
    <row r="99" spans="1:15" ht="27.75">
      <c r="A99" s="1144" t="s">
        <v>213</v>
      </c>
      <c r="B99" s="1145"/>
      <c r="C99" s="1145"/>
      <c r="D99" s="523" t="s">
        <v>144</v>
      </c>
      <c r="E99" s="455">
        <f>'30'!F99</f>
        <v>7185</v>
      </c>
      <c r="F99" s="484">
        <v>6855</v>
      </c>
      <c r="G99" s="473">
        <f t="shared" si="10"/>
        <v>-330</v>
      </c>
      <c r="H99" s="460">
        <f>G99+'30'!H99</f>
        <v>0</v>
      </c>
      <c r="I99" s="480"/>
      <c r="J99" s="552">
        <f>H99/DAY(B2)</f>
        <v>0</v>
      </c>
      <c r="K99" s="380"/>
      <c r="L99" s="377"/>
      <c r="N99" s="440">
        <f>H99-'1'!E99</f>
        <v>-6855</v>
      </c>
      <c r="O99" s="382"/>
    </row>
    <row r="100" spans="1:15" ht="27.75">
      <c r="A100" s="1144" t="s">
        <v>214</v>
      </c>
      <c r="B100" s="1145"/>
      <c r="C100" s="1145"/>
      <c r="D100" s="523" t="s">
        <v>144</v>
      </c>
      <c r="E100" s="455">
        <f>'30'!F100</f>
        <v>5138</v>
      </c>
      <c r="F100" s="484">
        <v>4943</v>
      </c>
      <c r="G100" s="473">
        <f t="shared" si="10"/>
        <v>-195</v>
      </c>
      <c r="H100" s="460">
        <f>G100+'30'!H100</f>
        <v>0</v>
      </c>
      <c r="I100" s="480"/>
      <c r="J100" s="552">
        <f>H100/DAY(B2)</f>
        <v>0</v>
      </c>
      <c r="K100" s="380"/>
      <c r="L100" s="377"/>
      <c r="N100" s="440">
        <f>H100-'1'!E100</f>
        <v>-4943</v>
      </c>
      <c r="O100" s="382"/>
    </row>
    <row r="101" spans="1:15" ht="29.25">
      <c r="A101" s="1548" t="s">
        <v>216</v>
      </c>
      <c r="B101" s="1549"/>
      <c r="C101" s="1550"/>
      <c r="D101" s="524"/>
      <c r="E101" s="524"/>
      <c r="F101" s="524"/>
      <c r="G101" s="525">
        <f>SUM(G95:G100)</f>
        <v>-4261</v>
      </c>
      <c r="H101" s="460">
        <f>G101+'30'!H101</f>
        <v>0</v>
      </c>
      <c r="I101" s="526"/>
      <c r="J101" s="552">
        <f>H101/DAY(B2)</f>
        <v>0</v>
      </c>
      <c r="K101" s="380"/>
      <c r="L101" s="377"/>
      <c r="N101" s="440">
        <f>H101-'1'!E101</f>
        <v>0</v>
      </c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529"/>
      <c r="H102" s="530"/>
      <c r="I102" s="531"/>
      <c r="J102" s="557"/>
      <c r="N102" s="440">
        <f>H102-'1'!E102</f>
        <v>0</v>
      </c>
      <c r="O102" s="382"/>
    </row>
    <row r="103" spans="1:15" s="442" customFormat="1" ht="27.75">
      <c r="A103" s="1551" t="s">
        <v>218</v>
      </c>
      <c r="B103" s="1552"/>
      <c r="C103" s="573"/>
      <c r="D103" s="622"/>
      <c r="E103" s="532"/>
      <c r="F103" s="532"/>
      <c r="G103" s="532"/>
      <c r="H103" s="533"/>
      <c r="I103" s="532"/>
      <c r="J103" s="558"/>
      <c r="N103" s="440">
        <f>H103-'1'!E103</f>
        <v>0</v>
      </c>
      <c r="O103" s="382"/>
    </row>
    <row r="104" spans="1:15" s="442" customFormat="1" ht="27.75">
      <c r="A104" s="1512" t="s">
        <v>219</v>
      </c>
      <c r="B104" s="1513"/>
      <c r="C104" s="1142"/>
      <c r="D104" s="622" t="s">
        <v>144</v>
      </c>
      <c r="E104" s="532">
        <f>'30'!F104</f>
        <v>7431</v>
      </c>
      <c r="F104" s="532">
        <v>7325</v>
      </c>
      <c r="G104" s="532">
        <f>F104-E104</f>
        <v>-106</v>
      </c>
      <c r="H104" s="460">
        <f>G104+'30'!H104</f>
        <v>-47</v>
      </c>
      <c r="I104" s="532"/>
      <c r="J104" s="558">
        <f>H104/DAY(B2)</f>
        <v>-1.5161290322580645</v>
      </c>
      <c r="N104" s="440">
        <f>H104-'1'!E104</f>
        <v>-7372</v>
      </c>
      <c r="O104" s="382"/>
    </row>
    <row r="105" spans="1:15" s="442" customFormat="1" ht="27.75">
      <c r="A105" s="1512" t="s">
        <v>77</v>
      </c>
      <c r="B105" s="1513"/>
      <c r="C105" s="1142"/>
      <c r="D105" s="622" t="s">
        <v>144</v>
      </c>
      <c r="E105" s="532">
        <f>'30'!F105</f>
        <v>35828</v>
      </c>
      <c r="F105" s="534">
        <v>35656</v>
      </c>
      <c r="G105" s="532">
        <f t="shared" ref="G105:G106" si="11">F105-E105</f>
        <v>-172</v>
      </c>
      <c r="H105" s="460">
        <f>G105+'30'!H105</f>
        <v>-113</v>
      </c>
      <c r="I105" s="532"/>
      <c r="J105" s="558">
        <f>H105/DAY(B2)</f>
        <v>-3.6451612903225805</v>
      </c>
      <c r="N105" s="440">
        <f>H105-'1'!E105</f>
        <v>-35769</v>
      </c>
      <c r="O105" s="382"/>
    </row>
    <row r="106" spans="1:15" s="442" customFormat="1" ht="27.75">
      <c r="A106" s="1512" t="s">
        <v>78</v>
      </c>
      <c r="B106" s="1553"/>
      <c r="C106" s="1513"/>
      <c r="D106" s="622" t="s">
        <v>144</v>
      </c>
      <c r="E106" s="532">
        <f>'30'!F106</f>
        <v>19617</v>
      </c>
      <c r="F106" s="532">
        <v>19418</v>
      </c>
      <c r="G106" s="532">
        <f t="shared" si="11"/>
        <v>-199</v>
      </c>
      <c r="H106" s="460">
        <f>G106+'30'!H106</f>
        <v>206</v>
      </c>
      <c r="I106" s="532"/>
      <c r="J106" s="558">
        <f>H106/DAY(B2)</f>
        <v>6.645161290322581</v>
      </c>
      <c r="N106" s="440">
        <f>H106-'1'!E106</f>
        <v>-19212</v>
      </c>
      <c r="O106" s="382"/>
    </row>
    <row r="107" spans="1:15" s="442" customFormat="1" ht="27.75">
      <c r="A107" s="1514" t="s">
        <v>202</v>
      </c>
      <c r="B107" s="1515"/>
      <c r="C107" s="1142"/>
      <c r="D107" s="622"/>
      <c r="E107" s="532"/>
      <c r="F107" s="532"/>
      <c r="G107" s="532">
        <f>SUM(G104:G106)</f>
        <v>-477</v>
      </c>
      <c r="H107" s="460">
        <f>G107+'30'!H107</f>
        <v>-264</v>
      </c>
      <c r="I107" s="532"/>
      <c r="J107" s="558">
        <f>H107/DAY(B2)</f>
        <v>-8.5161290322580641</v>
      </c>
      <c r="N107" s="440">
        <f>H107-'1'!E107</f>
        <v>-264</v>
      </c>
      <c r="O107" s="382"/>
    </row>
    <row r="108" spans="1:15" s="442" customFormat="1" ht="27.75">
      <c r="A108" s="1518" t="s">
        <v>79</v>
      </c>
      <c r="B108" s="1519"/>
      <c r="C108" s="1142"/>
      <c r="D108" s="622" t="s">
        <v>144</v>
      </c>
      <c r="E108" s="532"/>
      <c r="F108" s="532"/>
      <c r="G108" s="532"/>
      <c r="H108" s="460">
        <f>G108+'30'!H108</f>
        <v>0</v>
      </c>
      <c r="I108" s="532"/>
      <c r="J108" s="558"/>
      <c r="N108" s="440">
        <f>H108-'1'!E108</f>
        <v>0</v>
      </c>
      <c r="O108" s="382"/>
    </row>
    <row r="109" spans="1:15" s="442" customFormat="1" ht="27.75">
      <c r="A109" s="1512" t="s">
        <v>220</v>
      </c>
      <c r="B109" s="1513"/>
      <c r="C109" s="1142"/>
      <c r="D109" s="622" t="s">
        <v>144</v>
      </c>
      <c r="E109" s="532">
        <f>'30'!F109</f>
        <v>61174</v>
      </c>
      <c r="F109" s="532">
        <v>58873</v>
      </c>
      <c r="G109" s="532">
        <f>F109-E109</f>
        <v>-2301</v>
      </c>
      <c r="H109" s="460">
        <f>G109+'30'!H109</f>
        <v>-1923</v>
      </c>
      <c r="I109" s="532"/>
      <c r="J109" s="558">
        <f>H109/DAY(B2)</f>
        <v>-62.032258064516128</v>
      </c>
      <c r="N109" s="440">
        <f>H109-'1'!E109</f>
        <v>-60796</v>
      </c>
      <c r="O109" s="382"/>
    </row>
    <row r="110" spans="1:15" s="442" customFormat="1" ht="27.75">
      <c r="A110" s="1512" t="s">
        <v>221</v>
      </c>
      <c r="B110" s="1513"/>
      <c r="C110" s="1142"/>
      <c r="D110" s="622" t="s">
        <v>144</v>
      </c>
      <c r="E110" s="532">
        <f>'30'!F110</f>
        <v>32235</v>
      </c>
      <c r="F110" s="532">
        <v>31646</v>
      </c>
      <c r="G110" s="532">
        <f t="shared" ref="G110:G111" si="12">F110-E110</f>
        <v>-589</v>
      </c>
      <c r="H110" s="460">
        <f>G110+'30'!H110</f>
        <v>-544</v>
      </c>
      <c r="I110" s="532"/>
      <c r="J110" s="558">
        <f>H110/DAY(B2)</f>
        <v>-17.548387096774192</v>
      </c>
      <c r="N110" s="440">
        <f>H110-'1'!E110</f>
        <v>-32190</v>
      </c>
      <c r="O110" s="382"/>
    </row>
    <row r="111" spans="1:15" s="442" customFormat="1" ht="27.75">
      <c r="A111" s="1512" t="s">
        <v>222</v>
      </c>
      <c r="B111" s="1513"/>
      <c r="C111" s="1142"/>
      <c r="D111" s="622" t="s">
        <v>144</v>
      </c>
      <c r="E111" s="532">
        <f>'30'!F111</f>
        <v>4368</v>
      </c>
      <c r="F111" s="532">
        <v>4156</v>
      </c>
      <c r="G111" s="532">
        <f t="shared" si="12"/>
        <v>-212</v>
      </c>
      <c r="H111" s="460">
        <f>G111+'30'!H111</f>
        <v>32</v>
      </c>
      <c r="I111" s="532"/>
      <c r="J111" s="558">
        <f>H111/DAY(B2)</f>
        <v>1.032258064516129</v>
      </c>
      <c r="N111" s="440">
        <f>H111-'1'!E111</f>
        <v>-4124</v>
      </c>
      <c r="O111" s="382"/>
    </row>
    <row r="112" spans="1:15" s="442" customFormat="1" ht="27.75">
      <c r="A112" s="1516" t="s">
        <v>110</v>
      </c>
      <c r="B112" s="1517"/>
      <c r="C112" s="1142"/>
      <c r="D112" s="622"/>
      <c r="E112" s="532"/>
      <c r="F112" s="532"/>
      <c r="G112" s="532">
        <f>SUM(G109:G111)</f>
        <v>-3102</v>
      </c>
      <c r="H112" s="460">
        <f>G112+'30'!H112</f>
        <v>-1980</v>
      </c>
      <c r="I112" s="532"/>
      <c r="J112" s="558">
        <f>H112/DAY(B2)</f>
        <v>-63.87096774193548</v>
      </c>
      <c r="N112" s="440">
        <f>H112-'1'!E112</f>
        <v>-1980</v>
      </c>
      <c r="O112" s="382"/>
    </row>
    <row r="113" spans="1:15" s="442" customFormat="1" ht="27.75">
      <c r="A113" s="1518" t="s">
        <v>223</v>
      </c>
      <c r="B113" s="1519"/>
      <c r="C113" s="1142"/>
      <c r="D113" s="622"/>
      <c r="E113" s="532"/>
      <c r="F113" s="532"/>
      <c r="G113" s="532"/>
      <c r="H113" s="460">
        <f>G113+'30'!H113</f>
        <v>0</v>
      </c>
      <c r="I113" s="532"/>
      <c r="J113" s="558">
        <f>H113/DAY(B2)</f>
        <v>0</v>
      </c>
      <c r="N113" s="440">
        <f>H113-'1'!E113</f>
        <v>0</v>
      </c>
      <c r="O113" s="382"/>
    </row>
    <row r="114" spans="1:15" s="442" customFormat="1" ht="27.75">
      <c r="A114" s="1512" t="s">
        <v>224</v>
      </c>
      <c r="B114" s="1513"/>
      <c r="C114" s="574"/>
      <c r="D114" s="622" t="s">
        <v>144</v>
      </c>
      <c r="E114" s="532">
        <f>'30'!F114</f>
        <v>11259</v>
      </c>
      <c r="F114" s="534">
        <v>10857</v>
      </c>
      <c r="G114" s="534">
        <f>F114-E114</f>
        <v>-402</v>
      </c>
      <c r="H114" s="460">
        <f>G114+'30'!H114</f>
        <v>-392</v>
      </c>
      <c r="I114" s="532"/>
      <c r="J114" s="558">
        <f>H114/DAY(B2)</f>
        <v>-12.64516129032258</v>
      </c>
      <c r="N114" s="440">
        <f>H114-'1'!E114</f>
        <v>-11249</v>
      </c>
      <c r="O114" s="382"/>
    </row>
    <row r="115" spans="1:15" s="442" customFormat="1" ht="27.75">
      <c r="A115" s="1512" t="s">
        <v>225</v>
      </c>
      <c r="B115" s="1513"/>
      <c r="C115" s="574"/>
      <c r="D115" s="622" t="s">
        <v>144</v>
      </c>
      <c r="E115" s="532">
        <f>'30'!F115</f>
        <v>8126</v>
      </c>
      <c r="F115" s="534">
        <v>7975</v>
      </c>
      <c r="G115" s="534">
        <f t="shared" ref="G115:G116" si="13">F115-E115</f>
        <v>-151</v>
      </c>
      <c r="H115" s="460">
        <f>G115+'30'!H115</f>
        <v>-54</v>
      </c>
      <c r="I115" s="532"/>
      <c r="J115" s="558">
        <f>H115/DAY(B2)</f>
        <v>-1.7419354838709677</v>
      </c>
      <c r="N115" s="440">
        <f>H115-'1'!E115</f>
        <v>-8029</v>
      </c>
      <c r="O115" s="382"/>
    </row>
    <row r="116" spans="1:15" s="442" customFormat="1" ht="27.75">
      <c r="A116" s="1512" t="s">
        <v>226</v>
      </c>
      <c r="B116" s="1513"/>
      <c r="C116" s="574"/>
      <c r="D116" s="622" t="s">
        <v>144</v>
      </c>
      <c r="E116" s="534"/>
      <c r="F116" s="534"/>
      <c r="G116" s="534">
        <f t="shared" si="13"/>
        <v>0</v>
      </c>
      <c r="H116" s="460">
        <f>G116+'30'!H116</f>
        <v>127</v>
      </c>
      <c r="I116" s="532"/>
      <c r="J116" s="558">
        <f>H116/DAY(B2)</f>
        <v>4.096774193548387</v>
      </c>
      <c r="N116" s="440">
        <f>H116-'1'!E116</f>
        <v>127</v>
      </c>
      <c r="O116" s="382"/>
    </row>
    <row r="117" spans="1:15" s="445" customFormat="1" ht="27.75">
      <c r="A117" s="1514" t="s">
        <v>202</v>
      </c>
      <c r="B117" s="1515"/>
      <c r="C117" s="574"/>
      <c r="D117" s="623"/>
      <c r="E117" s="534"/>
      <c r="F117" s="534"/>
      <c r="G117" s="534">
        <f>SUM(G114:G116)</f>
        <v>-553</v>
      </c>
      <c r="H117" s="460">
        <f>G117+'30'!H117</f>
        <v>-461</v>
      </c>
      <c r="I117" s="534"/>
      <c r="J117" s="558">
        <f>H117/DAY(B2)</f>
        <v>-14.870967741935484</v>
      </c>
      <c r="N117" s="440">
        <f>H117-'1'!E117</f>
        <v>-461</v>
      </c>
      <c r="O117" s="382"/>
    </row>
    <row r="118" spans="1:15" s="446" customFormat="1" ht="27.75">
      <c r="A118" s="1508" t="s">
        <v>227</v>
      </c>
      <c r="B118" s="1509"/>
      <c r="C118" s="1141"/>
      <c r="D118" s="624" t="s">
        <v>144</v>
      </c>
      <c r="E118" s="536"/>
      <c r="F118" s="536"/>
      <c r="G118" s="536">
        <f>SUM(G19+G92)</f>
        <v>-3600</v>
      </c>
      <c r="H118" s="460">
        <f>G118+'30'!H118</f>
        <v>-3401</v>
      </c>
      <c r="I118" s="535"/>
      <c r="J118" s="559">
        <f>H118/DAY(B2)</f>
        <v>-109.70967741935483</v>
      </c>
      <c r="N118" s="440">
        <f>H118-'1'!E118</f>
        <v>-3401</v>
      </c>
      <c r="O118" s="382"/>
    </row>
    <row r="119" spans="1:15" s="446" customFormat="1" ht="27.75">
      <c r="A119" s="1508" t="s">
        <v>228</v>
      </c>
      <c r="B119" s="1509"/>
      <c r="C119" s="1141"/>
      <c r="D119" s="624" t="s">
        <v>144</v>
      </c>
      <c r="E119" s="536"/>
      <c r="F119" s="536"/>
      <c r="G119" s="536">
        <f>SUM(G95,G96,G97,G99,G100)</f>
        <v>-3637</v>
      </c>
      <c r="H119" s="460">
        <f>G119+'30'!H119</f>
        <v>-3415</v>
      </c>
      <c r="I119" s="535"/>
      <c r="J119" s="559">
        <f>H119/DAY(B2)</f>
        <v>-110.16129032258064</v>
      </c>
      <c r="N119" s="440">
        <f>H119-'1'!E119</f>
        <v>-3415</v>
      </c>
      <c r="O119" s="382"/>
    </row>
    <row r="120" spans="1:15" s="446" customFormat="1" ht="27.75">
      <c r="A120" s="1508" t="s">
        <v>229</v>
      </c>
      <c r="B120" s="1509"/>
      <c r="C120" s="1141"/>
      <c r="D120" s="624" t="s">
        <v>144</v>
      </c>
      <c r="E120" s="534"/>
      <c r="F120" s="534"/>
      <c r="G120" s="534">
        <f>SUM(G112)</f>
        <v>-3102</v>
      </c>
      <c r="H120" s="460">
        <f>G120+'30'!H120</f>
        <v>-2889</v>
      </c>
      <c r="I120" s="535"/>
      <c r="J120" s="559">
        <f>H120/DAY(B2)</f>
        <v>-93.193548387096769</v>
      </c>
      <c r="N120" s="440">
        <f>H120-'1'!E120</f>
        <v>-2889</v>
      </c>
      <c r="O120" s="382"/>
    </row>
    <row r="121" spans="1:15" s="442" customFormat="1" ht="27.75">
      <c r="A121" s="1510"/>
      <c r="B121" s="1511"/>
      <c r="C121" s="1142"/>
      <c r="D121" s="560"/>
      <c r="E121" s="560" t="s">
        <v>215</v>
      </c>
      <c r="F121" s="560"/>
      <c r="G121" s="560"/>
      <c r="H121" s="561"/>
      <c r="I121" s="560"/>
      <c r="J121" s="562"/>
      <c r="N121" s="440">
        <f>H121-'1'!E121</f>
        <v>0</v>
      </c>
      <c r="O121" s="382"/>
    </row>
    <row r="122" spans="1:15" ht="29.25">
      <c r="A122" s="1545" t="s">
        <v>230</v>
      </c>
      <c r="B122" s="1546"/>
      <c r="C122" s="1547"/>
      <c r="D122" s="472"/>
      <c r="E122" s="472"/>
      <c r="F122" s="472"/>
      <c r="G122" s="483"/>
      <c r="H122" s="483"/>
      <c r="I122" s="483"/>
      <c r="J122" s="563"/>
      <c r="K122" s="380"/>
      <c r="L122" s="377"/>
      <c r="N122" s="440">
        <f>H122-'1'!E122</f>
        <v>0</v>
      </c>
      <c r="O122" s="382"/>
    </row>
    <row r="123" spans="1:15" ht="27.75">
      <c r="A123" s="1144" t="s">
        <v>231</v>
      </c>
      <c r="B123" s="1145"/>
      <c r="C123" s="1145"/>
      <c r="D123" s="523" t="s">
        <v>141</v>
      </c>
      <c r="E123" s="455">
        <f>'30'!F123</f>
        <v>826088.46</v>
      </c>
      <c r="F123" s="478">
        <v>818810</v>
      </c>
      <c r="G123" s="473">
        <f t="shared" ref="G123:G127" si="14">F123-E123</f>
        <v>-7278.4599999999627</v>
      </c>
      <c r="H123" s="460">
        <f>G123+'30'!H123</f>
        <v>0</v>
      </c>
      <c r="I123" s="526"/>
      <c r="J123" s="552">
        <f>H123/DAY(B2)</f>
        <v>0</v>
      </c>
      <c r="K123" s="380"/>
      <c r="L123" s="377"/>
      <c r="N123" s="440">
        <f>H123-'1'!E123</f>
        <v>-818810</v>
      </c>
      <c r="O123" s="382"/>
    </row>
    <row r="124" spans="1:15" ht="27.75">
      <c r="A124" s="1144" t="s">
        <v>232</v>
      </c>
      <c r="B124" s="1145"/>
      <c r="C124" s="1145"/>
      <c r="D124" s="523" t="s">
        <v>141</v>
      </c>
      <c r="E124" s="455">
        <f>'30'!F124</f>
        <v>73583.399999999994</v>
      </c>
      <c r="F124" s="626">
        <v>73583.399999999994</v>
      </c>
      <c r="G124" s="473">
        <f t="shared" si="14"/>
        <v>0</v>
      </c>
      <c r="H124" s="460">
        <f>G124+'30'!H124</f>
        <v>0</v>
      </c>
      <c r="I124" s="526"/>
      <c r="J124" s="552">
        <f>H124/DAY(B2)</f>
        <v>0</v>
      </c>
      <c r="K124" s="380"/>
      <c r="L124" s="377"/>
      <c r="N124" s="440">
        <f>H124-'1'!E124</f>
        <v>-73583.399999999994</v>
      </c>
      <c r="O124" s="382"/>
    </row>
    <row r="125" spans="1:15" ht="27.75">
      <c r="A125" s="1499" t="s">
        <v>233</v>
      </c>
      <c r="B125" s="1500"/>
      <c r="C125" s="1501"/>
      <c r="D125" s="523" t="s">
        <v>141</v>
      </c>
      <c r="E125" s="455">
        <f>'30'!F125</f>
        <v>144687.44</v>
      </c>
      <c r="F125" s="478">
        <v>142136</v>
      </c>
      <c r="G125" s="473">
        <f t="shared" si="14"/>
        <v>-2551.4400000000023</v>
      </c>
      <c r="H125" s="460">
        <f>G125+'30'!H125</f>
        <v>0</v>
      </c>
      <c r="I125" s="526"/>
      <c r="J125" s="552">
        <f>H125/DAY(B2)</f>
        <v>0</v>
      </c>
      <c r="K125" s="380"/>
      <c r="L125" s="377"/>
      <c r="N125" s="440">
        <f>H125-'1'!E125</f>
        <v>-142136</v>
      </c>
      <c r="O125" s="382"/>
    </row>
    <row r="126" spans="1:15" ht="27.75">
      <c r="A126" s="609" t="s">
        <v>234</v>
      </c>
      <c r="B126" s="1145"/>
      <c r="C126" s="1145"/>
      <c r="D126" s="523" t="s">
        <v>141</v>
      </c>
      <c r="E126" s="455">
        <f>'30'!F126</f>
        <v>31404</v>
      </c>
      <c r="F126" s="626">
        <v>59888</v>
      </c>
      <c r="G126" s="473">
        <f t="shared" si="14"/>
        <v>28484</v>
      </c>
      <c r="H126" s="460">
        <f>G126+'30'!H126</f>
        <v>28569.3</v>
      </c>
      <c r="I126" s="526"/>
      <c r="J126" s="552">
        <f>H126/DAY(B2)</f>
        <v>921.59032258064519</v>
      </c>
      <c r="K126" s="380"/>
      <c r="L126" s="377"/>
      <c r="N126" s="440">
        <f>H126-'1'!E126</f>
        <v>-31318.7</v>
      </c>
      <c r="O126" s="382"/>
    </row>
    <row r="127" spans="1:15" ht="27.75">
      <c r="A127" s="609" t="s">
        <v>235</v>
      </c>
      <c r="B127" s="1145"/>
      <c r="C127" s="1145"/>
      <c r="D127" s="523" t="s">
        <v>141</v>
      </c>
      <c r="E127" s="455">
        <f>'30'!F127</f>
        <v>8969.7000000000007</v>
      </c>
      <c r="F127" s="626">
        <v>8962</v>
      </c>
      <c r="G127" s="473">
        <f t="shared" si="14"/>
        <v>-7.7000000000007276</v>
      </c>
      <c r="H127" s="460">
        <f>G127+'30'!H127</f>
        <v>0</v>
      </c>
      <c r="I127" s="480"/>
      <c r="J127" s="552">
        <f>H127/DAY(B2)</f>
        <v>0</v>
      </c>
      <c r="K127" s="380"/>
      <c r="L127" s="377"/>
      <c r="N127" s="440">
        <f>H127-'1'!E127</f>
        <v>-8962</v>
      </c>
      <c r="O127" s="382"/>
    </row>
    <row r="128" spans="1:15" s="281" customFormat="1" ht="27.75">
      <c r="A128" s="609" t="s">
        <v>236</v>
      </c>
      <c r="B128" s="1145"/>
      <c r="C128" s="1145"/>
      <c r="D128" s="523"/>
      <c r="E128" s="478"/>
      <c r="F128" s="478"/>
      <c r="G128" s="473">
        <f>G15-SUM(G123:G127)</f>
        <v>-42614.400000000038</v>
      </c>
      <c r="H128" s="460">
        <f>G128+'30'!H128</f>
        <v>-42614.400000000038</v>
      </c>
      <c r="I128" s="480"/>
      <c r="J128" s="552"/>
      <c r="K128" s="364"/>
      <c r="L128" s="292"/>
      <c r="N128" s="440">
        <f>H128-'1'!E128</f>
        <v>-42614.400000000038</v>
      </c>
      <c r="O128" s="382"/>
    </row>
    <row r="129" spans="1:15" ht="29.2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382"/>
    </row>
    <row r="130" spans="1:15" ht="27.75">
      <c r="A130" s="1144" t="s">
        <v>238</v>
      </c>
      <c r="B130" s="1145"/>
      <c r="C130" s="1145"/>
      <c r="D130" s="523" t="s">
        <v>239</v>
      </c>
      <c r="E130" s="455">
        <f>'30'!F130</f>
        <v>0</v>
      </c>
      <c r="F130" s="484"/>
      <c r="G130" s="473">
        <f t="shared" ref="G130:G140" si="15">F130-E130</f>
        <v>0</v>
      </c>
      <c r="H130" s="460">
        <f>G130+'30'!H130</f>
        <v>0</v>
      </c>
      <c r="I130" s="480"/>
      <c r="J130" s="552">
        <f>H130/DAY(B2)</f>
        <v>0</v>
      </c>
      <c r="O130" s="382"/>
    </row>
    <row r="131" spans="1:15" ht="27.75">
      <c r="A131" s="1144" t="s">
        <v>240</v>
      </c>
      <c r="B131" s="1145"/>
      <c r="C131" s="1145"/>
      <c r="D131" s="523" t="s">
        <v>239</v>
      </c>
      <c r="E131" s="455">
        <f>'30'!F131</f>
        <v>0</v>
      </c>
      <c r="F131" s="484"/>
      <c r="G131" s="473">
        <f t="shared" si="15"/>
        <v>0</v>
      </c>
      <c r="H131" s="460">
        <f>G131+'30'!H131</f>
        <v>0</v>
      </c>
      <c r="I131" s="480"/>
      <c r="J131" s="552">
        <f>H131/DAY(B2)</f>
        <v>0</v>
      </c>
      <c r="O131" s="382"/>
    </row>
    <row r="132" spans="1:15" ht="27.75">
      <c r="A132" s="1144" t="s">
        <v>241</v>
      </c>
      <c r="B132" s="1145"/>
      <c r="C132" s="1145"/>
      <c r="D132" s="523" t="s">
        <v>239</v>
      </c>
      <c r="E132" s="455">
        <f>'30'!F132</f>
        <v>39746.480000000003</v>
      </c>
      <c r="F132" s="541">
        <v>39533</v>
      </c>
      <c r="G132" s="473">
        <f t="shared" si="15"/>
        <v>-213.4800000000032</v>
      </c>
      <c r="H132" s="460">
        <f>G132+'30'!H132</f>
        <v>0</v>
      </c>
      <c r="I132" s="480"/>
      <c r="J132" s="552">
        <f>H132/DAY(B2)</f>
        <v>0</v>
      </c>
      <c r="O132" s="382"/>
    </row>
    <row r="133" spans="1:15" ht="27.75">
      <c r="A133" s="1144" t="s">
        <v>242</v>
      </c>
      <c r="B133" s="1145"/>
      <c r="C133" s="1145"/>
      <c r="D133" s="523" t="s">
        <v>239</v>
      </c>
      <c r="E133" s="455">
        <f>'30'!F133</f>
        <v>300</v>
      </c>
      <c r="F133" s="541">
        <v>300</v>
      </c>
      <c r="G133" s="473">
        <f t="shared" si="15"/>
        <v>0</v>
      </c>
      <c r="H133" s="460">
        <f>G133+'30'!H133</f>
        <v>0</v>
      </c>
      <c r="I133" s="480">
        <f>G130+G131+G132+G133</f>
        <v>-213.4800000000032</v>
      </c>
      <c r="J133" s="552">
        <f>H133/DAY(B2)</f>
        <v>0</v>
      </c>
      <c r="O133" s="382"/>
    </row>
    <row r="134" spans="1:15" ht="27.75">
      <c r="A134" s="1144" t="s">
        <v>243</v>
      </c>
      <c r="B134" s="1145"/>
      <c r="C134" s="1145"/>
      <c r="D134" s="523" t="s">
        <v>239</v>
      </c>
      <c r="E134" s="455">
        <f>'30'!F134</f>
        <v>41385</v>
      </c>
      <c r="F134" s="541">
        <v>40839</v>
      </c>
      <c r="G134" s="473">
        <f t="shared" si="15"/>
        <v>-546</v>
      </c>
      <c r="H134" s="460">
        <f>G134+'30'!H134</f>
        <v>-432</v>
      </c>
      <c r="I134" s="480"/>
      <c r="J134" s="552">
        <f>H134/DAY(B2)</f>
        <v>-13.935483870967742</v>
      </c>
      <c r="O134" s="382"/>
    </row>
    <row r="135" spans="1:15" ht="27.75">
      <c r="A135" s="1144" t="s">
        <v>244</v>
      </c>
      <c r="B135" s="1145"/>
      <c r="C135" s="1145"/>
      <c r="D135" s="523" t="s">
        <v>239</v>
      </c>
      <c r="E135" s="455">
        <f>'30'!F135</f>
        <v>32583</v>
      </c>
      <c r="F135" s="541">
        <v>32583</v>
      </c>
      <c r="G135" s="473">
        <f t="shared" si="15"/>
        <v>0</v>
      </c>
      <c r="H135" s="460">
        <f>G135+'30'!H135</f>
        <v>13.069999999999709</v>
      </c>
      <c r="I135" s="480"/>
      <c r="J135" s="552">
        <f>H135/DAY(B2)</f>
        <v>0.42161290322579709</v>
      </c>
      <c r="O135" s="382"/>
    </row>
    <row r="136" spans="1:15" ht="27.75">
      <c r="A136" s="1144" t="s">
        <v>245</v>
      </c>
      <c r="B136" s="1145"/>
      <c r="C136" s="1145"/>
      <c r="D136" s="523" t="s">
        <v>239</v>
      </c>
      <c r="E136" s="455">
        <f>'30'!F136</f>
        <v>22739.59</v>
      </c>
      <c r="F136" s="541">
        <v>22488.65</v>
      </c>
      <c r="G136" s="473">
        <f t="shared" si="15"/>
        <v>-250.93999999999869</v>
      </c>
      <c r="H136" s="460">
        <f>G136+'30'!H136</f>
        <v>0</v>
      </c>
      <c r="I136" s="480">
        <f>G134+G135+G136</f>
        <v>-796.93999999999869</v>
      </c>
      <c r="J136" s="552">
        <f>H136/DAY(B2)</f>
        <v>0</v>
      </c>
      <c r="O136" s="382"/>
    </row>
    <row r="137" spans="1:15" ht="27.75">
      <c r="A137" s="1144" t="s">
        <v>246</v>
      </c>
      <c r="B137" s="1145"/>
      <c r="C137" s="1145"/>
      <c r="D137" s="523" t="s">
        <v>239</v>
      </c>
      <c r="E137" s="455">
        <f>'30'!F137</f>
        <v>25051.59</v>
      </c>
      <c r="F137" s="541">
        <v>25048.79</v>
      </c>
      <c r="G137" s="473">
        <f t="shared" si="15"/>
        <v>-2.7999999999992724</v>
      </c>
      <c r="H137" s="460">
        <f>G137+'30'!H137</f>
        <v>5.2999999999992724</v>
      </c>
      <c r="I137" s="480"/>
      <c r="J137" s="552">
        <f>H137/DAY(B2)</f>
        <v>0.17096774193546041</v>
      </c>
      <c r="O137" s="382"/>
    </row>
    <row r="138" spans="1:15" ht="27.75">
      <c r="A138" s="1144" t="s">
        <v>247</v>
      </c>
      <c r="B138" s="1145"/>
      <c r="C138" s="1145"/>
      <c r="D138" s="523" t="s">
        <v>239</v>
      </c>
      <c r="E138" s="455">
        <f>'30'!F138</f>
        <v>70315.81</v>
      </c>
      <c r="F138" s="541">
        <v>70254.03</v>
      </c>
      <c r="G138" s="473">
        <f t="shared" si="15"/>
        <v>-61.779999999998836</v>
      </c>
      <c r="H138" s="460">
        <f>G138+'30'!H138</f>
        <v>-26.19999999999709</v>
      </c>
      <c r="I138" s="480">
        <f>G137+G138</f>
        <v>-64.579999999998108</v>
      </c>
      <c r="J138" s="552">
        <f>H138/DAY(B2)</f>
        <v>-0.84516129032248677</v>
      </c>
      <c r="O138" s="382"/>
    </row>
    <row r="139" spans="1:15" ht="27.75">
      <c r="A139" s="1144" t="s">
        <v>248</v>
      </c>
      <c r="B139" s="1145"/>
      <c r="C139" s="1145"/>
      <c r="D139" s="523" t="s">
        <v>239</v>
      </c>
      <c r="E139" s="455">
        <f>'30'!F139</f>
        <v>1616.86</v>
      </c>
      <c r="F139" s="484">
        <v>1536.52</v>
      </c>
      <c r="G139" s="473">
        <f t="shared" si="15"/>
        <v>-80.339999999999918</v>
      </c>
      <c r="H139" s="460">
        <f>G139+'30'!H139</f>
        <v>0</v>
      </c>
      <c r="I139" s="542"/>
      <c r="J139" s="552">
        <f>H139/DAY(B2)</f>
        <v>0</v>
      </c>
      <c r="O139" s="382"/>
    </row>
    <row r="140" spans="1:15" ht="27.75">
      <c r="A140" s="1144" t="s">
        <v>249</v>
      </c>
      <c r="B140" s="1145"/>
      <c r="C140" s="1145"/>
      <c r="D140" s="523" t="s">
        <v>239</v>
      </c>
      <c r="E140" s="455">
        <f>'30'!F140</f>
        <v>4637</v>
      </c>
      <c r="F140" s="484">
        <v>4468.54</v>
      </c>
      <c r="G140" s="473">
        <f t="shared" si="15"/>
        <v>-168.46000000000004</v>
      </c>
      <c r="H140" s="460">
        <f>G140+'30'!H140</f>
        <v>0</v>
      </c>
      <c r="I140" s="542"/>
      <c r="J140" s="552">
        <f>H140/DAY(B2)</f>
        <v>0</v>
      </c>
      <c r="O140" s="382"/>
    </row>
    <row r="141" spans="1:15" ht="29.25">
      <c r="A141" s="1526" t="s">
        <v>250</v>
      </c>
      <c r="B141" s="1527"/>
      <c r="C141" s="1150"/>
      <c r="D141" s="472"/>
      <c r="E141" s="472"/>
      <c r="F141" s="472"/>
      <c r="G141" s="483"/>
      <c r="H141" s="483"/>
      <c r="I141" s="483"/>
      <c r="J141" s="563"/>
      <c r="K141" s="380"/>
      <c r="L141" s="377"/>
      <c r="O141" s="382"/>
    </row>
    <row r="142" spans="1:15" ht="27.75">
      <c r="A142" s="1520" t="s">
        <v>251</v>
      </c>
      <c r="B142" s="1521"/>
      <c r="C142" s="1522"/>
      <c r="D142" s="523" t="s">
        <v>132</v>
      </c>
      <c r="E142" s="523"/>
      <c r="F142" s="523"/>
      <c r="G142" s="460">
        <f>G35+G43+G49+G57</f>
        <v>-159980.13</v>
      </c>
      <c r="H142" s="460">
        <f>G142+'30'!H142</f>
        <v>-1610</v>
      </c>
      <c r="I142" s="480"/>
      <c r="J142" s="552">
        <f>H142/DAY(B2)</f>
        <v>-51.935483870967744</v>
      </c>
      <c r="K142" s="380"/>
      <c r="L142" s="377"/>
      <c r="O142" s="382"/>
    </row>
    <row r="143" spans="1:15" ht="27.75">
      <c r="A143" s="1520" t="s">
        <v>252</v>
      </c>
      <c r="B143" s="1521"/>
      <c r="C143" s="1522"/>
      <c r="D143" s="523" t="s">
        <v>24</v>
      </c>
      <c r="E143" s="511"/>
      <c r="F143" s="511"/>
      <c r="G143" s="543">
        <f>G142/G7</f>
        <v>0.26076205766817168</v>
      </c>
      <c r="H143" s="460">
        <f>G143+'30'!H143</f>
        <v>8.0011983846795793</v>
      </c>
      <c r="I143" s="544"/>
      <c r="J143" s="552">
        <f>H143/DAY(B2)</f>
        <v>0.25810317369934127</v>
      </c>
      <c r="K143" s="380"/>
      <c r="L143" s="377"/>
      <c r="O143" s="382"/>
    </row>
    <row r="144" spans="1:15" ht="27.75">
      <c r="A144" s="1520" t="s">
        <v>253</v>
      </c>
      <c r="B144" s="1521"/>
      <c r="C144" s="1522"/>
      <c r="D144" s="523" t="s">
        <v>132</v>
      </c>
      <c r="E144" s="455"/>
      <c r="F144" s="455"/>
      <c r="G144" s="460">
        <f>G41+G42+G55+G56</f>
        <v>-179609.30999999997</v>
      </c>
      <c r="H144" s="460">
        <f>G144+'30'!H144</f>
        <v>0</v>
      </c>
      <c r="I144" s="480"/>
      <c r="J144" s="552">
        <f>H144/DAY(B2)</f>
        <v>0</v>
      </c>
      <c r="K144" s="380"/>
      <c r="L144" s="377"/>
      <c r="O144" s="382"/>
    </row>
    <row r="145" spans="1:15" ht="27.75">
      <c r="A145" s="1520" t="s">
        <v>254</v>
      </c>
      <c r="B145" s="1521"/>
      <c r="C145" s="1522"/>
      <c r="D145" s="523" t="s">
        <v>24</v>
      </c>
      <c r="E145" s="455"/>
      <c r="F145" s="455"/>
      <c r="G145" s="543">
        <f>G144/G7</f>
        <v>0.29275693957718696</v>
      </c>
      <c r="H145" s="460">
        <f>G145+'30'!H145</f>
        <v>9.0847203740222238</v>
      </c>
      <c r="I145" s="544"/>
      <c r="J145" s="552">
        <f>H145/DAY(B2)</f>
        <v>0.29305549593620078</v>
      </c>
      <c r="K145" s="380"/>
      <c r="L145" s="377"/>
      <c r="O145" s="382"/>
    </row>
    <row r="146" spans="1:15" ht="27.75">
      <c r="A146" s="1520" t="s">
        <v>255</v>
      </c>
      <c r="B146" s="1521"/>
      <c r="C146" s="1522"/>
      <c r="D146" s="523" t="s">
        <v>132</v>
      </c>
      <c r="E146" s="455"/>
      <c r="F146" s="455"/>
      <c r="G146" s="460">
        <f>G39+G53</f>
        <v>-108878</v>
      </c>
      <c r="H146" s="460">
        <f>G146+'30'!H146</f>
        <v>-2346</v>
      </c>
      <c r="I146" s="545"/>
      <c r="J146" s="552">
        <f>H146/DAY(B2)</f>
        <v>-75.677419354838705</v>
      </c>
      <c r="K146" s="380"/>
      <c r="L146" s="377"/>
      <c r="O146" s="382"/>
    </row>
    <row r="147" spans="1:15" ht="27.75">
      <c r="A147" s="1520" t="s">
        <v>256</v>
      </c>
      <c r="B147" s="1521"/>
      <c r="C147" s="1522"/>
      <c r="D147" s="523" t="s">
        <v>24</v>
      </c>
      <c r="E147" s="455"/>
      <c r="F147" s="455"/>
      <c r="G147" s="543">
        <f>G146/G7</f>
        <v>0.17746735994523316</v>
      </c>
      <c r="H147" s="460">
        <f>G147+'30'!H147</f>
        <v>5.3739986558485962</v>
      </c>
      <c r="I147" s="545"/>
      <c r="J147" s="552">
        <f>H147/DAY(B2)</f>
        <v>0.17335479534995471</v>
      </c>
      <c r="O147" s="382"/>
    </row>
    <row r="148" spans="1:15" ht="27.75">
      <c r="A148" s="1520" t="s">
        <v>257</v>
      </c>
      <c r="B148" s="1521"/>
      <c r="C148" s="1522"/>
      <c r="D148" s="523" t="s">
        <v>183</v>
      </c>
      <c r="E148" s="455"/>
      <c r="F148" s="455"/>
      <c r="G148" s="460">
        <f>G38+G52</f>
        <v>1895</v>
      </c>
      <c r="H148" s="460">
        <f>G148+'30'!H148</f>
        <v>49181</v>
      </c>
      <c r="I148" s="480"/>
      <c r="J148" s="552">
        <f>H148/DAY(B2)</f>
        <v>1586.483870967742</v>
      </c>
      <c r="K148" s="381"/>
      <c r="O148" s="382"/>
    </row>
    <row r="149" spans="1:15" ht="27.75">
      <c r="A149" s="1520" t="s">
        <v>258</v>
      </c>
      <c r="B149" s="1521"/>
      <c r="C149" s="1522"/>
      <c r="D149" s="523" t="s">
        <v>24</v>
      </c>
      <c r="E149" s="455"/>
      <c r="F149" s="455"/>
      <c r="G149" s="543">
        <f>G148/G7</f>
        <v>-3.0887842088963505E-3</v>
      </c>
      <c r="H149" s="460">
        <f>G149+'30'!H149</f>
        <v>2.3089784732977767</v>
      </c>
      <c r="I149" s="545"/>
      <c r="J149" s="552">
        <f>H149/DAY(B2)</f>
        <v>7.4483176557992803E-2</v>
      </c>
      <c r="O149" s="382"/>
    </row>
    <row r="150" spans="1:15" ht="27.75">
      <c r="A150" s="1520" t="s">
        <v>259</v>
      </c>
      <c r="B150" s="1521"/>
      <c r="C150" s="1522"/>
      <c r="D150" s="523" t="s">
        <v>183</v>
      </c>
      <c r="E150" s="455"/>
      <c r="F150" s="455"/>
      <c r="G150" s="460">
        <f>G36+G50</f>
        <v>-60476</v>
      </c>
      <c r="H150" s="460">
        <f>G150+'30'!H150</f>
        <v>0</v>
      </c>
      <c r="I150" s="545"/>
      <c r="J150" s="552">
        <f>H150/DAY(B2)</f>
        <v>0</v>
      </c>
      <c r="O150" s="382"/>
    </row>
    <row r="151" spans="1:15" ht="27.75">
      <c r="A151" s="1520" t="s">
        <v>260</v>
      </c>
      <c r="B151" s="1521"/>
      <c r="C151" s="1522"/>
      <c r="D151" s="523" t="s">
        <v>24</v>
      </c>
      <c r="E151" s="455"/>
      <c r="F151" s="455"/>
      <c r="G151" s="543">
        <f>G150/G7</f>
        <v>9.8573780378477943E-2</v>
      </c>
      <c r="H151" s="460">
        <f>G151+'30'!H151</f>
        <v>3.0525312351785634</v>
      </c>
      <c r="I151" s="480"/>
      <c r="J151" s="552">
        <f>H151/DAY(B2)</f>
        <v>9.8468749521889137E-2</v>
      </c>
      <c r="O151" s="382"/>
    </row>
    <row r="152" spans="1:15" ht="27.75">
      <c r="A152" s="1520" t="s">
        <v>261</v>
      </c>
      <c r="B152" s="1521"/>
      <c r="C152" s="1522"/>
      <c r="D152" s="523" t="s">
        <v>183</v>
      </c>
      <c r="E152" s="455"/>
      <c r="F152" s="455"/>
      <c r="G152" s="460">
        <f>G37+G51</f>
        <v>-40428</v>
      </c>
      <c r="H152" s="460">
        <f>G152+'30'!H152</f>
        <v>0</v>
      </c>
      <c r="I152" s="480"/>
      <c r="J152" s="552">
        <f>H152/DAY(B2)</f>
        <v>0</v>
      </c>
      <c r="O152" s="382"/>
    </row>
    <row r="153" spans="1:15" ht="28.5" thickBot="1">
      <c r="A153" s="1523" t="s">
        <v>262</v>
      </c>
      <c r="B153" s="1524"/>
      <c r="C153" s="1525"/>
      <c r="D153" s="625" t="s">
        <v>24</v>
      </c>
      <c r="E153" s="565"/>
      <c r="F153" s="565"/>
      <c r="G153" s="566">
        <f>G152/G7</f>
        <v>6.5896236410164469E-2</v>
      </c>
      <c r="H153" s="460">
        <f>G153+'30'!H153</f>
        <v>2.0480057059730363</v>
      </c>
      <c r="I153" s="568"/>
      <c r="J153" s="569">
        <f>H153/DAY(B2)</f>
        <v>6.6064700192678585E-2</v>
      </c>
      <c r="O153" s="382"/>
    </row>
    <row r="154" spans="1:15" ht="29.25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O154" s="382"/>
    </row>
    <row r="155" spans="1:15" ht="29.25"/>
    <row r="156" spans="1:15" ht="29.25"/>
    <row r="157" spans="1:15" ht="29.25"/>
    <row r="158" spans="1:15" ht="29.25"/>
    <row r="159" spans="1:15" ht="29.25"/>
    <row r="160" spans="1:15" ht="29.25">
      <c r="A160" s="788" t="s">
        <v>263</v>
      </c>
      <c r="B160" s="789"/>
      <c r="C160" s="789"/>
      <c r="D160" s="511" t="s">
        <v>187</v>
      </c>
      <c r="E160" s="455">
        <f>'30'!F160</f>
        <v>35932</v>
      </c>
      <c r="F160" s="661">
        <v>33432</v>
      </c>
      <c r="G160" s="473">
        <f t="shared" ref="G160:G163" si="16">F160-E160</f>
        <v>-2500</v>
      </c>
    </row>
    <row r="161" spans="1:7" ht="29.25">
      <c r="A161" s="788" t="s">
        <v>264</v>
      </c>
      <c r="B161" s="789"/>
      <c r="C161" s="789"/>
      <c r="D161" s="511" t="s">
        <v>187</v>
      </c>
      <c r="E161" s="455">
        <f>'30'!F161</f>
        <v>82358</v>
      </c>
      <c r="F161" s="661">
        <v>68638</v>
      </c>
      <c r="G161" s="473">
        <f t="shared" si="16"/>
        <v>-13720</v>
      </c>
    </row>
    <row r="162" spans="1:7" ht="29.25">
      <c r="A162" s="788" t="s">
        <v>265</v>
      </c>
      <c r="B162" s="789"/>
      <c r="C162" s="789"/>
      <c r="D162" s="511" t="s">
        <v>187</v>
      </c>
      <c r="E162" s="455">
        <f>'30'!F162</f>
        <v>38300</v>
      </c>
      <c r="F162" s="661">
        <v>29319</v>
      </c>
      <c r="G162" s="473">
        <f t="shared" si="16"/>
        <v>-8981</v>
      </c>
    </row>
    <row r="163" spans="1:7" ht="29.25">
      <c r="A163" s="788" t="s">
        <v>266</v>
      </c>
      <c r="B163" s="789"/>
      <c r="C163" s="789"/>
      <c r="D163" s="511" t="s">
        <v>187</v>
      </c>
      <c r="E163" s="455">
        <f>'30'!F163</f>
        <v>6219</v>
      </c>
      <c r="F163" s="661">
        <v>5790</v>
      </c>
      <c r="G163" s="473">
        <f t="shared" si="16"/>
        <v>-429</v>
      </c>
    </row>
    <row r="164" spans="1:7" ht="29.25">
      <c r="A164" s="790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</row>
    <row r="165" spans="1:7" ht="29.25">
      <c r="A165" s="790" t="s">
        <v>188</v>
      </c>
      <c r="B165" s="604"/>
      <c r="C165" s="604"/>
      <c r="D165" s="511" t="s">
        <v>187</v>
      </c>
      <c r="E165" s="514">
        <f t="shared" ref="E165:E171" si="18">E63</f>
        <v>2359</v>
      </c>
      <c r="F165" s="514">
        <f t="shared" ref="F165:F171" si="19">F63</f>
        <v>2096</v>
      </c>
      <c r="G165" s="473">
        <f t="shared" si="17"/>
        <v>-263</v>
      </c>
    </row>
    <row r="166" spans="1:7" ht="27.75">
      <c r="A166" s="1495" t="s">
        <v>99</v>
      </c>
      <c r="B166" s="1495"/>
      <c r="C166" s="1495"/>
      <c r="D166" s="523" t="s">
        <v>187</v>
      </c>
      <c r="E166" s="514">
        <f t="shared" si="18"/>
        <v>153299</v>
      </c>
      <c r="F166" s="514">
        <f t="shared" si="19"/>
        <v>139180</v>
      </c>
      <c r="G166" s="473">
        <f t="shared" si="17"/>
        <v>-14119</v>
      </c>
    </row>
    <row r="167" spans="1:7" ht="27.75">
      <c r="A167" s="1495" t="s">
        <v>100</v>
      </c>
      <c r="B167" s="1495"/>
      <c r="C167" s="1495"/>
      <c r="D167" s="523" t="s">
        <v>187</v>
      </c>
      <c r="E167" s="514">
        <f t="shared" si="18"/>
        <v>154599</v>
      </c>
      <c r="F167" s="514">
        <f t="shared" si="19"/>
        <v>144205</v>
      </c>
      <c r="G167" s="473">
        <f t="shared" si="17"/>
        <v>-10394</v>
      </c>
    </row>
    <row r="168" spans="1:7" ht="27.75">
      <c r="A168" s="1495" t="s">
        <v>101</v>
      </c>
      <c r="B168" s="1495"/>
      <c r="C168" s="1495"/>
      <c r="D168" s="523" t="s">
        <v>187</v>
      </c>
      <c r="E168" s="514">
        <f t="shared" si="18"/>
        <v>48571</v>
      </c>
      <c r="F168" s="514">
        <f t="shared" si="19"/>
        <v>37208</v>
      </c>
      <c r="G168" s="473">
        <f t="shared" si="17"/>
        <v>-11363</v>
      </c>
    </row>
    <row r="169" spans="1:7" ht="27.75">
      <c r="A169" s="1495" t="s">
        <v>102</v>
      </c>
      <c r="B169" s="1495"/>
      <c r="C169" s="1495"/>
      <c r="D169" s="523" t="s">
        <v>187</v>
      </c>
      <c r="E169" s="514">
        <f t="shared" si="18"/>
        <v>243174</v>
      </c>
      <c r="F169" s="514">
        <f t="shared" si="19"/>
        <v>229100</v>
      </c>
      <c r="G169" s="473">
        <f t="shared" si="17"/>
        <v>-14074</v>
      </c>
    </row>
    <row r="170" spans="1:7" ht="27.75">
      <c r="A170" s="1495" t="s">
        <v>103</v>
      </c>
      <c r="B170" s="1495"/>
      <c r="C170" s="1495"/>
      <c r="D170" s="523" t="s">
        <v>187</v>
      </c>
      <c r="E170" s="514">
        <f t="shared" si="18"/>
        <v>85321</v>
      </c>
      <c r="F170" s="514">
        <f t="shared" si="19"/>
        <v>83087</v>
      </c>
      <c r="G170" s="473">
        <f t="shared" si="17"/>
        <v>-2234</v>
      </c>
    </row>
    <row r="171" spans="1:7" ht="27.75">
      <c r="A171" s="1495" t="s">
        <v>104</v>
      </c>
      <c r="B171" s="1495"/>
      <c r="C171" s="1495"/>
      <c r="D171" s="523" t="s">
        <v>187</v>
      </c>
      <c r="E171" s="514">
        <f t="shared" si="18"/>
        <v>78994</v>
      </c>
      <c r="F171" s="514">
        <f t="shared" si="19"/>
        <v>74329</v>
      </c>
      <c r="G171" s="473">
        <f t="shared" si="17"/>
        <v>-4665</v>
      </c>
    </row>
    <row r="172" spans="1:7" ht="29.25">
      <c r="G172" s="539">
        <f>SUM(G160:G171)</f>
        <v>-82742</v>
      </c>
    </row>
    <row r="173" spans="1:7" ht="29.25"/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</sheetData>
  <mergeCells count="74"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81:C81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476"/>
      <c r="B1" s="1476"/>
      <c r="C1" s="1476"/>
      <c r="D1" s="1476"/>
      <c r="E1" s="1476"/>
      <c r="F1" s="1476"/>
      <c r="G1" s="1476"/>
      <c r="H1" s="1476"/>
      <c r="I1" s="1476"/>
      <c r="J1" s="1476"/>
      <c r="K1" s="1476"/>
      <c r="L1" s="1476"/>
      <c r="M1" s="1476"/>
      <c r="N1" s="1476"/>
      <c r="O1" s="1476"/>
    </row>
    <row r="2" spans="1:15" ht="28.5" customHeight="1">
      <c r="A2" s="1" t="s">
        <v>0</v>
      </c>
      <c r="B2" s="1" t="s">
        <v>0</v>
      </c>
      <c r="C2" s="1118" t="s">
        <v>1</v>
      </c>
      <c r="D2" s="4" t="s">
        <v>4</v>
      </c>
      <c r="E2" s="1478" t="s">
        <v>7</v>
      </c>
      <c r="F2" s="1478"/>
      <c r="G2" s="1478"/>
      <c r="H2" s="1484" t="s">
        <v>15</v>
      </c>
      <c r="I2" s="1484"/>
      <c r="J2" s="1484"/>
      <c r="K2" s="1118" t="s">
        <v>16</v>
      </c>
      <c r="L2" s="1484" t="s">
        <v>17</v>
      </c>
      <c r="M2" s="1484"/>
      <c r="N2" s="1484"/>
      <c r="O2" s="1118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279</v>
      </c>
      <c r="O3" s="12"/>
    </row>
    <row r="4" spans="1:15">
      <c r="A4" s="16">
        <v>1</v>
      </c>
      <c r="B4" s="17">
        <v>1</v>
      </c>
      <c r="C4" s="18"/>
      <c r="D4" s="19">
        <f>'1'!F8</f>
        <v>5169102</v>
      </c>
      <c r="E4" s="19">
        <f>'1'!G96</f>
        <v>17</v>
      </c>
      <c r="F4" s="19">
        <f>'1'!F141</f>
        <v>0</v>
      </c>
      <c r="G4" s="21">
        <f>E4*F4</f>
        <v>0</v>
      </c>
      <c r="H4" s="19">
        <f>'1'!G68</f>
        <v>322</v>
      </c>
      <c r="I4" s="19">
        <f>'1'!G69</f>
        <v>307</v>
      </c>
      <c r="J4" s="19">
        <f>'1'!G70</f>
        <v>0</v>
      </c>
      <c r="K4" s="23">
        <f>H4+I4</f>
        <v>629</v>
      </c>
      <c r="L4" s="19">
        <f>'1'!G71</f>
        <v>0</v>
      </c>
      <c r="M4" s="19">
        <f>'1'!G72</f>
        <v>122</v>
      </c>
      <c r="N4" s="19">
        <v>0</v>
      </c>
      <c r="O4" s="23">
        <f>L4+M4+N4</f>
        <v>122</v>
      </c>
    </row>
    <row r="5" spans="1:15">
      <c r="A5" s="16">
        <v>2</v>
      </c>
      <c r="B5" s="26">
        <v>2</v>
      </c>
      <c r="C5" s="26"/>
      <c r="D5" s="19">
        <f>'2'!F8</f>
        <v>5191372</v>
      </c>
      <c r="E5" s="19">
        <f>'2'!G95</f>
        <v>87</v>
      </c>
      <c r="F5" s="19">
        <f>'2'!F122</f>
        <v>0</v>
      </c>
      <c r="G5" s="21">
        <f t="shared" ref="G5:G18" si="0">E5*F5</f>
        <v>0</v>
      </c>
      <c r="H5" s="19">
        <f>'2'!G68</f>
        <v>306</v>
      </c>
      <c r="I5" s="19">
        <f>'2'!G69</f>
        <v>308</v>
      </c>
      <c r="J5" s="19">
        <f>'2'!G70</f>
        <v>0</v>
      </c>
      <c r="K5" s="23">
        <f t="shared" ref="K5:K18" si="1">H5+I5</f>
        <v>614</v>
      </c>
      <c r="L5" s="19">
        <f>'2'!G71</f>
        <v>0</v>
      </c>
      <c r="M5" s="19">
        <f>'2'!G72</f>
        <v>108</v>
      </c>
      <c r="N5" s="19">
        <v>0</v>
      </c>
      <c r="O5" s="23">
        <f t="shared" ref="O5:O18" si="2">L5+M5+N5</f>
        <v>108</v>
      </c>
    </row>
    <row r="6" spans="1:15">
      <c r="A6" s="16">
        <v>3</v>
      </c>
      <c r="B6" s="26">
        <v>3</v>
      </c>
      <c r="C6" s="26"/>
      <c r="D6" s="19">
        <f>'4'!F8</f>
        <v>5234378</v>
      </c>
      <c r="E6" s="19">
        <f>'3'!G95</f>
        <v>72</v>
      </c>
      <c r="F6" s="19">
        <f>'3'!F122</f>
        <v>0</v>
      </c>
      <c r="G6" s="21">
        <f t="shared" si="0"/>
        <v>0</v>
      </c>
      <c r="H6" s="19">
        <f>'4'!G68</f>
        <v>355</v>
      </c>
      <c r="I6" s="19">
        <f>'4'!G69</f>
        <v>322.58000000000175</v>
      </c>
      <c r="J6" s="19">
        <f>'4'!G70</f>
        <v>0</v>
      </c>
      <c r="K6" s="23">
        <f t="shared" si="1"/>
        <v>677.58000000000175</v>
      </c>
      <c r="L6" s="19">
        <f>'4'!G71</f>
        <v>0</v>
      </c>
      <c r="M6" s="19">
        <f>'4'!G72</f>
        <v>99</v>
      </c>
      <c r="N6" s="19">
        <v>0</v>
      </c>
      <c r="O6" s="23">
        <f t="shared" si="2"/>
        <v>99</v>
      </c>
    </row>
    <row r="7" spans="1:15">
      <c r="A7" s="16">
        <v>4</v>
      </c>
      <c r="B7" s="27">
        <v>4</v>
      </c>
      <c r="C7" s="27"/>
      <c r="D7" s="19">
        <f>'3'!F8</f>
        <v>5212541</v>
      </c>
      <c r="E7" s="19">
        <f>'4'!G95</f>
        <v>71</v>
      </c>
      <c r="F7" s="19">
        <f>'1'!F141</f>
        <v>0</v>
      </c>
      <c r="G7" s="21">
        <f t="shared" si="0"/>
        <v>0</v>
      </c>
      <c r="H7" s="19">
        <f>'3'!G68</f>
        <v>316</v>
      </c>
      <c r="I7" s="19">
        <f>'3'!G69</f>
        <v>308</v>
      </c>
      <c r="J7" s="19">
        <f>'3'!G70</f>
        <v>0</v>
      </c>
      <c r="K7" s="23">
        <f t="shared" si="1"/>
        <v>624</v>
      </c>
      <c r="L7" s="19">
        <f>'3'!G71</f>
        <v>0</v>
      </c>
      <c r="M7" s="19">
        <f>'3'!G72</f>
        <v>85</v>
      </c>
      <c r="N7" s="19">
        <v>0</v>
      </c>
      <c r="O7" s="23">
        <f t="shared" si="2"/>
        <v>85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5276902</v>
      </c>
      <c r="E9" s="19">
        <f>'6'!G95</f>
        <v>68</v>
      </c>
      <c r="F9" s="19">
        <f>'1'!F141</f>
        <v>0</v>
      </c>
      <c r="G9" s="21">
        <f t="shared" si="0"/>
        <v>0</v>
      </c>
      <c r="H9" s="19">
        <f>'6'!G68</f>
        <v>321</v>
      </c>
      <c r="I9" s="19">
        <f>'6'!G69</f>
        <v>298</v>
      </c>
      <c r="J9" s="19">
        <f>'6'!G70</f>
        <v>0</v>
      </c>
      <c r="K9" s="23">
        <f t="shared" si="1"/>
        <v>619</v>
      </c>
      <c r="L9" s="19">
        <f>'6'!G71</f>
        <v>0</v>
      </c>
      <c r="M9" s="19">
        <f>'6'!G72</f>
        <v>87</v>
      </c>
      <c r="N9" s="19">
        <v>0</v>
      </c>
      <c r="O9" s="23">
        <f t="shared" si="2"/>
        <v>87</v>
      </c>
    </row>
    <row r="10" spans="1:15">
      <c r="A10" s="16">
        <v>7</v>
      </c>
      <c r="B10" s="26">
        <v>7</v>
      </c>
      <c r="C10" s="27"/>
      <c r="D10" s="19">
        <f>'7'!F8</f>
        <v>5298954</v>
      </c>
      <c r="E10" s="19">
        <f>'7'!G95</f>
        <v>79</v>
      </c>
      <c r="F10" s="19">
        <f>'1'!F141</f>
        <v>0</v>
      </c>
      <c r="G10" s="21">
        <f t="shared" si="0"/>
        <v>0</v>
      </c>
      <c r="H10" s="19">
        <f>'7'!G68</f>
        <v>287</v>
      </c>
      <c r="I10" s="19">
        <f>'7'!G69</f>
        <v>300</v>
      </c>
      <c r="J10" s="19">
        <f>'7'!G70</f>
        <v>0</v>
      </c>
      <c r="K10" s="23">
        <f t="shared" si="1"/>
        <v>587</v>
      </c>
      <c r="L10" s="19">
        <f>'7'!G71</f>
        <v>0</v>
      </c>
      <c r="M10" s="19">
        <f>'7'!G72</f>
        <v>98</v>
      </c>
      <c r="N10" s="19">
        <v>0</v>
      </c>
      <c r="O10" s="23">
        <f t="shared" si="2"/>
        <v>98</v>
      </c>
    </row>
    <row r="11" spans="1:15">
      <c r="A11" s="16">
        <v>8</v>
      </c>
      <c r="B11" s="26">
        <v>8</v>
      </c>
      <c r="C11" s="18"/>
      <c r="D11" s="19">
        <f>'8'!F8</f>
        <v>5320650</v>
      </c>
      <c r="E11" s="19">
        <f>'8'!G95</f>
        <v>78</v>
      </c>
      <c r="F11" s="19">
        <f>'1'!F141</f>
        <v>0</v>
      </c>
      <c r="G11" s="21">
        <f t="shared" si="0"/>
        <v>0</v>
      </c>
      <c r="H11" s="19">
        <f>'8'!G68</f>
        <v>0</v>
      </c>
      <c r="I11" s="19">
        <f>'8'!G69</f>
        <v>290.64999999999418</v>
      </c>
      <c r="J11" s="19">
        <f>'8'!G70</f>
        <v>0</v>
      </c>
      <c r="K11" s="23">
        <f t="shared" si="1"/>
        <v>290.64999999999418</v>
      </c>
      <c r="L11" s="19">
        <f>'8'!G71</f>
        <v>0</v>
      </c>
      <c r="M11" s="19">
        <f>'8'!G72</f>
        <v>92</v>
      </c>
      <c r="N11" s="19">
        <v>0</v>
      </c>
      <c r="O11" s="23">
        <f t="shared" si="2"/>
        <v>92</v>
      </c>
    </row>
    <row r="12" spans="1:15">
      <c r="A12" s="16">
        <v>9</v>
      </c>
      <c r="B12" s="27">
        <v>9</v>
      </c>
      <c r="C12" s="26"/>
      <c r="D12" s="19">
        <f>'9'!F8</f>
        <v>5342740</v>
      </c>
      <c r="E12" s="19">
        <f>'9'!G95</f>
        <v>75</v>
      </c>
      <c r="F12" s="19">
        <f>'1'!F141</f>
        <v>0</v>
      </c>
      <c r="G12" s="21">
        <f t="shared" si="0"/>
        <v>0</v>
      </c>
      <c r="H12" s="19">
        <f>'9'!G68</f>
        <v>0</v>
      </c>
      <c r="I12" s="19">
        <f>'9'!G69</f>
        <v>292.8700000000099</v>
      </c>
      <c r="J12" s="19">
        <f>'9'!G70</f>
        <v>0</v>
      </c>
      <c r="K12" s="23">
        <f t="shared" si="1"/>
        <v>292.8700000000099</v>
      </c>
      <c r="L12" s="19">
        <f>'9'!G71</f>
        <v>0</v>
      </c>
      <c r="M12" s="19">
        <f>'9'!G72</f>
        <v>99</v>
      </c>
      <c r="N12" s="19">
        <v>0</v>
      </c>
      <c r="O12" s="23">
        <f t="shared" si="2"/>
        <v>99</v>
      </c>
    </row>
    <row r="13" spans="1:15">
      <c r="A13" s="16">
        <v>10</v>
      </c>
      <c r="B13" s="27">
        <v>10</v>
      </c>
      <c r="C13" s="26"/>
      <c r="D13" s="19">
        <f>'10'!F8</f>
        <v>5363644</v>
      </c>
      <c r="E13" s="19">
        <f>'10'!G95</f>
        <v>69</v>
      </c>
      <c r="F13" s="19">
        <f>'1'!F141</f>
        <v>0</v>
      </c>
      <c r="G13" s="21">
        <f t="shared" si="0"/>
        <v>0</v>
      </c>
      <c r="H13" s="19">
        <f>'10'!G68</f>
        <v>0</v>
      </c>
      <c r="I13" s="19">
        <f>'10'!G69</f>
        <v>325.22999999999593</v>
      </c>
      <c r="J13" s="19">
        <f>'10'!G70</f>
        <v>0</v>
      </c>
      <c r="K13" s="23">
        <f t="shared" si="1"/>
        <v>325.22999999999593</v>
      </c>
      <c r="L13" s="19">
        <f>'10'!G71</f>
        <v>0</v>
      </c>
      <c r="M13" s="19">
        <f>'10'!G72</f>
        <v>91</v>
      </c>
      <c r="N13" s="19">
        <v>0</v>
      </c>
      <c r="O13" s="23">
        <f t="shared" si="2"/>
        <v>91</v>
      </c>
    </row>
    <row r="14" spans="1:15">
      <c r="A14" s="16">
        <v>11</v>
      </c>
      <c r="B14" s="17">
        <v>11</v>
      </c>
      <c r="C14" s="27"/>
      <c r="D14" s="19">
        <f>'11'!F8</f>
        <v>5384609</v>
      </c>
      <c r="E14" s="19">
        <f>'11'!G95</f>
        <v>73</v>
      </c>
      <c r="F14" s="19">
        <f>'1'!F141</f>
        <v>0</v>
      </c>
      <c r="G14" s="21">
        <f t="shared" si="0"/>
        <v>0</v>
      </c>
      <c r="H14" s="19">
        <f>'11'!G68</f>
        <v>0</v>
      </c>
      <c r="I14" s="19">
        <f>'11'!G69</f>
        <v>305.11000000000058</v>
      </c>
      <c r="J14" s="19">
        <f>'11'!G70</f>
        <v>0</v>
      </c>
      <c r="K14" s="23">
        <f t="shared" si="1"/>
        <v>305.11000000000058</v>
      </c>
      <c r="L14" s="19">
        <f>'11'!G71</f>
        <v>0</v>
      </c>
      <c r="M14" s="19">
        <f>'11'!G72</f>
        <v>95</v>
      </c>
      <c r="N14" s="19">
        <v>0</v>
      </c>
      <c r="O14" s="23">
        <f t="shared" si="2"/>
        <v>95</v>
      </c>
    </row>
    <row r="15" spans="1:15">
      <c r="A15" s="16">
        <v>12</v>
      </c>
      <c r="B15" s="26">
        <v>12</v>
      </c>
      <c r="C15" s="27"/>
      <c r="D15" s="19">
        <f>'12'!F8</f>
        <v>5405163</v>
      </c>
      <c r="E15" s="19">
        <f>'12'!G95</f>
        <v>68</v>
      </c>
      <c r="F15" s="19">
        <f>'1'!F141</f>
        <v>0</v>
      </c>
      <c r="G15" s="20">
        <f t="shared" si="0"/>
        <v>0</v>
      </c>
      <c r="H15" s="19">
        <f>'12'!G68</f>
        <v>0</v>
      </c>
      <c r="I15" s="19">
        <f>'12'!G69</f>
        <v>266.13999999999942</v>
      </c>
      <c r="J15" s="19">
        <f>'12'!G70</f>
        <v>0</v>
      </c>
      <c r="K15" s="23">
        <f t="shared" si="1"/>
        <v>266.13999999999942</v>
      </c>
      <c r="L15" s="19">
        <f>'12'!G71</f>
        <v>0</v>
      </c>
      <c r="M15" s="19">
        <f>'12'!G72</f>
        <v>81</v>
      </c>
      <c r="N15" s="19">
        <v>0</v>
      </c>
      <c r="O15" s="23">
        <f t="shared" si="2"/>
        <v>81</v>
      </c>
    </row>
    <row r="16" spans="1:15">
      <c r="A16" s="16">
        <v>13</v>
      </c>
      <c r="B16" s="26">
        <v>13</v>
      </c>
      <c r="C16" s="26"/>
      <c r="D16" s="19">
        <f>'13'!F8</f>
        <v>5425384</v>
      </c>
      <c r="E16" s="19">
        <f>'13'!G95</f>
        <v>66</v>
      </c>
      <c r="F16" s="19">
        <f>'1'!F141</f>
        <v>0</v>
      </c>
      <c r="G16" s="20">
        <f t="shared" si="0"/>
        <v>0</v>
      </c>
      <c r="H16" s="19">
        <f>'13'!G68</f>
        <v>0</v>
      </c>
      <c r="I16" s="19">
        <f>'13'!G69</f>
        <v>64</v>
      </c>
      <c r="J16" s="19">
        <f>'13'!G70</f>
        <v>0</v>
      </c>
      <c r="K16" s="23">
        <f t="shared" si="1"/>
        <v>64</v>
      </c>
      <c r="L16" s="19">
        <f>'13'!G71</f>
        <v>0</v>
      </c>
      <c r="M16" s="19">
        <f>'13'!G72</f>
        <v>84</v>
      </c>
      <c r="N16" s="19">
        <v>0</v>
      </c>
      <c r="O16" s="23">
        <f t="shared" si="2"/>
        <v>84</v>
      </c>
    </row>
    <row r="17" spans="1:15">
      <c r="A17" s="16">
        <v>14</v>
      </c>
      <c r="B17" s="17">
        <v>14</v>
      </c>
      <c r="C17" s="27"/>
      <c r="D17" s="19">
        <f>'14'!F8</f>
        <v>5446358</v>
      </c>
      <c r="E17" s="19">
        <f>'14'!G95</f>
        <v>76</v>
      </c>
      <c r="F17" s="19">
        <f>'1'!F141</f>
        <v>0</v>
      </c>
      <c r="G17" s="20">
        <f t="shared" si="0"/>
        <v>0</v>
      </c>
      <c r="H17" s="19">
        <f>'14'!G68</f>
        <v>0</v>
      </c>
      <c r="I17" s="19">
        <f>'14'!G69</f>
        <v>35</v>
      </c>
      <c r="J17" s="19">
        <f>'14'!G71</f>
        <v>0</v>
      </c>
      <c r="K17" s="23">
        <f t="shared" si="1"/>
        <v>35</v>
      </c>
      <c r="L17" s="19">
        <f>'14'!G72</f>
        <v>83</v>
      </c>
      <c r="M17" s="19">
        <f>'14'!G73</f>
        <v>1</v>
      </c>
      <c r="N17" s="19">
        <v>0</v>
      </c>
      <c r="O17" s="23">
        <f t="shared" si="2"/>
        <v>84</v>
      </c>
    </row>
    <row r="18" spans="1:15">
      <c r="A18" s="16">
        <v>15</v>
      </c>
      <c r="B18" s="26">
        <v>15</v>
      </c>
      <c r="C18" s="18"/>
      <c r="D18" s="19">
        <f>'15'!F8</f>
        <v>5466584</v>
      </c>
      <c r="E18" s="19">
        <f>'15'!G95</f>
        <v>61</v>
      </c>
      <c r="F18" s="19">
        <f>'1'!F141</f>
        <v>0</v>
      </c>
      <c r="G18" s="20">
        <f t="shared" si="0"/>
        <v>0</v>
      </c>
      <c r="H18" s="19">
        <f>'15'!G68</f>
        <v>0</v>
      </c>
      <c r="I18" s="19">
        <f>'15'!G69</f>
        <v>36</v>
      </c>
      <c r="J18" s="19">
        <f>'15'!G71</f>
        <v>0</v>
      </c>
      <c r="K18" s="23">
        <f t="shared" si="1"/>
        <v>36</v>
      </c>
      <c r="L18" s="19">
        <f>'15'!G72</f>
        <v>81</v>
      </c>
      <c r="M18" s="19">
        <f>'15'!G73</f>
        <v>2</v>
      </c>
      <c r="N18" s="19">
        <v>0</v>
      </c>
      <c r="O18" s="23">
        <f t="shared" si="2"/>
        <v>83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695" t="s">
        <v>117</v>
      </c>
      <c r="B1" s="1695"/>
      <c r="C1" s="1695"/>
      <c r="D1" s="1695"/>
      <c r="E1" s="1695"/>
      <c r="F1" s="1695"/>
      <c r="G1" s="1695"/>
      <c r="H1" s="1695"/>
      <c r="I1" s="1695"/>
      <c r="J1" s="1695"/>
    </row>
    <row r="2" spans="1:12" ht="23.25" customHeight="1">
      <c r="A2" s="214" t="s">
        <v>280</v>
      </c>
      <c r="B2" s="195">
        <v>42328</v>
      </c>
      <c r="C2" s="1696" t="s">
        <v>281</v>
      </c>
      <c r="D2" s="1697"/>
      <c r="E2" s="191" t="s">
        <v>118</v>
      </c>
      <c r="F2" s="191" t="s">
        <v>6</v>
      </c>
      <c r="G2" s="191" t="s">
        <v>8</v>
      </c>
      <c r="H2" s="40" t="s">
        <v>119</v>
      </c>
      <c r="I2" s="41"/>
      <c r="J2" s="42"/>
    </row>
    <row r="3" spans="1:12" ht="18.75" customHeight="1">
      <c r="A3" s="1138" t="s">
        <v>282</v>
      </c>
      <c r="B3" s="189"/>
      <c r="C3" s="189"/>
      <c r="D3" s="1139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283</v>
      </c>
      <c r="J3" s="42" t="s">
        <v>284</v>
      </c>
      <c r="K3" s="116"/>
      <c r="L3" s="117"/>
    </row>
    <row r="4" spans="1:12" ht="18.75" customHeight="1">
      <c r="A4" s="45" t="s">
        <v>285</v>
      </c>
      <c r="B4" s="46" t="s">
        <v>286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123</v>
      </c>
      <c r="B5" s="217"/>
      <c r="C5" s="218"/>
      <c r="D5" s="219" t="s">
        <v>124</v>
      </c>
      <c r="E5" s="220" t="s">
        <v>125</v>
      </c>
      <c r="F5" s="220" t="s">
        <v>112</v>
      </c>
      <c r="G5" s="22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18.75" customHeight="1">
      <c r="A6" s="1703" t="s">
        <v>130</v>
      </c>
      <c r="B6" s="1704"/>
      <c r="C6" s="1705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131</v>
      </c>
      <c r="B7" s="251"/>
      <c r="C7" s="252"/>
      <c r="D7" s="133" t="s">
        <v>132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134</v>
      </c>
      <c r="B9" s="65"/>
      <c r="C9" s="66"/>
      <c r="D9" s="55" t="s">
        <v>132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135</v>
      </c>
      <c r="B10" s="193"/>
      <c r="C10" s="194"/>
      <c r="D10" s="55" t="s">
        <v>132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136</v>
      </c>
      <c r="B11" s="193"/>
      <c r="C11" s="194"/>
      <c r="D11" s="55" t="s">
        <v>132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137</v>
      </c>
      <c r="B12" s="193"/>
      <c r="C12" s="194"/>
      <c r="D12" s="55" t="s">
        <v>132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138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689" t="s">
        <v>139</v>
      </c>
      <c r="B14" s="1690"/>
      <c r="C14" s="1691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140</v>
      </c>
      <c r="B15" s="184"/>
      <c r="C15" s="185"/>
      <c r="D15" s="133" t="s">
        <v>141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689" t="s">
        <v>142</v>
      </c>
      <c r="B17" s="1690"/>
      <c r="C17" s="1691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673" t="s">
        <v>143</v>
      </c>
      <c r="B18" s="1674"/>
      <c r="C18" s="1675"/>
      <c r="D18" s="55" t="s">
        <v>144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673" t="s">
        <v>71</v>
      </c>
      <c r="B19" s="1674"/>
      <c r="C19" s="1675"/>
      <c r="D19" s="55" t="s">
        <v>144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145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689" t="s">
        <v>146</v>
      </c>
      <c r="B21" s="1690"/>
      <c r="C21" s="1691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35" t="s">
        <v>147</v>
      </c>
      <c r="B22" s="1136"/>
      <c r="C22" s="1137"/>
      <c r="D22" s="55" t="s">
        <v>148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35" t="s">
        <v>149</v>
      </c>
      <c r="B23" s="1136"/>
      <c r="C23" s="1137"/>
      <c r="D23" s="55" t="s">
        <v>148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150</v>
      </c>
      <c r="B24" s="171"/>
      <c r="C24" s="172"/>
      <c r="D24" s="54" t="s">
        <v>148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692" t="s">
        <v>151</v>
      </c>
      <c r="B25" s="1693"/>
      <c r="C25" s="1694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152</v>
      </c>
      <c r="B26" s="165"/>
      <c r="C26" s="166"/>
      <c r="D26" s="144" t="s">
        <v>153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132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154</v>
      </c>
      <c r="B28" s="165"/>
      <c r="C28" s="166"/>
      <c r="D28" s="146" t="s">
        <v>155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156</v>
      </c>
      <c r="B29" s="165"/>
      <c r="C29" s="166"/>
      <c r="D29" s="146" t="s">
        <v>157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159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161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698" t="s">
        <v>162</v>
      </c>
      <c r="B32" s="1699"/>
      <c r="C32" s="1699"/>
      <c r="D32" s="1699"/>
      <c r="E32" s="1699"/>
      <c r="F32" s="1699"/>
      <c r="G32" s="1699"/>
      <c r="H32" s="1699"/>
      <c r="I32" s="1699"/>
      <c r="J32" s="1700"/>
      <c r="K32" s="59"/>
      <c r="L32" s="117"/>
    </row>
    <row r="33" spans="1:12" ht="18.75" customHeight="1">
      <c r="A33" s="1151" t="s">
        <v>163</v>
      </c>
      <c r="B33" s="1152"/>
      <c r="C33" s="1153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164</v>
      </c>
      <c r="B34" s="193"/>
      <c r="C34" s="194"/>
      <c r="D34" s="55" t="s">
        <v>132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165</v>
      </c>
      <c r="B35" s="193"/>
      <c r="C35" s="194"/>
      <c r="D35" s="55" t="s">
        <v>132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166</v>
      </c>
      <c r="B36" s="193"/>
      <c r="C36" s="194"/>
      <c r="D36" s="55" t="s">
        <v>132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167</v>
      </c>
      <c r="B37" s="193"/>
      <c r="C37" s="194"/>
      <c r="D37" s="55" t="s">
        <v>132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168</v>
      </c>
      <c r="B38" s="193"/>
      <c r="C38" s="194"/>
      <c r="D38" s="55" t="s">
        <v>132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169</v>
      </c>
      <c r="B39" s="77"/>
      <c r="C39" s="78"/>
      <c r="D39" s="55" t="s">
        <v>132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170</v>
      </c>
      <c r="B40" s="193"/>
      <c r="C40" s="194"/>
      <c r="D40" s="55" t="s">
        <v>132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171</v>
      </c>
      <c r="B41" s="193"/>
      <c r="C41" s="194"/>
      <c r="D41" s="55" t="s">
        <v>132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172</v>
      </c>
      <c r="B42" s="193"/>
      <c r="C42" s="194"/>
      <c r="D42" s="55" t="s">
        <v>132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173</v>
      </c>
      <c r="B43" s="193"/>
      <c r="C43" s="194"/>
      <c r="D43" s="55" t="s">
        <v>132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174</v>
      </c>
      <c r="B44" s="193"/>
      <c r="C44" s="194"/>
      <c r="D44" s="55" t="s">
        <v>132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175</v>
      </c>
      <c r="B45" s="193"/>
      <c r="C45" s="194"/>
      <c r="D45" s="55" t="s">
        <v>132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176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51" t="s">
        <v>177</v>
      </c>
      <c r="B47" s="1152"/>
      <c r="C47" s="1153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164</v>
      </c>
      <c r="B48" s="175"/>
      <c r="C48" s="176"/>
      <c r="D48" s="55" t="s">
        <v>132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178</v>
      </c>
      <c r="B49" s="175"/>
      <c r="C49" s="176"/>
      <c r="D49" s="55" t="s">
        <v>132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166</v>
      </c>
      <c r="B50" s="175"/>
      <c r="C50" s="176"/>
      <c r="D50" s="55" t="s">
        <v>132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179</v>
      </c>
      <c r="B51" s="175"/>
      <c r="C51" s="176"/>
      <c r="D51" s="55" t="s">
        <v>132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168</v>
      </c>
      <c r="B52" s="175"/>
      <c r="C52" s="176"/>
      <c r="D52" s="55" t="s">
        <v>132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180</v>
      </c>
      <c r="B53" s="175"/>
      <c r="C53" s="176"/>
      <c r="D53" s="55" t="s">
        <v>132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181</v>
      </c>
      <c r="B54" s="175"/>
      <c r="C54" s="176"/>
      <c r="D54" s="55" t="s">
        <v>132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182</v>
      </c>
      <c r="B55" s="175"/>
      <c r="C55" s="176"/>
      <c r="D55" s="55" t="s">
        <v>183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172</v>
      </c>
      <c r="B56" s="175"/>
      <c r="C56" s="176"/>
      <c r="D56" s="55" t="s">
        <v>132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184</v>
      </c>
      <c r="B57" s="175"/>
      <c r="C57" s="176"/>
      <c r="D57" s="55" t="s">
        <v>132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176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185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186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98</v>
      </c>
      <c r="B61" s="244"/>
      <c r="C61" s="245"/>
      <c r="D61" s="54" t="s">
        <v>187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188</v>
      </c>
      <c r="B62" s="244"/>
      <c r="C62" s="245"/>
      <c r="D62" s="54" t="s">
        <v>187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685" t="s">
        <v>99</v>
      </c>
      <c r="B63" s="1686"/>
      <c r="C63" s="1687"/>
      <c r="D63" s="55" t="s">
        <v>187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685" t="s">
        <v>100</v>
      </c>
      <c r="B64" s="1686"/>
      <c r="C64" s="1687"/>
      <c r="D64" s="55" t="s">
        <v>187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685" t="s">
        <v>101</v>
      </c>
      <c r="B65" s="1686"/>
      <c r="C65" s="1687"/>
      <c r="D65" s="55" t="s">
        <v>187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685" t="s">
        <v>102</v>
      </c>
      <c r="B66" s="1686"/>
      <c r="C66" s="1687"/>
      <c r="D66" s="55" t="s">
        <v>187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685" t="s">
        <v>103</v>
      </c>
      <c r="B67" s="1686"/>
      <c r="C67" s="1687"/>
      <c r="D67" s="55" t="s">
        <v>187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685" t="s">
        <v>104</v>
      </c>
      <c r="B68" s="1686"/>
      <c r="C68" s="1687"/>
      <c r="D68" s="55" t="s">
        <v>187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190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685" t="s">
        <v>191</v>
      </c>
      <c r="B70" s="1686"/>
      <c r="C70" s="1687"/>
      <c r="D70" s="55" t="s">
        <v>187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685" t="s">
        <v>192</v>
      </c>
      <c r="B71" s="1686"/>
      <c r="C71" s="1687"/>
      <c r="D71" s="55" t="s">
        <v>187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685" t="s">
        <v>193</v>
      </c>
      <c r="B72" s="1686"/>
      <c r="C72" s="1687"/>
      <c r="D72" s="55" t="s">
        <v>187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682" t="s">
        <v>194</v>
      </c>
      <c r="B73" s="1683"/>
      <c r="C73" s="1684"/>
      <c r="D73" s="55" t="s">
        <v>187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682" t="s">
        <v>195</v>
      </c>
      <c r="B74" s="1683"/>
      <c r="C74" s="1684"/>
      <c r="D74" s="55" t="s">
        <v>187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685" t="s">
        <v>196</v>
      </c>
      <c r="B75" s="1686"/>
      <c r="C75" s="1687"/>
      <c r="D75" s="55" t="s">
        <v>187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688" t="s">
        <v>92</v>
      </c>
      <c r="B76" s="1680"/>
      <c r="C76" s="1681"/>
      <c r="D76" s="81" t="s">
        <v>187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688" t="s">
        <v>198</v>
      </c>
      <c r="B77" s="1680"/>
      <c r="C77" s="1681"/>
      <c r="D77" s="81" t="s">
        <v>187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688" t="s">
        <v>199</v>
      </c>
      <c r="B78" s="1680"/>
      <c r="C78" s="1681"/>
      <c r="D78" s="81" t="s">
        <v>187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679" t="s">
        <v>93</v>
      </c>
      <c r="B79" s="1680"/>
      <c r="C79" s="1681"/>
      <c r="D79" s="207" t="s">
        <v>132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679" t="s">
        <v>200</v>
      </c>
      <c r="B80" s="1680"/>
      <c r="C80" s="1681"/>
      <c r="D80" s="208" t="s">
        <v>132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679" t="s">
        <v>287</v>
      </c>
      <c r="B81" s="1680"/>
      <c r="C81" s="1681"/>
      <c r="D81" s="209" t="s">
        <v>132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202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205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673" t="s">
        <v>207</v>
      </c>
      <c r="B84" s="1674"/>
      <c r="C84" s="1675"/>
      <c r="D84" s="55" t="s">
        <v>144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673" t="s">
        <v>209</v>
      </c>
      <c r="B85" s="1674"/>
      <c r="C85" s="1675"/>
      <c r="D85" s="55" t="s">
        <v>144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673" t="s">
        <v>210</v>
      </c>
      <c r="B86" s="1674"/>
      <c r="C86" s="1675"/>
      <c r="D86" s="55" t="s">
        <v>144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673" t="s">
        <v>211</v>
      </c>
      <c r="B87" s="1674"/>
      <c r="C87" s="1675"/>
      <c r="D87" s="55" t="s">
        <v>144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673" t="s">
        <v>212</v>
      </c>
      <c r="B88" s="1674"/>
      <c r="C88" s="1675"/>
      <c r="D88" s="55" t="s">
        <v>144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673" t="s">
        <v>213</v>
      </c>
      <c r="B89" s="1674"/>
      <c r="C89" s="1675"/>
      <c r="D89" s="55" t="s">
        <v>144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673" t="s">
        <v>214</v>
      </c>
      <c r="B90" s="1674"/>
      <c r="C90" s="1675"/>
      <c r="D90" s="55" t="s">
        <v>144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673" t="s">
        <v>219</v>
      </c>
      <c r="B91" s="1674"/>
      <c r="C91" s="1675"/>
      <c r="D91" s="55" t="s">
        <v>144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673" t="s">
        <v>77</v>
      </c>
      <c r="B92" s="1674"/>
      <c r="C92" s="1675"/>
      <c r="D92" s="55" t="s">
        <v>144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673" t="s">
        <v>78</v>
      </c>
      <c r="B93" s="1674"/>
      <c r="C93" s="1675"/>
      <c r="D93" s="55" t="s">
        <v>144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673" t="s">
        <v>206</v>
      </c>
      <c r="B94" s="1674"/>
      <c r="C94" s="1675"/>
      <c r="D94" s="55" t="s">
        <v>144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676" t="s">
        <v>230</v>
      </c>
      <c r="B95" s="1677"/>
      <c r="C95" s="1678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231</v>
      </c>
      <c r="B96" s="187"/>
      <c r="C96" s="188"/>
      <c r="D96" s="137" t="s">
        <v>141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233</v>
      </c>
      <c r="B97" s="1136"/>
      <c r="C97" s="1137"/>
      <c r="D97" s="55" t="s">
        <v>141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701" t="s">
        <v>250</v>
      </c>
      <c r="B98" s="1702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673" t="s">
        <v>251</v>
      </c>
      <c r="B99" s="1674"/>
      <c r="C99" s="1675"/>
      <c r="D99" s="55" t="s">
        <v>132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673" t="s">
        <v>252</v>
      </c>
      <c r="B100" s="1674"/>
      <c r="C100" s="1675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673" t="s">
        <v>253</v>
      </c>
      <c r="B101" s="1674"/>
      <c r="C101" s="1675"/>
      <c r="D101" s="55" t="s">
        <v>132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673" t="s">
        <v>254</v>
      </c>
      <c r="B102" s="1674"/>
      <c r="C102" s="1675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673" t="s">
        <v>255</v>
      </c>
      <c r="B103" s="1674"/>
      <c r="C103" s="1675"/>
      <c r="D103" s="55" t="s">
        <v>132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673" t="s">
        <v>256</v>
      </c>
      <c r="B104" s="1674"/>
      <c r="C104" s="1675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673" t="s">
        <v>257</v>
      </c>
      <c r="B105" s="1674"/>
      <c r="C105" s="1675"/>
      <c r="D105" s="55" t="s">
        <v>183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673" t="s">
        <v>258</v>
      </c>
      <c r="B106" s="1674"/>
      <c r="C106" s="1675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673" t="s">
        <v>259</v>
      </c>
      <c r="B107" s="1674"/>
      <c r="C107" s="1675"/>
      <c r="D107" s="55" t="s">
        <v>183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673" t="s">
        <v>260</v>
      </c>
      <c r="B108" s="1674"/>
      <c r="C108" s="1675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673" t="s">
        <v>261</v>
      </c>
      <c r="B109" s="1674"/>
      <c r="C109" s="1675"/>
      <c r="D109" s="55" t="s">
        <v>183</v>
      </c>
      <c r="E109" s="70"/>
      <c r="F109" s="70"/>
      <c r="G109" s="132"/>
      <c r="H109" s="57"/>
      <c r="I109" s="86"/>
      <c r="J109" s="58"/>
    </row>
    <row r="110" spans="1:12" ht="18.75" customHeight="1">
      <c r="A110" s="1673" t="s">
        <v>262</v>
      </c>
      <c r="B110" s="1674"/>
      <c r="C110" s="1675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237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238</v>
      </c>
      <c r="B112" s="197"/>
      <c r="C112" s="197"/>
      <c r="D112" s="55" t="s">
        <v>239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240</v>
      </c>
      <c r="B113" s="197"/>
      <c r="C113" s="197"/>
      <c r="D113" s="55" t="s">
        <v>239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241</v>
      </c>
      <c r="B114" s="197"/>
      <c r="C114" s="197"/>
      <c r="D114" s="55" t="s">
        <v>239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242</v>
      </c>
      <c r="B115" s="197"/>
      <c r="C115" s="197"/>
      <c r="D115" s="55" t="s">
        <v>239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243</v>
      </c>
      <c r="B116" s="197"/>
      <c r="C116" s="197"/>
      <c r="D116" s="55" t="s">
        <v>239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244</v>
      </c>
      <c r="B117" s="197"/>
      <c r="C117" s="197"/>
      <c r="D117" s="55" t="s">
        <v>239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245</v>
      </c>
      <c r="B118" s="197"/>
      <c r="C118" s="197"/>
      <c r="D118" s="55" t="s">
        <v>239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246</v>
      </c>
      <c r="B119" s="197"/>
      <c r="C119" s="197"/>
      <c r="D119" s="55" t="s">
        <v>239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247</v>
      </c>
      <c r="B120" s="197"/>
      <c r="C120" s="197"/>
      <c r="D120" s="55" t="s">
        <v>239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248</v>
      </c>
      <c r="B121" s="197"/>
      <c r="C121" s="197"/>
      <c r="D121" s="55" t="s">
        <v>239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249</v>
      </c>
      <c r="B122" s="197"/>
      <c r="C122" s="197"/>
      <c r="D122" s="55" t="s">
        <v>239</v>
      </c>
      <c r="E122" s="56"/>
      <c r="F122" s="82"/>
      <c r="G122" s="124"/>
      <c r="H122" s="57"/>
      <c r="I122" s="69"/>
      <c r="J122" s="58"/>
    </row>
  </sheetData>
  <mergeCells count="53"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  <mergeCell ref="A17:C17"/>
    <mergeCell ref="A21:C21"/>
    <mergeCell ref="A18:C18"/>
    <mergeCell ref="A19:C19"/>
    <mergeCell ref="A25:C25"/>
    <mergeCell ref="A74:C74"/>
    <mergeCell ref="A75:C75"/>
    <mergeCell ref="A77:C77"/>
    <mergeCell ref="A76:C76"/>
    <mergeCell ref="A78:C78"/>
    <mergeCell ref="A79:C79"/>
    <mergeCell ref="A80:C80"/>
    <mergeCell ref="A81:C81"/>
    <mergeCell ref="A84:C84"/>
    <mergeCell ref="A85:C85"/>
    <mergeCell ref="A86:C86"/>
    <mergeCell ref="A87:C87"/>
    <mergeCell ref="A88:C88"/>
    <mergeCell ref="A89:C89"/>
    <mergeCell ref="A90:C90"/>
    <mergeCell ref="A93:C93"/>
    <mergeCell ref="A91:C91"/>
    <mergeCell ref="A92:C92"/>
    <mergeCell ref="A94:C94"/>
    <mergeCell ref="A95:C95"/>
    <mergeCell ref="A99:C99"/>
    <mergeCell ref="A100:C100"/>
    <mergeCell ref="A101:C101"/>
    <mergeCell ref="A102:C102"/>
    <mergeCell ref="A108:C108"/>
    <mergeCell ref="A109:C109"/>
    <mergeCell ref="A110:C110"/>
    <mergeCell ref="A103:C103"/>
    <mergeCell ref="A104:C104"/>
    <mergeCell ref="A105:C105"/>
    <mergeCell ref="A106:C106"/>
    <mergeCell ref="A107:C107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695" t="s">
        <v>117</v>
      </c>
      <c r="B1" s="1695"/>
      <c r="C1" s="1695"/>
      <c r="D1" s="1695"/>
      <c r="E1" s="1695"/>
      <c r="F1" s="1695"/>
      <c r="G1" s="1695"/>
      <c r="H1" s="1695"/>
      <c r="I1" s="1695"/>
      <c r="J1" s="1695"/>
    </row>
    <row r="2" spans="1:12" ht="23.25" customHeight="1">
      <c r="A2" s="282" t="s">
        <v>288</v>
      </c>
      <c r="B2" s="283">
        <v>43585</v>
      </c>
      <c r="C2" s="387" t="s">
        <v>69</v>
      </c>
      <c r="D2" s="284">
        <v>0.66339999999999999</v>
      </c>
      <c r="E2" s="285"/>
      <c r="F2" s="285"/>
      <c r="G2" s="285" t="s">
        <v>118</v>
      </c>
      <c r="H2" s="285" t="s">
        <v>6</v>
      </c>
      <c r="I2" s="285" t="s">
        <v>8</v>
      </c>
      <c r="J2" s="286" t="s">
        <v>119</v>
      </c>
    </row>
    <row r="3" spans="1:12" ht="23.25" customHeight="1">
      <c r="A3" s="288"/>
      <c r="B3" s="289"/>
      <c r="C3" s="1134" t="s">
        <v>120</v>
      </c>
      <c r="D3" s="386">
        <v>32</v>
      </c>
      <c r="E3" s="1709" t="s">
        <v>121</v>
      </c>
      <c r="F3" s="1710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122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123</v>
      </c>
      <c r="B5" s="297"/>
      <c r="C5" s="298"/>
      <c r="D5" s="299" t="s">
        <v>124</v>
      </c>
      <c r="E5" s="300" t="s">
        <v>125</v>
      </c>
      <c r="F5" s="300" t="s">
        <v>112</v>
      </c>
      <c r="G5" s="30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23.25" customHeight="1">
      <c r="A6" s="1711" t="s">
        <v>130</v>
      </c>
      <c r="B6" s="1712"/>
      <c r="C6" s="1713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131</v>
      </c>
      <c r="B7" s="303"/>
      <c r="C7" s="304"/>
      <c r="D7" s="305" t="s">
        <v>132</v>
      </c>
      <c r="E7" s="159">
        <f>'29'!F7</f>
        <v>5708695</v>
      </c>
      <c r="F7" s="306">
        <v>3615871.9</v>
      </c>
      <c r="G7" s="307">
        <f>F7-E7</f>
        <v>-2092823.1</v>
      </c>
      <c r="H7" s="57">
        <f>G7+'29'!H7</f>
        <v>-1498051.1</v>
      </c>
      <c r="I7" s="276">
        <f>'1'!I7</f>
        <v>12000</v>
      </c>
      <c r="J7" s="58">
        <f>H7/DAY(B2)</f>
        <v>-49935.036666666667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134</v>
      </c>
      <c r="B9" s="316"/>
      <c r="C9" s="317"/>
      <c r="D9" s="268" t="s">
        <v>132</v>
      </c>
      <c r="E9" s="56">
        <f>'29'!F9</f>
        <v>972579.91</v>
      </c>
      <c r="F9" s="264">
        <v>2288314.7000000002</v>
      </c>
      <c r="G9" s="318">
        <f t="shared" ref="G9:G11" si="0">F9-E9</f>
        <v>1315734.79</v>
      </c>
      <c r="H9" s="57">
        <f>G9+'29'!H9</f>
        <v>1892245.7000000002</v>
      </c>
      <c r="I9" s="278">
        <f>I7-J7</f>
        <v>61935.036666666667</v>
      </c>
      <c r="J9" s="58">
        <f>H9/DAY(B2)</f>
        <v>63074.856666666674</v>
      </c>
      <c r="K9" s="59"/>
      <c r="L9" s="117"/>
    </row>
    <row r="10" spans="1:12" ht="23.25" customHeight="1">
      <c r="A10" s="320" t="s">
        <v>135</v>
      </c>
      <c r="B10" s="321"/>
      <c r="C10" s="322"/>
      <c r="D10" s="268" t="s">
        <v>132</v>
      </c>
      <c r="E10" s="56">
        <f>'29'!F10</f>
        <v>2322.58</v>
      </c>
      <c r="F10" s="264">
        <v>1226059.3999999999</v>
      </c>
      <c r="G10" s="318">
        <f t="shared" si="0"/>
        <v>1223736.8199999998</v>
      </c>
      <c r="H10" s="57">
        <f>G10+'29'!H10</f>
        <v>1223736.8199999998</v>
      </c>
      <c r="I10" s="69"/>
      <c r="J10" s="58">
        <f>H10/DAY(B2)</f>
        <v>40791.227333333329</v>
      </c>
      <c r="K10" s="59"/>
      <c r="L10" s="117"/>
    </row>
    <row r="11" spans="1:12" ht="23.25" customHeight="1">
      <c r="A11" s="320" t="s">
        <v>136</v>
      </c>
      <c r="B11" s="321"/>
      <c r="C11" s="322"/>
      <c r="D11" s="268" t="s">
        <v>132</v>
      </c>
      <c r="E11" s="56">
        <f>'29'!F11</f>
        <v>37000</v>
      </c>
      <c r="F11" s="263">
        <v>33860</v>
      </c>
      <c r="G11" s="318">
        <f t="shared" si="0"/>
        <v>-3140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137</v>
      </c>
      <c r="B12" s="321"/>
      <c r="C12" s="322"/>
      <c r="D12" s="268" t="s">
        <v>132</v>
      </c>
      <c r="E12" s="56">
        <f>'29'!F12</f>
        <v>40010</v>
      </c>
      <c r="F12" s="264">
        <v>3760</v>
      </c>
      <c r="G12" s="318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00" t="s">
        <v>138</v>
      </c>
      <c r="B13" s="401"/>
      <c r="C13" s="402"/>
      <c r="D13" s="268"/>
      <c r="E13" s="422"/>
      <c r="F13" s="279"/>
      <c r="G13" s="279">
        <f>G9+G10+G11+G12</f>
        <v>2536331.61</v>
      </c>
      <c r="H13" s="57">
        <f>G13+'29'!H13</f>
        <v>3092651.88</v>
      </c>
      <c r="I13" s="369">
        <f>G7-G13</f>
        <v>-4629154.71</v>
      </c>
      <c r="J13" s="308">
        <f>H13/DAY(B2)</f>
        <v>103088.39599999999</v>
      </c>
      <c r="K13" s="59"/>
      <c r="L13" s="117"/>
    </row>
    <row r="14" spans="1:12" ht="23.25" customHeight="1">
      <c r="A14" s="1714" t="s">
        <v>139</v>
      </c>
      <c r="B14" s="1715"/>
      <c r="C14" s="1716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140</v>
      </c>
      <c r="B15" s="324"/>
      <c r="C15" s="325"/>
      <c r="D15" s="305" t="s">
        <v>141</v>
      </c>
      <c r="E15" s="159">
        <f>'29'!F15</f>
        <v>1670180.29</v>
      </c>
      <c r="F15" s="266">
        <v>1040573.68</v>
      </c>
      <c r="G15" s="318">
        <f>(F15-E15)</f>
        <v>-629606.61</v>
      </c>
      <c r="H15" s="57">
        <f>G15+'29'!H15</f>
        <v>-606115.31999999995</v>
      </c>
      <c r="I15" s="276">
        <f>'1'!I15</f>
        <v>800</v>
      </c>
      <c r="J15" s="58">
        <f>H15/DAY(B2)</f>
        <v>-20203.843999999997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21003.843999999997</v>
      </c>
      <c r="J16" s="229"/>
      <c r="K16" s="59"/>
      <c r="L16" s="117"/>
    </row>
    <row r="17" spans="1:12" ht="23.25" customHeight="1">
      <c r="A17" s="1714" t="s">
        <v>142</v>
      </c>
      <c r="B17" s="1715"/>
      <c r="C17" s="1716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706" t="s">
        <v>143</v>
      </c>
      <c r="B18" s="1707"/>
      <c r="C18" s="1708"/>
      <c r="D18" s="268" t="s">
        <v>144</v>
      </c>
      <c r="E18" s="415">
        <f>'29'!F18</f>
        <v>2</v>
      </c>
      <c r="F18" s="267">
        <v>24</v>
      </c>
      <c r="G18" s="279">
        <f>F18*10</f>
        <v>240</v>
      </c>
      <c r="H18" s="57">
        <f>G18+'29'!H18</f>
        <v>2820</v>
      </c>
      <c r="I18" s="158">
        <f>'1'!I18</f>
        <v>65</v>
      </c>
      <c r="J18" s="58">
        <f>H18/DAY(B2)</f>
        <v>94</v>
      </c>
      <c r="K18" s="59"/>
      <c r="L18" s="117"/>
    </row>
    <row r="19" spans="1:12" ht="23.25" customHeight="1">
      <c r="A19" s="1706" t="s">
        <v>71</v>
      </c>
      <c r="B19" s="1707"/>
      <c r="C19" s="1708"/>
      <c r="D19" s="268" t="s">
        <v>144</v>
      </c>
      <c r="E19" s="56">
        <f>'29'!F19</f>
        <v>137758</v>
      </c>
      <c r="F19" s="267">
        <v>99778</v>
      </c>
      <c r="G19" s="318">
        <f t="shared" ref="G19" si="1">F19-E19</f>
        <v>-37980</v>
      </c>
      <c r="H19" s="57">
        <f>G19+'29'!H19</f>
        <v>-36312</v>
      </c>
      <c r="I19" s="80"/>
      <c r="J19" s="58">
        <f>H19/DAY(B2)</f>
        <v>-1210.4000000000001</v>
      </c>
      <c r="K19" s="59"/>
      <c r="L19" s="117"/>
    </row>
    <row r="20" spans="1:12" ht="23.25" customHeight="1">
      <c r="A20" s="400" t="s">
        <v>145</v>
      </c>
      <c r="B20" s="401"/>
      <c r="C20" s="402"/>
      <c r="D20" s="330"/>
      <c r="E20" s="421"/>
      <c r="F20" s="330"/>
      <c r="G20" s="331">
        <f>G18+G19</f>
        <v>-37740</v>
      </c>
      <c r="H20" s="57">
        <f>G20+'29'!H20</f>
        <v>-33456</v>
      </c>
      <c r="I20" s="127">
        <f>J20-I18</f>
        <v>-1180.2</v>
      </c>
      <c r="J20" s="58">
        <f>H20/DAY(B2)</f>
        <v>-1115.2</v>
      </c>
      <c r="K20" s="59"/>
      <c r="L20" s="117"/>
    </row>
    <row r="21" spans="1:12" ht="23.25" customHeight="1">
      <c r="A21" s="1714" t="s">
        <v>146</v>
      </c>
      <c r="B21" s="1715"/>
      <c r="C21" s="1716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26" t="s">
        <v>147</v>
      </c>
      <c r="B22" s="1127"/>
      <c r="C22" s="1128"/>
      <c r="D22" s="268" t="s">
        <v>148</v>
      </c>
      <c r="E22" s="415">
        <f>'29'!F22</f>
        <v>1290</v>
      </c>
      <c r="F22" s="267">
        <v>2010</v>
      </c>
      <c r="G22" s="279">
        <f t="shared" ref="G22" si="2">(F22-E22)</f>
        <v>720</v>
      </c>
      <c r="H22" s="57">
        <f>G22+'29'!H22</f>
        <v>2010</v>
      </c>
      <c r="I22" s="69"/>
      <c r="J22" s="58">
        <f>H22/DAY(B2)</f>
        <v>67</v>
      </c>
      <c r="K22" s="59"/>
      <c r="L22" s="117"/>
    </row>
    <row r="23" spans="1:12" ht="23.25" customHeight="1">
      <c r="A23" s="1126" t="s">
        <v>149</v>
      </c>
      <c r="B23" s="1127"/>
      <c r="C23" s="1128"/>
      <c r="D23" s="268" t="s">
        <v>148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150</v>
      </c>
      <c r="B24" s="404"/>
      <c r="C24" s="405"/>
      <c r="D24" s="269" t="s">
        <v>148</v>
      </c>
      <c r="E24" s="56">
        <f>'29'!F24</f>
        <v>3290</v>
      </c>
      <c r="F24" s="332">
        <v>4085</v>
      </c>
      <c r="G24" s="279">
        <v>0</v>
      </c>
      <c r="H24" s="57">
        <f>G24+'29'!H24</f>
        <v>1290</v>
      </c>
      <c r="I24" s="69"/>
      <c r="J24" s="58">
        <f>H24/DAY(B2)</f>
        <v>43</v>
      </c>
      <c r="K24" s="59"/>
      <c r="L24" s="117"/>
    </row>
    <row r="25" spans="1:12" ht="23.25" customHeight="1">
      <c r="A25" s="1720" t="s">
        <v>151</v>
      </c>
      <c r="B25" s="1721"/>
      <c r="C25" s="1722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152</v>
      </c>
      <c r="B26" s="334"/>
      <c r="C26" s="335"/>
      <c r="D26" s="336" t="s">
        <v>153</v>
      </c>
      <c r="E26" s="337" t="s">
        <v>289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132</v>
      </c>
      <c r="E27" s="340">
        <f>G7</f>
        <v>-2092823.1</v>
      </c>
      <c r="F27" s="412">
        <v>10.86</v>
      </c>
      <c r="G27" s="366">
        <f>E27*F27</f>
        <v>-22728058.866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154</v>
      </c>
      <c r="B28" s="334"/>
      <c r="C28" s="335"/>
      <c r="D28" s="339" t="s">
        <v>155</v>
      </c>
      <c r="E28" s="341">
        <f>G15</f>
        <v>-629606.61</v>
      </c>
      <c r="F28" s="412">
        <v>44</v>
      </c>
      <c r="G28" s="366">
        <f>E28*F28</f>
        <v>-27702690.84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156</v>
      </c>
      <c r="B29" s="334"/>
      <c r="C29" s="335"/>
      <c r="D29" s="339" t="s">
        <v>157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159</v>
      </c>
      <c r="E30" s="342">
        <f>G20</f>
        <v>-37740</v>
      </c>
      <c r="F30" s="412">
        <v>95</v>
      </c>
      <c r="G30" s="366">
        <f>E30*F30</f>
        <v>-3585300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161</v>
      </c>
      <c r="B31" s="407"/>
      <c r="C31" s="408"/>
      <c r="D31" s="343"/>
      <c r="E31" s="343"/>
      <c r="F31" s="343"/>
      <c r="G31" s="367">
        <f>G27+G28+G29+G30</f>
        <v>-54016049.706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698" t="s">
        <v>162</v>
      </c>
      <c r="B32" s="1699"/>
      <c r="C32" s="1699"/>
      <c r="D32" s="1699"/>
      <c r="E32" s="1699"/>
      <c r="F32" s="1699"/>
      <c r="G32" s="1699"/>
      <c r="H32" s="1699"/>
      <c r="I32" s="1699"/>
      <c r="J32" s="1700"/>
      <c r="K32" s="59"/>
      <c r="L32" s="117"/>
    </row>
    <row r="33" spans="1:12" ht="23.25" customHeight="1">
      <c r="A33" s="1121" t="s">
        <v>163</v>
      </c>
      <c r="B33" s="1122"/>
      <c r="C33" s="1123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164</v>
      </c>
      <c r="B34" s="321"/>
      <c r="C34" s="322"/>
      <c r="D34" s="268" t="s">
        <v>132</v>
      </c>
      <c r="E34" s="415">
        <f>'29'!F35</f>
        <v>884026.03</v>
      </c>
      <c r="F34" s="344">
        <v>0</v>
      </c>
      <c r="G34" s="318">
        <f t="shared" ref="G34:G45" si="3">F34-E34</f>
        <v>-884026.03</v>
      </c>
      <c r="H34" s="57">
        <f>G34+'29'!H35</f>
        <v>-798389</v>
      </c>
      <c r="I34" s="56"/>
      <c r="J34" s="58">
        <f>H34/DAY(B2)</f>
        <v>-26612.966666666667</v>
      </c>
      <c r="K34" s="59"/>
      <c r="L34" s="117"/>
    </row>
    <row r="35" spans="1:12" ht="23.25" customHeight="1">
      <c r="A35" s="320" t="s">
        <v>165</v>
      </c>
      <c r="B35" s="321"/>
      <c r="C35" s="322"/>
      <c r="D35" s="268" t="s">
        <v>132</v>
      </c>
      <c r="E35" s="56">
        <f>'29'!F36</f>
        <v>343892.67</v>
      </c>
      <c r="F35" s="344">
        <v>694322.47</v>
      </c>
      <c r="G35" s="318">
        <f t="shared" si="3"/>
        <v>350429.8</v>
      </c>
      <c r="H35" s="57">
        <f>G35+'29'!H36</f>
        <v>376886.47</v>
      </c>
      <c r="I35" s="56"/>
      <c r="J35" s="58">
        <f>H35/DAY(B2)</f>
        <v>12562.882333333333</v>
      </c>
      <c r="K35" s="59"/>
      <c r="L35" s="117"/>
    </row>
    <row r="36" spans="1:12" ht="23.25" customHeight="1">
      <c r="A36" s="320" t="s">
        <v>166</v>
      </c>
      <c r="B36" s="321"/>
      <c r="C36" s="322"/>
      <c r="D36" s="268" t="s">
        <v>132</v>
      </c>
      <c r="E36" s="56">
        <f>'29'!F37</f>
        <v>93853.95</v>
      </c>
      <c r="F36" s="344">
        <v>392708.87</v>
      </c>
      <c r="G36" s="318">
        <f t="shared" si="3"/>
        <v>298854.92</v>
      </c>
      <c r="H36" s="57">
        <f>G36+'29'!H37</f>
        <v>337911.87</v>
      </c>
      <c r="I36" s="56"/>
      <c r="J36" s="58">
        <f>H36/DAY(B2)</f>
        <v>11263.728999999999</v>
      </c>
      <c r="K36" s="59"/>
      <c r="L36" s="117"/>
    </row>
    <row r="37" spans="1:12" ht="23.25" customHeight="1">
      <c r="A37" s="320" t="s">
        <v>167</v>
      </c>
      <c r="B37" s="321"/>
      <c r="C37" s="322"/>
      <c r="D37" s="268" t="s">
        <v>132</v>
      </c>
      <c r="E37" s="56">
        <f>'29'!F38</f>
        <v>118139.24</v>
      </c>
      <c r="F37" s="345">
        <v>675505.75</v>
      </c>
      <c r="G37" s="318">
        <f t="shared" si="3"/>
        <v>557366.51</v>
      </c>
      <c r="H37" s="57">
        <f>G37+'29'!H38</f>
        <v>603197.75</v>
      </c>
      <c r="I37" s="56"/>
      <c r="J37" s="58">
        <f>H37/DAY(B2)</f>
        <v>20106.591666666667</v>
      </c>
      <c r="K37" s="59"/>
      <c r="L37" s="117"/>
    </row>
    <row r="38" spans="1:12" ht="23.25" customHeight="1">
      <c r="A38" s="320" t="s">
        <v>168</v>
      </c>
      <c r="B38" s="321"/>
      <c r="C38" s="322"/>
      <c r="D38" s="268" t="s">
        <v>132</v>
      </c>
      <c r="E38" s="56">
        <f>'29'!F39</f>
        <v>244460.45</v>
      </c>
      <c r="F38" s="344">
        <v>2497766.1</v>
      </c>
      <c r="G38" s="318">
        <f t="shared" si="3"/>
        <v>2253305.65</v>
      </c>
      <c r="H38" s="57">
        <f>G38+'29'!H39</f>
        <v>2344944.1</v>
      </c>
      <c r="I38" s="56"/>
      <c r="J38" s="58">
        <f>H38/DAY(B2)</f>
        <v>78164.80333333333</v>
      </c>
      <c r="K38" s="59"/>
      <c r="L38" s="117"/>
    </row>
    <row r="39" spans="1:12" ht="23.25" customHeight="1">
      <c r="A39" s="346" t="s">
        <v>169</v>
      </c>
      <c r="B39" s="347"/>
      <c r="C39" s="348"/>
      <c r="D39" s="268" t="s">
        <v>132</v>
      </c>
      <c r="E39" s="56">
        <f>'29'!F40</f>
        <v>0.23</v>
      </c>
      <c r="F39" s="344">
        <v>0</v>
      </c>
      <c r="G39" s="318">
        <f t="shared" si="3"/>
        <v>-0.23</v>
      </c>
      <c r="H39" s="57">
        <f>G39+'29'!H40</f>
        <v>0.17</v>
      </c>
      <c r="I39" s="56"/>
      <c r="J39" s="58">
        <f>H39/DAY(B2)</f>
        <v>5.6666666666666671E-3</v>
      </c>
      <c r="K39" s="75"/>
      <c r="L39" s="117"/>
    </row>
    <row r="40" spans="1:12" ht="23.25" customHeight="1">
      <c r="A40" s="320" t="s">
        <v>170</v>
      </c>
      <c r="B40" s="321"/>
      <c r="C40" s="322"/>
      <c r="D40" s="268" t="s">
        <v>132</v>
      </c>
      <c r="E40" s="56">
        <f>'29'!F41</f>
        <v>177616.67</v>
      </c>
      <c r="F40" s="344">
        <v>1138016.5</v>
      </c>
      <c r="G40" s="318">
        <f t="shared" si="3"/>
        <v>960399.83</v>
      </c>
      <c r="H40" s="57">
        <f>G40+'29'!H41</f>
        <v>1004875.5</v>
      </c>
      <c r="I40" s="56"/>
      <c r="J40" s="58">
        <f>H40/DAY(B2)</f>
        <v>33495.85</v>
      </c>
      <c r="K40" s="59"/>
      <c r="L40" s="117"/>
    </row>
    <row r="41" spans="1:12" ht="23.25" customHeight="1">
      <c r="A41" s="320" t="s">
        <v>171</v>
      </c>
      <c r="B41" s="321"/>
      <c r="C41" s="322"/>
      <c r="D41" s="268" t="s">
        <v>132</v>
      </c>
      <c r="E41" s="56">
        <f>'29'!F42</f>
        <v>59200</v>
      </c>
      <c r="F41" s="344">
        <v>1251783.8</v>
      </c>
      <c r="G41" s="318">
        <f t="shared" si="3"/>
        <v>1192583.8</v>
      </c>
      <c r="H41" s="57">
        <f>G41+'29'!H42</f>
        <v>1192655.6400000001</v>
      </c>
      <c r="I41" s="56"/>
      <c r="J41" s="58">
        <f>H41/DAY(B2)</f>
        <v>39755.188000000002</v>
      </c>
      <c r="K41" s="59"/>
      <c r="L41" s="117"/>
    </row>
    <row r="42" spans="1:12" ht="23.25" customHeight="1">
      <c r="A42" s="320" t="s">
        <v>172</v>
      </c>
      <c r="B42" s="321"/>
      <c r="C42" s="322"/>
      <c r="D42" s="268" t="s">
        <v>132</v>
      </c>
      <c r="E42" s="56">
        <f>'29'!F43</f>
        <v>971519.51</v>
      </c>
      <c r="F42" s="344">
        <v>1479848.9</v>
      </c>
      <c r="G42" s="318">
        <f t="shared" si="3"/>
        <v>508329.3899999999</v>
      </c>
      <c r="H42" s="57">
        <f>G42+'29'!H43</f>
        <v>577800.89999999991</v>
      </c>
      <c r="I42" s="56"/>
      <c r="J42" s="58">
        <f>H42/DAY(B2)</f>
        <v>19260.029999999995</v>
      </c>
      <c r="K42" s="59"/>
      <c r="L42" s="117"/>
    </row>
    <row r="43" spans="1:12" ht="23.25" customHeight="1">
      <c r="A43" s="320" t="s">
        <v>173</v>
      </c>
      <c r="B43" s="321"/>
      <c r="C43" s="322"/>
      <c r="D43" s="268" t="s">
        <v>132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174</v>
      </c>
      <c r="B44" s="321"/>
      <c r="C44" s="322"/>
      <c r="D44" s="268" t="s">
        <v>132</v>
      </c>
      <c r="E44" s="56">
        <f>'29'!F45</f>
        <v>614</v>
      </c>
      <c r="F44" s="344">
        <v>945</v>
      </c>
      <c r="G44" s="318">
        <f t="shared" si="3"/>
        <v>331</v>
      </c>
      <c r="H44" s="57">
        <f>G44+'29'!H45</f>
        <v>945</v>
      </c>
      <c r="I44" s="56"/>
      <c r="J44" s="58">
        <f>H44/DAY(B2)</f>
        <v>31.5</v>
      </c>
      <c r="K44" s="59"/>
      <c r="L44" s="117"/>
    </row>
    <row r="45" spans="1:12" ht="23.25" customHeight="1">
      <c r="A45" s="320" t="s">
        <v>175</v>
      </c>
      <c r="B45" s="321"/>
      <c r="C45" s="322"/>
      <c r="D45" s="268" t="s">
        <v>132</v>
      </c>
      <c r="E45" s="56">
        <f>'29'!F46</f>
        <v>187</v>
      </c>
      <c r="F45" s="344">
        <v>375</v>
      </c>
      <c r="G45" s="318">
        <f t="shared" si="3"/>
        <v>188</v>
      </c>
      <c r="H45" s="57">
        <f>G45+'29'!H46</f>
        <v>374.95</v>
      </c>
      <c r="I45" s="56"/>
      <c r="J45" s="58">
        <f>H45/DAY(B2)</f>
        <v>12.498333333333333</v>
      </c>
      <c r="K45" s="59"/>
      <c r="L45" s="117"/>
    </row>
    <row r="46" spans="1:12" ht="23.25" customHeight="1">
      <c r="A46" s="400" t="s">
        <v>176</v>
      </c>
      <c r="B46" s="401"/>
      <c r="C46" s="402"/>
      <c r="D46" s="349"/>
      <c r="E46" s="414"/>
      <c r="F46" s="269"/>
      <c r="G46" s="279">
        <f>G34+G35+G36+G37+G38+G39+G40+G41+G42+G43+G44+G45</f>
        <v>5238662.6399999997</v>
      </c>
      <c r="H46" s="57">
        <f>G46+'29'!H47</f>
        <v>5642904.8399999999</v>
      </c>
      <c r="I46" s="56"/>
      <c r="J46" s="58">
        <f>H46/DAY(B2)</f>
        <v>188096.82800000001</v>
      </c>
      <c r="K46" s="59"/>
      <c r="L46" s="117"/>
    </row>
    <row r="47" spans="1:12" ht="23.25" customHeight="1">
      <c r="A47" s="1121" t="s">
        <v>177</v>
      </c>
      <c r="B47" s="1122"/>
      <c r="C47" s="1123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164</v>
      </c>
      <c r="B48" s="350"/>
      <c r="C48" s="351"/>
      <c r="D48" s="268" t="s">
        <v>132</v>
      </c>
      <c r="E48" s="415">
        <f>'29'!F49</f>
        <v>260732.13</v>
      </c>
      <c r="F48" s="344">
        <v>793704.71</v>
      </c>
      <c r="G48" s="318">
        <f t="shared" ref="G48:G57" si="4">F48-E48</f>
        <v>532972.57999999996</v>
      </c>
      <c r="H48" s="57">
        <f>G48+'29'!H49</f>
        <v>532972.71</v>
      </c>
      <c r="I48" s="56"/>
      <c r="J48" s="58">
        <f>H48/DAY(B2)</f>
        <v>17765.756999999998</v>
      </c>
      <c r="K48" s="59"/>
      <c r="L48" s="117"/>
    </row>
    <row r="49" spans="1:12" ht="23.25" customHeight="1">
      <c r="A49" s="320" t="s">
        <v>178</v>
      </c>
      <c r="B49" s="350"/>
      <c r="C49" s="351"/>
      <c r="D49" s="268" t="s">
        <v>132</v>
      </c>
      <c r="E49" s="56">
        <f>'29'!F50</f>
        <v>473153.27</v>
      </c>
      <c r="F49" s="344">
        <v>707853.75</v>
      </c>
      <c r="G49" s="318">
        <f t="shared" si="4"/>
        <v>234700.47999999998</v>
      </c>
      <c r="H49" s="57">
        <f>G49+'29'!H50</f>
        <v>265579.70999999996</v>
      </c>
      <c r="I49" s="56"/>
      <c r="J49" s="58">
        <f>H49/DAY(B2)</f>
        <v>8852.6569999999992</v>
      </c>
      <c r="K49" s="59"/>
      <c r="L49" s="117"/>
    </row>
    <row r="50" spans="1:12" ht="23.25" customHeight="1">
      <c r="A50" s="320" t="s">
        <v>166</v>
      </c>
      <c r="B50" s="350"/>
      <c r="C50" s="351"/>
      <c r="D50" s="268" t="s">
        <v>132</v>
      </c>
      <c r="E50" s="56">
        <f>'29'!F51</f>
        <v>144639.87</v>
      </c>
      <c r="F50" s="344">
        <v>552102.06999999995</v>
      </c>
      <c r="G50" s="318">
        <f t="shared" si="4"/>
        <v>407462.19999999995</v>
      </c>
      <c r="H50" s="57">
        <f>G50+'29'!H51</f>
        <v>407462.06999999995</v>
      </c>
      <c r="I50" s="56"/>
      <c r="J50" s="58">
        <f>H50/DAY(B2)</f>
        <v>13582.068999999998</v>
      </c>
      <c r="K50" s="59"/>
      <c r="L50" s="117"/>
    </row>
    <row r="51" spans="1:12" ht="23.25" customHeight="1">
      <c r="A51" s="320" t="s">
        <v>179</v>
      </c>
      <c r="B51" s="350"/>
      <c r="C51" s="351"/>
      <c r="D51" s="268" t="s">
        <v>132</v>
      </c>
      <c r="E51" s="56">
        <f>'29'!F52</f>
        <v>539606.06999999995</v>
      </c>
      <c r="F51" s="344">
        <v>1244061</v>
      </c>
      <c r="G51" s="318">
        <f t="shared" si="4"/>
        <v>704454.93</v>
      </c>
      <c r="H51" s="57">
        <f>G51+'29'!H52</f>
        <v>704455</v>
      </c>
      <c r="I51" s="56"/>
      <c r="J51" s="58">
        <f>H51/DAY(B2)</f>
        <v>23481.833333333332</v>
      </c>
      <c r="K51" s="59"/>
      <c r="L51" s="117"/>
    </row>
    <row r="52" spans="1:12" ht="23.25" customHeight="1">
      <c r="A52" s="320" t="s">
        <v>168</v>
      </c>
      <c r="B52" s="350"/>
      <c r="C52" s="351"/>
      <c r="D52" s="268" t="s">
        <v>132</v>
      </c>
      <c r="E52" s="56">
        <f>'29'!F53</f>
        <v>415735.79</v>
      </c>
      <c r="F52" s="344">
        <v>495803.59</v>
      </c>
      <c r="G52" s="318">
        <f t="shared" si="4"/>
        <v>80067.800000000047</v>
      </c>
      <c r="H52" s="57">
        <f>G52+'29'!H53</f>
        <v>91623.790000000037</v>
      </c>
      <c r="I52" s="56"/>
      <c r="J52" s="58">
        <f>H52/DAY(B2)</f>
        <v>3054.1263333333345</v>
      </c>
      <c r="K52" s="59"/>
      <c r="L52" s="117"/>
    </row>
    <row r="53" spans="1:12" ht="23.25" customHeight="1">
      <c r="A53" s="320" t="s">
        <v>180</v>
      </c>
      <c r="B53" s="350"/>
      <c r="C53" s="351"/>
      <c r="D53" s="268" t="s">
        <v>132</v>
      </c>
      <c r="E53" s="56">
        <f>'29'!F54</f>
        <v>11307.45</v>
      </c>
      <c r="F53" s="344">
        <v>55471.01</v>
      </c>
      <c r="G53" s="318">
        <f t="shared" si="4"/>
        <v>44163.56</v>
      </c>
      <c r="H53" s="57">
        <f>G53+'29'!H54</f>
        <v>49246.04</v>
      </c>
      <c r="I53" s="56"/>
      <c r="J53" s="58">
        <f>H53/DAY(B2)</f>
        <v>1641.5346666666667</v>
      </c>
      <c r="K53" s="59"/>
      <c r="L53" s="117"/>
    </row>
    <row r="54" spans="1:12" ht="23.25" customHeight="1">
      <c r="A54" s="320" t="s">
        <v>181</v>
      </c>
      <c r="B54" s="350"/>
      <c r="C54" s="351"/>
      <c r="D54" s="268" t="s">
        <v>132</v>
      </c>
      <c r="E54" s="56">
        <f>'29'!F55</f>
        <v>345059</v>
      </c>
      <c r="F54" s="344">
        <v>741511.59</v>
      </c>
      <c r="G54" s="318">
        <f t="shared" si="4"/>
        <v>396452.58999999997</v>
      </c>
      <c r="H54" s="57">
        <f>G54+'29'!H55</f>
        <v>520058.38999999996</v>
      </c>
      <c r="I54" s="56"/>
      <c r="J54" s="58">
        <f>H54/DAY(B2)</f>
        <v>17335.279666666665</v>
      </c>
      <c r="K54" s="59"/>
      <c r="L54" s="117"/>
    </row>
    <row r="55" spans="1:12" ht="23.25" customHeight="1">
      <c r="A55" s="320" t="s">
        <v>182</v>
      </c>
      <c r="B55" s="350"/>
      <c r="C55" s="351"/>
      <c r="D55" s="268" t="s">
        <v>183</v>
      </c>
      <c r="E55" s="56">
        <f>'29'!F56</f>
        <v>589288.47</v>
      </c>
      <c r="F55" s="344">
        <v>334966</v>
      </c>
      <c r="G55" s="318">
        <f t="shared" si="4"/>
        <v>-254322.46999999997</v>
      </c>
      <c r="H55" s="57">
        <f>G55+'29'!H56</f>
        <v>-254010.16000000003</v>
      </c>
      <c r="I55" s="56"/>
      <c r="J55" s="58">
        <f>H55/DAY(B2)</f>
        <v>-8467.0053333333344</v>
      </c>
      <c r="K55" s="43"/>
      <c r="L55" s="117"/>
    </row>
    <row r="56" spans="1:12" ht="23.25" customHeight="1">
      <c r="A56" s="320" t="s">
        <v>172</v>
      </c>
      <c r="B56" s="350"/>
      <c r="C56" s="351"/>
      <c r="D56" s="268" t="s">
        <v>132</v>
      </c>
      <c r="E56" s="56">
        <f>'29'!F57</f>
        <v>7711</v>
      </c>
      <c r="F56" s="344">
        <v>0</v>
      </c>
      <c r="G56" s="318">
        <f t="shared" si="4"/>
        <v>-7711</v>
      </c>
      <c r="H56" s="57">
        <f>G56+'29'!H57</f>
        <v>-7711</v>
      </c>
      <c r="I56" s="56"/>
      <c r="J56" s="58">
        <f>H56/DAY(B2)</f>
        <v>-257.03333333333336</v>
      </c>
      <c r="K56" s="59"/>
      <c r="L56" s="117"/>
    </row>
    <row r="57" spans="1:12" ht="23.25" customHeight="1">
      <c r="A57" s="320" t="s">
        <v>184</v>
      </c>
      <c r="B57" s="350"/>
      <c r="C57" s="351"/>
      <c r="D57" s="268" t="s">
        <v>132</v>
      </c>
      <c r="E57" s="56">
        <f>'29'!F58</f>
        <v>46666.81</v>
      </c>
      <c r="F57" s="344">
        <v>2065.9499999999998</v>
      </c>
      <c r="G57" s="318">
        <f t="shared" si="4"/>
        <v>-44600.86</v>
      </c>
      <c r="H57" s="57">
        <f>G57+'29'!H58</f>
        <v>-39635.390000000007</v>
      </c>
      <c r="I57" s="56"/>
      <c r="J57" s="58">
        <f>H57/DAY(B2)</f>
        <v>-1321.1796666666669</v>
      </c>
      <c r="K57" s="59"/>
      <c r="L57" s="117"/>
    </row>
    <row r="58" spans="1:12" ht="23.25" customHeight="1">
      <c r="A58" s="400" t="s">
        <v>176</v>
      </c>
      <c r="B58" s="401"/>
      <c r="C58" s="402"/>
      <c r="D58" s="269"/>
      <c r="E58" s="414"/>
      <c r="F58" s="269"/>
      <c r="G58" s="279">
        <f>G48+G49+G50+G51+G52+G53+G54+G55+G56+G57</f>
        <v>2093639.8099999998</v>
      </c>
      <c r="H58" s="57">
        <f>G58+'29'!H59</f>
        <v>2270039.1599999997</v>
      </c>
      <c r="I58" s="56">
        <f>G7-G59</f>
        <v>-9425125.5499999989</v>
      </c>
      <c r="J58" s="58">
        <f>H58/DAY(B2)</f>
        <v>75667.971999999994</v>
      </c>
      <c r="K58" s="59"/>
      <c r="L58" s="117"/>
    </row>
    <row r="59" spans="1:12" ht="23.25" customHeight="1">
      <c r="A59" s="352"/>
      <c r="B59" s="352"/>
      <c r="C59" s="352"/>
      <c r="D59" s="269" t="s">
        <v>185</v>
      </c>
      <c r="E59" s="269"/>
      <c r="F59" s="269"/>
      <c r="G59" s="279">
        <f>G46+G58</f>
        <v>7332302.4499999993</v>
      </c>
      <c r="H59" s="57">
        <f>G59+'29'!H60</f>
        <v>7920143.5499999989</v>
      </c>
      <c r="I59" s="56">
        <f>G13-G59</f>
        <v>-4795970.84</v>
      </c>
      <c r="J59" s="58">
        <f>H59/DAY(B2)</f>
        <v>264004.78499999997</v>
      </c>
      <c r="K59" s="59"/>
      <c r="L59" s="117"/>
    </row>
    <row r="60" spans="1:12" ht="23.25" customHeight="1">
      <c r="A60" s="392" t="s">
        <v>186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98</v>
      </c>
      <c r="B61" s="354"/>
      <c r="C61" s="355"/>
      <c r="D61" s="269" t="s">
        <v>187</v>
      </c>
      <c r="E61" s="415">
        <f>'29'!F62</f>
        <v>20419</v>
      </c>
      <c r="F61" s="270">
        <v>55085</v>
      </c>
      <c r="G61" s="318">
        <f t="shared" ref="G61:G68" si="5">F61-E61</f>
        <v>34666</v>
      </c>
      <c r="H61" s="57">
        <f>G61+'29'!H62</f>
        <v>34666.182000000001</v>
      </c>
      <c r="I61" s="201"/>
      <c r="J61" s="58">
        <f>H61/DAY(B2)</f>
        <v>1155.5394000000001</v>
      </c>
      <c r="K61" s="59"/>
      <c r="L61" s="117"/>
    </row>
    <row r="62" spans="1:12" ht="23.25" customHeight="1">
      <c r="A62" s="353" t="s">
        <v>188</v>
      </c>
      <c r="B62" s="354"/>
      <c r="C62" s="355"/>
      <c r="D62" s="269" t="s">
        <v>187</v>
      </c>
      <c r="E62" s="56">
        <f>'29'!F63</f>
        <v>2355.71</v>
      </c>
      <c r="F62" s="270">
        <v>113360.74</v>
      </c>
      <c r="G62" s="318">
        <f t="shared" si="5"/>
        <v>111005.03</v>
      </c>
      <c r="H62" s="57">
        <f>G62+'29'!H63</f>
        <v>111264.74</v>
      </c>
      <c r="I62" s="201"/>
      <c r="J62" s="58">
        <f>H62/DAY(B2)</f>
        <v>3708.8246666666669</v>
      </c>
      <c r="K62" s="59"/>
      <c r="L62" s="117"/>
    </row>
    <row r="63" spans="1:12" ht="23.25" customHeight="1">
      <c r="A63" s="1723" t="s">
        <v>99</v>
      </c>
      <c r="B63" s="1724"/>
      <c r="C63" s="1725"/>
      <c r="D63" s="268" t="s">
        <v>187</v>
      </c>
      <c r="E63" s="56">
        <f>'29'!F64</f>
        <v>153063.73000000001</v>
      </c>
      <c r="F63" s="267">
        <v>274089</v>
      </c>
      <c r="G63" s="318">
        <f t="shared" si="5"/>
        <v>121025.26999999999</v>
      </c>
      <c r="H63" s="57">
        <f>G63+'29'!H64</f>
        <v>134909</v>
      </c>
      <c r="I63" s="69"/>
      <c r="J63" s="58">
        <f>H63/DAY(B2)</f>
        <v>4496.9666666666662</v>
      </c>
      <c r="K63" s="59"/>
      <c r="L63" s="117"/>
    </row>
    <row r="64" spans="1:12" ht="23.25" customHeight="1">
      <c r="A64" s="1723" t="s">
        <v>100</v>
      </c>
      <c r="B64" s="1724"/>
      <c r="C64" s="1725"/>
      <c r="D64" s="268" t="s">
        <v>187</v>
      </c>
      <c r="E64" s="56">
        <f>'29'!F65</f>
        <v>154390.29999999999</v>
      </c>
      <c r="F64" s="267">
        <v>218102.43</v>
      </c>
      <c r="G64" s="318">
        <f t="shared" si="5"/>
        <v>63712.130000000005</v>
      </c>
      <c r="H64" s="57">
        <f>G64+'29'!H65</f>
        <v>73897.429999999993</v>
      </c>
      <c r="I64" s="80"/>
      <c r="J64" s="58">
        <f>H64/DAY(B2)</f>
        <v>2463.2476666666666</v>
      </c>
      <c r="K64" s="59"/>
      <c r="L64" s="117"/>
    </row>
    <row r="65" spans="1:12" ht="23.25" customHeight="1">
      <c r="A65" s="1723" t="s">
        <v>101</v>
      </c>
      <c r="B65" s="1724"/>
      <c r="C65" s="1725"/>
      <c r="D65" s="268" t="s">
        <v>187</v>
      </c>
      <c r="E65" s="56">
        <f>'29'!F66</f>
        <v>48305.58</v>
      </c>
      <c r="F65" s="267">
        <v>7977.92</v>
      </c>
      <c r="G65" s="318">
        <f t="shared" si="5"/>
        <v>-40327.660000000003</v>
      </c>
      <c r="H65" s="57">
        <f>G65+'29'!H66</f>
        <v>-29230.080000000002</v>
      </c>
      <c r="I65" s="69"/>
      <c r="J65" s="58">
        <f>H65/DAY(B2)</f>
        <v>-974.33600000000001</v>
      </c>
      <c r="K65" s="59"/>
      <c r="L65" s="117"/>
    </row>
    <row r="66" spans="1:12" ht="23.25" customHeight="1">
      <c r="A66" s="1723" t="s">
        <v>102</v>
      </c>
      <c r="B66" s="1724"/>
      <c r="C66" s="1725"/>
      <c r="D66" s="268" t="s">
        <v>187</v>
      </c>
      <c r="E66" s="56">
        <f>'29'!F67</f>
        <v>242893.27</v>
      </c>
      <c r="F66" s="267">
        <v>350190.03</v>
      </c>
      <c r="G66" s="318">
        <f t="shared" si="5"/>
        <v>107296.76000000004</v>
      </c>
      <c r="H66" s="57">
        <f>G66+'29'!H67</f>
        <v>121090.03000000003</v>
      </c>
      <c r="I66" s="80"/>
      <c r="J66" s="58">
        <f>H66/DAY(B2)</f>
        <v>4036.3343333333341</v>
      </c>
      <c r="K66" s="75"/>
      <c r="L66" s="117"/>
    </row>
    <row r="67" spans="1:12" ht="23.25" customHeight="1">
      <c r="A67" s="1723" t="s">
        <v>103</v>
      </c>
      <c r="B67" s="1724"/>
      <c r="C67" s="1725"/>
      <c r="D67" s="268" t="s">
        <v>187</v>
      </c>
      <c r="E67" s="56">
        <f>'29'!F68</f>
        <v>85321</v>
      </c>
      <c r="F67" s="267">
        <v>0</v>
      </c>
      <c r="G67" s="318">
        <f t="shared" si="5"/>
        <v>-85321</v>
      </c>
      <c r="H67" s="57">
        <f>G67+'29'!H68</f>
        <v>-83087</v>
      </c>
      <c r="I67" s="105"/>
      <c r="J67" s="58">
        <f>H67/DAY(B2)</f>
        <v>-2769.5666666666666</v>
      </c>
      <c r="K67" s="83"/>
      <c r="L67" s="117"/>
    </row>
    <row r="68" spans="1:12" ht="23.25" customHeight="1">
      <c r="A68" s="1723" t="s">
        <v>104</v>
      </c>
      <c r="B68" s="1724"/>
      <c r="C68" s="1725"/>
      <c r="D68" s="268" t="s">
        <v>187</v>
      </c>
      <c r="E68" s="56">
        <f>'29'!F69</f>
        <v>78874.87</v>
      </c>
      <c r="F68" s="267">
        <v>156094.09</v>
      </c>
      <c r="G68" s="318">
        <f t="shared" si="5"/>
        <v>77219.22</v>
      </c>
      <c r="H68" s="57">
        <f>G68+'29'!H69</f>
        <v>81765.09</v>
      </c>
      <c r="I68" s="105"/>
      <c r="J68" s="58">
        <f>H68/DAY(B2)</f>
        <v>2725.5029999999997</v>
      </c>
      <c r="K68" s="85"/>
      <c r="L68" s="117"/>
    </row>
    <row r="69" spans="1:12" ht="23.25" customHeight="1">
      <c r="A69" s="1726" t="s">
        <v>189</v>
      </c>
      <c r="B69" s="1727"/>
      <c r="C69" s="1728"/>
      <c r="D69" s="268" t="s">
        <v>187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717" t="s">
        <v>190</v>
      </c>
      <c r="B70" s="1718"/>
      <c r="C70" s="1718"/>
      <c r="D70" s="1718"/>
      <c r="E70" s="1718"/>
      <c r="F70" s="1718"/>
      <c r="G70" s="1718"/>
      <c r="H70" s="1718"/>
      <c r="I70" s="1718"/>
      <c r="J70" s="1719"/>
      <c r="K70" s="83"/>
      <c r="L70" s="117"/>
    </row>
    <row r="71" spans="1:12" ht="23.25" customHeight="1">
      <c r="A71" s="1723" t="s">
        <v>191</v>
      </c>
      <c r="B71" s="1724"/>
      <c r="C71" s="1725"/>
      <c r="D71" s="268" t="s">
        <v>187</v>
      </c>
      <c r="E71" s="415">
        <f>'29'!F72</f>
        <v>855444</v>
      </c>
      <c r="F71" s="271">
        <v>788748</v>
      </c>
      <c r="G71" s="318">
        <f t="shared" ref="G71:G83" si="6">F71-E71</f>
        <v>-66696</v>
      </c>
      <c r="H71" s="57">
        <f>G71+'29'!H72</f>
        <v>-64515</v>
      </c>
      <c r="I71" s="69"/>
      <c r="J71" s="58">
        <f>H71/DAY(B2)</f>
        <v>-2150.5</v>
      </c>
      <c r="K71" s="85"/>
      <c r="L71" s="117"/>
    </row>
    <row r="72" spans="1:12" ht="23.25" customHeight="1">
      <c r="A72" s="1723" t="s">
        <v>192</v>
      </c>
      <c r="B72" s="1724"/>
      <c r="C72" s="1725"/>
      <c r="D72" s="268" t="s">
        <v>187</v>
      </c>
      <c r="E72" s="56">
        <f>'29'!F73</f>
        <v>885871</v>
      </c>
      <c r="F72" s="271">
        <v>883770</v>
      </c>
      <c r="G72" s="318">
        <f t="shared" si="6"/>
        <v>-2101</v>
      </c>
      <c r="H72" s="57">
        <f>G72+'29'!H73</f>
        <v>-809</v>
      </c>
      <c r="I72" s="69"/>
      <c r="J72" s="58">
        <f>H72/DAY(B2)</f>
        <v>-26.966666666666665</v>
      </c>
      <c r="K72" s="83"/>
      <c r="L72" s="117"/>
    </row>
    <row r="73" spans="1:12" ht="23.25" customHeight="1">
      <c r="A73" s="1723" t="s">
        <v>193</v>
      </c>
      <c r="B73" s="1724"/>
      <c r="C73" s="1725"/>
      <c r="D73" s="268" t="s">
        <v>187</v>
      </c>
      <c r="E73" s="56">
        <f>'29'!F74</f>
        <v>2248.48</v>
      </c>
      <c r="F73" s="271">
        <v>783142</v>
      </c>
      <c r="G73" s="318">
        <f t="shared" si="6"/>
        <v>780893.52</v>
      </c>
      <c r="H73" s="57">
        <f>G73+'29'!H74</f>
        <v>781772</v>
      </c>
      <c r="I73" s="69"/>
      <c r="J73" s="58">
        <f>H73/DAY(B2)</f>
        <v>26059.066666666666</v>
      </c>
      <c r="K73" s="85"/>
      <c r="L73" s="117"/>
    </row>
    <row r="74" spans="1:12" ht="23.25" customHeight="1">
      <c r="A74" s="1729" t="s">
        <v>194</v>
      </c>
      <c r="B74" s="1730"/>
      <c r="C74" s="1731"/>
      <c r="D74" s="268" t="s">
        <v>187</v>
      </c>
      <c r="E74" s="56">
        <f>'29'!F75</f>
        <v>10911.43</v>
      </c>
      <c r="F74" s="271">
        <v>641404</v>
      </c>
      <c r="G74" s="318">
        <f t="shared" si="6"/>
        <v>630492.56999999995</v>
      </c>
      <c r="H74" s="57">
        <f>G74+'29'!H75</f>
        <v>632724</v>
      </c>
      <c r="I74" s="69"/>
      <c r="J74" s="58">
        <f>H74/DAY(B2)</f>
        <v>21090.799999999999</v>
      </c>
      <c r="K74" s="83"/>
      <c r="L74" s="117"/>
    </row>
    <row r="75" spans="1:12" ht="23.25" customHeight="1">
      <c r="A75" s="1729" t="s">
        <v>195</v>
      </c>
      <c r="B75" s="1730"/>
      <c r="C75" s="1731"/>
      <c r="D75" s="268" t="s">
        <v>187</v>
      </c>
      <c r="E75" s="56">
        <f>'29'!F76</f>
        <v>5659.36</v>
      </c>
      <c r="F75" s="271">
        <v>615603</v>
      </c>
      <c r="G75" s="318">
        <f t="shared" si="6"/>
        <v>609943.64</v>
      </c>
      <c r="H75" s="57">
        <f>G75+'29'!H76</f>
        <v>611977</v>
      </c>
      <c r="I75" s="112"/>
      <c r="J75" s="58">
        <f>H75/DAY(B2)</f>
        <v>20399.233333333334</v>
      </c>
      <c r="K75" s="83"/>
      <c r="L75" s="117"/>
    </row>
    <row r="76" spans="1:12" ht="23.25" customHeight="1">
      <c r="A76" s="1723" t="s">
        <v>196</v>
      </c>
      <c r="B76" s="1724"/>
      <c r="C76" s="1725"/>
      <c r="D76" s="268" t="s">
        <v>187</v>
      </c>
      <c r="E76" s="56">
        <f>'29'!F77</f>
        <v>701513</v>
      </c>
      <c r="F76" s="271">
        <v>669905</v>
      </c>
      <c r="G76" s="318">
        <f t="shared" si="6"/>
        <v>-31608</v>
      </c>
      <c r="H76" s="57">
        <f>G76+'29'!H77</f>
        <v>-30309</v>
      </c>
      <c r="I76" s="112"/>
      <c r="J76" s="58">
        <f>H76/DAY(B2)</f>
        <v>-1010.3</v>
      </c>
      <c r="K76" s="83"/>
      <c r="L76" s="117"/>
    </row>
    <row r="77" spans="1:12" ht="23.25" customHeight="1">
      <c r="A77" s="1129" t="s">
        <v>197</v>
      </c>
      <c r="B77" s="1130"/>
      <c r="C77" s="1131"/>
      <c r="D77" s="268" t="s">
        <v>187</v>
      </c>
      <c r="E77" s="56">
        <f>'29'!F78</f>
        <v>669798</v>
      </c>
      <c r="F77" s="271">
        <v>487314</v>
      </c>
      <c r="G77" s="318">
        <f t="shared" si="6"/>
        <v>-182484</v>
      </c>
      <c r="H77" s="57">
        <f>G77+'29'!H78</f>
        <v>-178066</v>
      </c>
      <c r="I77" s="112"/>
      <c r="J77" s="58">
        <f>H77/DAY(B2)</f>
        <v>-5935.5333333333338</v>
      </c>
      <c r="K77" s="83"/>
      <c r="L77" s="117"/>
    </row>
    <row r="78" spans="1:12" ht="23.25" customHeight="1">
      <c r="A78" s="1732" t="s">
        <v>92</v>
      </c>
      <c r="B78" s="1733"/>
      <c r="C78" s="1734"/>
      <c r="D78" s="356" t="s">
        <v>187</v>
      </c>
      <c r="E78" s="56">
        <f>'29'!F79</f>
        <v>826590</v>
      </c>
      <c r="F78" s="271">
        <v>677157</v>
      </c>
      <c r="G78" s="318">
        <f t="shared" si="6"/>
        <v>-149433</v>
      </c>
      <c r="H78" s="57">
        <f>G78+'29'!H79</f>
        <v>-143034</v>
      </c>
      <c r="I78" s="112"/>
      <c r="J78" s="58">
        <f>H78/DAY(B2)</f>
        <v>-4767.8</v>
      </c>
      <c r="K78" s="83"/>
      <c r="L78" s="117"/>
    </row>
    <row r="79" spans="1:12" ht="23.25" customHeight="1">
      <c r="A79" s="1732" t="s">
        <v>198</v>
      </c>
      <c r="B79" s="1733"/>
      <c r="C79" s="1734"/>
      <c r="D79" s="356" t="s">
        <v>187</v>
      </c>
      <c r="E79" s="56">
        <f>'29'!F80</f>
        <v>516357.24</v>
      </c>
      <c r="F79" s="271">
        <v>341072.6</v>
      </c>
      <c r="G79" s="318">
        <f t="shared" si="6"/>
        <v>-175284.64</v>
      </c>
      <c r="H79" s="57">
        <f>G79+'29'!H80</f>
        <v>-166855.40000000002</v>
      </c>
      <c r="I79" s="112"/>
      <c r="J79" s="58">
        <f>H79/DAY(B2)</f>
        <v>-5561.8466666666673</v>
      </c>
      <c r="K79" s="83"/>
      <c r="L79" s="117"/>
    </row>
    <row r="80" spans="1:12" ht="23.25" customHeight="1">
      <c r="A80" s="1732" t="s">
        <v>199</v>
      </c>
      <c r="B80" s="1733"/>
      <c r="C80" s="1734"/>
      <c r="D80" s="356" t="s">
        <v>187</v>
      </c>
      <c r="E80" s="56">
        <f>'29'!F81</f>
        <v>636404.12</v>
      </c>
      <c r="F80" s="271">
        <v>407588.2</v>
      </c>
      <c r="G80" s="318">
        <f t="shared" si="6"/>
        <v>-228815.91999999998</v>
      </c>
      <c r="H80" s="57">
        <f>G80+'29'!H81</f>
        <v>-222596.8</v>
      </c>
      <c r="I80" s="112"/>
      <c r="J80" s="58">
        <f>H80/DAY(B2)</f>
        <v>-7419.8933333333325</v>
      </c>
      <c r="K80" s="83"/>
      <c r="L80" s="117"/>
    </row>
    <row r="81" spans="1:12" ht="23.25" customHeight="1">
      <c r="A81" s="1735" t="s">
        <v>93</v>
      </c>
      <c r="B81" s="1733"/>
      <c r="C81" s="1734"/>
      <c r="D81" s="357" t="s">
        <v>132</v>
      </c>
      <c r="E81" s="56">
        <f>'29'!F82</f>
        <v>107569.60000000001</v>
      </c>
      <c r="F81" s="272">
        <v>72586.12</v>
      </c>
      <c r="G81" s="318">
        <f t="shared" si="6"/>
        <v>-34983.48000000001</v>
      </c>
      <c r="H81" s="57">
        <f>G81+'29'!H82</f>
        <v>-34308.880000000005</v>
      </c>
      <c r="I81" s="206"/>
      <c r="J81" s="58">
        <f>H81/DAY(B2)</f>
        <v>-1143.6293333333335</v>
      </c>
      <c r="K81" s="83"/>
      <c r="L81" s="117"/>
    </row>
    <row r="82" spans="1:12" ht="23.25" customHeight="1">
      <c r="A82" s="1735" t="s">
        <v>200</v>
      </c>
      <c r="B82" s="1733"/>
      <c r="C82" s="1734"/>
      <c r="D82" s="273" t="s">
        <v>132</v>
      </c>
      <c r="E82" s="56">
        <f>'29'!F83</f>
        <v>14522</v>
      </c>
      <c r="F82" s="269">
        <v>725847</v>
      </c>
      <c r="G82" s="318">
        <f t="shared" si="6"/>
        <v>711325</v>
      </c>
      <c r="H82" s="57">
        <f>G82+'29'!H83</f>
        <v>718790</v>
      </c>
      <c r="I82" s="68"/>
      <c r="J82" s="58">
        <f>H82/DAY(B2)</f>
        <v>23959.666666666668</v>
      </c>
      <c r="K82" s="75"/>
      <c r="L82" s="117"/>
    </row>
    <row r="83" spans="1:12" ht="23.25" customHeight="1">
      <c r="A83" s="1132" t="s">
        <v>201</v>
      </c>
      <c r="B83" s="1132"/>
      <c r="C83" s="1133"/>
      <c r="D83" s="358" t="s">
        <v>132</v>
      </c>
      <c r="E83" s="56">
        <f>'29'!F84</f>
        <v>479363</v>
      </c>
      <c r="F83" s="268">
        <v>960770</v>
      </c>
      <c r="G83" s="318">
        <f t="shared" si="6"/>
        <v>481407</v>
      </c>
      <c r="H83" s="57">
        <f>G83+'29'!H84</f>
        <v>506086</v>
      </c>
      <c r="I83" s="68"/>
      <c r="J83" s="58">
        <f>H83/DAY(B2)</f>
        <v>16869.533333333333</v>
      </c>
      <c r="K83" s="88"/>
      <c r="L83" s="117"/>
    </row>
    <row r="84" spans="1:12" s="38" customFormat="1" ht="23.25" customHeight="1">
      <c r="A84" s="409" t="s">
        <v>202</v>
      </c>
      <c r="B84" s="410"/>
      <c r="C84" s="410"/>
      <c r="D84" s="359"/>
      <c r="E84" s="312"/>
      <c r="F84" s="268"/>
      <c r="G84" s="368">
        <f xml:space="preserve"> SUM(G71:G83)</f>
        <v>2342655.69</v>
      </c>
      <c r="H84" s="57">
        <f>G84+'29'!H85</f>
        <v>2410513.92</v>
      </c>
      <c r="I84" s="68"/>
      <c r="J84" s="58">
        <f>H84/DAY(B2)</f>
        <v>80350.463999999993</v>
      </c>
      <c r="K84" s="88"/>
      <c r="L84" s="44"/>
    </row>
    <row r="85" spans="1:12" s="38" customFormat="1" ht="23.25" customHeight="1">
      <c r="A85" s="1124" t="s">
        <v>205</v>
      </c>
      <c r="B85" s="398"/>
      <c r="C85" s="1125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706" t="s">
        <v>206</v>
      </c>
      <c r="B86" s="1707"/>
      <c r="C86" s="1708"/>
      <c r="D86" s="268" t="s">
        <v>144</v>
      </c>
      <c r="E86" s="415">
        <f>'29'!F92</f>
        <v>244468</v>
      </c>
      <c r="F86" s="267">
        <v>175511</v>
      </c>
      <c r="G86" s="318">
        <f t="shared" ref="G86:G87" si="7">F86-E86</f>
        <v>-68957</v>
      </c>
      <c r="H86" s="57">
        <f>G86+'29'!H92</f>
        <v>-67135</v>
      </c>
      <c r="I86" s="69"/>
      <c r="J86" s="58">
        <f>H86/DAY(B2)</f>
        <v>-2237.8333333333335</v>
      </c>
      <c r="K86" s="75"/>
      <c r="L86" s="117"/>
    </row>
    <row r="87" spans="1:12" ht="23.25" customHeight="1">
      <c r="A87" s="1706" t="s">
        <v>207</v>
      </c>
      <c r="B87" s="1707"/>
      <c r="C87" s="1708"/>
      <c r="D87" s="268" t="s">
        <v>144</v>
      </c>
      <c r="E87" s="56">
        <f>'29'!F93</f>
        <v>183446</v>
      </c>
      <c r="F87" s="267">
        <v>60336</v>
      </c>
      <c r="G87" s="318">
        <f t="shared" si="7"/>
        <v>-123110</v>
      </c>
      <c r="H87" s="57">
        <f>G87+'29'!H93</f>
        <v>-119343</v>
      </c>
      <c r="I87" s="69"/>
      <c r="J87" s="58">
        <f>H87/DAY(B2)</f>
        <v>-3978.1</v>
      </c>
      <c r="K87" s="88"/>
      <c r="L87" s="117"/>
    </row>
    <row r="88" spans="1:12" ht="23.25" customHeight="1">
      <c r="A88" s="1736" t="s">
        <v>208</v>
      </c>
      <c r="B88" s="1737"/>
      <c r="C88" s="1738"/>
      <c r="D88" s="268"/>
      <c r="E88" s="56">
        <f>'29'!F94</f>
        <v>0</v>
      </c>
      <c r="F88" s="267"/>
      <c r="G88" s="318">
        <f>G86+G87</f>
        <v>-192067</v>
      </c>
      <c r="H88" s="57">
        <f>G88+'29'!H94</f>
        <v>-186697</v>
      </c>
      <c r="I88" s="69"/>
      <c r="J88" s="58">
        <f>H88/DAY(B2)</f>
        <v>-6223.2333333333336</v>
      </c>
      <c r="K88" s="88"/>
      <c r="L88" s="117"/>
    </row>
    <row r="89" spans="1:12" ht="23.25" customHeight="1">
      <c r="A89" s="1706" t="s">
        <v>209</v>
      </c>
      <c r="B89" s="1707"/>
      <c r="C89" s="1708"/>
      <c r="D89" s="268" t="s">
        <v>144</v>
      </c>
      <c r="E89" s="56">
        <f>'29'!F95</f>
        <v>412812</v>
      </c>
      <c r="F89" s="267">
        <v>351186</v>
      </c>
      <c r="G89" s="318">
        <f t="shared" ref="G89:G94" si="8">F89-E89</f>
        <v>-61626</v>
      </c>
      <c r="H89" s="57">
        <f>G89+'29'!H95</f>
        <v>-59599</v>
      </c>
      <c r="I89" s="69"/>
      <c r="J89" s="58">
        <f>H89/DAY(B2)</f>
        <v>-1986.6333333333334</v>
      </c>
      <c r="K89" s="88"/>
      <c r="L89" s="117"/>
    </row>
    <row r="90" spans="1:12" ht="23.25" customHeight="1">
      <c r="A90" s="1126" t="s">
        <v>210</v>
      </c>
      <c r="B90" s="1127"/>
      <c r="C90" s="1128"/>
      <c r="D90" s="268" t="s">
        <v>144</v>
      </c>
      <c r="E90" s="56">
        <v>72</v>
      </c>
      <c r="F90" s="267">
        <v>84</v>
      </c>
      <c r="G90" s="318">
        <f t="shared" si="8"/>
        <v>12</v>
      </c>
      <c r="H90" s="57">
        <f>G90+'29'!H96</f>
        <v>514</v>
      </c>
      <c r="I90" s="69"/>
      <c r="J90" s="58">
        <f>H90/DAY(B2)</f>
        <v>17.133333333333333</v>
      </c>
      <c r="K90" s="43"/>
      <c r="L90" s="117"/>
    </row>
    <row r="91" spans="1:12" ht="23.25" customHeight="1">
      <c r="A91" s="1126" t="s">
        <v>211</v>
      </c>
      <c r="B91" s="1127"/>
      <c r="C91" s="1128"/>
      <c r="D91" s="268" t="s">
        <v>144</v>
      </c>
      <c r="E91" s="56">
        <f>'29'!F97</f>
        <v>97411</v>
      </c>
      <c r="F91" s="267">
        <v>82333</v>
      </c>
      <c r="G91" s="318">
        <f t="shared" si="8"/>
        <v>-15078</v>
      </c>
      <c r="H91" s="57">
        <f>G91+'29'!H97</f>
        <v>-14595</v>
      </c>
      <c r="I91" s="69"/>
      <c r="J91" s="58">
        <f>H91/DAY(B2)</f>
        <v>-486.5</v>
      </c>
      <c r="K91" s="51"/>
      <c r="L91" s="117"/>
    </row>
    <row r="92" spans="1:12" ht="23.25" customHeight="1">
      <c r="A92" s="1126" t="s">
        <v>212</v>
      </c>
      <c r="B92" s="1127"/>
      <c r="C92" s="1128"/>
      <c r="D92" s="268" t="s">
        <v>144</v>
      </c>
      <c r="E92" s="56">
        <f>'29'!F98</f>
        <v>149525</v>
      </c>
      <c r="F92" s="267">
        <v>115948</v>
      </c>
      <c r="G92" s="318">
        <f t="shared" si="8"/>
        <v>-33577</v>
      </c>
      <c r="H92" s="57">
        <f>G92+'29'!H98</f>
        <v>-32961</v>
      </c>
      <c r="I92" s="69"/>
      <c r="J92" s="58">
        <f>H92/DAY(B2)</f>
        <v>-1098.7</v>
      </c>
      <c r="K92" s="88"/>
      <c r="L92" s="117"/>
    </row>
    <row r="93" spans="1:12" ht="23.25" customHeight="1">
      <c r="A93" s="1126" t="s">
        <v>213</v>
      </c>
      <c r="B93" s="1127"/>
      <c r="C93" s="1128"/>
      <c r="D93" s="268" t="s">
        <v>144</v>
      </c>
      <c r="E93" s="56">
        <f>'29'!F99</f>
        <v>7181</v>
      </c>
      <c r="F93" s="267">
        <v>2658</v>
      </c>
      <c r="G93" s="318">
        <f t="shared" si="8"/>
        <v>-4523</v>
      </c>
      <c r="H93" s="57">
        <f>G93+'29'!H99</f>
        <v>-4197</v>
      </c>
      <c r="I93" s="69"/>
      <c r="J93" s="58">
        <f>H93/DAY(B2)</f>
        <v>-139.9</v>
      </c>
      <c r="K93" s="88"/>
      <c r="L93" s="117"/>
    </row>
    <row r="94" spans="1:12" ht="23.25" customHeight="1">
      <c r="A94" s="1126" t="s">
        <v>214</v>
      </c>
      <c r="B94" s="1127"/>
      <c r="C94" s="1128"/>
      <c r="D94" s="268" t="s">
        <v>144</v>
      </c>
      <c r="E94" s="56">
        <f>'29'!F100</f>
        <v>5133</v>
      </c>
      <c r="F94" s="267">
        <v>2507</v>
      </c>
      <c r="G94" s="318">
        <f t="shared" si="8"/>
        <v>-2626</v>
      </c>
      <c r="H94" s="57">
        <f>G94+'29'!H100</f>
        <v>-2436</v>
      </c>
      <c r="I94" s="69"/>
      <c r="J94" s="58">
        <f>H94/DAY(B2)</f>
        <v>-81.2</v>
      </c>
      <c r="K94" s="88"/>
      <c r="L94" s="117"/>
    </row>
    <row r="95" spans="1:12" ht="23.25" customHeight="1">
      <c r="A95" s="1736" t="s">
        <v>216</v>
      </c>
      <c r="B95" s="1737"/>
      <c r="C95" s="1738"/>
      <c r="D95" s="274"/>
      <c r="E95" s="416"/>
      <c r="F95" s="274"/>
      <c r="G95" s="411">
        <f>SUM(G89:G94)</f>
        <v>-117418</v>
      </c>
      <c r="H95" s="57">
        <f>G95+'29'!H101</f>
        <v>-113274</v>
      </c>
      <c r="I95" s="140"/>
      <c r="J95" s="58">
        <f>H95/DAY(B2)</f>
        <v>-3775.8</v>
      </c>
      <c r="K95" s="88"/>
      <c r="L95" s="117"/>
    </row>
    <row r="96" spans="1:12" ht="23.25" customHeight="1">
      <c r="A96" s="1739" t="s">
        <v>230</v>
      </c>
      <c r="B96" s="1740"/>
      <c r="C96" s="1741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231</v>
      </c>
      <c r="B97" s="361"/>
      <c r="C97" s="362"/>
      <c r="D97" s="312" t="s">
        <v>141</v>
      </c>
      <c r="E97" s="415">
        <f>'29'!F123</f>
        <v>825896.04</v>
      </c>
      <c r="F97" s="275">
        <v>650192.71</v>
      </c>
      <c r="G97" s="318">
        <f t="shared" ref="G97:G101" si="9">F97-E97</f>
        <v>-175703.33000000007</v>
      </c>
      <c r="H97" s="57">
        <f>G97+'29'!H123</f>
        <v>-168617.29000000004</v>
      </c>
      <c r="I97" s="87"/>
      <c r="J97" s="58">
        <f>H97/DAY(B2)</f>
        <v>-5620.5763333333343</v>
      </c>
      <c r="K97" s="88"/>
      <c r="L97" s="117"/>
    </row>
    <row r="98" spans="1:12" ht="23.25" customHeight="1">
      <c r="A98" s="360" t="s">
        <v>232</v>
      </c>
      <c r="B98" s="361"/>
      <c r="C98" s="362"/>
      <c r="D98" s="312" t="s">
        <v>141</v>
      </c>
      <c r="E98" s="56">
        <f>'29'!F124</f>
        <v>73583</v>
      </c>
      <c r="F98" s="275">
        <v>51370</v>
      </c>
      <c r="G98" s="318">
        <f t="shared" si="9"/>
        <v>-22213</v>
      </c>
      <c r="H98" s="57">
        <f>G98+'29'!H124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723" t="s">
        <v>233</v>
      </c>
      <c r="B99" s="1724"/>
      <c r="C99" s="1725"/>
      <c r="D99" s="268" t="s">
        <v>141</v>
      </c>
      <c r="E99" s="56">
        <f>'29'!F125</f>
        <v>144610</v>
      </c>
      <c r="F99" s="264">
        <v>83294.490000000005</v>
      </c>
      <c r="G99" s="318">
        <f t="shared" si="9"/>
        <v>-61315.509999999995</v>
      </c>
      <c r="H99" s="57">
        <f>G99+'29'!H125</f>
        <v>-58841.509999999995</v>
      </c>
      <c r="I99" s="363"/>
      <c r="J99" s="58">
        <f>H99/DAY(B2)</f>
        <v>-1961.3836666666664</v>
      </c>
      <c r="K99" s="88"/>
      <c r="L99" s="117"/>
    </row>
    <row r="100" spans="1:12" ht="23.25" customHeight="1">
      <c r="A100" s="385" t="s">
        <v>234</v>
      </c>
      <c r="B100" s="1127"/>
      <c r="C100" s="1128"/>
      <c r="D100" s="268" t="s">
        <v>141</v>
      </c>
      <c r="E100" s="56">
        <f>'29'!F126</f>
        <v>31404</v>
      </c>
      <c r="F100" s="264">
        <v>39666</v>
      </c>
      <c r="G100" s="318">
        <f t="shared" si="9"/>
        <v>8262</v>
      </c>
      <c r="H100" s="57">
        <f>G100+'29'!H126</f>
        <v>8347.2999999999993</v>
      </c>
      <c r="I100" s="363"/>
      <c r="J100" s="58">
        <f>H100/DAY(B2)</f>
        <v>278.24333333333328</v>
      </c>
      <c r="K100" s="88"/>
      <c r="L100" s="117"/>
    </row>
    <row r="101" spans="1:12" ht="23.25" customHeight="1">
      <c r="A101" s="385" t="s">
        <v>235</v>
      </c>
      <c r="B101" s="1127"/>
      <c r="C101" s="1128"/>
      <c r="D101" s="268" t="s">
        <v>141</v>
      </c>
      <c r="E101" s="56">
        <f>'29'!F127</f>
        <v>8969.7000000000007</v>
      </c>
      <c r="F101" s="264">
        <v>6221.3</v>
      </c>
      <c r="G101" s="318">
        <f t="shared" si="9"/>
        <v>-2748.4000000000005</v>
      </c>
      <c r="H101" s="57">
        <f>G101+'29'!H127</f>
        <v>-2740.7</v>
      </c>
      <c r="I101" s="319"/>
      <c r="J101" s="308">
        <f>H101/DAY(B2)</f>
        <v>-91.356666666666655</v>
      </c>
      <c r="K101" s="88"/>
      <c r="L101" s="117"/>
    </row>
    <row r="102" spans="1:12" ht="23.25" customHeight="1">
      <c r="A102" s="1742" t="s">
        <v>250</v>
      </c>
      <c r="B102" s="1743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706" t="s">
        <v>251</v>
      </c>
      <c r="B103" s="1707"/>
      <c r="C103" s="1708"/>
      <c r="D103" s="268" t="s">
        <v>132</v>
      </c>
      <c r="E103" s="268"/>
      <c r="F103" s="268"/>
      <c r="G103" s="277">
        <f>G34+G42+G48+G56</f>
        <v>149564.93999999983</v>
      </c>
      <c r="H103" s="57">
        <f>G103+'29'!H142</f>
        <v>303063.60999999987</v>
      </c>
      <c r="I103" s="69"/>
      <c r="J103" s="58">
        <f>H103/DAY(B2)</f>
        <v>10102.120333333329</v>
      </c>
      <c r="K103" s="88"/>
      <c r="L103" s="117"/>
    </row>
    <row r="104" spans="1:12" ht="23.25" customHeight="1">
      <c r="A104" s="1706" t="s">
        <v>252</v>
      </c>
      <c r="B104" s="1707"/>
      <c r="C104" s="1708"/>
      <c r="D104" s="268" t="s">
        <v>24</v>
      </c>
      <c r="E104" s="269"/>
      <c r="F104" s="269"/>
      <c r="G104" s="280">
        <f>G103/G7</f>
        <v>-7.1465638925717043E-2</v>
      </c>
      <c r="H104" s="57">
        <f>G104+'29'!H143</f>
        <v>7.4089931024308733</v>
      </c>
      <c r="I104" s="84"/>
      <c r="J104" s="58">
        <f>H104/DAY(B2)</f>
        <v>0.24696643674769578</v>
      </c>
      <c r="K104" s="111"/>
      <c r="L104" s="117"/>
    </row>
    <row r="105" spans="1:12" ht="23.25" customHeight="1">
      <c r="A105" s="1706" t="s">
        <v>253</v>
      </c>
      <c r="B105" s="1707"/>
      <c r="C105" s="1708"/>
      <c r="D105" s="268" t="s">
        <v>132</v>
      </c>
      <c r="E105" s="265"/>
      <c r="F105" s="265"/>
      <c r="G105" s="277">
        <f>G40+G41+G54+G55</f>
        <v>2295113.75</v>
      </c>
      <c r="H105" s="57">
        <f>G105+'29'!H144</f>
        <v>2468944.73</v>
      </c>
      <c r="I105" s="69"/>
      <c r="J105" s="58">
        <f>H105/DAY(B2)</f>
        <v>82298.157666666666</v>
      </c>
      <c r="K105" s="111"/>
      <c r="L105" s="117"/>
    </row>
    <row r="106" spans="1:12" ht="23.25" customHeight="1">
      <c r="A106" s="1706" t="s">
        <v>254</v>
      </c>
      <c r="B106" s="1707"/>
      <c r="C106" s="1708"/>
      <c r="D106" s="268" t="s">
        <v>24</v>
      </c>
      <c r="E106" s="265"/>
      <c r="F106" s="265"/>
      <c r="G106" s="280">
        <f>G105/G7</f>
        <v>-1.096659220743502</v>
      </c>
      <c r="H106" s="57">
        <f>G106+'29'!H145</f>
        <v>7.3869292537271516</v>
      </c>
      <c r="I106" s="84"/>
      <c r="J106" s="58">
        <f>H106/DAY(B2)</f>
        <v>0.24623097512423839</v>
      </c>
      <c r="K106" s="111"/>
      <c r="L106" s="117"/>
    </row>
    <row r="107" spans="1:12" ht="23.25" customHeight="1">
      <c r="A107" s="1706" t="s">
        <v>255</v>
      </c>
      <c r="B107" s="1707"/>
      <c r="C107" s="1708"/>
      <c r="D107" s="268" t="s">
        <v>132</v>
      </c>
      <c r="E107" s="265"/>
      <c r="F107" s="265"/>
      <c r="G107" s="277">
        <f>G38+G52</f>
        <v>2333373.4500000002</v>
      </c>
      <c r="H107" s="57">
        <f>G107+'29'!H146</f>
        <v>2437137.6900000004</v>
      </c>
      <c r="I107" s="86"/>
      <c r="J107" s="58">
        <f>H107/DAY(B2)</f>
        <v>81237.92300000001</v>
      </c>
      <c r="K107" s="111"/>
      <c r="L107" s="117"/>
    </row>
    <row r="108" spans="1:12" ht="23.25" customHeight="1">
      <c r="A108" s="1706" t="s">
        <v>256</v>
      </c>
      <c r="B108" s="1707"/>
      <c r="C108" s="1708"/>
      <c r="D108" s="268" t="s">
        <v>24</v>
      </c>
      <c r="E108" s="265"/>
      <c r="F108" s="265"/>
      <c r="G108" s="280">
        <f>G107/G7</f>
        <v>-1.1149406034365734</v>
      </c>
      <c r="H108" s="57">
        <f>G108+'29'!H147</f>
        <v>3.9338822924240953</v>
      </c>
      <c r="I108" s="86"/>
      <c r="J108" s="58">
        <f>H108/DAY(B2)</f>
        <v>0.13112940974746984</v>
      </c>
    </row>
    <row r="109" spans="1:12" ht="23.25" customHeight="1">
      <c r="A109" s="1706" t="s">
        <v>257</v>
      </c>
      <c r="B109" s="1707"/>
      <c r="C109" s="1708"/>
      <c r="D109" s="268" t="s">
        <v>183</v>
      </c>
      <c r="E109" s="265"/>
      <c r="F109" s="265"/>
      <c r="G109" s="277">
        <f>G37+G51</f>
        <v>1261821.4399999999</v>
      </c>
      <c r="H109" s="57">
        <f>G109+'29'!H148</f>
        <v>1307650.75</v>
      </c>
      <c r="I109" s="69"/>
      <c r="J109" s="58">
        <f>H109/DAY(B2)</f>
        <v>43588.35833333333</v>
      </c>
      <c r="K109" s="153"/>
    </row>
    <row r="110" spans="1:12" ht="23.25" customHeight="1">
      <c r="A110" s="1706" t="s">
        <v>258</v>
      </c>
      <c r="B110" s="1707"/>
      <c r="C110" s="1708"/>
      <c r="D110" s="268" t="s">
        <v>24</v>
      </c>
      <c r="E110" s="265"/>
      <c r="F110" s="265"/>
      <c r="G110" s="280">
        <f>G109/G7</f>
        <v>-0.6029279015507808</v>
      </c>
      <c r="H110" s="57">
        <f>G110+'29'!H149</f>
        <v>1.6313994690949656</v>
      </c>
      <c r="I110" s="86"/>
      <c r="J110" s="58">
        <f>H110/DAY(B2)</f>
        <v>5.4379982303165521E-2</v>
      </c>
    </row>
    <row r="111" spans="1:12" ht="23.25" customHeight="1">
      <c r="A111" s="1706" t="s">
        <v>259</v>
      </c>
      <c r="B111" s="1707"/>
      <c r="C111" s="1708"/>
      <c r="D111" s="268" t="s">
        <v>183</v>
      </c>
      <c r="E111" s="265"/>
      <c r="F111" s="265"/>
      <c r="G111" s="277">
        <f>G35+G49</f>
        <v>585130.28</v>
      </c>
      <c r="H111" s="57">
        <f>G111+'29'!H150</f>
        <v>643508.22</v>
      </c>
      <c r="I111" s="86"/>
      <c r="J111" s="58">
        <f>H111/DAY(B2)</f>
        <v>21450.273999999998</v>
      </c>
    </row>
    <row r="112" spans="1:12" ht="23.25" customHeight="1">
      <c r="A112" s="1706" t="s">
        <v>260</v>
      </c>
      <c r="B112" s="1707"/>
      <c r="C112" s="1708"/>
      <c r="D112" s="268" t="s">
        <v>24</v>
      </c>
      <c r="E112" s="265"/>
      <c r="F112" s="265"/>
      <c r="G112" s="280">
        <f>G111/G7</f>
        <v>-0.27958898198323595</v>
      </c>
      <c r="H112" s="57">
        <f>G112+'29'!H151</f>
        <v>2.562400279840011</v>
      </c>
      <c r="I112" s="69"/>
      <c r="J112" s="58">
        <f>H112/DAY(B2)</f>
        <v>8.5413342661333699E-2</v>
      </c>
    </row>
    <row r="113" spans="1:10" ht="23.25" customHeight="1">
      <c r="A113" s="1706" t="s">
        <v>261</v>
      </c>
      <c r="B113" s="1707"/>
      <c r="C113" s="1708"/>
      <c r="D113" s="268" t="s">
        <v>183</v>
      </c>
      <c r="E113" s="265"/>
      <c r="F113" s="265"/>
      <c r="G113" s="277">
        <f>G36+G50</f>
        <v>706317.11999999988</v>
      </c>
      <c r="H113" s="57">
        <f>G113+'29'!H152</f>
        <v>745373.93999999983</v>
      </c>
      <c r="I113" s="69"/>
      <c r="J113" s="58">
        <f>H113/DAY(B2)</f>
        <v>24845.797999999995</v>
      </c>
    </row>
    <row r="114" spans="1:10" ht="23.25" customHeight="1">
      <c r="A114" s="1706" t="s">
        <v>262</v>
      </c>
      <c r="B114" s="1707"/>
      <c r="C114" s="1708"/>
      <c r="D114" s="268" t="s">
        <v>24</v>
      </c>
      <c r="E114" s="265"/>
      <c r="F114" s="265"/>
      <c r="G114" s="280">
        <f>G113/G7</f>
        <v>-0.33749489863715659</v>
      </c>
      <c r="H114" s="57">
        <f>G114+'29'!H153</f>
        <v>1.571438138008648</v>
      </c>
      <c r="I114" s="69"/>
      <c r="J114" s="58">
        <f>H114/DAY(B2)</f>
        <v>5.238127126695493E-2</v>
      </c>
    </row>
    <row r="115" spans="1:10" ht="23.25" customHeight="1">
      <c r="A115" s="388" t="s">
        <v>237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238</v>
      </c>
      <c r="B116" s="436"/>
      <c r="C116" s="436"/>
      <c r="D116" s="268" t="s">
        <v>239</v>
      </c>
      <c r="E116" s="415">
        <f>'29'!F130</f>
        <v>0</v>
      </c>
      <c r="F116" s="267">
        <v>0</v>
      </c>
      <c r="G116" s="318">
        <f t="shared" ref="G116:G126" si="10">F116-E116</f>
        <v>0</v>
      </c>
      <c r="H116" s="57">
        <f>G116+'29'!H130</f>
        <v>0</v>
      </c>
      <c r="I116" s="69"/>
      <c r="J116" s="58">
        <f>H116/DAY(B2)</f>
        <v>0</v>
      </c>
    </row>
    <row r="117" spans="1:10" ht="23.25" customHeight="1">
      <c r="A117" s="436" t="s">
        <v>240</v>
      </c>
      <c r="B117" s="436"/>
      <c r="C117" s="436"/>
      <c r="D117" s="268" t="s">
        <v>239</v>
      </c>
      <c r="E117" s="56">
        <f>'29'!F131</f>
        <v>0</v>
      </c>
      <c r="F117" s="267">
        <v>0</v>
      </c>
      <c r="G117" s="318">
        <f t="shared" si="10"/>
        <v>0</v>
      </c>
      <c r="H117" s="57">
        <f>G117+'29'!H131</f>
        <v>0</v>
      </c>
      <c r="I117" s="69"/>
      <c r="J117" s="58">
        <f>H117/DAY(B2)</f>
        <v>0</v>
      </c>
    </row>
    <row r="118" spans="1:10" ht="23.25" customHeight="1">
      <c r="A118" s="436" t="s">
        <v>241</v>
      </c>
      <c r="B118" s="436"/>
      <c r="C118" s="436"/>
      <c r="D118" s="268" t="s">
        <v>239</v>
      </c>
      <c r="E118" s="56">
        <f>'29'!F132</f>
        <v>39728.32</v>
      </c>
      <c r="F118" s="267">
        <v>36196</v>
      </c>
      <c r="G118" s="318">
        <f t="shared" si="10"/>
        <v>-3532.3199999999997</v>
      </c>
      <c r="H118" s="57">
        <f>G118+'29'!H132</f>
        <v>-3337</v>
      </c>
      <c r="I118" s="69"/>
      <c r="J118" s="58">
        <f>H118/DAY(B2)</f>
        <v>-111.23333333333333</v>
      </c>
    </row>
    <row r="119" spans="1:10" ht="23.25" customHeight="1">
      <c r="A119" s="436" t="s">
        <v>242</v>
      </c>
      <c r="B119" s="436"/>
      <c r="C119" s="436"/>
      <c r="D119" s="268" t="s">
        <v>239</v>
      </c>
      <c r="E119" s="56">
        <f>'29'!F133</f>
        <v>300</v>
      </c>
      <c r="F119" s="267">
        <v>32397.32</v>
      </c>
      <c r="G119" s="318">
        <f t="shared" si="10"/>
        <v>32097.32</v>
      </c>
      <c r="H119" s="57">
        <f>G119+'29'!H133</f>
        <v>32097.32</v>
      </c>
      <c r="I119" s="69">
        <f>G116+G117+G118+G119</f>
        <v>28565</v>
      </c>
      <c r="J119" s="58">
        <f>H119/DAY(B2)</f>
        <v>1069.9106666666667</v>
      </c>
    </row>
    <row r="120" spans="1:10" ht="23.25" customHeight="1">
      <c r="A120" s="436" t="s">
        <v>243</v>
      </c>
      <c r="B120" s="436"/>
      <c r="C120" s="436"/>
      <c r="D120" s="268" t="s">
        <v>239</v>
      </c>
      <c r="E120" s="56">
        <f>'29'!F134</f>
        <v>41377</v>
      </c>
      <c r="F120" s="267">
        <v>30495.25</v>
      </c>
      <c r="G120" s="318">
        <f t="shared" si="10"/>
        <v>-10881.75</v>
      </c>
      <c r="H120" s="57">
        <f>G120+'29'!H134</f>
        <v>-10775.75</v>
      </c>
      <c r="I120" s="69"/>
      <c r="J120" s="58">
        <f>H120/DAY(B2)</f>
        <v>-359.19166666666666</v>
      </c>
    </row>
    <row r="121" spans="1:10" ht="23.25" customHeight="1">
      <c r="A121" s="436" t="s">
        <v>244</v>
      </c>
      <c r="B121" s="436"/>
      <c r="C121" s="436"/>
      <c r="D121" s="268" t="s">
        <v>239</v>
      </c>
      <c r="E121" s="56">
        <f>'29'!F135</f>
        <v>32583</v>
      </c>
      <c r="F121" s="267">
        <v>25683.26</v>
      </c>
      <c r="G121" s="318">
        <f t="shared" si="10"/>
        <v>-6899.7400000000016</v>
      </c>
      <c r="H121" s="57">
        <f>G121+'29'!H135</f>
        <v>-6886.6700000000019</v>
      </c>
      <c r="I121" s="69"/>
      <c r="J121" s="58">
        <f>H121/DAY(B2)</f>
        <v>-229.55566666666672</v>
      </c>
    </row>
    <row r="122" spans="1:10" ht="23.25" customHeight="1">
      <c r="A122" s="436" t="s">
        <v>245</v>
      </c>
      <c r="B122" s="436"/>
      <c r="C122" s="436"/>
      <c r="D122" s="268" t="s">
        <v>239</v>
      </c>
      <c r="E122" s="56">
        <f>'29'!F136</f>
        <v>22739.59</v>
      </c>
      <c r="F122" s="267">
        <v>21285.49</v>
      </c>
      <c r="G122" s="318">
        <f t="shared" si="10"/>
        <v>-1454.0999999999985</v>
      </c>
      <c r="H122" s="57">
        <f>G122+'29'!H136</f>
        <v>-1203.1599999999999</v>
      </c>
      <c r="I122" s="69">
        <f>G120+G121+G122</f>
        <v>-19235.59</v>
      </c>
      <c r="J122" s="58">
        <f>H122/DAY(B2)</f>
        <v>-40.105333333333327</v>
      </c>
    </row>
    <row r="123" spans="1:10" ht="23.25" customHeight="1">
      <c r="A123" s="436" t="s">
        <v>246</v>
      </c>
      <c r="B123" s="436"/>
      <c r="C123" s="436"/>
      <c r="D123" s="268" t="s">
        <v>239</v>
      </c>
      <c r="E123" s="56">
        <f>'29'!F137</f>
        <v>25051.59</v>
      </c>
      <c r="F123" s="267">
        <v>22354.720000000001</v>
      </c>
      <c r="G123" s="318">
        <f t="shared" si="10"/>
        <v>-2696.869999999999</v>
      </c>
      <c r="H123" s="57">
        <f>G123+'29'!H137</f>
        <v>-2688.7700000000004</v>
      </c>
      <c r="I123" s="69"/>
      <c r="J123" s="58">
        <f>H123/DAY(B2)</f>
        <v>-89.625666666666675</v>
      </c>
    </row>
    <row r="124" spans="1:10" ht="23.25" customHeight="1">
      <c r="A124" s="436" t="s">
        <v>247</v>
      </c>
      <c r="B124" s="436"/>
      <c r="C124" s="436"/>
      <c r="D124" s="268" t="s">
        <v>239</v>
      </c>
      <c r="E124" s="56">
        <f>'29'!F138</f>
        <v>70306.759999999995</v>
      </c>
      <c r="F124" s="267">
        <v>64789.37</v>
      </c>
      <c r="G124" s="318">
        <f t="shared" si="10"/>
        <v>-5517.3899999999921</v>
      </c>
      <c r="H124" s="57">
        <f>G124+'29'!H138</f>
        <v>-5490.8599999999933</v>
      </c>
      <c r="I124" s="69">
        <f>G123+G124</f>
        <v>-8214.2599999999911</v>
      </c>
      <c r="J124" s="58">
        <f>H124/DAY(B2)</f>
        <v>-183.02866666666645</v>
      </c>
    </row>
    <row r="125" spans="1:10" ht="23.25" customHeight="1">
      <c r="A125" s="436" t="s">
        <v>248</v>
      </c>
      <c r="B125" s="436"/>
      <c r="C125" s="436"/>
      <c r="D125" s="268" t="s">
        <v>239</v>
      </c>
      <c r="E125" s="56">
        <f>'29'!F139</f>
        <v>1609.55</v>
      </c>
      <c r="F125" s="267">
        <v>17.899999999999999</v>
      </c>
      <c r="G125" s="318">
        <f t="shared" si="10"/>
        <v>-1591.6499999999999</v>
      </c>
      <c r="H125" s="57">
        <f>G125+'29'!H139</f>
        <v>-1518.62</v>
      </c>
      <c r="J125" s="58">
        <f>H125/DAY(B2)</f>
        <v>-50.620666666666665</v>
      </c>
    </row>
    <row r="126" spans="1:10" ht="23.25" customHeight="1" thickBot="1">
      <c r="A126" s="436" t="s">
        <v>249</v>
      </c>
      <c r="B126" s="436"/>
      <c r="C126" s="436"/>
      <c r="D126" s="268" t="s">
        <v>239</v>
      </c>
      <c r="E126" s="418">
        <f>'29'!F140</f>
        <v>4637</v>
      </c>
      <c r="F126" s="267">
        <v>603.07000000000005</v>
      </c>
      <c r="G126" s="318">
        <f t="shared" si="10"/>
        <v>-4033.93</v>
      </c>
      <c r="H126" s="57">
        <f>G126+'29'!H140</f>
        <v>-3865.47</v>
      </c>
      <c r="J126" s="58">
        <f>H126/DAY(B2)</f>
        <v>-128.84899999999999</v>
      </c>
    </row>
  </sheetData>
  <mergeCells count="49">
    <mergeCell ref="A114:C114"/>
    <mergeCell ref="A108:C108"/>
    <mergeCell ref="A109:C109"/>
    <mergeCell ref="A110:C110"/>
    <mergeCell ref="A111:C111"/>
    <mergeCell ref="A112:C112"/>
    <mergeCell ref="A113:C113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18:C18"/>
    <mergeCell ref="A1:J1"/>
    <mergeCell ref="E3:F3"/>
    <mergeCell ref="A6:C6"/>
    <mergeCell ref="A14:C14"/>
    <mergeCell ref="A17:C1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23696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22156</v>
      </c>
      <c r="B4" s="213"/>
    </row>
    <row r="5" spans="1:9">
      <c r="A5" s="213">
        <f>'3'!G7</f>
        <v>21071</v>
      </c>
    </row>
    <row r="6" spans="1:9">
      <c r="A6" s="213">
        <f>'4'!G7</f>
        <v>21717</v>
      </c>
    </row>
    <row r="7" spans="1:9">
      <c r="A7" s="213">
        <f>'5'!G7</f>
        <v>21598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2021-05-01T11:18:24Z</dcterms:modified>
</cp:coreProperties>
</file>