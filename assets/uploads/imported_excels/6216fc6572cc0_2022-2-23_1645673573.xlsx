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I30" i="10" s="1"/>
  <c r="I29" i="10"/>
  <c r="H29" i="10"/>
  <c r="H28" i="10"/>
  <c r="H27" i="10"/>
  <c r="I27" i="10" s="1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I28" i="9"/>
  <c r="G28" i="9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28" i="10" l="1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7" i="8" l="1"/>
  <c r="H24" i="8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<sst xmlns="http://schemas.openxmlformats.org/spreadsheetml/2006/main" count="74" uniqueCount="39">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</sst>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1391.0399999991059</v>
      </c>
      <c r="F23" s="3">
        <v>2.2000000000000002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1283.4000000003725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1313.7600000016391</v>
      </c>
      <c r="F25" s="3">
        <v>2.2000000000000002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-13291500.360000001</v>
      </c>
      <c r="F26" s="3">
        <v>2.2000000000000002</v>
      </c>
      <c r="G26" s="13">
        <f>Gas!J28</f>
        <v>-1176540.4133199998</v>
      </c>
      <c r="H26" s="3">
        <v>1.69</v>
      </c>
      <c r="I26" s="13">
        <f>Water!H28</f>
        <v>-11713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0</v>
      </c>
      <c r="F27" s="3">
        <v>2.2000000000000002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0</v>
      </c>
      <c r="F28" s="3">
        <v>2.2000000000000002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abSelected="1" workbookViewId="0">
      <selection activeCell="E28" sqref="E2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>
        <v>11713</v>
      </c>
      <c r="F25" s="24">
        <v>1065</v>
      </c>
      <c r="G25" s="24">
        <f t="shared" si="0"/>
        <v>12778</v>
      </c>
      <c r="H25" s="25">
        <f t="shared" si="1"/>
        <v>1</v>
      </c>
    </row>
    <row r="26" spans="4:8" s="32" customFormat="1" ht="11.25" customHeight="1" x14ac:dyDescent="0.25">
      <c r="D26" s="71">
        <v>44615</v>
      </c>
      <c r="E26" s="24">
        <v>11713</v>
      </c>
      <c r="F26" s="24">
        <v>1065</v>
      </c>
      <c r="G26" s="24">
        <f>E26+F26</f>
        <v>12778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>
        <v>11713</v>
      </c>
      <c r="F27" s="24">
        <v>1065</v>
      </c>
      <c r="G27" s="24">
        <f>E27+F27</f>
        <v>12778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/>
      <c r="F28" s="24">
        <v>1065</v>
      </c>
      <c r="G28" s="24">
        <f>E28+F28</f>
        <v>1065</v>
      </c>
      <c r="H28" s="25">
        <f>G28-G27</f>
        <v>-11713</v>
      </c>
    </row>
    <row r="29" spans="4:8" s="32" customFormat="1" ht="11.25" customHeight="1" x14ac:dyDescent="0.25">
      <c r="D29" s="71">
        <v>44618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>
        <v>760788</v>
      </c>
      <c r="F25" s="24">
        <v>172142</v>
      </c>
      <c r="G25" s="24">
        <f t="shared" si="3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>
        <v>760788</v>
      </c>
      <c r="F26" s="24">
        <v>172142</v>
      </c>
      <c r="G26" s="24">
        <f t="shared" si="3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>
        <v>760788</v>
      </c>
      <c r="F27" s="24">
        <v>172142</v>
      </c>
      <c r="G27" s="24">
        <f t="shared" si="3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-1176540.4133199998</v>
      </c>
    </row>
    <row r="29" spans="4:10" s="32" customFormat="1" ht="11.25" customHeight="1" x14ac:dyDescent="0.25">
      <c r="D29" s="34">
        <v>44618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workbookViewId="0">
      <selection activeCell="G27" sqref="G2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>
        <v>4814.82</v>
      </c>
      <c r="G25" s="23">
        <v>2760</v>
      </c>
      <c r="H25" s="24">
        <f t="shared" si="0"/>
        <v>13288903.199999999</v>
      </c>
      <c r="I25" s="25">
        <f t="shared" si="1"/>
        <v>1391.0399999991059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>
        <v>4815.2849999999999</v>
      </c>
      <c r="G26" s="28">
        <v>2760</v>
      </c>
      <c r="H26" s="29">
        <f t="shared" si="0"/>
        <v>13290186.6</v>
      </c>
      <c r="I26" s="25">
        <f t="shared" si="1"/>
        <v>1283.4000000003725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>
        <v>4815.7610000000004</v>
      </c>
      <c r="G27" s="28">
        <v>2760</v>
      </c>
      <c r="H27" s="29">
        <f t="shared" si="0"/>
        <v>13291500.360000001</v>
      </c>
      <c r="I27" s="25">
        <f t="shared" si="1"/>
        <v>1313.7600000016391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/>
      <c r="G28" s="28">
        <v>2760</v>
      </c>
      <c r="H28" s="29">
        <f>G28*F28</f>
        <v>0</v>
      </c>
      <c r="I28" s="25">
        <f t="shared" si="1"/>
        <v>-13291500.360000001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2022-02-24T03:32:14Z</dcterms:modified>
</cp:coreProperties>
</file>