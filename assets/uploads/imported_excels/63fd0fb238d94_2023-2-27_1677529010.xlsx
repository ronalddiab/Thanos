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19 Anouar\"/>
    </mc:Choice>
  </mc:AlternateContent>
  <xr:revisionPtr revIDLastSave="0" documentId="13_ncr:1_{C086B7A8-F666-4B49-924A-E765C7142BE4}" xr6:coauthVersionLast="47" xr6:coauthVersionMax="47" xr10:uidLastSave="{00000000-0000-0000-0000-000000000000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énergie'!$A$1:$Y$55</definedName>
    <definedName name="_xlnm.Print_Area" localSheetId="5">'facture électricité'!$A$1:$J$33</definedName>
    <definedName name="_xlnm.Print_Area" localSheetId="3">'Suivi EAU-ELEC'!$A$1:$K$46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2" l="1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L28" i="22"/>
  <c r="K29" i="22"/>
  <c r="L29" i="22"/>
  <c r="K30" i="22"/>
  <c r="L30" i="22"/>
  <c r="K31" i="22"/>
  <c r="L31" i="22"/>
  <c r="K32" i="22"/>
  <c r="L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" i="21"/>
  <c r="F3" i="21"/>
  <c r="G3" i="21"/>
  <c r="H3" i="21"/>
  <c r="I3" i="21"/>
  <c r="E4" i="21"/>
  <c r="F4" i="21"/>
  <c r="G4" i="21"/>
  <c r="H4" i="21"/>
  <c r="I4" i="21"/>
  <c r="E5" i="21"/>
  <c r="F5" i="21"/>
  <c r="G5" i="21"/>
  <c r="H5" i="21"/>
  <c r="I5" i="21"/>
  <c r="E6" i="21"/>
  <c r="F6" i="21"/>
  <c r="G6" i="21"/>
  <c r="H6" i="21"/>
  <c r="I6" i="21"/>
  <c r="E7" i="21"/>
  <c r="F7" i="21"/>
  <c r="G7" i="21"/>
  <c r="H7" i="21"/>
  <c r="I7" i="21"/>
  <c r="E8" i="21"/>
  <c r="F8" i="21"/>
  <c r="G8" i="21"/>
  <c r="H8" i="21"/>
  <c r="I8" i="21"/>
  <c r="E9" i="21"/>
  <c r="F9" i="21"/>
  <c r="G9" i="21"/>
  <c r="H9" i="21"/>
  <c r="I9" i="21"/>
  <c r="E10" i="21"/>
  <c r="F10" i="21"/>
  <c r="G10" i="21"/>
  <c r="H10" i="21"/>
  <c r="I10" i="21"/>
  <c r="E11" i="21"/>
  <c r="F11" i="21"/>
  <c r="G11" i="21"/>
  <c r="H11" i="21"/>
  <c r="I11" i="21"/>
  <c r="E12" i="21"/>
  <c r="F12" i="21"/>
  <c r="G12" i="21"/>
  <c r="H12" i="21"/>
  <c r="I12" i="21"/>
  <c r="E13" i="21"/>
  <c r="F13" i="21"/>
  <c r="G13" i="21"/>
  <c r="H13" i="21"/>
  <c r="I13" i="21"/>
  <c r="E14" i="21"/>
  <c r="F14" i="21"/>
  <c r="G14" i="21"/>
  <c r="H14" i="21"/>
  <c r="I14" i="21"/>
  <c r="E15" i="21"/>
  <c r="F15" i="21"/>
  <c r="G15" i="21"/>
  <c r="H15" i="21"/>
  <c r="I15" i="21"/>
  <c r="E16" i="21"/>
  <c r="F16" i="21"/>
  <c r="G16" i="21"/>
  <c r="H16" i="21"/>
  <c r="I16" i="21"/>
  <c r="E17" i="21"/>
  <c r="F17" i="21"/>
  <c r="G17" i="21"/>
  <c r="H17" i="21"/>
  <c r="I17" i="21"/>
  <c r="E18" i="21"/>
  <c r="F18" i="21"/>
  <c r="G18" i="21"/>
  <c r="H18" i="21"/>
  <c r="I18" i="21"/>
  <c r="E19" i="21"/>
  <c r="F19" i="21"/>
  <c r="G19" i="21"/>
  <c r="H19" i="21"/>
  <c r="I19" i="21"/>
  <c r="E20" i="21"/>
  <c r="F20" i="21"/>
  <c r="G20" i="21"/>
  <c r="H20" i="21"/>
  <c r="I20" i="21"/>
  <c r="E21" i="21"/>
  <c r="F21" i="21"/>
  <c r="G21" i="21"/>
  <c r="H21" i="21"/>
  <c r="I21" i="21"/>
  <c r="E22" i="21"/>
  <c r="F22" i="21"/>
  <c r="G22" i="21"/>
  <c r="H22" i="21"/>
  <c r="I22" i="21"/>
  <c r="E23" i="21"/>
  <c r="F23" i="21"/>
  <c r="G23" i="21"/>
  <c r="H23" i="21"/>
  <c r="I23" i="21"/>
  <c r="E24" i="21"/>
  <c r="F24" i="21"/>
  <c r="G24" i="21"/>
  <c r="H24" i="21"/>
  <c r="I24" i="21"/>
  <c r="E25" i="21"/>
  <c r="F25" i="21"/>
  <c r="G25" i="21"/>
  <c r="H25" i="21"/>
  <c r="I25" i="21"/>
  <c r="E26" i="21"/>
  <c r="F26" i="21"/>
  <c r="G26" i="21"/>
  <c r="H26" i="21"/>
  <c r="I26" i="21"/>
  <c r="E27" i="21"/>
  <c r="F27" i="21"/>
  <c r="G27" i="21"/>
  <c r="H27" i="21"/>
  <c r="I27" i="21"/>
  <c r="E28" i="21"/>
  <c r="F28" i="21"/>
  <c r="G28" i="21"/>
  <c r="H28" i="21"/>
  <c r="I28" i="21"/>
  <c r="E29" i="21"/>
  <c r="F29" i="21"/>
  <c r="G29" i="21"/>
  <c r="H29" i="21"/>
  <c r="I29" i="21"/>
  <c r="E30" i="21"/>
  <c r="F30" i="21"/>
  <c r="G30" i="21"/>
  <c r="H30" i="21"/>
  <c r="I30" i="21"/>
  <c r="E31" i="21"/>
  <c r="F31" i="21"/>
  <c r="G31" i="21"/>
  <c r="H31" i="21"/>
  <c r="I31" i="21"/>
  <c r="E32" i="21"/>
  <c r="F32" i="21"/>
  <c r="G32" i="21"/>
  <c r="H32" i="21"/>
  <c r="I32" i="21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L11" i="2"/>
  <c r="M11" i="2"/>
  <c r="N11" i="2"/>
  <c r="L12" i="2"/>
  <c r="M12" i="2"/>
  <c r="N12" i="2"/>
  <c r="L13" i="2"/>
  <c r="M13" i="2"/>
  <c r="N13" i="2"/>
  <c r="L14" i="2"/>
  <c r="M14" i="2"/>
  <c r="N14" i="2"/>
  <c r="L15" i="2"/>
  <c r="M15" i="2"/>
  <c r="N15" i="2"/>
  <c r="L16" i="2"/>
  <c r="M16" i="2"/>
  <c r="N16" i="2"/>
  <c r="L17" i="2"/>
  <c r="M17" i="2"/>
  <c r="N17" i="2"/>
  <c r="L18" i="2"/>
  <c r="M18" i="2"/>
  <c r="N18" i="2"/>
  <c r="L19" i="2"/>
  <c r="M19" i="2"/>
  <c r="N19" i="2"/>
  <c r="L20" i="2"/>
  <c r="M20" i="2"/>
  <c r="N20" i="2"/>
  <c r="L21" i="2"/>
  <c r="M21" i="2"/>
  <c r="N21" i="2"/>
  <c r="L22" i="2"/>
  <c r="M22" i="2"/>
  <c r="N22" i="2"/>
  <c r="L23" i="2"/>
  <c r="M23" i="2"/>
  <c r="N23" i="2"/>
  <c r="L24" i="2"/>
  <c r="M24" i="2"/>
  <c r="N24" i="2"/>
  <c r="L25" i="2"/>
  <c r="M25" i="2"/>
  <c r="N25" i="2"/>
  <c r="L26" i="2"/>
  <c r="M26" i="2"/>
  <c r="N26" i="2"/>
  <c r="L27" i="2"/>
  <c r="M27" i="2"/>
  <c r="N27" i="2"/>
  <c r="L28" i="2"/>
  <c r="M28" i="2"/>
  <c r="N28" i="2"/>
  <c r="L29" i="2"/>
  <c r="M29" i="2"/>
  <c r="N29" i="2"/>
  <c r="L30" i="2"/>
  <c r="M30" i="2"/>
  <c r="N30" i="2"/>
  <c r="L31" i="2"/>
  <c r="M31" i="2"/>
  <c r="N31" i="2"/>
  <c r="L32" i="2"/>
  <c r="M32" i="2"/>
  <c r="N32" i="2"/>
  <c r="L33" i="2"/>
  <c r="M33" i="2"/>
  <c r="N33" i="2"/>
  <c r="L34" i="2"/>
  <c r="M34" i="2"/>
  <c r="N34" i="2"/>
  <c r="L35" i="2"/>
  <c r="M35" i="2"/>
  <c r="N35" i="2"/>
  <c r="L36" i="2"/>
  <c r="M36" i="2"/>
  <c r="N36" i="2"/>
  <c r="L37" i="2"/>
  <c r="M37" i="2"/>
  <c r="N37" i="2"/>
  <c r="L38" i="2"/>
  <c r="M38" i="2"/>
  <c r="N38" i="2"/>
  <c r="L39" i="2"/>
  <c r="M39" i="2"/>
  <c r="N39" i="2"/>
  <c r="L40" i="2"/>
  <c r="M40" i="2"/>
  <c r="N4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L50" i="2" l="1"/>
  <c r="N50" i="2" s="1"/>
  <c r="L49" i="2"/>
  <c r="N49" i="2" s="1"/>
  <c r="L48" i="2"/>
  <c r="N48" i="2" s="1"/>
  <c r="L47" i="2"/>
  <c r="N47" i="2" s="1"/>
  <c r="F10" i="2"/>
  <c r="H10" i="2" s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V10" i="2"/>
  <c r="X10" i="2" s="1"/>
  <c r="Q11" i="2"/>
  <c r="Q19" i="2"/>
  <c r="Q35" i="2"/>
  <c r="N10" i="2"/>
  <c r="M10" i="2"/>
  <c r="F2" i="21" s="1"/>
  <c r="J2" i="21" s="1"/>
  <c r="L41" i="2"/>
  <c r="I44" i="2" s="1"/>
  <c r="L44" i="2" s="1"/>
  <c r="O18" i="2"/>
  <c r="O26" i="2"/>
  <c r="L10" i="2"/>
  <c r="Q10" i="2" s="1"/>
  <c r="K40" i="6"/>
  <c r="I40" i="6"/>
  <c r="G40" i="6"/>
  <c r="E40" i="6"/>
  <c r="C40" i="6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C34" i="6"/>
  <c r="K34" i="6"/>
  <c r="I34" i="6"/>
  <c r="G34" i="6"/>
  <c r="E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7" i="6"/>
  <c r="K28" i="6"/>
  <c r="K29" i="6"/>
  <c r="I27" i="6"/>
  <c r="I28" i="6"/>
  <c r="I29" i="6"/>
  <c r="G27" i="6"/>
  <c r="G28" i="6"/>
  <c r="G29" i="6"/>
  <c r="E27" i="6"/>
  <c r="E28" i="6"/>
  <c r="E29" i="6"/>
  <c r="C27" i="6"/>
  <c r="C28" i="6"/>
  <c r="C29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K13" i="6"/>
  <c r="I13" i="6"/>
  <c r="G13" i="6"/>
  <c r="E13" i="6"/>
  <c r="C13" i="6"/>
  <c r="K12" i="6"/>
  <c r="I12" i="6"/>
  <c r="G12" i="6"/>
  <c r="E12" i="6"/>
  <c r="C12" i="6"/>
  <c r="K11" i="6"/>
  <c r="I11" i="6"/>
  <c r="G11" i="6"/>
  <c r="E11" i="6"/>
  <c r="E10" i="6"/>
  <c r="K10" i="6"/>
  <c r="I10" i="6"/>
  <c r="G10" i="6"/>
  <c r="D29" i="10"/>
  <c r="K35" i="6"/>
  <c r="I35" i="6"/>
  <c r="G35" i="6"/>
  <c r="Q36" i="2" s="1"/>
  <c r="E35" i="6"/>
  <c r="C35" i="6"/>
  <c r="K22" i="6"/>
  <c r="I22" i="6"/>
  <c r="G22" i="6"/>
  <c r="E22" i="6"/>
  <c r="C22" i="6"/>
  <c r="K21" i="6"/>
  <c r="I21" i="6"/>
  <c r="G21" i="6"/>
  <c r="E21" i="6"/>
  <c r="C21" i="6"/>
  <c r="K15" i="6"/>
  <c r="I15" i="6"/>
  <c r="G15" i="6"/>
  <c r="E15" i="6"/>
  <c r="C15" i="6"/>
  <c r="K14" i="6"/>
  <c r="I14" i="6"/>
  <c r="G14" i="6"/>
  <c r="E14" i="6"/>
  <c r="C14" i="6"/>
  <c r="E2" i="21"/>
  <c r="M5" i="4"/>
  <c r="J5" i="4"/>
  <c r="K5" i="4"/>
  <c r="M4" i="4"/>
  <c r="J4" i="4"/>
  <c r="K4" i="4"/>
  <c r="M34" i="4"/>
  <c r="J34" i="4"/>
  <c r="K34" i="4"/>
  <c r="J35" i="4"/>
  <c r="K35" i="4"/>
  <c r="D29" i="19"/>
  <c r="F29" i="19"/>
  <c r="H29" i="19"/>
  <c r="I29" i="19"/>
  <c r="M7" i="4"/>
  <c r="J7" i="4"/>
  <c r="K7" i="4"/>
  <c r="M6" i="4"/>
  <c r="J6" i="4"/>
  <c r="K6" i="4"/>
  <c r="L2" i="22"/>
  <c r="K2" i="22"/>
  <c r="I2" i="22"/>
  <c r="I2" i="21"/>
  <c r="H2" i="21"/>
  <c r="D41" i="2"/>
  <c r="E41" i="2"/>
  <c r="G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 s="1"/>
  <c r="B32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 s="1"/>
  <c r="B32" i="22" s="1"/>
  <c r="J20" i="4"/>
  <c r="K20" i="4"/>
  <c r="AC30" i="4"/>
  <c r="G8" i="11"/>
  <c r="B13" i="11"/>
  <c r="F13" i="11"/>
  <c r="E29" i="10"/>
  <c r="F29" i="10"/>
  <c r="H29" i="10"/>
  <c r="I29" i="10"/>
  <c r="G8" i="18"/>
  <c r="E18" i="19"/>
  <c r="D26" i="19"/>
  <c r="F26" i="19"/>
  <c r="H26" i="19"/>
  <c r="I26" i="19"/>
  <c r="F18" i="20"/>
  <c r="F17" i="20"/>
  <c r="F16" i="20"/>
  <c r="G8" i="20"/>
  <c r="B13" i="20"/>
  <c r="F13" i="20"/>
  <c r="E17" i="19"/>
  <c r="F17" i="19"/>
  <c r="H31" i="19"/>
  <c r="I31" i="19"/>
  <c r="H30" i="19"/>
  <c r="I30" i="19"/>
  <c r="F28" i="19"/>
  <c r="E19" i="19"/>
  <c r="D27" i="19"/>
  <c r="F27" i="19"/>
  <c r="H27" i="19"/>
  <c r="I27" i="19"/>
  <c r="AC33" i="4"/>
  <c r="E33" i="4"/>
  <c r="AC16" i="4"/>
  <c r="AC17" i="4"/>
  <c r="E17" i="4"/>
  <c r="AC10" i="4"/>
  <c r="C10" i="4"/>
  <c r="AC11" i="4"/>
  <c r="I11" i="4"/>
  <c r="AC13" i="4"/>
  <c r="I13" i="4"/>
  <c r="G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2" i="4"/>
  <c r="G22" i="4"/>
  <c r="AC23" i="4"/>
  <c r="I23" i="4"/>
  <c r="AC24" i="4"/>
  <c r="E24" i="4"/>
  <c r="I24" i="4"/>
  <c r="C24" i="4"/>
  <c r="AC25" i="4"/>
  <c r="G25" i="4"/>
  <c r="C25" i="4"/>
  <c r="AC12" i="4"/>
  <c r="C12" i="4"/>
  <c r="O10" i="2"/>
  <c r="F20" i="18"/>
  <c r="F21" i="18"/>
  <c r="F22" i="18"/>
  <c r="F24" i="18"/>
  <c r="F28" i="18"/>
  <c r="F16" i="11"/>
  <c r="F17" i="11"/>
  <c r="F18" i="11"/>
  <c r="E17" i="10"/>
  <c r="D25" i="10"/>
  <c r="F25" i="10"/>
  <c r="E18" i="10"/>
  <c r="D26" i="10"/>
  <c r="F26" i="10"/>
  <c r="H26" i="10"/>
  <c r="I26" i="10"/>
  <c r="E19" i="10"/>
  <c r="I19" i="10"/>
  <c r="F28" i="10"/>
  <c r="H28" i="10"/>
  <c r="I28" i="10"/>
  <c r="H30" i="10"/>
  <c r="I30" i="10"/>
  <c r="H31" i="10"/>
  <c r="I31" i="10"/>
  <c r="AC4" i="4"/>
  <c r="AD4" i="4"/>
  <c r="AE4" i="4"/>
  <c r="AC5" i="4"/>
  <c r="AD5" i="4"/>
  <c r="AE5" i="4"/>
  <c r="AC6" i="4"/>
  <c r="L6" i="4" s="1"/>
  <c r="E6" i="4"/>
  <c r="AD6" i="4"/>
  <c r="AE6" i="4"/>
  <c r="AC7" i="4"/>
  <c r="G7" i="4"/>
  <c r="AD7" i="4"/>
  <c r="AE7" i="4"/>
  <c r="J8" i="4"/>
  <c r="K8" i="4"/>
  <c r="L7" i="4"/>
  <c r="M8" i="4"/>
  <c r="AC8" i="4"/>
  <c r="G8" i="4"/>
  <c r="AD8" i="4"/>
  <c r="AE8" i="4"/>
  <c r="J9" i="4"/>
  <c r="K9" i="4"/>
  <c r="M9" i="4"/>
  <c r="AC9" i="4"/>
  <c r="C9" i="4"/>
  <c r="AD9" i="4"/>
  <c r="AE9" i="4"/>
  <c r="J10" i="4"/>
  <c r="K10" i="4"/>
  <c r="L9" i="4"/>
  <c r="M10" i="4"/>
  <c r="AD10" i="4"/>
  <c r="AE10" i="4"/>
  <c r="J11" i="4"/>
  <c r="K11" i="4"/>
  <c r="L10" i="4"/>
  <c r="M11" i="4"/>
  <c r="AD11" i="4"/>
  <c r="AE11" i="4"/>
  <c r="J12" i="4"/>
  <c r="K12" i="4"/>
  <c r="L11" i="4"/>
  <c r="M12" i="4"/>
  <c r="AD12" i="4"/>
  <c r="AE12" i="4"/>
  <c r="J13" i="4"/>
  <c r="K13" i="4"/>
  <c r="L12" i="4"/>
  <c r="M13" i="4"/>
  <c r="AD13" i="4"/>
  <c r="AE13" i="4"/>
  <c r="J14" i="4"/>
  <c r="K14" i="4"/>
  <c r="L13" i="4"/>
  <c r="M14" i="4"/>
  <c r="AC14" i="4"/>
  <c r="C14" i="4"/>
  <c r="J15" i="4"/>
  <c r="K15" i="4"/>
  <c r="L14" i="4"/>
  <c r="M15" i="4"/>
  <c r="AC15" i="4"/>
  <c r="J16" i="4"/>
  <c r="K16" i="4"/>
  <c r="L15" i="4"/>
  <c r="M16" i="4"/>
  <c r="J17" i="4"/>
  <c r="K17" i="4"/>
  <c r="L16" i="4"/>
  <c r="M17" i="4"/>
  <c r="J18" i="4"/>
  <c r="K18" i="4"/>
  <c r="L17" i="4"/>
  <c r="M18" i="4"/>
  <c r="AC18" i="4"/>
  <c r="I18" i="4"/>
  <c r="J19" i="4"/>
  <c r="K19" i="4"/>
  <c r="L18" i="4"/>
  <c r="M19" i="4"/>
  <c r="AC19" i="4"/>
  <c r="G19" i="4"/>
  <c r="M20" i="4"/>
  <c r="AC20" i="4"/>
  <c r="G20" i="4"/>
  <c r="C20" i="4"/>
  <c r="J21" i="4"/>
  <c r="K21" i="4"/>
  <c r="L20" i="4"/>
  <c r="M21" i="4"/>
  <c r="J22" i="4"/>
  <c r="K22" i="4"/>
  <c r="L21" i="4"/>
  <c r="M22" i="4"/>
  <c r="J23" i="4"/>
  <c r="K23" i="4"/>
  <c r="L22" i="4"/>
  <c r="M23" i="4"/>
  <c r="J24" i="4"/>
  <c r="K24" i="4"/>
  <c r="L23" i="4"/>
  <c r="M24" i="4"/>
  <c r="J25" i="4"/>
  <c r="K25" i="4"/>
  <c r="L24" i="4"/>
  <c r="M25" i="4"/>
  <c r="AD25" i="4"/>
  <c r="J26" i="4"/>
  <c r="K26" i="4"/>
  <c r="L25" i="4"/>
  <c r="M26" i="4"/>
  <c r="AC26" i="4"/>
  <c r="I26" i="4"/>
  <c r="AD26" i="4"/>
  <c r="J27" i="4"/>
  <c r="K27" i="4"/>
  <c r="L26" i="4"/>
  <c r="M27" i="4"/>
  <c r="AC27" i="4"/>
  <c r="C27" i="4"/>
  <c r="AD27" i="4"/>
  <c r="J28" i="4"/>
  <c r="K28" i="4"/>
  <c r="L27" i="4"/>
  <c r="M28" i="4"/>
  <c r="AC28" i="4"/>
  <c r="AD28" i="4"/>
  <c r="J29" i="4"/>
  <c r="K29" i="4"/>
  <c r="L28" i="4"/>
  <c r="M29" i="4"/>
  <c r="AC29" i="4"/>
  <c r="I29" i="4"/>
  <c r="AD29" i="4"/>
  <c r="J30" i="4"/>
  <c r="K30" i="4"/>
  <c r="M30" i="4"/>
  <c r="AD30" i="4"/>
  <c r="AE30" i="4"/>
  <c r="J31" i="4"/>
  <c r="K31" i="4"/>
  <c r="L30" i="4"/>
  <c r="M31" i="4"/>
  <c r="AC31" i="4"/>
  <c r="E31" i="4"/>
  <c r="AD31" i="4"/>
  <c r="AE31" i="4"/>
  <c r="J32" i="4"/>
  <c r="K32" i="4"/>
  <c r="L31" i="4"/>
  <c r="M32" i="4"/>
  <c r="AC32" i="4"/>
  <c r="E32" i="4"/>
  <c r="G32" i="4"/>
  <c r="AD32" i="4"/>
  <c r="AE32" i="4"/>
  <c r="J33" i="4"/>
  <c r="K33" i="4"/>
  <c r="L32" i="4"/>
  <c r="M33" i="4"/>
  <c r="AD33" i="4"/>
  <c r="AE33" i="4"/>
  <c r="AC34" i="4"/>
  <c r="L34" i="4" s="1"/>
  <c r="C34" i="4"/>
  <c r="E34" i="4"/>
  <c r="AD34" i="4"/>
  <c r="AE34" i="4"/>
  <c r="M35" i="4"/>
  <c r="AC35" i="4"/>
  <c r="E35" i="4"/>
  <c r="AD35" i="4"/>
  <c r="AE35" i="4"/>
  <c r="J36" i="4"/>
  <c r="K36" i="4"/>
  <c r="L35" i="4"/>
  <c r="O35" i="4"/>
  <c r="P35" i="4" s="1"/>
  <c r="M36" i="4"/>
  <c r="AC36" i="4"/>
  <c r="G36" i="4"/>
  <c r="AD36" i="4"/>
  <c r="AE36" i="4"/>
  <c r="J37" i="4"/>
  <c r="K37" i="4"/>
  <c r="M37" i="4"/>
  <c r="AC37" i="4"/>
  <c r="E37" i="4"/>
  <c r="AD37" i="4"/>
  <c r="AE37" i="4"/>
  <c r="J38" i="4"/>
  <c r="K38" i="4"/>
  <c r="M38" i="4"/>
  <c r="AC38" i="4"/>
  <c r="I38" i="4"/>
  <c r="AD38" i="4"/>
  <c r="AE38" i="4"/>
  <c r="J39" i="4"/>
  <c r="K39" i="4"/>
  <c r="L38" i="4"/>
  <c r="N38" i="4"/>
  <c r="O38" i="4"/>
  <c r="P38" i="4" s="1"/>
  <c r="M39" i="4"/>
  <c r="AC39" i="4"/>
  <c r="AD39" i="4"/>
  <c r="AE39" i="4"/>
  <c r="J40" i="4"/>
  <c r="K40" i="4"/>
  <c r="M40" i="4"/>
  <c r="AC40" i="4"/>
  <c r="AD40" i="4"/>
  <c r="AE40" i="4"/>
  <c r="J41" i="4"/>
  <c r="K41" i="4"/>
  <c r="M41" i="4"/>
  <c r="AC41" i="4"/>
  <c r="C41" i="4"/>
  <c r="G41" i="4"/>
  <c r="AD41" i="4"/>
  <c r="AE41" i="4"/>
  <c r="J42" i="4"/>
  <c r="K42" i="4"/>
  <c r="M42" i="4"/>
  <c r="AC42" i="4"/>
  <c r="L42" i="4"/>
  <c r="N42" i="4"/>
  <c r="C42" i="4"/>
  <c r="AD42" i="4"/>
  <c r="AE42" i="4"/>
  <c r="Q43" i="4"/>
  <c r="T43" i="4"/>
  <c r="W43" i="4"/>
  <c r="Z43" i="4"/>
  <c r="S41" i="2"/>
  <c r="U41" i="2"/>
  <c r="G38" i="4"/>
  <c r="G39" i="4"/>
  <c r="H28" i="19"/>
  <c r="I28" i="19"/>
  <c r="G21" i="4"/>
  <c r="I37" i="4"/>
  <c r="C36" i="4"/>
  <c r="G14" i="4"/>
  <c r="E14" i="4"/>
  <c r="G30" i="4"/>
  <c r="I30" i="4"/>
  <c r="I28" i="4"/>
  <c r="E11" i="4"/>
  <c r="C11" i="4"/>
  <c r="G16" i="4"/>
  <c r="E16" i="4"/>
  <c r="C16" i="4"/>
  <c r="I16" i="4"/>
  <c r="C22" i="4"/>
  <c r="G23" i="4"/>
  <c r="G12" i="4"/>
  <c r="I22" i="4"/>
  <c r="E22" i="4"/>
  <c r="E12" i="4"/>
  <c r="E13" i="4"/>
  <c r="C13" i="4"/>
  <c r="I12" i="4"/>
  <c r="E7" i="4"/>
  <c r="G37" i="4"/>
  <c r="I35" i="4"/>
  <c r="C35" i="4"/>
  <c r="G35" i="4"/>
  <c r="I33" i="4"/>
  <c r="C15" i="4"/>
  <c r="C23" i="4"/>
  <c r="E23" i="4"/>
  <c r="E27" i="4"/>
  <c r="G27" i="4"/>
  <c r="I27" i="4"/>
  <c r="I21" i="4"/>
  <c r="E21" i="4"/>
  <c r="C33" i="4"/>
  <c r="E30" i="4"/>
  <c r="C30" i="4"/>
  <c r="I25" i="4"/>
  <c r="G33" i="4"/>
  <c r="C18" i="4"/>
  <c r="G18" i="4"/>
  <c r="I34" i="4"/>
  <c r="I20" i="4"/>
  <c r="I17" i="10"/>
  <c r="G15" i="4"/>
  <c r="I32" i="4"/>
  <c r="F17" i="10"/>
  <c r="I17" i="4"/>
  <c r="C32" i="4"/>
  <c r="E42" i="4"/>
  <c r="O42" i="4"/>
  <c r="P42" i="4"/>
  <c r="L40" i="4"/>
  <c r="N40" i="4" s="1"/>
  <c r="O40" i="4" s="1"/>
  <c r="P40" i="4" s="1"/>
  <c r="E25" i="4"/>
  <c r="L41" i="4"/>
  <c r="N41" i="4"/>
  <c r="O41" i="4"/>
  <c r="P41" i="4"/>
  <c r="E15" i="4"/>
  <c r="G6" i="4"/>
  <c r="I42" i="4"/>
  <c r="C6" i="4"/>
  <c r="G10" i="4"/>
  <c r="E18" i="4"/>
  <c r="G34" i="4"/>
  <c r="I6" i="4"/>
  <c r="E36" i="4"/>
  <c r="C8" i="4"/>
  <c r="L39" i="4"/>
  <c r="N39" i="4"/>
  <c r="O39" i="4"/>
  <c r="P39" i="4" s="1"/>
  <c r="I39" i="4"/>
  <c r="C7" i="4"/>
  <c r="C17" i="4"/>
  <c r="G17" i="4"/>
  <c r="C28" i="4"/>
  <c r="E28" i="4"/>
  <c r="G28" i="4"/>
  <c r="G42" i="4"/>
  <c r="I14" i="4"/>
  <c r="E8" i="4"/>
  <c r="I8" i="4"/>
  <c r="B13" i="18"/>
  <c r="F13" i="18"/>
  <c r="B23" i="18"/>
  <c r="F23" i="18"/>
  <c r="C19" i="4"/>
  <c r="E39" i="4"/>
  <c r="C39" i="4"/>
  <c r="G31" i="4"/>
  <c r="I31" i="4"/>
  <c r="C31" i="4"/>
  <c r="G9" i="4"/>
  <c r="E9" i="4"/>
  <c r="I9" i="4"/>
  <c r="E41" i="4"/>
  <c r="L37" i="4"/>
  <c r="N37" i="4"/>
  <c r="O37" i="4"/>
  <c r="P37" i="4" s="1"/>
  <c r="C37" i="4"/>
  <c r="G26" i="4"/>
  <c r="E20" i="4"/>
  <c r="G24" i="4"/>
  <c r="I7" i="4"/>
  <c r="I41" i="4"/>
  <c r="C40" i="4"/>
  <c r="G40" i="4"/>
  <c r="I40" i="4"/>
  <c r="E40" i="4"/>
  <c r="C38" i="4"/>
  <c r="E38" i="4"/>
  <c r="I36" i="4"/>
  <c r="L36" i="4"/>
  <c r="N36" i="4"/>
  <c r="O36" i="4"/>
  <c r="P36" i="4" s="1"/>
  <c r="C21" i="4"/>
  <c r="E10" i="4"/>
  <c r="I10" i="4"/>
  <c r="F25" i="18"/>
  <c r="F29" i="18"/>
  <c r="E26" i="4"/>
  <c r="C26" i="4"/>
  <c r="G11" i="4"/>
  <c r="I15" i="4"/>
  <c r="L5" i="4"/>
  <c r="L8" i="4"/>
  <c r="E19" i="4"/>
  <c r="L19" i="4"/>
  <c r="I19" i="4"/>
  <c r="B20" i="20"/>
  <c r="F20" i="20"/>
  <c r="F18" i="19"/>
  <c r="Q23" i="2"/>
  <c r="I18" i="19"/>
  <c r="Q33" i="2"/>
  <c r="Q16" i="2"/>
  <c r="F19" i="19"/>
  <c r="I19" i="19"/>
  <c r="Q26" i="2"/>
  <c r="E20" i="10"/>
  <c r="F19" i="10"/>
  <c r="D27" i="10"/>
  <c r="F27" i="10"/>
  <c r="H27" i="10"/>
  <c r="I27" i="10"/>
  <c r="F32" i="10"/>
  <c r="H25" i="10"/>
  <c r="I25" i="10"/>
  <c r="I18" i="10"/>
  <c r="F18" i="10"/>
  <c r="AC43" i="4"/>
  <c r="L29" i="4"/>
  <c r="E29" i="4"/>
  <c r="G29" i="4"/>
  <c r="C29" i="4"/>
  <c r="I32" i="10"/>
  <c r="Q39" i="2"/>
  <c r="Q30" i="2"/>
  <c r="Q34" i="2"/>
  <c r="Q38" i="2"/>
  <c r="Q24" i="2"/>
  <c r="Q17" i="2"/>
  <c r="Q32" i="2"/>
  <c r="Q14" i="2"/>
  <c r="Q25" i="2"/>
  <c r="E20" i="19"/>
  <c r="D25" i="19"/>
  <c r="F25" i="19"/>
  <c r="I17" i="19"/>
  <c r="H25" i="19"/>
  <c r="I25" i="19"/>
  <c r="I32" i="19"/>
  <c r="F32" i="19"/>
  <c r="F21" i="20"/>
  <c r="F22" i="20"/>
  <c r="F24" i="20"/>
  <c r="F25" i="20"/>
  <c r="B19" i="11"/>
  <c r="F19" i="11"/>
  <c r="F20" i="11"/>
  <c r="F21" i="11"/>
  <c r="F23" i="11"/>
  <c r="F24" i="11"/>
  <c r="G2" i="22" l="1"/>
  <c r="E2" i="22"/>
  <c r="M2" i="22" s="1"/>
  <c r="O33" i="2"/>
  <c r="F41" i="2"/>
  <c r="I53" i="2" s="1"/>
  <c r="L53" i="2" s="1"/>
  <c r="N53" i="2" s="1"/>
  <c r="O25" i="2"/>
  <c r="Q40" i="2"/>
  <c r="O34" i="2"/>
  <c r="O17" i="2"/>
  <c r="Q13" i="2"/>
  <c r="Q29" i="2"/>
  <c r="J22" i="21"/>
  <c r="J6" i="21"/>
  <c r="J21" i="21"/>
  <c r="J13" i="21"/>
  <c r="J23" i="21"/>
  <c r="J12" i="21"/>
  <c r="J19" i="21"/>
  <c r="J28" i="21"/>
  <c r="J4" i="21"/>
  <c r="J15" i="21"/>
  <c r="J20" i="21"/>
  <c r="J25" i="21"/>
  <c r="J17" i="21"/>
  <c r="J9" i="21"/>
  <c r="J24" i="21"/>
  <c r="J16" i="21"/>
  <c r="J8" i="21"/>
  <c r="Q12" i="2"/>
  <c r="O40" i="2"/>
  <c r="O32" i="2"/>
  <c r="O24" i="2"/>
  <c r="O16" i="2"/>
  <c r="O39" i="2"/>
  <c r="O31" i="2"/>
  <c r="O23" i="2"/>
  <c r="O15" i="2"/>
  <c r="Q21" i="2"/>
  <c r="Q28" i="2"/>
  <c r="Q27" i="2"/>
  <c r="O38" i="2"/>
  <c r="O30" i="2"/>
  <c r="O22" i="2"/>
  <c r="O14" i="2"/>
  <c r="J27" i="21"/>
  <c r="J3" i="21"/>
  <c r="M41" i="2"/>
  <c r="I45" i="2" s="1"/>
  <c r="L45" i="2" s="1"/>
  <c r="J18" i="21"/>
  <c r="Q20" i="2"/>
  <c r="O37" i="2"/>
  <c r="O29" i="2"/>
  <c r="O21" i="2"/>
  <c r="O13" i="2"/>
  <c r="J26" i="21"/>
  <c r="O36" i="2"/>
  <c r="O28" i="2"/>
  <c r="O20" i="2"/>
  <c r="O12" i="2"/>
  <c r="O35" i="2"/>
  <c r="O27" i="2"/>
  <c r="O19" i="2"/>
  <c r="O11" i="2"/>
  <c r="Q44" i="4"/>
  <c r="AC44" i="4" s="1"/>
  <c r="K48" i="4" s="1"/>
  <c r="L48" i="4" s="1"/>
  <c r="M48" i="4" s="1"/>
  <c r="I5" i="4"/>
  <c r="G5" i="4"/>
  <c r="E5" i="4"/>
  <c r="C5" i="4"/>
  <c r="G4" i="4"/>
  <c r="E4" i="4"/>
  <c r="C4" i="4"/>
  <c r="L4" i="4"/>
  <c r="N4" i="4" s="1"/>
  <c r="I4" i="4"/>
  <c r="L33" i="4"/>
  <c r="J30" i="21"/>
  <c r="Q15" i="2"/>
  <c r="Q22" i="2"/>
  <c r="N41" i="2"/>
  <c r="I46" i="2" s="1"/>
  <c r="L46" i="2" s="1"/>
  <c r="N44" i="2" s="1"/>
  <c r="Q18" i="2"/>
  <c r="Q31" i="2"/>
  <c r="Q37" i="2"/>
  <c r="N51" i="2" l="1"/>
  <c r="J11" i="21"/>
  <c r="J5" i="21"/>
  <c r="M5" i="22"/>
  <c r="J29" i="21"/>
  <c r="J10" i="21"/>
  <c r="H41" i="2"/>
  <c r="J14" i="21"/>
  <c r="O41" i="2"/>
  <c r="J7" i="21"/>
  <c r="Q41" i="2"/>
  <c r="O4" i="4"/>
  <c r="P4" i="4" s="1"/>
  <c r="N43" i="4"/>
  <c r="M13" i="22"/>
  <c r="M20" i="22"/>
  <c r="M28" i="22"/>
  <c r="M30" i="22"/>
  <c r="M3" i="22"/>
  <c r="V41" i="2"/>
  <c r="I54" i="2" s="1"/>
  <c r="L54" i="2" s="1"/>
  <c r="N54" i="2" s="1"/>
  <c r="M4" i="22"/>
  <c r="M6" i="22"/>
  <c r="M8" i="22"/>
  <c r="M9" i="22"/>
  <c r="M11" i="22"/>
  <c r="M12" i="22"/>
  <c r="M15" i="22"/>
  <c r="M16" i="22"/>
  <c r="M17" i="22"/>
  <c r="M18" i="22"/>
  <c r="M21" i="22"/>
  <c r="M19" i="22"/>
  <c r="M22" i="22"/>
  <c r="M23" i="22"/>
  <c r="M24" i="22"/>
  <c r="M25" i="22"/>
  <c r="M26" i="22"/>
  <c r="M27" i="22"/>
  <c r="N52" i="2" l="1"/>
  <c r="K47" i="4"/>
  <c r="O43" i="4"/>
  <c r="X41" i="2"/>
  <c r="M7" i="22"/>
  <c r="M14" i="22"/>
  <c r="M10" i="22"/>
  <c r="M29" i="22"/>
  <c r="P43" i="4" l="1"/>
  <c r="M47" i="4" s="1"/>
  <c r="L47" i="4"/>
</calcChain>
</file>

<file path=xl/sharedStrings.xml><?xml version="1.0" encoding="utf-8"?>
<sst xmlns="http://schemas.openxmlformats.org/spreadsheetml/2006/main" count="473" uniqueCount="185">
  <si>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</si>
  <si>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</si>
  <si>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</si>
  <si>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</si>
  <si>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</si>
  <si>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</si>
  <si>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</si>
  <si>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</si>
  <si>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</si>
  <si>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</si>
  <si>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</si>
  <si>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</si>
  <si>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</si>
  <si>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</si>
  <si>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</si>
  <si>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</si>
  <si>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</si>
  <si>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</si>
  <si>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</si>
  <si>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</si>
  <si>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</si>
  <si>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</si>
  <si>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</si>
  <si>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</si>
  <si>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</si>
  <si>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</si>
  <si>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</si>
  <si>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</si>
  <si>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</si>
  <si>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</si>
  <si>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</si>
  <si>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</si>
  <si>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</si>
  <si>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</si>
  <si>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</si>
  <si>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</si>
  <si>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</si>
  <si>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</si>
  <si>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</si>
  <si>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</si>
  <si>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</si>
  <si>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Octobre 2019</t>
  </si>
  <si>
    <t>Département Engineering 2019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</si>
  <si>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</si>
  <si>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</si>
  <si>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</si>
  <si>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</si>
  <si>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</si>
  <si>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</si>
  <si>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</si>
  <si>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</si>
  <si>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</si>
  <si>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</si>
  <si>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</si>
  <si>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</si>
  <si>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</si>
  <si>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</si>
  <si>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Octobre 2019</t>
  </si>
  <si>
    <t>a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</si>
  <si>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</si>
  <si>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</si>
  <si>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</si>
  <si>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</si>
  <si>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</si>
  <si>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</si>
  <si>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</si>
  <si>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</si>
  <si>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</si>
  <si>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</si>
  <si>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</si>
  <si>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</si>
  <si>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</si>
  <si>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</si>
  <si>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</si>
  <si>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</si>
  <si>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</si>
  <si>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</si>
  <si>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</si>
  <si>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</si>
  <si>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</si>
  <si>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</si>
  <si>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</si>
  <si>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</si>
  <si>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</si>
  <si>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</si>
  <si>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</si>
  <si>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</si>
  <si>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</si>
  <si>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Octobre 2019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</si>
  <si>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</si>
  <si>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</si>
  <si>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</si>
  <si>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</si>
  <si>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</si>
  <si>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</si>
  <si>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</si>
  <si>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</si>
  <si>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</si>
  <si>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</si>
  <si>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</si>
  <si>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</si>
  <si>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</si>
  <si>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</si>
  <si>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</si>
  <si>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</si>
  <si>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</si>
  <si>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</si>
  <si>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</si>
  <si>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</si>
  <si>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</si>
  <si>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</si>
  <si>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</si>
  <si>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</si>
  <si>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</si>
  <si>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</si>
  <si>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</si>
  <si>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</si>
  <si>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</si>
  <si>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</si>
  <si>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</si>
  <si>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</si>
  <si>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</si>
  <si>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</si>
  <si>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</si>
  <si>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</si>
  <si>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</si>
  <si>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</si>
  <si>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</si>
  <si>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</si>
  <si>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</si>
  <si>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</si>
  <si>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</si>
  <si>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Octobre 2019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</si>
  <si>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</si>
  <si>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</si>
  <si>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</si>
  <si>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</si>
  <si>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</si>
  <si>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</si>
  <si>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</si>
  <si>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</si>
  <si>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</si>
  <si>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</si>
  <si>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</si>
  <si>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</si>
  <si>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</si>
  <si>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</si>
  <si>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</si>
  <si>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</si>
  <si>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</si>
  <si>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</si>
  <si>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</si>
  <si>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</si>
  <si>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</si>
  <si>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Octobre 2019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</si>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</sst>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8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i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0" fontId="21" fillId="15" borderId="16" xfId="0" applyFont="1" applyFill="1" applyBorder="1" applyAlignment="1">
      <alignment horizontal="center" vertical="center" wrapText="1"/>
    </xf>
    <xf numFmtId="14" fontId="6" fillId="16" borderId="1" xfId="0" applyNumberFormat="1" applyFont="1" applyFill="1" applyBorder="1" applyAlignment="1">
      <alignment horizontal="center" vertical="center"/>
    </xf>
    <xf numFmtId="0" fontId="27" fillId="0" borderId="1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20" xfId="0" applyBorder="1"/>
    <xf numFmtId="0" fontId="28" fillId="0" borderId="21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0" fillId="0" borderId="22" xfId="0" applyBorder="1"/>
    <xf numFmtId="0" fontId="0" fillId="0" borderId="10" xfId="0" applyBorder="1"/>
    <xf numFmtId="0" fontId="0" fillId="0" borderId="23" xfId="0" applyBorder="1"/>
    <xf numFmtId="0" fontId="29" fillId="17" borderId="24" xfId="0" applyFont="1" applyFill="1" applyBorder="1"/>
    <xf numFmtId="0" fontId="29" fillId="17" borderId="25" xfId="0" applyFont="1" applyFill="1" applyBorder="1"/>
    <xf numFmtId="0" fontId="0" fillId="0" borderId="26" xfId="0" applyBorder="1"/>
    <xf numFmtId="0" fontId="28" fillId="0" borderId="22" xfId="0" applyFont="1" applyBorder="1" applyAlignment="1">
      <alignment horizontal="center"/>
    </xf>
    <xf numFmtId="0" fontId="0" fillId="0" borderId="27" xfId="0" applyBorder="1" applyAlignment="1">
      <alignment horizontal="right" vertical="center"/>
    </xf>
    <xf numFmtId="0" fontId="26" fillId="18" borderId="23" xfId="0" applyFont="1" applyFill="1" applyBorder="1" applyAlignment="1">
      <alignment horizontal="right"/>
    </xf>
    <xf numFmtId="0" fontId="0" fillId="0" borderId="28" xfId="0" applyBorder="1" applyAlignment="1">
      <alignment horizontal="right" vertical="center"/>
    </xf>
    <xf numFmtId="0" fontId="30" fillId="0" borderId="23" xfId="0" applyFont="1" applyBorder="1"/>
    <xf numFmtId="0" fontId="30" fillId="0" borderId="28" xfId="0" applyFont="1" applyBorder="1" applyAlignment="1">
      <alignment horizontal="right" vertical="center"/>
    </xf>
    <xf numFmtId="0" fontId="31" fillId="18" borderId="23" xfId="0" applyFont="1" applyFill="1" applyBorder="1" applyAlignment="1">
      <alignment horizontal="right"/>
    </xf>
    <xf numFmtId="0" fontId="30" fillId="0" borderId="0" xfId="0" applyFont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24" xfId="0" applyBorder="1"/>
    <xf numFmtId="0" fontId="0" fillId="0" borderId="29" xfId="0" applyBorder="1" applyAlignment="1">
      <alignment horizontal="right"/>
    </xf>
    <xf numFmtId="0" fontId="0" fillId="0" borderId="24" xfId="0" applyBorder="1" applyAlignment="1">
      <alignment horizontal="right"/>
    </xf>
    <xf numFmtId="0" fontId="32" fillId="18" borderId="6" xfId="0" applyFont="1" applyFill="1" applyBorder="1" applyAlignment="1">
      <alignment horizontal="center" vertical="center"/>
    </xf>
    <xf numFmtId="0" fontId="33" fillId="0" borderId="20" xfId="0" applyFont="1" applyBorder="1" applyAlignment="1">
      <alignment vertical="center"/>
    </xf>
    <xf numFmtId="0" fontId="33" fillId="0" borderId="30" xfId="0" applyFont="1" applyBorder="1" applyAlignment="1">
      <alignment vertical="center"/>
    </xf>
    <xf numFmtId="0" fontId="32" fillId="18" borderId="8" xfId="0" applyFont="1" applyFill="1" applyBorder="1" applyAlignment="1">
      <alignment horizontal="center" vertical="center"/>
    </xf>
    <xf numFmtId="0" fontId="33" fillId="0" borderId="26" xfId="0" applyFont="1" applyBorder="1" applyAlignment="1">
      <alignment vertical="center"/>
    </xf>
    <xf numFmtId="0" fontId="33" fillId="0" borderId="25" xfId="0" applyFont="1" applyBorder="1" applyAlignment="1">
      <alignment vertical="center"/>
    </xf>
    <xf numFmtId="0" fontId="1" fillId="19" borderId="1" xfId="0" applyFont="1" applyFill="1" applyBorder="1" applyAlignment="1">
      <alignment horizontal="center"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7" fillId="0" borderId="10" xfId="0" applyFont="1" applyBorder="1" applyAlignment="1">
      <alignment vertical="center"/>
    </xf>
    <xf numFmtId="0" fontId="27" fillId="0" borderId="10" xfId="0" applyFont="1" applyBorder="1" applyAlignment="1">
      <alignment vertical="center" wrapText="1"/>
    </xf>
    <xf numFmtId="0" fontId="27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6" fillId="17" borderId="10" xfId="0" applyNumberFormat="1" applyFont="1" applyFill="1" applyBorder="1"/>
    <xf numFmtId="0" fontId="26" fillId="20" borderId="10" xfId="0" applyFont="1" applyFill="1" applyBorder="1"/>
    <xf numFmtId="0" fontId="26" fillId="0" borderId="10" xfId="0" applyFont="1" applyBorder="1"/>
    <xf numFmtId="0" fontId="26" fillId="0" borderId="0" xfId="0" applyFont="1"/>
    <xf numFmtId="0" fontId="26" fillId="0" borderId="25" xfId="0" applyFont="1" applyBorder="1"/>
    <xf numFmtId="0" fontId="27" fillId="0" borderId="10" xfId="0" applyFont="1" applyBorder="1"/>
    <xf numFmtId="0" fontId="28" fillId="0" borderId="10" xfId="0" applyFont="1" applyBorder="1"/>
    <xf numFmtId="0" fontId="28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14" fontId="23" fillId="21" borderId="22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6" fillId="0" borderId="20" xfId="0" applyNumberFormat="1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4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4" xfId="0" applyFont="1" applyFill="1" applyBorder="1" applyAlignment="1">
      <alignment horizontal="center" vertical="center" wrapText="1"/>
    </xf>
    <xf numFmtId="0" fontId="34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18" fillId="10" borderId="24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22" fillId="10" borderId="36" xfId="0" applyFont="1" applyFill="1" applyBorder="1" applyAlignment="1">
      <alignment horizontal="center" vertical="center" wrapText="1"/>
    </xf>
    <xf numFmtId="0" fontId="18" fillId="10" borderId="37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6" fillId="0" borderId="33" xfId="0" applyFont="1" applyBorder="1" applyAlignment="1">
      <alignment wrapText="1"/>
    </xf>
    <xf numFmtId="0" fontId="26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6" fillId="0" borderId="33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5" fillId="0" borderId="33" xfId="0" applyFont="1" applyBorder="1" applyAlignment="1">
      <alignment horizontal="center"/>
    </xf>
    <xf numFmtId="1" fontId="35" fillId="0" borderId="33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1" fontId="36" fillId="0" borderId="0" xfId="0" applyNumberFormat="1" applyFont="1" applyAlignment="1">
      <alignment horizontal="center"/>
    </xf>
    <xf numFmtId="0" fontId="26" fillId="0" borderId="33" xfId="0" applyFont="1" applyBorder="1" applyAlignment="1">
      <alignment horizontal="center" wrapText="1"/>
    </xf>
    <xf numFmtId="0" fontId="37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" fontId="26" fillId="0" borderId="33" xfId="0" applyNumberFormat="1" applyFont="1" applyBorder="1" applyAlignment="1">
      <alignment horizontal="center" wrapText="1"/>
    </xf>
    <xf numFmtId="2" fontId="38" fillId="7" borderId="9" xfId="0" applyNumberFormat="1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39" fillId="6" borderId="5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1" fillId="6" borderId="31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2" fontId="1" fillId="6" borderId="4" xfId="0" applyNumberFormat="1" applyFont="1" applyFill="1" applyBorder="1" applyAlignment="1">
      <alignment horizontal="center" vertical="center" wrapText="1"/>
    </xf>
    <xf numFmtId="2" fontId="39" fillId="6" borderId="31" xfId="0" applyNumberFormat="1" applyFont="1" applyFill="1" applyBorder="1" applyAlignment="1">
      <alignment horizontal="center" vertical="center" wrapText="1"/>
    </xf>
    <xf numFmtId="2" fontId="39" fillId="6" borderId="3" xfId="0" applyNumberFormat="1" applyFont="1" applyFill="1" applyBorder="1" applyAlignment="1">
      <alignment horizontal="center" vertical="center" wrapText="1"/>
    </xf>
    <xf numFmtId="2" fontId="2" fillId="4" borderId="31" xfId="0" applyNumberFormat="1" applyFont="1" applyFill="1" applyBorder="1" applyAlignment="1">
      <alignment horizontal="center" vertical="center"/>
    </xf>
    <xf numFmtId="2" fontId="2" fillId="4" borderId="40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1" fillId="6" borderId="31" xfId="0" applyNumberFormat="1" applyFont="1" applyFill="1" applyBorder="1" applyAlignment="1">
      <alignment horizontal="center" vertical="center" wrapText="1"/>
    </xf>
    <xf numFmtId="2" fontId="11" fillId="6" borderId="40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9" fillId="15" borderId="6" xfId="0" applyFont="1" applyFill="1" applyBorder="1" applyAlignment="1">
      <alignment horizontal="center" vertical="center" wrapText="1"/>
    </xf>
    <xf numFmtId="0" fontId="39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6" borderId="4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9" fillId="8" borderId="35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33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6" borderId="31" xfId="0" applyFont="1" applyFill="1" applyBorder="1" applyAlignment="1">
      <alignment horizontal="center" vertical="center"/>
    </xf>
    <xf numFmtId="0" fontId="10" fillId="26" borderId="40" xfId="0" applyFont="1" applyFill="1" applyBorder="1" applyAlignment="1">
      <alignment horizontal="center" vertical="center"/>
    </xf>
    <xf numFmtId="2" fontId="1" fillId="7" borderId="31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1" xfId="0" applyNumberFormat="1" applyFont="1" applyFill="1" applyBorder="1" applyAlignment="1">
      <alignment horizontal="center" vertical="center" wrapText="1"/>
    </xf>
    <xf numFmtId="2" fontId="11" fillId="7" borderId="40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1" xfId="0" applyNumberFormat="1" applyFont="1" applyFill="1" applyBorder="1" applyAlignment="1">
      <alignment horizontal="center" vertical="center" wrapText="1"/>
    </xf>
    <xf numFmtId="2" fontId="12" fillId="5" borderId="40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5" xfId="0" applyNumberFormat="1" applyFont="1" applyFill="1" applyBorder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2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33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1" fillId="7" borderId="40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5" borderId="31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2" fontId="1" fillId="7" borderId="40" xfId="0" applyNumberFormat="1" applyFont="1" applyFill="1" applyBorder="1" applyAlignment="1">
      <alignment horizontal="center" vertical="center" wrapText="1"/>
    </xf>
    <xf numFmtId="0" fontId="14" fillId="14" borderId="43" xfId="0" applyFont="1" applyFill="1" applyBorder="1" applyAlignment="1">
      <alignment horizontal="center" vertical="center" wrapText="1"/>
    </xf>
    <xf numFmtId="0" fontId="14" fillId="14" borderId="34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2" xfId="0" applyFont="1" applyBorder="1" applyAlignment="1">
      <alignment horizontal="center" vertical="center" wrapText="1" readingOrder="1"/>
    </xf>
    <xf numFmtId="0" fontId="1" fillId="0" borderId="33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4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12" borderId="51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5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1" fillId="0" borderId="33" xfId="0" applyFont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33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 wrapText="1"/>
    </xf>
    <xf numFmtId="0" fontId="27" fillId="0" borderId="60" xfId="0" applyFont="1" applyBorder="1" applyAlignment="1">
      <alignment horizontal="center" vertical="center" wrapText="1"/>
    </xf>
    <xf numFmtId="0" fontId="27" fillId="0" borderId="45" xfId="0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 readingOrder="2"/>
    </xf>
    <xf numFmtId="14" fontId="0" fillId="0" borderId="47" xfId="0" applyNumberFormat="1" applyBorder="1" applyAlignment="1">
      <alignment horizontal="center" vertical="center" readingOrder="2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wrapText="1"/>
    </xf>
    <xf numFmtId="0" fontId="28" fillId="0" borderId="45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0" xfId="0" applyBorder="1" applyAlignment="1"/>
    <xf numFmtId="0" fontId="0" fillId="0" borderId="2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8" xfId="0" applyBorder="1" applyAlignment="1">
      <alignment horizontal="center"/>
    </xf>
    <xf numFmtId="0" fontId="0" fillId="0" borderId="54" xfId="0" applyBorder="1" applyAlignment="1">
      <alignment horizontal="center"/>
    </xf>
    <xf numFmtId="0" fontId="40" fillId="17" borderId="29" xfId="0" applyFont="1" applyFill="1" applyBorder="1" applyAlignment="1">
      <alignment horizontal="left"/>
    </xf>
    <xf numFmtId="0" fontId="40" fillId="17" borderId="26" xfId="0" applyFont="1" applyFill="1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5" xfId="0" applyBorder="1" applyAlignment="1">
      <alignment horizontal="center"/>
    </xf>
    <xf numFmtId="0" fontId="28" fillId="0" borderId="56" xfId="0" applyFont="1" applyBorder="1" applyAlignment="1">
      <alignment horizontal="left" vertical="center"/>
    </xf>
    <xf numFmtId="0" fontId="28" fillId="0" borderId="57" xfId="0" applyFont="1" applyBorder="1" applyAlignment="1">
      <alignment horizontal="left" vertical="center"/>
    </xf>
    <xf numFmtId="0" fontId="28" fillId="0" borderId="58" xfId="0" applyFont="1" applyBorder="1" applyAlignment="1">
      <alignment horizontal="left" vertical="center"/>
    </xf>
    <xf numFmtId="0" fontId="28" fillId="0" borderId="29" xfId="0" applyFont="1" applyBorder="1" applyAlignment="1">
      <alignment horizontal="left" vertical="center"/>
    </xf>
    <xf numFmtId="0" fontId="28" fillId="0" borderId="26" xfId="0" applyFont="1" applyBorder="1" applyAlignment="1">
      <alignment horizontal="left" vertical="center"/>
    </xf>
    <xf numFmtId="0" fontId="28" fillId="0" borderId="25" xfId="0" applyFont="1" applyBorder="1" applyAlignment="1">
      <alignment horizontal="left" vertical="center"/>
    </xf>
    <xf numFmtId="0" fontId="28" fillId="0" borderId="10" xfId="0" applyFont="1" applyBorder="1" applyAlignment="1">
      <alignment horizontal="center" vertical="center"/>
    </xf>
    <xf numFmtId="0" fontId="28" fillId="18" borderId="19" xfId="0" applyFont="1" applyFill="1" applyBorder="1" applyAlignment="1">
      <alignment horizontal="center" vertical="center"/>
    </xf>
    <xf numFmtId="0" fontId="28" fillId="18" borderId="10" xfId="0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33" fillId="0" borderId="27" xfId="0" applyFont="1" applyBorder="1" applyAlignment="1">
      <alignment horizontal="left" vertical="center"/>
    </xf>
    <xf numFmtId="0" fontId="33" fillId="0" borderId="20" xfId="0" applyFont="1" applyBorder="1" applyAlignment="1">
      <alignment horizontal="left" vertical="center"/>
    </xf>
    <xf numFmtId="0" fontId="33" fillId="0" borderId="29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5" fillId="0" borderId="10" xfId="0" applyFont="1" applyBorder="1" applyAlignment="1">
      <alignment horizontal="center" vertical="center"/>
    </xf>
    <xf numFmtId="0" fontId="30" fillId="0" borderId="28" xfId="0" applyFont="1" applyBorder="1" applyAlignment="1">
      <alignment horizontal="left" vertical="top"/>
    </xf>
    <xf numFmtId="0" fontId="30" fillId="0" borderId="0" xfId="0" applyFont="1" applyAlignment="1">
      <alignment horizontal="left" vertical="top"/>
    </xf>
    <xf numFmtId="0" fontId="30" fillId="0" borderId="54" xfId="0" applyFont="1" applyBorder="1" applyAlignment="1">
      <alignment horizontal="left" vertical="top"/>
    </xf>
    <xf numFmtId="0" fontId="30" fillId="0" borderId="45" xfId="0" applyFont="1" applyBorder="1" applyAlignment="1">
      <alignment horizontal="center"/>
    </xf>
    <xf numFmtId="0" fontId="30" fillId="0" borderId="4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6" fillId="0" borderId="35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45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26" fillId="0" borderId="10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10" xfId="0" applyFont="1" applyBorder="1" applyAlignment="1">
      <alignment horizontal="center"/>
    </xf>
    <xf numFmtId="0" fontId="41" fillId="0" borderId="46" xfId="0" applyFont="1" applyBorder="1" applyAlignment="1">
      <alignment horizontal="left"/>
    </xf>
    <xf numFmtId="2" fontId="26" fillId="0" borderId="10" xfId="0" applyNumberFormat="1" applyFont="1" applyBorder="1" applyAlignment="1">
      <alignment horizontal="center"/>
    </xf>
    <xf numFmtId="0" fontId="41" fillId="0" borderId="20" xfId="0" applyFont="1" applyBorder="1" applyAlignment="1">
      <alignment horizontal="left"/>
    </xf>
    <xf numFmtId="0" fontId="41" fillId="0" borderId="26" xfId="0" applyFont="1" applyBorder="1" applyAlignment="1">
      <alignment horizontal="left"/>
    </xf>
    <xf numFmtId="0" fontId="28" fillId="0" borderId="45" xfId="0" applyFont="1" applyBorder="1" applyAlignment="1">
      <alignment horizontal="left"/>
    </xf>
    <xf numFmtId="0" fontId="28" fillId="0" borderId="46" xfId="0" applyFont="1" applyBorder="1" applyAlignment="1">
      <alignment horizontal="left"/>
    </xf>
    <xf numFmtId="0" fontId="28" fillId="0" borderId="47" xfId="0" applyFont="1" applyBorder="1" applyAlignment="1">
      <alignment horizontal="left"/>
    </xf>
    <xf numFmtId="0" fontId="44" fillId="0" borderId="10" xfId="0" applyFont="1" applyBorder="1" applyAlignment="1">
      <alignment horizontal="center"/>
    </xf>
    <xf numFmtId="0" fontId="26" fillId="27" borderId="27" xfId="0" applyFont="1" applyFill="1" applyBorder="1" applyAlignment="1">
      <alignment horizontal="left"/>
    </xf>
    <xf numFmtId="0" fontId="26" fillId="27" borderId="20" xfId="0" applyFont="1" applyFill="1" applyBorder="1" applyAlignment="1">
      <alignment horizontal="left"/>
    </xf>
    <xf numFmtId="0" fontId="26" fillId="27" borderId="30" xfId="0" applyFont="1" applyFill="1" applyBorder="1" applyAlignment="1">
      <alignment horizontal="left"/>
    </xf>
    <xf numFmtId="0" fontId="26" fillId="27" borderId="29" xfId="0" applyFont="1" applyFill="1" applyBorder="1" applyAlignment="1">
      <alignment horizontal="left"/>
    </xf>
    <xf numFmtId="0" fontId="26" fillId="27" borderId="26" xfId="0" applyFont="1" applyFill="1" applyBorder="1" applyAlignment="1">
      <alignment horizontal="left"/>
    </xf>
    <xf numFmtId="0" fontId="26" fillId="27" borderId="25" xfId="0" applyFont="1" applyFill="1" applyBorder="1" applyAlignment="1">
      <alignment horizontal="left"/>
    </xf>
    <xf numFmtId="0" fontId="45" fillId="27" borderId="10" xfId="0" applyFont="1" applyFill="1" applyBorder="1" applyAlignment="1">
      <alignment horizontal="center"/>
    </xf>
    <xf numFmtId="0" fontId="46" fillId="18" borderId="45" xfId="0" applyFont="1" applyFill="1" applyBorder="1" applyAlignment="1">
      <alignment horizontal="left"/>
    </xf>
    <xf numFmtId="0" fontId="46" fillId="18" borderId="46" xfId="0" applyFont="1" applyFill="1" applyBorder="1" applyAlignment="1">
      <alignment horizontal="left"/>
    </xf>
    <xf numFmtId="0" fontId="46" fillId="18" borderId="47" xfId="0" applyFont="1" applyFill="1" applyBorder="1" applyAlignment="1">
      <alignment horizontal="left"/>
    </xf>
    <xf numFmtId="0" fontId="47" fillId="18" borderId="10" xfId="0" applyFont="1" applyFill="1" applyBorder="1" applyAlignment="1">
      <alignment horizontal="center"/>
    </xf>
    <xf numFmtId="0" fontId="28" fillId="0" borderId="45" xfId="0" applyFont="1" applyBorder="1" applyAlignment="1"/>
    <xf numFmtId="0" fontId="28" fillId="0" borderId="46" xfId="0" applyFont="1" applyBorder="1" applyAlignment="1"/>
    <xf numFmtId="0" fontId="28" fillId="0" borderId="47" xfId="0" applyFont="1" applyBorder="1" applyAlignment="1"/>
    <xf numFmtId="0" fontId="26" fillId="0" borderId="45" xfId="0" applyFont="1" applyBorder="1" applyAlignment="1">
      <alignment horizontal="center"/>
    </xf>
    <xf numFmtId="0" fontId="26" fillId="0" borderId="47" xfId="0" applyFont="1" applyBorder="1" applyAlignment="1">
      <alignment horizontal="center"/>
    </xf>
    <xf numFmtId="2" fontId="47" fillId="18" borderId="10" xfId="0" applyNumberFormat="1" applyFont="1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40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0" fillId="19" borderId="33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0" fillId="18" borderId="47" xfId="0" applyFill="1" applyBorder="1" applyAlignment="1">
      <alignment horizontal="center"/>
    </xf>
    <xf numFmtId="0" fontId="24" fillId="19" borderId="40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EAU-ELEC'!$A$9:$A$45</c:f>
              <c:numCache>
                <c:formatCode>m/d/yyyy</c:formatCode>
                <c:ptCount val="37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</c:numCache>
            </c:numRef>
          </c:cat>
          <c:val>
            <c:numRef>
              <c:f>'Suivi EAU-ELEC'!$E$9:$E$45</c:f>
              <c:numCache>
                <c:formatCode>General</c:formatCode>
                <c:ptCount val="37"/>
                <c:pt idx="0">
                  <c:v>174</c:v>
                </c:pt>
                <c:pt idx="1">
                  <c:v>167</c:v>
                </c:pt>
                <c:pt idx="2">
                  <c:v>179.80000000000291</c:v>
                </c:pt>
                <c:pt idx="3">
                  <c:v>178.29999999999563</c:v>
                </c:pt>
                <c:pt idx="4">
                  <c:v>214</c:v>
                </c:pt>
                <c:pt idx="5">
                  <c:v>174.09999999999854</c:v>
                </c:pt>
                <c:pt idx="6">
                  <c:v>162.30000000000291</c:v>
                </c:pt>
                <c:pt idx="7">
                  <c:v>274.80000000000291</c:v>
                </c:pt>
                <c:pt idx="8">
                  <c:v>290</c:v>
                </c:pt>
                <c:pt idx="9">
                  <c:v>228.29999999999563</c:v>
                </c:pt>
                <c:pt idx="10">
                  <c:v>183.70000000000437</c:v>
                </c:pt>
                <c:pt idx="11">
                  <c:v>179.69999999999709</c:v>
                </c:pt>
                <c:pt idx="12">
                  <c:v>174</c:v>
                </c:pt>
                <c:pt idx="13">
                  <c:v>168</c:v>
                </c:pt>
                <c:pt idx="14">
                  <c:v>207</c:v>
                </c:pt>
                <c:pt idx="15">
                  <c:v>177</c:v>
                </c:pt>
                <c:pt idx="16">
                  <c:v>167.59999999999854</c:v>
                </c:pt>
                <c:pt idx="17">
                  <c:v>170.5</c:v>
                </c:pt>
                <c:pt idx="18">
                  <c:v>196</c:v>
                </c:pt>
                <c:pt idx="19">
                  <c:v>193.70000000000437</c:v>
                </c:pt>
                <c:pt idx="20">
                  <c:v>174.19999999999709</c:v>
                </c:pt>
                <c:pt idx="21">
                  <c:v>203.59999999999854</c:v>
                </c:pt>
                <c:pt idx="22">
                  <c:v>193</c:v>
                </c:pt>
                <c:pt idx="23">
                  <c:v>215.5</c:v>
                </c:pt>
                <c:pt idx="24">
                  <c:v>199</c:v>
                </c:pt>
                <c:pt idx="25">
                  <c:v>203.90000000000146</c:v>
                </c:pt>
                <c:pt idx="26">
                  <c:v>172</c:v>
                </c:pt>
                <c:pt idx="27">
                  <c:v>172</c:v>
                </c:pt>
                <c:pt idx="28">
                  <c:v>184</c:v>
                </c:pt>
                <c:pt idx="29">
                  <c:v>226</c:v>
                </c:pt>
                <c:pt idx="30">
                  <c:v>197.59999999999854</c:v>
                </c:pt>
                <c:pt idx="31">
                  <c:v>224.40000000000146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8-4C49-8B52-A48DF76E2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6654576"/>
        <c:axId val="1"/>
      </c:barChart>
      <c:dateAx>
        <c:axId val="149665457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6545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marker>
            <c:symbol val="diamond"/>
            <c:size val="9"/>
          </c:marker>
          <c:cat>
            <c:numRef>
              <c:f>'Suivi EAU-ELEC'!$A$9:$A$45</c:f>
              <c:numCache>
                <c:formatCode>m/d/yyyy</c:formatCode>
                <c:ptCount val="37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</c:numCache>
            </c:numRef>
          </c:cat>
          <c:val>
            <c:numRef>
              <c:f>'Suivi EAU-ELEC'!$G$9:$G$42</c:f>
              <c:numCache>
                <c:formatCode>General</c:formatCode>
                <c:ptCount val="34"/>
                <c:pt idx="0">
                  <c:v>4878</c:v>
                </c:pt>
                <c:pt idx="1">
                  <c:v>5381</c:v>
                </c:pt>
                <c:pt idx="2">
                  <c:v>4680</c:v>
                </c:pt>
                <c:pt idx="3">
                  <c:v>5460</c:v>
                </c:pt>
                <c:pt idx="4">
                  <c:v>5209</c:v>
                </c:pt>
                <c:pt idx="5">
                  <c:v>5333</c:v>
                </c:pt>
                <c:pt idx="6">
                  <c:v>5158</c:v>
                </c:pt>
                <c:pt idx="7">
                  <c:v>6600</c:v>
                </c:pt>
                <c:pt idx="8">
                  <c:v>5550</c:v>
                </c:pt>
                <c:pt idx="9">
                  <c:v>5849</c:v>
                </c:pt>
                <c:pt idx="10">
                  <c:v>5826</c:v>
                </c:pt>
                <c:pt idx="11">
                  <c:v>5515</c:v>
                </c:pt>
                <c:pt idx="12">
                  <c:v>5324</c:v>
                </c:pt>
                <c:pt idx="13">
                  <c:v>5032</c:v>
                </c:pt>
                <c:pt idx="14">
                  <c:v>5400</c:v>
                </c:pt>
                <c:pt idx="15">
                  <c:v>4910</c:v>
                </c:pt>
                <c:pt idx="16">
                  <c:v>4215</c:v>
                </c:pt>
                <c:pt idx="17">
                  <c:v>5118</c:v>
                </c:pt>
                <c:pt idx="18">
                  <c:v>5071</c:v>
                </c:pt>
                <c:pt idx="19">
                  <c:v>5863</c:v>
                </c:pt>
                <c:pt idx="20">
                  <c:v>4608</c:v>
                </c:pt>
                <c:pt idx="21">
                  <c:v>6417</c:v>
                </c:pt>
                <c:pt idx="22">
                  <c:v>4991</c:v>
                </c:pt>
                <c:pt idx="23">
                  <c:v>5306</c:v>
                </c:pt>
                <c:pt idx="24">
                  <c:v>5635</c:v>
                </c:pt>
                <c:pt idx="25">
                  <c:v>4280</c:v>
                </c:pt>
                <c:pt idx="26">
                  <c:v>4844</c:v>
                </c:pt>
                <c:pt idx="27">
                  <c:v>4830</c:v>
                </c:pt>
                <c:pt idx="28">
                  <c:v>5081</c:v>
                </c:pt>
                <c:pt idx="29">
                  <c:v>4956</c:v>
                </c:pt>
                <c:pt idx="30">
                  <c:v>4404</c:v>
                </c:pt>
                <c:pt idx="31">
                  <c:v>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9-443E-8886-2E55C8277824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marker>
            <c:symbol val="square"/>
            <c:size val="9"/>
          </c:marker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19-443E-8886-2E55C8277824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19-443E-8886-2E55C8277824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19-443E-8886-2E55C8277824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EAU-ELEC'!$A$9:$A$45</c:f>
              <c:numCache>
                <c:formatCode>m/d/yyyy</c:formatCode>
                <c:ptCount val="37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</c:numCache>
            </c:numRef>
          </c:cat>
          <c:val>
            <c:numRef>
              <c:f>'Suivi EAU-ELEC'!$I$9:$I$42</c:f>
              <c:numCache>
                <c:formatCode>General</c:formatCode>
                <c:ptCount val="34"/>
                <c:pt idx="0">
                  <c:v>9815</c:v>
                </c:pt>
                <c:pt idx="1">
                  <c:v>9329</c:v>
                </c:pt>
                <c:pt idx="2">
                  <c:v>9557</c:v>
                </c:pt>
                <c:pt idx="3">
                  <c:v>9383</c:v>
                </c:pt>
                <c:pt idx="4">
                  <c:v>9442</c:v>
                </c:pt>
                <c:pt idx="5">
                  <c:v>9322</c:v>
                </c:pt>
                <c:pt idx="6">
                  <c:v>9268</c:v>
                </c:pt>
                <c:pt idx="7">
                  <c:v>9394</c:v>
                </c:pt>
                <c:pt idx="8">
                  <c:v>9265</c:v>
                </c:pt>
                <c:pt idx="9">
                  <c:v>9348</c:v>
                </c:pt>
                <c:pt idx="10">
                  <c:v>9697</c:v>
                </c:pt>
                <c:pt idx="11">
                  <c:v>9482</c:v>
                </c:pt>
                <c:pt idx="12">
                  <c:v>9665</c:v>
                </c:pt>
                <c:pt idx="13">
                  <c:v>8891</c:v>
                </c:pt>
                <c:pt idx="14">
                  <c:v>9365</c:v>
                </c:pt>
                <c:pt idx="15">
                  <c:v>8733</c:v>
                </c:pt>
                <c:pt idx="16">
                  <c:v>7997</c:v>
                </c:pt>
                <c:pt idx="17">
                  <c:v>9246</c:v>
                </c:pt>
                <c:pt idx="18">
                  <c:v>8430</c:v>
                </c:pt>
                <c:pt idx="19">
                  <c:v>9481</c:v>
                </c:pt>
                <c:pt idx="20">
                  <c:v>8012</c:v>
                </c:pt>
                <c:pt idx="21">
                  <c:v>8116</c:v>
                </c:pt>
                <c:pt idx="22">
                  <c:v>7299</c:v>
                </c:pt>
                <c:pt idx="23">
                  <c:v>7804</c:v>
                </c:pt>
                <c:pt idx="24">
                  <c:v>8313</c:v>
                </c:pt>
                <c:pt idx="25">
                  <c:v>7593</c:v>
                </c:pt>
                <c:pt idx="26">
                  <c:v>7885</c:v>
                </c:pt>
                <c:pt idx="27">
                  <c:v>7761</c:v>
                </c:pt>
                <c:pt idx="28">
                  <c:v>7775</c:v>
                </c:pt>
                <c:pt idx="29">
                  <c:v>8627</c:v>
                </c:pt>
                <c:pt idx="30">
                  <c:v>8990</c:v>
                </c:pt>
                <c:pt idx="31">
                  <c:v>9130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19-443E-8886-2E55C8277824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marker>
            <c:symbol val="triangle"/>
            <c:size val="9"/>
          </c:marker>
          <c:cat>
            <c:numRef>
              <c:f>'Suivi EAU-ELEC'!$A$9:$A$45</c:f>
              <c:numCache>
                <c:formatCode>m/d/yyyy</c:formatCode>
                <c:ptCount val="37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</c:numCache>
            </c:numRef>
          </c:cat>
          <c:val>
            <c:numRef>
              <c:f>'Suivi EAU-ELEC'!$K$9:$K$42</c:f>
              <c:numCache>
                <c:formatCode>General</c:formatCode>
                <c:ptCount val="34"/>
                <c:pt idx="0">
                  <c:v>3733</c:v>
                </c:pt>
                <c:pt idx="1">
                  <c:v>4287</c:v>
                </c:pt>
                <c:pt idx="2">
                  <c:v>4368</c:v>
                </c:pt>
                <c:pt idx="3">
                  <c:v>4099</c:v>
                </c:pt>
                <c:pt idx="4">
                  <c:v>4349</c:v>
                </c:pt>
                <c:pt idx="5">
                  <c:v>4256</c:v>
                </c:pt>
                <c:pt idx="6">
                  <c:v>4370</c:v>
                </c:pt>
                <c:pt idx="7">
                  <c:v>4136</c:v>
                </c:pt>
                <c:pt idx="8">
                  <c:v>4123</c:v>
                </c:pt>
                <c:pt idx="9">
                  <c:v>4368</c:v>
                </c:pt>
                <c:pt idx="10">
                  <c:v>4257</c:v>
                </c:pt>
                <c:pt idx="11">
                  <c:v>4076</c:v>
                </c:pt>
                <c:pt idx="12">
                  <c:v>4150</c:v>
                </c:pt>
                <c:pt idx="13">
                  <c:v>4082</c:v>
                </c:pt>
                <c:pt idx="14">
                  <c:v>4040</c:v>
                </c:pt>
                <c:pt idx="15">
                  <c:v>3777</c:v>
                </c:pt>
                <c:pt idx="16">
                  <c:v>3779</c:v>
                </c:pt>
                <c:pt idx="17">
                  <c:v>3802</c:v>
                </c:pt>
                <c:pt idx="18">
                  <c:v>3837</c:v>
                </c:pt>
                <c:pt idx="19">
                  <c:v>4937</c:v>
                </c:pt>
                <c:pt idx="20">
                  <c:v>3802</c:v>
                </c:pt>
                <c:pt idx="21">
                  <c:v>3370</c:v>
                </c:pt>
                <c:pt idx="22">
                  <c:v>3213</c:v>
                </c:pt>
                <c:pt idx="23">
                  <c:v>5312</c:v>
                </c:pt>
                <c:pt idx="24">
                  <c:v>1486</c:v>
                </c:pt>
                <c:pt idx="25">
                  <c:v>3493</c:v>
                </c:pt>
                <c:pt idx="26">
                  <c:v>3394</c:v>
                </c:pt>
                <c:pt idx="27">
                  <c:v>3580</c:v>
                </c:pt>
                <c:pt idx="28">
                  <c:v>3948</c:v>
                </c:pt>
                <c:pt idx="29">
                  <c:v>3948</c:v>
                </c:pt>
                <c:pt idx="30">
                  <c:v>4071</c:v>
                </c:pt>
                <c:pt idx="31">
                  <c:v>4557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19-443E-8886-2E55C8277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657936"/>
        <c:axId val="1"/>
      </c:lineChart>
      <c:dateAx>
        <c:axId val="149665793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65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447.98894000000001</c:v>
                </c:pt>
                <c:pt idx="1">
                  <c:v>415.98973000000001</c:v>
                </c:pt>
                <c:pt idx="2">
                  <c:v>415.98973000000001</c:v>
                </c:pt>
                <c:pt idx="3">
                  <c:v>511.98736000000002</c:v>
                </c:pt>
                <c:pt idx="4">
                  <c:v>191.99526</c:v>
                </c:pt>
                <c:pt idx="5">
                  <c:v>479.98815000000002</c:v>
                </c:pt>
                <c:pt idx="6">
                  <c:v>511.98736000000002</c:v>
                </c:pt>
                <c:pt idx="7">
                  <c:v>447.98894000000001</c:v>
                </c:pt>
                <c:pt idx="8">
                  <c:v>383.99052</c:v>
                </c:pt>
                <c:pt idx="9">
                  <c:v>479.98815000000002</c:v>
                </c:pt>
                <c:pt idx="10">
                  <c:v>351.99131</c:v>
                </c:pt>
                <c:pt idx="11">
                  <c:v>511.98736000000002</c:v>
                </c:pt>
                <c:pt idx="12">
                  <c:v>447.98894000000001</c:v>
                </c:pt>
                <c:pt idx="13">
                  <c:v>415.98973000000001</c:v>
                </c:pt>
                <c:pt idx="14">
                  <c:v>415.98973000000001</c:v>
                </c:pt>
                <c:pt idx="15">
                  <c:v>415.98973000000001</c:v>
                </c:pt>
                <c:pt idx="16">
                  <c:v>511.98736000000002</c:v>
                </c:pt>
                <c:pt idx="17">
                  <c:v>639.98419999999999</c:v>
                </c:pt>
                <c:pt idx="18">
                  <c:v>575.98577999999998</c:v>
                </c:pt>
                <c:pt idx="19">
                  <c:v>447.98894000000001</c:v>
                </c:pt>
                <c:pt idx="20">
                  <c:v>767.98104000000001</c:v>
                </c:pt>
                <c:pt idx="21">
                  <c:v>511.98736000000002</c:v>
                </c:pt>
                <c:pt idx="22">
                  <c:v>703.98262</c:v>
                </c:pt>
                <c:pt idx="23">
                  <c:v>703.98262</c:v>
                </c:pt>
                <c:pt idx="24">
                  <c:v>735.98183000000006</c:v>
                </c:pt>
                <c:pt idx="25">
                  <c:v>383.99052</c:v>
                </c:pt>
                <c:pt idx="26">
                  <c:v>511.98736000000002</c:v>
                </c:pt>
                <c:pt idx="27">
                  <c:v>575.98577999999998</c:v>
                </c:pt>
                <c:pt idx="28">
                  <c:v>511.98736000000002</c:v>
                </c:pt>
                <c:pt idx="29">
                  <c:v>607.98499000000004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6-4523-9FA4-ABEC528EB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7127952"/>
        <c:axId val="1"/>
      </c:barChart>
      <c:dateAx>
        <c:axId val="149712795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25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12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3587230172"/>
          <c:w val="6.4020486555698142E-3"/>
          <c:h val="2.168675344153414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B-468C-968E-17DE2F47A57E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AB-468C-968E-17DE2F47A57E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AB-468C-968E-17DE2F47A57E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AB-468C-968E-17DE2F47A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4810480"/>
        <c:axId val="1"/>
      </c:lineChart>
      <c:catAx>
        <c:axId val="149481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8104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5056576732431871"/>
          <c:y val="0.94892727118787568"/>
          <c:w val="0.64781957182654271"/>
          <c:h val="0.9731208195749724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électr'!$B$16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électr'!$C$16:$N$16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4-417C-99DD-1B0D6A7D9B1D}"/>
            </c:ext>
          </c:extLst>
        </c:ser>
        <c:ser>
          <c:idx val="1"/>
          <c:order val="1"/>
          <c:tx>
            <c:strRef>
              <c:f>'cons annuel électr'!$B$17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électr'!$C$17:$N$17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B4-417C-99DD-1B0D6A7D9B1D}"/>
            </c:ext>
          </c:extLst>
        </c:ser>
        <c:ser>
          <c:idx val="2"/>
          <c:order val="2"/>
          <c:tx>
            <c:strRef>
              <c:f>'cons annuel électr'!$B$18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B4-417C-99DD-1B0D6A7D9B1D}"/>
            </c:ext>
          </c:extLst>
        </c:ser>
        <c:ser>
          <c:idx val="3"/>
          <c:order val="3"/>
          <c:tx>
            <c:strRef>
              <c:f>'cons annuel électr'!$B$19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B4-417C-99DD-1B0D6A7D9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4804240"/>
        <c:axId val="1"/>
      </c:lineChart>
      <c:catAx>
        <c:axId val="1494804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8042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5229117687303302"/>
          <c:y val="0.95122207285064975"/>
          <c:w val="0.65086987349330139"/>
          <c:h val="0.9756123167530887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6-4FF2-AFE5-511669E6EC33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86-4FF2-AFE5-511669E6EC33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86-4FF2-AFE5-511669E6EC33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86-4FF2-AFE5-511669E6E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961360"/>
        <c:axId val="1"/>
      </c:lineChart>
      <c:catAx>
        <c:axId val="149396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9613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720626833410527"/>
          <c:y val="0.95273866886042224"/>
          <c:w val="0.67279488960938694"/>
          <c:h val="0.9751267285619147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'!$B$16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'!$C$16:$N$16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F-418D-8E63-F75924C10886}"/>
            </c:ext>
          </c:extLst>
        </c:ser>
        <c:ser>
          <c:idx val="1"/>
          <c:order val="1"/>
          <c:tx>
            <c:strRef>
              <c:f>'cons annuel EAU  '!$B$17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'!$C$17:$N$17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F-418D-8E63-F75924C10886}"/>
            </c:ext>
          </c:extLst>
        </c:ser>
        <c:ser>
          <c:idx val="2"/>
          <c:order val="2"/>
          <c:tx>
            <c:strRef>
              <c:f>'cons annuel EAU  '!$B$18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F-418D-8E63-F75924C10886}"/>
            </c:ext>
          </c:extLst>
        </c:ser>
        <c:ser>
          <c:idx val="3"/>
          <c:order val="3"/>
          <c:tx>
            <c:strRef>
              <c:f>'cons annuel EAU  '!$B$19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DF-418D-8E63-F75924C10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4805680"/>
        <c:axId val="1"/>
      </c:lineChart>
      <c:catAx>
        <c:axId val="1494805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8056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3094849726968384"/>
          <c:y val="0.95331695331695332"/>
          <c:w val="0.66726372083632657"/>
          <c:h val="0.9754299754299754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925-A5A2-F3DEE01552C1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15-4925-A5A2-F3DEE01552C1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15-4925-A5A2-F3DEE01552C1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15-4925-A5A2-F3DEE0155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654096"/>
        <c:axId val="1"/>
      </c:lineChart>
      <c:catAx>
        <c:axId val="149665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6540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51883646123182"/>
          <c:y val="0.95683679827791313"/>
          <c:w val="0.6710534209539597"/>
          <c:h val="0.9784195320908627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GAZ'!$B$16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GAZ'!$C$16:$N$16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D-4DC7-93DD-68655687382F}"/>
            </c:ext>
          </c:extLst>
        </c:ser>
        <c:ser>
          <c:idx val="1"/>
          <c:order val="1"/>
          <c:tx>
            <c:strRef>
              <c:f>'livraison annuel GAZ'!$B$17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GAZ'!$C$17:$N$17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D-4DC7-93DD-68655687382F}"/>
            </c:ext>
          </c:extLst>
        </c:ser>
        <c:ser>
          <c:idx val="2"/>
          <c:order val="2"/>
          <c:tx>
            <c:strRef>
              <c:f>'livraison annuel GAZ'!$B$18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AD-4DC7-93DD-68655687382F}"/>
            </c:ext>
          </c:extLst>
        </c:ser>
        <c:ser>
          <c:idx val="3"/>
          <c:order val="3"/>
          <c:tx>
            <c:strRef>
              <c:f>'livraison annuel GAZ'!$B$19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AD-4DC7-93DD-686556873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656016"/>
        <c:axId val="1"/>
      </c:lineChart>
      <c:catAx>
        <c:axId val="1496656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6560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3952738171242108"/>
          <c:y val="0.9572456530819633"/>
          <c:w val="0.65033836986592886"/>
          <c:h val="0.9786233252909893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6EAC9F8C-7ADE-CB88-01F9-EB4646B77CF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7958EABC-B0A1-006B-1D4A-88A2B7C0521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3618625" name="Picture 1">
          <a:extLst>
            <a:ext uri="{FF2B5EF4-FFF2-40B4-BE49-F238E27FC236}">
              <a16:creationId xmlns:a16="http://schemas.microsoft.com/office/drawing/2014/main" id="{0E004914-CB46-9FCF-89CF-926ABFD0C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2829480" name="Graphique 3">
          <a:extLst>
            <a:ext uri="{FF2B5EF4-FFF2-40B4-BE49-F238E27FC236}">
              <a16:creationId xmlns:a16="http://schemas.microsoft.com/office/drawing/2014/main" id="{FEF29A88-0A00-2A8F-F06A-16862ED3B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314325</xdr:rowOff>
    </xdr:to>
    <xdr:graphicFrame macro="">
      <xdr:nvGraphicFramePr>
        <xdr:cNvPr id="22829481" name="Graphique 4">
          <a:extLst>
            <a:ext uri="{FF2B5EF4-FFF2-40B4-BE49-F238E27FC236}">
              <a16:creationId xmlns:a16="http://schemas.microsoft.com/office/drawing/2014/main" id="{DF57F911-1341-EF9E-BEC9-AC6BCD59E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38</xdr:row>
      <xdr:rowOff>0</xdr:rowOff>
    </xdr:from>
    <xdr:to>
      <xdr:col>25</xdr:col>
      <xdr:colOff>657225</xdr:colOff>
      <xdr:row>52</xdr:row>
      <xdr:rowOff>142875</xdr:rowOff>
    </xdr:to>
    <xdr:graphicFrame macro="">
      <xdr:nvGraphicFramePr>
        <xdr:cNvPr id="22829482" name="Graphique 5">
          <a:extLst>
            <a:ext uri="{FF2B5EF4-FFF2-40B4-BE49-F238E27FC236}">
              <a16:creationId xmlns:a16="http://schemas.microsoft.com/office/drawing/2014/main" id="{23A83670-D9C4-CB19-7714-40A69A1B9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2829483" name="Picture 1">
          <a:extLst>
            <a:ext uri="{FF2B5EF4-FFF2-40B4-BE49-F238E27FC236}">
              <a16:creationId xmlns:a16="http://schemas.microsoft.com/office/drawing/2014/main" id="{A6F96D57-F491-4BEA-3D88-06078B037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0459220" name="Picture 1">
          <a:extLst>
            <a:ext uri="{FF2B5EF4-FFF2-40B4-BE49-F238E27FC236}">
              <a16:creationId xmlns:a16="http://schemas.microsoft.com/office/drawing/2014/main" id="{8347F8BB-5A2F-045A-C5DA-136AC9A1A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0459221" name="Picture 1">
          <a:extLst>
            <a:ext uri="{FF2B5EF4-FFF2-40B4-BE49-F238E27FC236}">
              <a16:creationId xmlns:a16="http://schemas.microsoft.com/office/drawing/2014/main" id="{96AF2FC5-3999-83C2-8AB9-CEDBCA8A3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0558527" name="Picture 1">
          <a:extLst>
            <a:ext uri="{FF2B5EF4-FFF2-40B4-BE49-F238E27FC236}">
              <a16:creationId xmlns:a16="http://schemas.microsoft.com/office/drawing/2014/main" id="{DF8FF363-99CE-13AF-7287-7F428D691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0558528" name="Picture 1">
          <a:extLst>
            <a:ext uri="{FF2B5EF4-FFF2-40B4-BE49-F238E27FC236}">
              <a16:creationId xmlns:a16="http://schemas.microsoft.com/office/drawing/2014/main" id="{B03BE126-5188-40B7-01FD-078EE7BA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20" name="Picture 1">
          <a:extLst>
            <a:ext uri="{FF2B5EF4-FFF2-40B4-BE49-F238E27FC236}">
              <a16:creationId xmlns:a16="http://schemas.microsoft.com/office/drawing/2014/main" id="{2E059AA6-11EE-2188-A38A-AA7CC883D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21" name="Picture 1">
          <a:extLst>
            <a:ext uri="{FF2B5EF4-FFF2-40B4-BE49-F238E27FC236}">
              <a16:creationId xmlns:a16="http://schemas.microsoft.com/office/drawing/2014/main" id="{F320CD52-329D-CF9F-7945-F8A67E37A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22" name="Picture 1">
          <a:extLst>
            <a:ext uri="{FF2B5EF4-FFF2-40B4-BE49-F238E27FC236}">
              <a16:creationId xmlns:a16="http://schemas.microsoft.com/office/drawing/2014/main" id="{847B8D50-B92D-DDBA-D0C8-6520B0C9A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23" name="Picture 1">
          <a:extLst>
            <a:ext uri="{FF2B5EF4-FFF2-40B4-BE49-F238E27FC236}">
              <a16:creationId xmlns:a16="http://schemas.microsoft.com/office/drawing/2014/main" id="{7AFDD072-AC66-5CB8-3E20-5D36B78C3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24" name="Picture 1">
          <a:extLst>
            <a:ext uri="{FF2B5EF4-FFF2-40B4-BE49-F238E27FC236}">
              <a16:creationId xmlns:a16="http://schemas.microsoft.com/office/drawing/2014/main" id="{67700E74-839D-8792-1BAE-32BE0E05F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25" name="Picture 1">
          <a:extLst>
            <a:ext uri="{FF2B5EF4-FFF2-40B4-BE49-F238E27FC236}">
              <a16:creationId xmlns:a16="http://schemas.microsoft.com/office/drawing/2014/main" id="{4BD2FDE7-32F7-43B2-28CB-09935D988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26" name="Picture 1">
          <a:extLst>
            <a:ext uri="{FF2B5EF4-FFF2-40B4-BE49-F238E27FC236}">
              <a16:creationId xmlns:a16="http://schemas.microsoft.com/office/drawing/2014/main" id="{EF53C85A-3798-8C94-5DCF-DFEC7859E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27" name="Picture 1">
          <a:extLst>
            <a:ext uri="{FF2B5EF4-FFF2-40B4-BE49-F238E27FC236}">
              <a16:creationId xmlns:a16="http://schemas.microsoft.com/office/drawing/2014/main" id="{50E4F1F7-ADBB-D30B-DD26-98F923199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28" name="Picture 1">
          <a:extLst>
            <a:ext uri="{FF2B5EF4-FFF2-40B4-BE49-F238E27FC236}">
              <a16:creationId xmlns:a16="http://schemas.microsoft.com/office/drawing/2014/main" id="{709E1B15-D868-E269-AB39-A3A027920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29" name="Picture 1">
          <a:extLst>
            <a:ext uri="{FF2B5EF4-FFF2-40B4-BE49-F238E27FC236}">
              <a16:creationId xmlns:a16="http://schemas.microsoft.com/office/drawing/2014/main" id="{EE746B80-216E-D4D9-4809-BD5C17350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30" name="Picture 1">
          <a:extLst>
            <a:ext uri="{FF2B5EF4-FFF2-40B4-BE49-F238E27FC236}">
              <a16:creationId xmlns:a16="http://schemas.microsoft.com/office/drawing/2014/main" id="{9D28A7FF-A9AD-E996-D6D2-81AD90E75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31" name="Picture 1">
          <a:extLst>
            <a:ext uri="{FF2B5EF4-FFF2-40B4-BE49-F238E27FC236}">
              <a16:creationId xmlns:a16="http://schemas.microsoft.com/office/drawing/2014/main" id="{14620E53-08D4-2120-E58C-BE862B69D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32" name="Picture 1">
          <a:extLst>
            <a:ext uri="{FF2B5EF4-FFF2-40B4-BE49-F238E27FC236}">
              <a16:creationId xmlns:a16="http://schemas.microsoft.com/office/drawing/2014/main" id="{D75A23DA-D3D3-B503-523D-42C102690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33" name="Picture 1">
          <a:extLst>
            <a:ext uri="{FF2B5EF4-FFF2-40B4-BE49-F238E27FC236}">
              <a16:creationId xmlns:a16="http://schemas.microsoft.com/office/drawing/2014/main" id="{7FF23FA3-0CA3-9EFF-0462-B82301E87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34" name="Picture 1">
          <a:extLst>
            <a:ext uri="{FF2B5EF4-FFF2-40B4-BE49-F238E27FC236}">
              <a16:creationId xmlns:a16="http://schemas.microsoft.com/office/drawing/2014/main" id="{0C44D1AF-2393-57EB-FF0E-AD44CBA7F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3426735" name="Picture 1">
          <a:extLst>
            <a:ext uri="{FF2B5EF4-FFF2-40B4-BE49-F238E27FC236}">
              <a16:creationId xmlns:a16="http://schemas.microsoft.com/office/drawing/2014/main" id="{C118AB9F-9D1C-5F82-A88D-076A18819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44" name="Picture 1">
          <a:extLst>
            <a:ext uri="{FF2B5EF4-FFF2-40B4-BE49-F238E27FC236}">
              <a16:creationId xmlns:a16="http://schemas.microsoft.com/office/drawing/2014/main" id="{F498CB4F-395E-F68E-028C-FCCA64B4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45" name="Picture 1">
          <a:extLst>
            <a:ext uri="{FF2B5EF4-FFF2-40B4-BE49-F238E27FC236}">
              <a16:creationId xmlns:a16="http://schemas.microsoft.com/office/drawing/2014/main" id="{CAE41E39-8776-8D11-BD61-44DE8845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46" name="Picture 1">
          <a:extLst>
            <a:ext uri="{FF2B5EF4-FFF2-40B4-BE49-F238E27FC236}">
              <a16:creationId xmlns:a16="http://schemas.microsoft.com/office/drawing/2014/main" id="{48F0A29D-F298-1ECC-D9DB-98F94FF10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47" name="Picture 1">
          <a:extLst>
            <a:ext uri="{FF2B5EF4-FFF2-40B4-BE49-F238E27FC236}">
              <a16:creationId xmlns:a16="http://schemas.microsoft.com/office/drawing/2014/main" id="{AD086FD8-AC44-FCB5-BF9F-2F4E9616A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48" name="Picture 1">
          <a:extLst>
            <a:ext uri="{FF2B5EF4-FFF2-40B4-BE49-F238E27FC236}">
              <a16:creationId xmlns:a16="http://schemas.microsoft.com/office/drawing/2014/main" id="{4DD1DCE3-5C26-BC41-165D-5F76021E3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49" name="Picture 1">
          <a:extLst>
            <a:ext uri="{FF2B5EF4-FFF2-40B4-BE49-F238E27FC236}">
              <a16:creationId xmlns:a16="http://schemas.microsoft.com/office/drawing/2014/main" id="{9338168E-FB6B-8125-3948-BC6E05A2A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50" name="Picture 1">
          <a:extLst>
            <a:ext uri="{FF2B5EF4-FFF2-40B4-BE49-F238E27FC236}">
              <a16:creationId xmlns:a16="http://schemas.microsoft.com/office/drawing/2014/main" id="{C83D22EF-60E6-9359-92ED-A5DF3FCA3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51" name="Picture 1">
          <a:extLst>
            <a:ext uri="{FF2B5EF4-FFF2-40B4-BE49-F238E27FC236}">
              <a16:creationId xmlns:a16="http://schemas.microsoft.com/office/drawing/2014/main" id="{3A70CDE7-5FF5-0769-E582-765B8AC16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52" name="Picture 1">
          <a:extLst>
            <a:ext uri="{FF2B5EF4-FFF2-40B4-BE49-F238E27FC236}">
              <a16:creationId xmlns:a16="http://schemas.microsoft.com/office/drawing/2014/main" id="{814A1D11-FF55-7984-D850-AE0FD34E9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53" name="Picture 1">
          <a:extLst>
            <a:ext uri="{FF2B5EF4-FFF2-40B4-BE49-F238E27FC236}">
              <a16:creationId xmlns:a16="http://schemas.microsoft.com/office/drawing/2014/main" id="{93226866-1812-1163-235F-784C66E9B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54" name="Picture 1">
          <a:extLst>
            <a:ext uri="{FF2B5EF4-FFF2-40B4-BE49-F238E27FC236}">
              <a16:creationId xmlns:a16="http://schemas.microsoft.com/office/drawing/2014/main" id="{E568C667-99BB-4FEC-74F3-1D7FBE7ED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55" name="Picture 1">
          <a:extLst>
            <a:ext uri="{FF2B5EF4-FFF2-40B4-BE49-F238E27FC236}">
              <a16:creationId xmlns:a16="http://schemas.microsoft.com/office/drawing/2014/main" id="{2184B2DC-7171-BB43-2BE1-2A2E59D25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56" name="Picture 1">
          <a:extLst>
            <a:ext uri="{FF2B5EF4-FFF2-40B4-BE49-F238E27FC236}">
              <a16:creationId xmlns:a16="http://schemas.microsoft.com/office/drawing/2014/main" id="{5CB2088E-6C3C-7500-1C31-19208D5B9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57" name="Picture 1">
          <a:extLst>
            <a:ext uri="{FF2B5EF4-FFF2-40B4-BE49-F238E27FC236}">
              <a16:creationId xmlns:a16="http://schemas.microsoft.com/office/drawing/2014/main" id="{2325B7A3-505B-A058-FB4D-CDA76F15C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58" name="Picture 1">
          <a:extLst>
            <a:ext uri="{FF2B5EF4-FFF2-40B4-BE49-F238E27FC236}">
              <a16:creationId xmlns:a16="http://schemas.microsoft.com/office/drawing/2014/main" id="{024866F7-01BC-71F3-AB18-25A9367D5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3427759" name="Picture 1">
          <a:extLst>
            <a:ext uri="{FF2B5EF4-FFF2-40B4-BE49-F238E27FC236}">
              <a16:creationId xmlns:a16="http://schemas.microsoft.com/office/drawing/2014/main" id="{7D46A511-67A6-5F53-6CAC-A8B44AE03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2835624" name="Picture 1">
          <a:extLst>
            <a:ext uri="{FF2B5EF4-FFF2-40B4-BE49-F238E27FC236}">
              <a16:creationId xmlns:a16="http://schemas.microsoft.com/office/drawing/2014/main" id="{3165860E-834A-1C26-35B0-092CAEBE9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2835625" name="Picture 1">
          <a:extLst>
            <a:ext uri="{FF2B5EF4-FFF2-40B4-BE49-F238E27FC236}">
              <a16:creationId xmlns:a16="http://schemas.microsoft.com/office/drawing/2014/main" id="{66208F8F-8A0A-6307-7D03-6E9C99D86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2835626" name="Picture 1">
          <a:extLst>
            <a:ext uri="{FF2B5EF4-FFF2-40B4-BE49-F238E27FC236}">
              <a16:creationId xmlns:a16="http://schemas.microsoft.com/office/drawing/2014/main" id="{320A281B-5233-4562-E384-C275D9AB9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2835627" name="Picture 1">
          <a:extLst>
            <a:ext uri="{FF2B5EF4-FFF2-40B4-BE49-F238E27FC236}">
              <a16:creationId xmlns:a16="http://schemas.microsoft.com/office/drawing/2014/main" id="{C6A84207-8DB0-5FA2-033D-FE62074BF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21</xdr:row>
      <xdr:rowOff>28575</xdr:rowOff>
    </xdr:from>
    <xdr:to>
      <xdr:col>13</xdr:col>
      <xdr:colOff>447675</xdr:colOff>
      <xdr:row>42</xdr:row>
      <xdr:rowOff>85725</xdr:rowOff>
    </xdr:to>
    <xdr:graphicFrame macro="">
      <xdr:nvGraphicFramePr>
        <xdr:cNvPr id="20463316" name="Chart 1">
          <a:extLst>
            <a:ext uri="{FF2B5EF4-FFF2-40B4-BE49-F238E27FC236}">
              <a16:creationId xmlns:a16="http://schemas.microsoft.com/office/drawing/2014/main" id="{FE27E97A-B721-9241-173F-FD58EB65D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21</xdr:row>
      <xdr:rowOff>47625</xdr:rowOff>
    </xdr:from>
    <xdr:to>
      <xdr:col>6</xdr:col>
      <xdr:colOff>638175</xdr:colOff>
      <xdr:row>42</xdr:row>
      <xdr:rowOff>76200</xdr:rowOff>
    </xdr:to>
    <xdr:graphicFrame macro="">
      <xdr:nvGraphicFramePr>
        <xdr:cNvPr id="20463317" name="Chart 2">
          <a:extLst>
            <a:ext uri="{FF2B5EF4-FFF2-40B4-BE49-F238E27FC236}">
              <a16:creationId xmlns:a16="http://schemas.microsoft.com/office/drawing/2014/main" id="{5DCD041C-4CAE-0FFD-6825-A4E9BA3EA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22</xdr:row>
      <xdr:rowOff>28575</xdr:rowOff>
    </xdr:from>
    <xdr:to>
      <xdr:col>13</xdr:col>
      <xdr:colOff>981075</xdr:colOff>
      <xdr:row>45</xdr:row>
      <xdr:rowOff>47625</xdr:rowOff>
    </xdr:to>
    <xdr:graphicFrame macro="">
      <xdr:nvGraphicFramePr>
        <xdr:cNvPr id="20466388" name="Chart 1">
          <a:extLst>
            <a:ext uri="{FF2B5EF4-FFF2-40B4-BE49-F238E27FC236}">
              <a16:creationId xmlns:a16="http://schemas.microsoft.com/office/drawing/2014/main" id="{E1944E4E-8B55-94A4-BF21-43B8F92AF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22</xdr:row>
      <xdr:rowOff>9525</xdr:rowOff>
    </xdr:from>
    <xdr:to>
      <xdr:col>6</xdr:col>
      <xdr:colOff>238125</xdr:colOff>
      <xdr:row>45</xdr:row>
      <xdr:rowOff>76200</xdr:rowOff>
    </xdr:to>
    <xdr:graphicFrame macro="">
      <xdr:nvGraphicFramePr>
        <xdr:cNvPr id="20466389" name="Chart 2">
          <a:extLst>
            <a:ext uri="{FF2B5EF4-FFF2-40B4-BE49-F238E27FC236}">
              <a16:creationId xmlns:a16="http://schemas.microsoft.com/office/drawing/2014/main" id="{3B4C2CE2-D170-7550-E53B-A694990EF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22</xdr:row>
      <xdr:rowOff>28575</xdr:rowOff>
    </xdr:from>
    <xdr:to>
      <xdr:col>13</xdr:col>
      <xdr:colOff>1114425</xdr:colOff>
      <xdr:row>46</xdr:row>
      <xdr:rowOff>28575</xdr:rowOff>
    </xdr:to>
    <xdr:graphicFrame macro="">
      <xdr:nvGraphicFramePr>
        <xdr:cNvPr id="20469460" name="Chart 1">
          <a:extLst>
            <a:ext uri="{FF2B5EF4-FFF2-40B4-BE49-F238E27FC236}">
              <a16:creationId xmlns:a16="http://schemas.microsoft.com/office/drawing/2014/main" id="{385899FF-9864-C4A5-D696-73F8A3DAA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22</xdr:row>
      <xdr:rowOff>9525</xdr:rowOff>
    </xdr:from>
    <xdr:to>
      <xdr:col>7</xdr:col>
      <xdr:colOff>66675</xdr:colOff>
      <xdr:row>46</xdr:row>
      <xdr:rowOff>47625</xdr:rowOff>
    </xdr:to>
    <xdr:graphicFrame macro="">
      <xdr:nvGraphicFramePr>
        <xdr:cNvPr id="20469461" name="Chart 2">
          <a:extLst>
            <a:ext uri="{FF2B5EF4-FFF2-40B4-BE49-F238E27FC236}">
              <a16:creationId xmlns:a16="http://schemas.microsoft.com/office/drawing/2014/main" id="{0B97DCC7-8B08-E44F-D8DE-A250A3350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workbookViewId="0">
      <selection activeCell="H2" sqref="H2"/>
    </sheetView>
  </sheetViews>
  <sheetFormatPr baseColWidth="10" defaultColWidth="8.85546875" defaultRowHeight="12.75" x14ac:dyDescent="0.2"/>
  <cols>
    <col min="1" max="1" width="12.42578125" style="50" customWidth="1"/>
    <col min="2" max="3" width="8.85546875" style="153" customWidth="1"/>
    <col min="4" max="4" width="13.42578125" style="154" customWidth="1"/>
    <col min="5" max="5" width="12.5703125" style="150" customWidth="1"/>
    <col min="6" max="6" width="12.5703125" style="50" customWidth="1"/>
    <col min="7" max="10" width="8.85546875" style="50" customWidth="1"/>
    <col min="11" max="12" width="8.85546875" style="150" customWidth="1"/>
    <col min="13" max="13" width="0" hidden="1" customWidth="1"/>
  </cols>
  <sheetData>
    <row r="1" spans="1:13" s="110" customFormat="1" ht="75.75" thickBot="1" x14ac:dyDescent="0.3">
      <c r="A1" s="148" t="s">
        <v>0</v>
      </c>
      <c r="B1" s="151" t="s">
        <v>1</v>
      </c>
      <c r="C1" s="151" t="s">
        <v>2</v>
      </c>
      <c r="D1" s="152" t="s">
        <v>3</v>
      </c>
      <c r="E1" s="160" t="s">
        <v>4</v>
      </c>
      <c r="F1" s="155" t="s">
        <v>5</v>
      </c>
      <c r="G1" s="155" t="s">
        <v>6</v>
      </c>
      <c r="H1" s="155" t="s">
        <v>7</v>
      </c>
      <c r="I1" s="155" t="s">
        <v>8</v>
      </c>
      <c r="J1" s="155" t="s">
        <v>9</v>
      </c>
      <c r="K1" s="160" t="s">
        <v>10</v>
      </c>
      <c r="L1" s="160" t="s">
        <v>11</v>
      </c>
      <c r="M1" s="145" t="s">
        <v>12</v>
      </c>
    </row>
    <row r="2" spans="1:13" x14ac:dyDescent="0.2">
      <c r="A2" s="149" t="s">
        <v>13</v>
      </c>
      <c r="B2" s="153">
        <v>1</v>
      </c>
      <c r="C2" s="153">
        <v>10</v>
      </c>
      <c r="D2" s="154">
        <v>2019</v>
      </c>
      <c r="E2" s="150">
        <f>submetering!E2+submetering!F2+submetering!G2</f>
        <v>18426</v>
      </c>
      <c r="F2" s="147">
        <v>1.05</v>
      </c>
      <c r="G2" s="147">
        <f>'Consommation mensuel énergie'!V10</f>
        <v>447.98894000000001</v>
      </c>
      <c r="H2" s="147">
        <v>7.6250999999999998</v>
      </c>
      <c r="I2" s="147">
        <f>'Consommation mensuel énergie'!F10</f>
        <v>174</v>
      </c>
      <c r="J2" s="147">
        <v>11.4</v>
      </c>
      <c r="K2" s="150">
        <f>'Consommation mensuel énergie'!D10</f>
        <v>172</v>
      </c>
      <c r="L2" s="150">
        <f>'Consommation mensuel énergie'!E10</f>
        <v>256</v>
      </c>
      <c r="M2" s="146" t="e">
        <f>E2*F2+G2*H2+#REF!*#REF!+I2*J2</f>
        <v>#REF!</v>
      </c>
    </row>
    <row r="3" spans="1:13" x14ac:dyDescent="0.2">
      <c r="A3" s="149" t="s">
        <v>13</v>
      </c>
      <c r="B3" s="153">
        <f>B2+1</f>
        <v>2</v>
      </c>
      <c r="C3" s="153">
        <v>10</v>
      </c>
      <c r="D3" s="154">
        <v>2019</v>
      </c>
      <c r="E3" s="150">
        <f>submetering!E3+submetering!F3+submetering!G3</f>
        <v>18997</v>
      </c>
      <c r="F3" s="147">
        <v>1.05</v>
      </c>
      <c r="G3" s="147">
        <f>'Consommation mensuel énergie'!V11</f>
        <v>415.98973000000001</v>
      </c>
      <c r="H3" s="147">
        <v>7.6250999999999998</v>
      </c>
      <c r="I3" s="147">
        <f>'Consommation mensuel énergie'!F11</f>
        <v>167</v>
      </c>
      <c r="J3" s="147">
        <v>11.4</v>
      </c>
      <c r="K3" s="150">
        <f>'Consommation mensuel énergie'!D11</f>
        <v>174</v>
      </c>
      <c r="L3" s="150">
        <f>'Consommation mensuel énergie'!E11</f>
        <v>244</v>
      </c>
      <c r="M3" s="146" t="e">
        <f>E3*F3+G3*H3+#REF!*#REF!+I3*J3</f>
        <v>#REF!</v>
      </c>
    </row>
    <row r="4" spans="1:13" x14ac:dyDescent="0.2">
      <c r="A4" s="149" t="s">
        <v>13</v>
      </c>
      <c r="B4" s="153">
        <f t="shared" ref="B4:B32" si="0">B3+1</f>
        <v>3</v>
      </c>
      <c r="C4" s="153">
        <v>10</v>
      </c>
      <c r="D4" s="154">
        <v>2019</v>
      </c>
      <c r="E4" s="150">
        <f>submetering!E4+submetering!F4+submetering!G4</f>
        <v>18605</v>
      </c>
      <c r="F4" s="147">
        <v>1.05</v>
      </c>
      <c r="G4" s="147">
        <f>'Consommation mensuel énergie'!V12</f>
        <v>415.98973000000001</v>
      </c>
      <c r="H4" s="147">
        <v>7.6250999999999998</v>
      </c>
      <c r="I4" s="147">
        <f>'Consommation mensuel énergie'!F12</f>
        <v>179.80000000000291</v>
      </c>
      <c r="J4" s="147">
        <v>11.4</v>
      </c>
      <c r="K4" s="150">
        <f>'Consommation mensuel énergie'!D12</f>
        <v>173</v>
      </c>
      <c r="L4" s="150">
        <f>'Consommation mensuel énergie'!E12</f>
        <v>258</v>
      </c>
      <c r="M4" s="146" t="e">
        <f>E4*F4+G4*H4+#REF!*#REF!+I4*J4</f>
        <v>#REF!</v>
      </c>
    </row>
    <row r="5" spans="1:13" x14ac:dyDescent="0.2">
      <c r="A5" s="149" t="s">
        <v>13</v>
      </c>
      <c r="B5" s="153">
        <f t="shared" si="0"/>
        <v>4</v>
      </c>
      <c r="C5" s="153">
        <v>10</v>
      </c>
      <c r="D5" s="154">
        <v>2019</v>
      </c>
      <c r="E5" s="150">
        <f>submetering!E5+submetering!F5+submetering!G5</f>
        <v>18942</v>
      </c>
      <c r="F5" s="147">
        <v>1.05</v>
      </c>
      <c r="G5" s="147">
        <f>'Consommation mensuel énergie'!V13</f>
        <v>511.98736000000002</v>
      </c>
      <c r="H5" s="147">
        <v>7.6250999999999998</v>
      </c>
      <c r="I5" s="147">
        <f>'Consommation mensuel énergie'!F13</f>
        <v>178.29999999999563</v>
      </c>
      <c r="J5" s="147">
        <v>11.4</v>
      </c>
      <c r="K5" s="150">
        <f>'Consommation mensuel énergie'!D13</f>
        <v>155</v>
      </c>
      <c r="L5" s="150">
        <f>'Consommation mensuel énergie'!E13</f>
        <v>267</v>
      </c>
      <c r="M5" s="146" t="e">
        <f>E5*F5+G5*H5+#REF!*#REF!+I5*J5</f>
        <v>#REF!</v>
      </c>
    </row>
    <row r="6" spans="1:13" x14ac:dyDescent="0.2">
      <c r="A6" s="149" t="s">
        <v>13</v>
      </c>
      <c r="B6" s="153">
        <f t="shared" si="0"/>
        <v>5</v>
      </c>
      <c r="C6" s="153">
        <v>10</v>
      </c>
      <c r="D6" s="154">
        <v>2019</v>
      </c>
      <c r="E6" s="150">
        <f>submetering!E6+submetering!F6+submetering!G6</f>
        <v>19000</v>
      </c>
      <c r="F6" s="147">
        <v>1.05</v>
      </c>
      <c r="G6" s="147">
        <f>'Consommation mensuel énergie'!V14</f>
        <v>191.99526</v>
      </c>
      <c r="H6" s="147">
        <v>7.6250999999999998</v>
      </c>
      <c r="I6" s="147">
        <f>'Consommation mensuel énergie'!F14</f>
        <v>214</v>
      </c>
      <c r="J6" s="147">
        <v>11.4</v>
      </c>
      <c r="K6" s="150">
        <f>'Consommation mensuel énergie'!D14</f>
        <v>178</v>
      </c>
      <c r="L6" s="150">
        <f>'Consommation mensuel énergie'!E14</f>
        <v>320</v>
      </c>
      <c r="M6" s="146" t="e">
        <f>E6*F6+G6*H6+#REF!*#REF!+I6*J6</f>
        <v>#REF!</v>
      </c>
    </row>
    <row r="7" spans="1:13" x14ac:dyDescent="0.2">
      <c r="A7" s="149" t="s">
        <v>13</v>
      </c>
      <c r="B7" s="153">
        <f t="shared" si="0"/>
        <v>6</v>
      </c>
      <c r="C7" s="153">
        <v>10</v>
      </c>
      <c r="D7" s="154">
        <v>2019</v>
      </c>
      <c r="E7" s="150">
        <f>submetering!E7+submetering!F7+submetering!G7</f>
        <v>18911</v>
      </c>
      <c r="F7" s="147">
        <v>1.05</v>
      </c>
      <c r="G7" s="147">
        <f>'Consommation mensuel énergie'!V15</f>
        <v>479.98815000000002</v>
      </c>
      <c r="H7" s="147">
        <v>7.6250999999999998</v>
      </c>
      <c r="I7" s="147">
        <f>'Consommation mensuel énergie'!F15</f>
        <v>174.09999999999854</v>
      </c>
      <c r="J7" s="147">
        <v>11.4</v>
      </c>
      <c r="K7" s="150">
        <f>'Consommation mensuel énergie'!D15</f>
        <v>163</v>
      </c>
      <c r="L7" s="150">
        <f>'Consommation mensuel énergie'!E15</f>
        <v>274</v>
      </c>
      <c r="M7" s="146" t="e">
        <f>E7*F7+G7*H7+#REF!*#REF!+I7*J7</f>
        <v>#REF!</v>
      </c>
    </row>
    <row r="8" spans="1:13" x14ac:dyDescent="0.2">
      <c r="A8" s="149" t="s">
        <v>13</v>
      </c>
      <c r="B8" s="153">
        <f t="shared" si="0"/>
        <v>7</v>
      </c>
      <c r="C8" s="153">
        <v>10</v>
      </c>
      <c r="D8" s="154">
        <v>2019</v>
      </c>
      <c r="E8" s="150">
        <f>submetering!E8+submetering!F8+submetering!G8</f>
        <v>18796</v>
      </c>
      <c r="F8" s="147">
        <v>1.05</v>
      </c>
      <c r="G8" s="147">
        <f>'Consommation mensuel énergie'!V16</f>
        <v>511.98736000000002</v>
      </c>
      <c r="H8" s="147">
        <v>7.6250999999999998</v>
      </c>
      <c r="I8" s="147">
        <f>'Consommation mensuel énergie'!F16</f>
        <v>162.30000000000291</v>
      </c>
      <c r="J8" s="147">
        <v>11.4</v>
      </c>
      <c r="K8" s="150">
        <f>'Consommation mensuel énergie'!D16</f>
        <v>165</v>
      </c>
      <c r="L8" s="150">
        <f>'Consommation mensuel énergie'!E16</f>
        <v>254</v>
      </c>
      <c r="M8" s="146" t="e">
        <f>E8*F8+G8*H8+#REF!*#REF!+I8*J8</f>
        <v>#REF!</v>
      </c>
    </row>
    <row r="9" spans="1:13" x14ac:dyDescent="0.2">
      <c r="A9" s="149" t="s">
        <v>13</v>
      </c>
      <c r="B9" s="153">
        <f t="shared" si="0"/>
        <v>8</v>
      </c>
      <c r="C9" s="153">
        <v>10</v>
      </c>
      <c r="D9" s="154">
        <v>2019</v>
      </c>
      <c r="E9" s="150">
        <f>submetering!E9+submetering!F9+submetering!G9</f>
        <v>20130</v>
      </c>
      <c r="F9" s="147">
        <v>1.05</v>
      </c>
      <c r="G9" s="147">
        <f>'Consommation mensuel énergie'!V17</f>
        <v>447.98894000000001</v>
      </c>
      <c r="H9" s="147">
        <v>7.6250999999999998</v>
      </c>
      <c r="I9" s="147">
        <f>'Consommation mensuel énergie'!F17</f>
        <v>274.80000000000291</v>
      </c>
      <c r="J9" s="147">
        <v>11.4</v>
      </c>
      <c r="K9" s="150">
        <f>'Consommation mensuel énergie'!D17</f>
        <v>174</v>
      </c>
      <c r="L9" s="150">
        <f>'Consommation mensuel énergie'!E17</f>
        <v>254</v>
      </c>
      <c r="M9" s="146" t="e">
        <f>E9*F9+G9*H9+#REF!*#REF!+I9*J9</f>
        <v>#REF!</v>
      </c>
    </row>
    <row r="10" spans="1:13" x14ac:dyDescent="0.2">
      <c r="A10" s="149" t="s">
        <v>13</v>
      </c>
      <c r="B10" s="153">
        <f t="shared" si="0"/>
        <v>9</v>
      </c>
      <c r="C10" s="153">
        <v>10</v>
      </c>
      <c r="D10" s="154">
        <v>2019</v>
      </c>
      <c r="E10" s="150">
        <f>submetering!E10+submetering!F10+submetering!G10</f>
        <v>18938</v>
      </c>
      <c r="F10" s="147">
        <v>1.05</v>
      </c>
      <c r="G10" s="147">
        <f>'Consommation mensuel énergie'!V18</f>
        <v>383.99052</v>
      </c>
      <c r="H10" s="147">
        <v>7.6250999999999998</v>
      </c>
      <c r="I10" s="147">
        <f>'Consommation mensuel énergie'!F18</f>
        <v>290</v>
      </c>
      <c r="J10" s="147">
        <v>11.4</v>
      </c>
      <c r="K10" s="150">
        <f>'Consommation mensuel énergie'!D18</f>
        <v>173</v>
      </c>
      <c r="L10" s="150">
        <f>'Consommation mensuel énergie'!E18</f>
        <v>246</v>
      </c>
      <c r="M10" s="146" t="e">
        <f>E10*F10+G10*H10+#REF!*#REF!+I10*J10</f>
        <v>#REF!</v>
      </c>
    </row>
    <row r="11" spans="1:13" x14ac:dyDescent="0.2">
      <c r="A11" s="149" t="s">
        <v>13</v>
      </c>
      <c r="B11" s="153">
        <f t="shared" si="0"/>
        <v>10</v>
      </c>
      <c r="C11" s="153">
        <v>10</v>
      </c>
      <c r="D11" s="154">
        <v>2019</v>
      </c>
      <c r="E11" s="150">
        <f>submetering!E11+submetering!F11+submetering!G11</f>
        <v>19565</v>
      </c>
      <c r="F11" s="147">
        <v>1.05</v>
      </c>
      <c r="G11" s="147">
        <f>'Consommation mensuel énergie'!V19</f>
        <v>479.98815000000002</v>
      </c>
      <c r="H11" s="147">
        <v>7.6250999999999998</v>
      </c>
      <c r="I11" s="147">
        <f>'Consommation mensuel énergie'!F19</f>
        <v>228.29999999999563</v>
      </c>
      <c r="J11" s="147">
        <v>11.4</v>
      </c>
      <c r="K11" s="150">
        <f>'Consommation mensuel énergie'!D19</f>
        <v>166</v>
      </c>
      <c r="L11" s="150">
        <f>'Consommation mensuel énergie'!E19</f>
        <v>256</v>
      </c>
      <c r="M11" s="146" t="e">
        <f>E11*F11+G11*H11+#REF!*#REF!+I11*J11</f>
        <v>#REF!</v>
      </c>
    </row>
    <row r="12" spans="1:13" x14ac:dyDescent="0.2">
      <c r="A12" s="149" t="s">
        <v>13</v>
      </c>
      <c r="B12" s="153">
        <f t="shared" si="0"/>
        <v>11</v>
      </c>
      <c r="C12" s="153">
        <v>10</v>
      </c>
      <c r="D12" s="154">
        <v>2019</v>
      </c>
      <c r="E12" s="150">
        <f>submetering!E12+submetering!F12+submetering!G12</f>
        <v>19780</v>
      </c>
      <c r="F12" s="147">
        <v>1.05</v>
      </c>
      <c r="G12" s="147">
        <f>'Consommation mensuel énergie'!V20</f>
        <v>351.99131</v>
      </c>
      <c r="H12" s="147">
        <v>7.6250999999999998</v>
      </c>
      <c r="I12" s="147">
        <f>'Consommation mensuel énergie'!F20</f>
        <v>183.70000000000437</v>
      </c>
      <c r="J12" s="147">
        <v>11.4</v>
      </c>
      <c r="K12" s="150">
        <f>'Consommation mensuel énergie'!D20</f>
        <v>175</v>
      </c>
      <c r="L12" s="150">
        <f>'Consommation mensuel énergie'!E20</f>
        <v>271</v>
      </c>
      <c r="M12" s="146" t="e">
        <f>E12*F12+G12*H12+#REF!*#REF!+I12*J12</f>
        <v>#REF!</v>
      </c>
    </row>
    <row r="13" spans="1:13" x14ac:dyDescent="0.2">
      <c r="A13" s="149" t="s">
        <v>13</v>
      </c>
      <c r="B13" s="153">
        <f t="shared" si="0"/>
        <v>12</v>
      </c>
      <c r="C13" s="153">
        <v>10</v>
      </c>
      <c r="D13" s="154">
        <v>2019</v>
      </c>
      <c r="E13" s="150">
        <f>submetering!E13+submetering!F13+submetering!G13</f>
        <v>19073</v>
      </c>
      <c r="F13" s="147">
        <v>1.05</v>
      </c>
      <c r="G13" s="147">
        <f>'Consommation mensuel énergie'!V21</f>
        <v>511.98736000000002</v>
      </c>
      <c r="H13" s="147">
        <v>7.6250999999999998</v>
      </c>
      <c r="I13" s="147">
        <f>'Consommation mensuel énergie'!F21</f>
        <v>179.69999999999709</v>
      </c>
      <c r="J13" s="147">
        <v>11.4</v>
      </c>
      <c r="K13" s="150">
        <f>'Consommation mensuel énergie'!D21</f>
        <v>158</v>
      </c>
      <c r="L13" s="150">
        <f>'Consommation mensuel énergie'!E21</f>
        <v>270</v>
      </c>
      <c r="M13" s="146" t="e">
        <f>E13*F13+G13*H13+#REF!*#REF!+I13*J13</f>
        <v>#REF!</v>
      </c>
    </row>
    <row r="14" spans="1:13" x14ac:dyDescent="0.2">
      <c r="A14" s="149" t="s">
        <v>13</v>
      </c>
      <c r="B14" s="153">
        <f t="shared" si="0"/>
        <v>13</v>
      </c>
      <c r="C14" s="153">
        <v>10</v>
      </c>
      <c r="D14" s="154">
        <v>2019</v>
      </c>
      <c r="E14" s="150">
        <f>submetering!E14+submetering!F14+submetering!G14</f>
        <v>19139</v>
      </c>
      <c r="F14" s="147">
        <v>1.05</v>
      </c>
      <c r="G14" s="147">
        <f>'Consommation mensuel énergie'!V22</f>
        <v>447.98894000000001</v>
      </c>
      <c r="H14" s="147">
        <v>7.6250999999999998</v>
      </c>
      <c r="I14" s="147">
        <f>'Consommation mensuel énergie'!F22</f>
        <v>174</v>
      </c>
      <c r="J14" s="147">
        <v>11.4</v>
      </c>
      <c r="K14" s="150">
        <f>'Consommation mensuel énergie'!D22</f>
        <v>176</v>
      </c>
      <c r="L14" s="150">
        <f>'Consommation mensuel énergie'!E22</f>
        <v>269</v>
      </c>
      <c r="M14" s="146" t="e">
        <f>E14*F14+G14*H14+#REF!*#REF!+I14*J14</f>
        <v>#REF!</v>
      </c>
    </row>
    <row r="15" spans="1:13" x14ac:dyDescent="0.2">
      <c r="A15" s="149" t="s">
        <v>13</v>
      </c>
      <c r="B15" s="153">
        <f t="shared" si="0"/>
        <v>14</v>
      </c>
      <c r="C15" s="153">
        <v>10</v>
      </c>
      <c r="D15" s="154">
        <v>2019</v>
      </c>
      <c r="E15" s="150">
        <f>submetering!E15+submetering!F15+submetering!G15</f>
        <v>18005</v>
      </c>
      <c r="F15" s="147">
        <v>1.05</v>
      </c>
      <c r="G15" s="147">
        <f>'Consommation mensuel énergie'!V23</f>
        <v>415.98973000000001</v>
      </c>
      <c r="H15" s="147">
        <v>7.6250999999999998</v>
      </c>
      <c r="I15" s="147">
        <f>'Consommation mensuel énergie'!F23</f>
        <v>168</v>
      </c>
      <c r="J15" s="147">
        <v>11.4</v>
      </c>
      <c r="K15" s="150">
        <f>'Consommation mensuel énergie'!D23</f>
        <v>162</v>
      </c>
      <c r="L15" s="150">
        <f>'Consommation mensuel énergie'!E23</f>
        <v>249</v>
      </c>
      <c r="M15" s="146" t="e">
        <f>E15*F15+G15*H15+#REF!*#REF!+I15*J15</f>
        <v>#REF!</v>
      </c>
    </row>
    <row r="16" spans="1:13" x14ac:dyDescent="0.2">
      <c r="A16" s="149" t="s">
        <v>13</v>
      </c>
      <c r="B16" s="153">
        <f t="shared" si="0"/>
        <v>15</v>
      </c>
      <c r="C16" s="153">
        <v>10</v>
      </c>
      <c r="D16" s="154">
        <v>2019</v>
      </c>
      <c r="E16" s="150">
        <f>submetering!E16+submetering!F16+submetering!G16</f>
        <v>18805</v>
      </c>
      <c r="F16" s="147">
        <v>1.05</v>
      </c>
      <c r="G16" s="147">
        <f>'Consommation mensuel énergie'!V24</f>
        <v>415.98973000000001</v>
      </c>
      <c r="H16" s="147">
        <v>7.6250999999999998</v>
      </c>
      <c r="I16" s="147">
        <f>'Consommation mensuel énergie'!F24</f>
        <v>207</v>
      </c>
      <c r="J16" s="147">
        <v>11.4</v>
      </c>
      <c r="K16" s="150">
        <f>'Consommation mensuel énergie'!D24</f>
        <v>167</v>
      </c>
      <c r="L16" s="150">
        <f>'Consommation mensuel énergie'!E24</f>
        <v>241</v>
      </c>
      <c r="M16" s="146" t="e">
        <f>E16*F16+G16*H16+#REF!*#REF!+I16*J16</f>
        <v>#REF!</v>
      </c>
    </row>
    <row r="17" spans="1:13" x14ac:dyDescent="0.2">
      <c r="A17" s="149" t="s">
        <v>13</v>
      </c>
      <c r="B17" s="153">
        <f t="shared" si="0"/>
        <v>16</v>
      </c>
      <c r="C17" s="153">
        <v>10</v>
      </c>
      <c r="D17" s="154">
        <v>2019</v>
      </c>
      <c r="E17" s="150">
        <f>submetering!E17+submetering!F17+submetering!G17</f>
        <v>17420</v>
      </c>
      <c r="F17" s="147">
        <v>1.05</v>
      </c>
      <c r="G17" s="147">
        <f>'Consommation mensuel énergie'!V25</f>
        <v>415.98973000000001</v>
      </c>
      <c r="H17" s="147">
        <v>7.6250999999999998</v>
      </c>
      <c r="I17" s="147">
        <f>'Consommation mensuel énergie'!F25</f>
        <v>177</v>
      </c>
      <c r="J17" s="147">
        <v>11.4</v>
      </c>
      <c r="K17" s="150">
        <f>'Consommation mensuel énergie'!D25</f>
        <v>168</v>
      </c>
      <c r="L17" s="150">
        <f>'Consommation mensuel énergie'!E25</f>
        <v>246</v>
      </c>
      <c r="M17" s="146" t="e">
        <f>E17*F17+G17*H17+#REF!*#REF!+I17*J17</f>
        <v>#REF!</v>
      </c>
    </row>
    <row r="18" spans="1:13" x14ac:dyDescent="0.2">
      <c r="A18" s="149" t="s">
        <v>13</v>
      </c>
      <c r="B18" s="153">
        <f t="shared" si="0"/>
        <v>17</v>
      </c>
      <c r="C18" s="153">
        <v>10</v>
      </c>
      <c r="D18" s="154">
        <v>2019</v>
      </c>
      <c r="E18" s="150">
        <f>submetering!E18+submetering!F18+submetering!G18</f>
        <v>15991</v>
      </c>
      <c r="F18" s="147">
        <v>1.05</v>
      </c>
      <c r="G18" s="147">
        <f>'Consommation mensuel énergie'!V26</f>
        <v>511.98736000000002</v>
      </c>
      <c r="H18" s="147">
        <v>7.6250999999999998</v>
      </c>
      <c r="I18" s="147">
        <f>'Consommation mensuel énergie'!F26</f>
        <v>167.59999999999854</v>
      </c>
      <c r="J18" s="147">
        <v>11.4</v>
      </c>
      <c r="K18" s="150">
        <f>'Consommation mensuel énergie'!D26</f>
        <v>176</v>
      </c>
      <c r="L18" s="150">
        <f>'Consommation mensuel énergie'!E26</f>
        <v>269</v>
      </c>
      <c r="M18" s="146" t="e">
        <f>E18*F18+G18*H18+#REF!*#REF!+I18*J18</f>
        <v>#REF!</v>
      </c>
    </row>
    <row r="19" spans="1:13" x14ac:dyDescent="0.2">
      <c r="A19" s="149" t="s">
        <v>13</v>
      </c>
      <c r="B19" s="153">
        <f t="shared" si="0"/>
        <v>18</v>
      </c>
      <c r="C19" s="153">
        <v>10</v>
      </c>
      <c r="D19" s="154">
        <v>2019</v>
      </c>
      <c r="E19" s="150">
        <f>submetering!E19+submetering!F19+submetering!G19</f>
        <v>18166</v>
      </c>
      <c r="F19" s="147">
        <v>1.05</v>
      </c>
      <c r="G19" s="147">
        <f>'Consommation mensuel énergie'!V27</f>
        <v>639.98419999999999</v>
      </c>
      <c r="H19" s="147">
        <v>7.6250999999999998</v>
      </c>
      <c r="I19" s="147">
        <f>'Consommation mensuel énergie'!F27</f>
        <v>170.5</v>
      </c>
      <c r="J19" s="147">
        <v>11.4</v>
      </c>
      <c r="K19" s="150">
        <f>'Consommation mensuel énergie'!D27</f>
        <v>161</v>
      </c>
      <c r="L19" s="150">
        <f>'Consommation mensuel énergie'!E27</f>
        <v>265</v>
      </c>
      <c r="M19" s="146" t="e">
        <f>E19*F19+G19*H19+#REF!*#REF!+I19*J19</f>
        <v>#REF!</v>
      </c>
    </row>
    <row r="20" spans="1:13" x14ac:dyDescent="0.2">
      <c r="A20" s="149" t="s">
        <v>13</v>
      </c>
      <c r="B20" s="153">
        <f t="shared" si="0"/>
        <v>19</v>
      </c>
      <c r="C20" s="153">
        <v>10</v>
      </c>
      <c r="D20" s="154">
        <v>2019</v>
      </c>
      <c r="E20" s="150">
        <f>submetering!E20+submetering!F20+submetering!G20</f>
        <v>17338</v>
      </c>
      <c r="F20" s="147">
        <v>1.05</v>
      </c>
      <c r="G20" s="147">
        <f>'Consommation mensuel énergie'!V28</f>
        <v>575.98577999999998</v>
      </c>
      <c r="H20" s="147">
        <v>7.6250999999999998</v>
      </c>
      <c r="I20" s="147">
        <f>'Consommation mensuel énergie'!F28</f>
        <v>196</v>
      </c>
      <c r="J20" s="147">
        <v>11.4</v>
      </c>
      <c r="K20" s="150">
        <f>'Consommation mensuel énergie'!D28</f>
        <v>177</v>
      </c>
      <c r="L20" s="150">
        <f>'Consommation mensuel énergie'!E28</f>
        <v>296</v>
      </c>
      <c r="M20" s="146" t="e">
        <f>E20*F20+G20*H20+#REF!*#REF!+I20*J20</f>
        <v>#REF!</v>
      </c>
    </row>
    <row r="21" spans="1:13" x14ac:dyDescent="0.2">
      <c r="A21" s="149" t="s">
        <v>13</v>
      </c>
      <c r="B21" s="153">
        <f t="shared" si="0"/>
        <v>20</v>
      </c>
      <c r="C21" s="153">
        <v>10</v>
      </c>
      <c r="D21" s="154">
        <v>2019</v>
      </c>
      <c r="E21" s="150">
        <f>submetering!E21+submetering!F21+submetering!G21</f>
        <v>20281</v>
      </c>
      <c r="F21" s="147">
        <v>1.05</v>
      </c>
      <c r="G21" s="147">
        <f>'Consommation mensuel énergie'!V29</f>
        <v>447.98894000000001</v>
      </c>
      <c r="H21" s="147">
        <v>7.6250999999999998</v>
      </c>
      <c r="I21" s="147">
        <f>'Consommation mensuel énergie'!F29</f>
        <v>193.70000000000437</v>
      </c>
      <c r="J21" s="147">
        <v>11.4</v>
      </c>
      <c r="K21" s="150">
        <f>'Consommation mensuel énergie'!D29</f>
        <v>145</v>
      </c>
      <c r="L21" s="150">
        <f>'Consommation mensuel énergie'!E29</f>
        <v>226</v>
      </c>
      <c r="M21" s="146" t="e">
        <f>E21*F21+G21*H21+#REF!*#REF!+I21*J21</f>
        <v>#REF!</v>
      </c>
    </row>
    <row r="22" spans="1:13" x14ac:dyDescent="0.2">
      <c r="A22" s="149" t="s">
        <v>13</v>
      </c>
      <c r="B22" s="153">
        <f t="shared" si="0"/>
        <v>21</v>
      </c>
      <c r="C22" s="153">
        <v>10</v>
      </c>
      <c r="D22" s="154">
        <v>2019</v>
      </c>
      <c r="E22" s="150">
        <f>submetering!E22+submetering!F22+submetering!G22</f>
        <v>16422</v>
      </c>
      <c r="F22" s="147">
        <v>1.05</v>
      </c>
      <c r="G22" s="147">
        <f>'Consommation mensuel énergie'!V30</f>
        <v>767.98104000000001</v>
      </c>
      <c r="H22" s="147">
        <v>7.6250999999999998</v>
      </c>
      <c r="I22" s="147">
        <f>'Consommation mensuel énergie'!F30</f>
        <v>174.19999999999709</v>
      </c>
      <c r="J22" s="147">
        <v>11.4</v>
      </c>
      <c r="K22" s="150">
        <f>'Consommation mensuel énergie'!D30</f>
        <v>171</v>
      </c>
      <c r="L22" s="150">
        <f>'Consommation mensuel énergie'!E30</f>
        <v>246</v>
      </c>
      <c r="M22" s="146" t="e">
        <f>E22*F22+G22*H22+#REF!*#REF!+I22*J22</f>
        <v>#REF!</v>
      </c>
    </row>
    <row r="23" spans="1:13" x14ac:dyDescent="0.2">
      <c r="A23" s="149" t="s">
        <v>13</v>
      </c>
      <c r="B23" s="153">
        <f t="shared" si="0"/>
        <v>22</v>
      </c>
      <c r="C23" s="153">
        <v>10</v>
      </c>
      <c r="D23" s="154">
        <v>2019</v>
      </c>
      <c r="E23" s="150">
        <f>submetering!E23+submetering!F23+submetering!G23</f>
        <v>17903</v>
      </c>
      <c r="F23" s="147">
        <v>1.05</v>
      </c>
      <c r="G23" s="147">
        <f>'Consommation mensuel énergie'!V31</f>
        <v>511.98736000000002</v>
      </c>
      <c r="H23" s="147">
        <v>7.6250999999999998</v>
      </c>
      <c r="I23" s="147">
        <f>'Consommation mensuel énergie'!F31</f>
        <v>203.59999999999854</v>
      </c>
      <c r="J23" s="147">
        <v>11.4</v>
      </c>
      <c r="K23" s="150">
        <f>'Consommation mensuel énergie'!D31</f>
        <v>173</v>
      </c>
      <c r="L23" s="150">
        <f>'Consommation mensuel énergie'!E31</f>
        <v>243</v>
      </c>
      <c r="M23" s="146" t="e">
        <f>E23*F23+G23*H23+#REF!*#REF!+I23*J23</f>
        <v>#REF!</v>
      </c>
    </row>
    <row r="24" spans="1:13" x14ac:dyDescent="0.2">
      <c r="A24" s="149" t="s">
        <v>13</v>
      </c>
      <c r="B24" s="153">
        <f t="shared" si="0"/>
        <v>23</v>
      </c>
      <c r="C24" s="153">
        <v>10</v>
      </c>
      <c r="D24" s="154">
        <v>2019</v>
      </c>
      <c r="E24" s="150">
        <f>submetering!E24+submetering!F24+submetering!G24</f>
        <v>15503</v>
      </c>
      <c r="F24" s="147">
        <v>1.05</v>
      </c>
      <c r="G24" s="147">
        <f>'Consommation mensuel énergie'!V32</f>
        <v>703.98262</v>
      </c>
      <c r="H24" s="147">
        <v>7.6250999999999998</v>
      </c>
      <c r="I24" s="147">
        <f>'Consommation mensuel énergie'!F32</f>
        <v>193</v>
      </c>
      <c r="J24" s="147">
        <v>11.4</v>
      </c>
      <c r="K24" s="150">
        <f>'Consommation mensuel énergie'!D32</f>
        <v>180</v>
      </c>
      <c r="L24" s="150">
        <f>'Consommation mensuel énergie'!E32</f>
        <v>273</v>
      </c>
      <c r="M24" s="146" t="e">
        <f>E24*F24+G24*H24+#REF!*#REF!+I24*J24</f>
        <v>#REF!</v>
      </c>
    </row>
    <row r="25" spans="1:13" x14ac:dyDescent="0.2">
      <c r="A25" s="149" t="s">
        <v>13</v>
      </c>
      <c r="B25" s="153">
        <f t="shared" si="0"/>
        <v>24</v>
      </c>
      <c r="C25" s="153">
        <v>10</v>
      </c>
      <c r="D25" s="154">
        <v>2019</v>
      </c>
      <c r="E25" s="150">
        <f>submetering!E25+submetering!F25+submetering!G25</f>
        <v>18422</v>
      </c>
      <c r="F25" s="147">
        <v>1.05</v>
      </c>
      <c r="G25" s="147">
        <f>'Consommation mensuel énergie'!V33</f>
        <v>703.98262</v>
      </c>
      <c r="H25" s="147">
        <v>7.6250999999999998</v>
      </c>
      <c r="I25" s="147">
        <f>'Consommation mensuel énergie'!F33</f>
        <v>215.5</v>
      </c>
      <c r="J25" s="147">
        <v>11.4</v>
      </c>
      <c r="K25" s="150">
        <f>'Consommation mensuel énergie'!D33</f>
        <v>148</v>
      </c>
      <c r="L25" s="150">
        <f>'Consommation mensuel énergie'!E33</f>
        <v>240</v>
      </c>
      <c r="M25" s="146" t="e">
        <f>E25*F25+G25*H25+#REF!*#REF!+I25*J25</f>
        <v>#REF!</v>
      </c>
    </row>
    <row r="26" spans="1:13" x14ac:dyDescent="0.2">
      <c r="A26" s="149" t="s">
        <v>13</v>
      </c>
      <c r="B26" s="153">
        <f>B25+1</f>
        <v>25</v>
      </c>
      <c r="C26" s="153">
        <v>10</v>
      </c>
      <c r="D26" s="154">
        <v>2019</v>
      </c>
      <c r="E26" s="150">
        <f>submetering!E26+submetering!F26+submetering!G26</f>
        <v>15434</v>
      </c>
      <c r="F26" s="147">
        <v>1.05</v>
      </c>
      <c r="G26" s="147">
        <f>'Consommation mensuel énergie'!V34</f>
        <v>735.98183000000006</v>
      </c>
      <c r="H26" s="147">
        <v>7.6250999999999998</v>
      </c>
      <c r="I26" s="147">
        <f>'Consommation mensuel énergie'!F34</f>
        <v>199</v>
      </c>
      <c r="J26" s="147">
        <v>11.4</v>
      </c>
      <c r="K26" s="150">
        <f>'Consommation mensuel énergie'!D34</f>
        <v>136</v>
      </c>
      <c r="L26" s="150">
        <f>'Consommation mensuel énergie'!E34</f>
        <v>241</v>
      </c>
      <c r="M26" s="146" t="e">
        <f>E26*F26+G26*H26+#REF!*#REF!+I26*J26</f>
        <v>#REF!</v>
      </c>
    </row>
    <row r="27" spans="1:13" x14ac:dyDescent="0.2">
      <c r="A27" s="149" t="s">
        <v>13</v>
      </c>
      <c r="B27" s="153">
        <f t="shared" si="0"/>
        <v>26</v>
      </c>
      <c r="C27" s="153">
        <v>10</v>
      </c>
      <c r="D27" s="154">
        <v>2019</v>
      </c>
      <c r="E27" s="150">
        <f>submetering!E27+submetering!F27+submetering!G27</f>
        <v>15366</v>
      </c>
      <c r="F27" s="147">
        <v>1.05</v>
      </c>
      <c r="G27" s="147">
        <f>'Consommation mensuel énergie'!V35</f>
        <v>383.99052</v>
      </c>
      <c r="H27" s="147">
        <v>7.6250999999999998</v>
      </c>
      <c r="I27" s="147">
        <f>'Consommation mensuel énergie'!F35</f>
        <v>203.90000000000146</v>
      </c>
      <c r="J27" s="147">
        <v>11.4</v>
      </c>
      <c r="K27" s="150">
        <f>'Consommation mensuel énergie'!D35</f>
        <v>140</v>
      </c>
      <c r="L27" s="150">
        <f>'Consommation mensuel énergie'!E35</f>
        <v>247</v>
      </c>
      <c r="M27" s="146" t="e">
        <f>E27*F27+G27*H27+#REF!*#REF!+I27*J27</f>
        <v>#REF!</v>
      </c>
    </row>
    <row r="28" spans="1:13" x14ac:dyDescent="0.2">
      <c r="A28" s="149" t="s">
        <v>13</v>
      </c>
      <c r="B28" s="153">
        <f t="shared" si="0"/>
        <v>27</v>
      </c>
      <c r="C28" s="153">
        <v>10</v>
      </c>
      <c r="D28" s="154">
        <v>2019</v>
      </c>
      <c r="E28" s="150">
        <f>submetering!E28+submetering!F28+submetering!G28</f>
        <v>16123</v>
      </c>
      <c r="F28" s="147">
        <v>1.05</v>
      </c>
      <c r="G28" s="147">
        <f>'Consommation mensuel énergie'!V36</f>
        <v>511.98736000000002</v>
      </c>
      <c r="H28" s="147">
        <v>7.6250999999999998</v>
      </c>
      <c r="I28" s="147">
        <f>'Consommation mensuel énergie'!F36</f>
        <v>172</v>
      </c>
      <c r="J28" s="147">
        <v>11.4</v>
      </c>
      <c r="K28" s="150">
        <f>'Consommation mensuel énergie'!D36</f>
        <v>135</v>
      </c>
      <c r="L28" s="150">
        <f>'Consommation mensuel énergie'!E36</f>
        <v>200</v>
      </c>
      <c r="M28" s="146" t="e">
        <f>E28*F28+G28*H28+#REF!*#REF!+I28*J28</f>
        <v>#REF!</v>
      </c>
    </row>
    <row r="29" spans="1:13" x14ac:dyDescent="0.2">
      <c r="A29" s="149" t="s">
        <v>13</v>
      </c>
      <c r="B29" s="153">
        <f t="shared" si="0"/>
        <v>28</v>
      </c>
      <c r="C29" s="153">
        <v>10</v>
      </c>
      <c r="D29" s="154">
        <v>2019</v>
      </c>
      <c r="E29" s="150">
        <f>submetering!E29+submetering!F29+submetering!G29</f>
        <v>16171</v>
      </c>
      <c r="F29" s="147">
        <v>1.05</v>
      </c>
      <c r="G29" s="147">
        <f>'Consommation mensuel énergie'!V37</f>
        <v>575.98577999999998</v>
      </c>
      <c r="H29" s="147">
        <v>7.6250999999999998</v>
      </c>
      <c r="I29" s="147">
        <f>'Consommation mensuel énergie'!F37</f>
        <v>172</v>
      </c>
      <c r="J29" s="147">
        <v>11.4</v>
      </c>
      <c r="K29" s="150">
        <f>'Consommation mensuel énergie'!D37</f>
        <v>176</v>
      </c>
      <c r="L29" s="150">
        <f>'Consommation mensuel énergie'!E37</f>
        <v>260</v>
      </c>
      <c r="M29" s="146" t="e">
        <f>E29*F29+G29*H29+#REF!*#REF!+I29*J29</f>
        <v>#REF!</v>
      </c>
    </row>
    <row r="30" spans="1:13" x14ac:dyDescent="0.2">
      <c r="A30" s="149" t="s">
        <v>13</v>
      </c>
      <c r="B30" s="153">
        <f t="shared" si="0"/>
        <v>29</v>
      </c>
      <c r="C30" s="153">
        <v>10</v>
      </c>
      <c r="D30" s="154">
        <v>2019</v>
      </c>
      <c r="E30" s="150">
        <f>submetering!E30+submetering!F30+submetering!G30</f>
        <v>16804</v>
      </c>
      <c r="F30" s="147">
        <v>1.05</v>
      </c>
      <c r="G30" s="147">
        <f>'Consommation mensuel énergie'!V38</f>
        <v>511.98736000000002</v>
      </c>
      <c r="H30" s="147">
        <v>7.6250999999999998</v>
      </c>
      <c r="I30" s="147">
        <f>'Consommation mensuel énergie'!F38</f>
        <v>184</v>
      </c>
      <c r="J30" s="147">
        <v>11.4</v>
      </c>
      <c r="K30" s="150">
        <f>'Consommation mensuel énergie'!D38</f>
        <v>170</v>
      </c>
      <c r="L30" s="150">
        <f>'Consommation mensuel énergie'!E38</f>
        <v>227</v>
      </c>
      <c r="M30" s="146" t="e">
        <f>E30*F30+G30*H30+#REF!*#REF!+I30*J30</f>
        <v>#REF!</v>
      </c>
    </row>
    <row r="31" spans="1:13" x14ac:dyDescent="0.2">
      <c r="A31" s="149" t="s">
        <v>13</v>
      </c>
      <c r="B31" s="153">
        <f t="shared" si="0"/>
        <v>30</v>
      </c>
      <c r="C31" s="153">
        <v>10</v>
      </c>
      <c r="D31" s="154">
        <v>2019</v>
      </c>
      <c r="E31" s="150">
        <f>submetering!E31+submetering!F31+submetering!G31</f>
        <v>17531</v>
      </c>
      <c r="F31" s="147">
        <v>1.05</v>
      </c>
      <c r="G31" s="147">
        <f>'Consommation mensuel énergie'!V39</f>
        <v>607.98499000000004</v>
      </c>
      <c r="H31" s="147">
        <v>7.6250999999999998</v>
      </c>
      <c r="I31" s="147">
        <f>'Consommation mensuel énergie'!F39</f>
        <v>226</v>
      </c>
      <c r="J31" s="147">
        <v>11.4</v>
      </c>
      <c r="K31" s="150">
        <f>'Consommation mensuel énergie'!D39</f>
        <v>160</v>
      </c>
      <c r="L31" s="150">
        <f>'Consommation mensuel énergie'!E39</f>
        <v>225</v>
      </c>
      <c r="M31" s="146"/>
    </row>
    <row r="32" spans="1:13" x14ac:dyDescent="0.2">
      <c r="A32" s="149" t="s">
        <v>13</v>
      </c>
      <c r="B32" s="153">
        <f t="shared" si="0"/>
        <v>31</v>
      </c>
      <c r="C32" s="153">
        <v>10</v>
      </c>
      <c r="D32" s="154">
        <v>2019</v>
      </c>
      <c r="E32" s="150">
        <f>submetering!E32+submetering!F32+submetering!G32</f>
        <v>17465</v>
      </c>
      <c r="F32" s="147">
        <v>1.05</v>
      </c>
      <c r="G32" s="147">
        <f>'Consommation mensuel énergie'!V40</f>
        <v>639.98419999999999</v>
      </c>
      <c r="H32" s="147">
        <v>7.6250999999999998</v>
      </c>
      <c r="I32" s="147">
        <f>'Consommation mensuel énergie'!F40</f>
        <v>197.59999999999854</v>
      </c>
      <c r="J32" s="147">
        <v>11.4</v>
      </c>
      <c r="K32" s="150">
        <f>'Consommation mensuel énergie'!D40</f>
        <v>173</v>
      </c>
      <c r="L32" s="150">
        <f>'Consommation mensuel énergie'!E40</f>
        <v>266</v>
      </c>
      <c r="M32" s="146"/>
    </row>
    <row r="33" spans="6:10" x14ac:dyDescent="0.2">
      <c r="F33" s="147"/>
      <c r="G33" s="147"/>
      <c r="H33" s="147"/>
      <c r="I33" s="147"/>
      <c r="J33" s="147"/>
    </row>
    <row r="34" spans="6:10" x14ac:dyDescent="0.2">
      <c r="F34" s="147"/>
      <c r="G34" s="147"/>
      <c r="H34" s="147"/>
      <c r="I34" s="147"/>
      <c r="J34" s="147"/>
    </row>
    <row r="35" spans="6:10" x14ac:dyDescent="0.2">
      <c r="F35" s="147"/>
      <c r="G35" s="147"/>
      <c r="H35" s="147"/>
      <c r="I35" s="147"/>
      <c r="J35" s="147"/>
    </row>
    <row r="36" spans="6:10" x14ac:dyDescent="0.2">
      <c r="F36" s="147"/>
      <c r="G36" s="147"/>
      <c r="H36" s="147"/>
      <c r="I36" s="147"/>
      <c r="J36" s="147"/>
    </row>
    <row r="37" spans="6:10" x14ac:dyDescent="0.2">
      <c r="F37" s="147"/>
      <c r="G37" s="147"/>
      <c r="H37" s="147"/>
      <c r="I37" s="147"/>
      <c r="J37" s="147"/>
    </row>
    <row r="38" spans="6:10" x14ac:dyDescent="0.2">
      <c r="F38" s="147"/>
      <c r="G38" s="147"/>
      <c r="H38" s="147"/>
      <c r="I38" s="147"/>
      <c r="J38" s="147"/>
    </row>
    <row r="39" spans="6:10" x14ac:dyDescent="0.2">
      <c r="F39" s="147"/>
      <c r="G39" s="147"/>
      <c r="H39" s="147"/>
      <c r="I39" s="147"/>
      <c r="J39" s="1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E2" sqref="E2:I32"/>
    </sheetView>
  </sheetViews>
  <sheetFormatPr baseColWidth="10" defaultColWidth="8.85546875" defaultRowHeight="12.75" x14ac:dyDescent="0.2"/>
  <cols>
    <col min="1" max="1" width="12.42578125" style="50" customWidth="1"/>
    <col min="2" max="3" width="8.85546875" style="153" customWidth="1"/>
    <col min="4" max="4" width="13.42578125" style="154" customWidth="1"/>
    <col min="5" max="6" width="12.5703125" style="50" customWidth="1"/>
    <col min="7" max="7" width="8.85546875" style="50" customWidth="1"/>
    <col min="8" max="9" width="8.85546875" customWidth="1"/>
    <col min="10" max="10" width="0" hidden="1" customWidth="1"/>
  </cols>
  <sheetData>
    <row r="1" spans="1:10" s="110" customFormat="1" ht="45.75" thickBot="1" x14ac:dyDescent="0.3">
      <c r="A1" s="148" t="s">
        <v>0</v>
      </c>
      <c r="B1" s="151" t="s">
        <v>1</v>
      </c>
      <c r="C1" s="151" t="s">
        <v>2</v>
      </c>
      <c r="D1" s="152" t="s">
        <v>3</v>
      </c>
      <c r="E1" s="155" t="s">
        <v>14</v>
      </c>
      <c r="F1" s="155" t="s">
        <v>15</v>
      </c>
      <c r="G1" s="155" t="s">
        <v>16</v>
      </c>
      <c r="H1" s="144" t="s">
        <v>10</v>
      </c>
      <c r="I1" s="144" t="s">
        <v>11</v>
      </c>
      <c r="J1" s="145" t="s">
        <v>12</v>
      </c>
    </row>
    <row r="2" spans="1:10" x14ac:dyDescent="0.2">
      <c r="A2" s="149" t="s">
        <v>13</v>
      </c>
      <c r="B2" s="153">
        <v>1</v>
      </c>
      <c r="C2" s="153">
        <v>10</v>
      </c>
      <c r="D2" s="154">
        <v>2019</v>
      </c>
      <c r="E2" s="150">
        <f>'Consommation mensuel énergie'!L10</f>
        <v>4878</v>
      </c>
      <c r="F2" s="150">
        <f>'Consommation mensuel énergie'!M10</f>
        <v>9815</v>
      </c>
      <c r="G2" s="150">
        <f>'Consommation mensuel énergie'!N10</f>
        <v>3733</v>
      </c>
      <c r="H2" s="150">
        <f>'Consommation mensuel énergie'!D10</f>
        <v>172</v>
      </c>
      <c r="I2" s="150">
        <f>'Consommation mensuel énergie'!E10</f>
        <v>256</v>
      </c>
      <c r="J2" s="146" t="e">
        <f>E2*F2+G2*#REF!+#REF!*#REF!+#REF!*#REF!</f>
        <v>#REF!</v>
      </c>
    </row>
    <row r="3" spans="1:10" x14ac:dyDescent="0.2">
      <c r="A3" s="149" t="s">
        <v>13</v>
      </c>
      <c r="B3" s="153">
        <f>B2+1</f>
        <v>2</v>
      </c>
      <c r="C3" s="153">
        <v>10</v>
      </c>
      <c r="D3" s="154">
        <v>2019</v>
      </c>
      <c r="E3" s="150">
        <f>'Consommation mensuel énergie'!L11</f>
        <v>5381</v>
      </c>
      <c r="F3" s="150">
        <f>'Consommation mensuel énergie'!M11</f>
        <v>9329</v>
      </c>
      <c r="G3" s="150">
        <f>'Consommation mensuel énergie'!N11</f>
        <v>4287</v>
      </c>
      <c r="H3" s="150">
        <f>'Consommation mensuel énergie'!D11</f>
        <v>174</v>
      </c>
      <c r="I3" s="150">
        <f>'Consommation mensuel énergie'!E11</f>
        <v>244</v>
      </c>
      <c r="J3" s="146" t="e">
        <f>E3*F3+G3*#REF!+#REF!*#REF!+#REF!*#REF!</f>
        <v>#REF!</v>
      </c>
    </row>
    <row r="4" spans="1:10" x14ac:dyDescent="0.2">
      <c r="A4" s="149" t="s">
        <v>13</v>
      </c>
      <c r="B4" s="153">
        <f t="shared" ref="B4:B32" si="0">B3+1</f>
        <v>3</v>
      </c>
      <c r="C4" s="153">
        <v>10</v>
      </c>
      <c r="D4" s="154">
        <v>2019</v>
      </c>
      <c r="E4" s="150">
        <f>'Consommation mensuel énergie'!L12</f>
        <v>4680</v>
      </c>
      <c r="F4" s="150">
        <f>'Consommation mensuel énergie'!M12</f>
        <v>9557</v>
      </c>
      <c r="G4" s="150">
        <f>'Consommation mensuel énergie'!N12</f>
        <v>4368</v>
      </c>
      <c r="H4" s="150">
        <f>'Consommation mensuel énergie'!D12</f>
        <v>173</v>
      </c>
      <c r="I4" s="150">
        <f>'Consommation mensuel énergie'!E12</f>
        <v>258</v>
      </c>
      <c r="J4" s="146" t="e">
        <f>E4*F4+G4*#REF!+#REF!*#REF!+#REF!*#REF!</f>
        <v>#REF!</v>
      </c>
    </row>
    <row r="5" spans="1:10" x14ac:dyDescent="0.2">
      <c r="A5" s="149" t="s">
        <v>13</v>
      </c>
      <c r="B5" s="153">
        <f t="shared" si="0"/>
        <v>4</v>
      </c>
      <c r="C5" s="153">
        <v>10</v>
      </c>
      <c r="D5" s="154">
        <v>2019</v>
      </c>
      <c r="E5" s="150">
        <f>'Consommation mensuel énergie'!L13</f>
        <v>5460</v>
      </c>
      <c r="F5" s="150">
        <f>'Consommation mensuel énergie'!M13</f>
        <v>9383</v>
      </c>
      <c r="G5" s="150">
        <f>'Consommation mensuel énergie'!N13</f>
        <v>4099</v>
      </c>
      <c r="H5" s="150">
        <f>'Consommation mensuel énergie'!D13</f>
        <v>155</v>
      </c>
      <c r="I5" s="150">
        <f>'Consommation mensuel énergie'!E13</f>
        <v>267</v>
      </c>
      <c r="J5" s="146" t="e">
        <f>E5*F5+G5*#REF!+#REF!*#REF!+#REF!*#REF!</f>
        <v>#REF!</v>
      </c>
    </row>
    <row r="6" spans="1:10" x14ac:dyDescent="0.2">
      <c r="A6" s="149" t="s">
        <v>13</v>
      </c>
      <c r="B6" s="153">
        <f t="shared" si="0"/>
        <v>5</v>
      </c>
      <c r="C6" s="153">
        <v>10</v>
      </c>
      <c r="D6" s="154">
        <v>2019</v>
      </c>
      <c r="E6" s="150">
        <f>'Consommation mensuel énergie'!L14</f>
        <v>5209</v>
      </c>
      <c r="F6" s="150">
        <f>'Consommation mensuel énergie'!M14</f>
        <v>9442</v>
      </c>
      <c r="G6" s="150">
        <f>'Consommation mensuel énergie'!N14</f>
        <v>4349</v>
      </c>
      <c r="H6" s="150">
        <f>'Consommation mensuel énergie'!D14</f>
        <v>178</v>
      </c>
      <c r="I6" s="150">
        <f>'Consommation mensuel énergie'!E14</f>
        <v>320</v>
      </c>
      <c r="J6" s="146" t="e">
        <f>E6*F6+G6*#REF!+#REF!*#REF!+#REF!*#REF!</f>
        <v>#REF!</v>
      </c>
    </row>
    <row r="7" spans="1:10" x14ac:dyDescent="0.2">
      <c r="A7" s="149" t="s">
        <v>13</v>
      </c>
      <c r="B7" s="153">
        <f t="shared" si="0"/>
        <v>6</v>
      </c>
      <c r="C7" s="153">
        <v>10</v>
      </c>
      <c r="D7" s="154">
        <v>2019</v>
      </c>
      <c r="E7" s="150">
        <f>'Consommation mensuel énergie'!L15</f>
        <v>5333</v>
      </c>
      <c r="F7" s="150">
        <f>'Consommation mensuel énergie'!M15</f>
        <v>9322</v>
      </c>
      <c r="G7" s="150">
        <f>'Consommation mensuel énergie'!N15</f>
        <v>4256</v>
      </c>
      <c r="H7" s="150">
        <f>'Consommation mensuel énergie'!D15</f>
        <v>163</v>
      </c>
      <c r="I7" s="150">
        <f>'Consommation mensuel énergie'!E15</f>
        <v>274</v>
      </c>
      <c r="J7" s="146" t="e">
        <f>E7*F7+G7*#REF!+#REF!*#REF!+#REF!*#REF!</f>
        <v>#REF!</v>
      </c>
    </row>
    <row r="8" spans="1:10" x14ac:dyDescent="0.2">
      <c r="A8" s="149" t="s">
        <v>13</v>
      </c>
      <c r="B8" s="153">
        <f t="shared" si="0"/>
        <v>7</v>
      </c>
      <c r="C8" s="153">
        <v>10</v>
      </c>
      <c r="D8" s="154">
        <v>2019</v>
      </c>
      <c r="E8" s="150">
        <f>'Consommation mensuel énergie'!L16</f>
        <v>5158</v>
      </c>
      <c r="F8" s="150">
        <f>'Consommation mensuel énergie'!M16</f>
        <v>9268</v>
      </c>
      <c r="G8" s="150">
        <f>'Consommation mensuel énergie'!N16</f>
        <v>4370</v>
      </c>
      <c r="H8" s="150">
        <f>'Consommation mensuel énergie'!D16</f>
        <v>165</v>
      </c>
      <c r="I8" s="150">
        <f>'Consommation mensuel énergie'!E16</f>
        <v>254</v>
      </c>
      <c r="J8" s="146" t="e">
        <f>E8*F8+G8*#REF!+#REF!*#REF!+#REF!*#REF!</f>
        <v>#REF!</v>
      </c>
    </row>
    <row r="9" spans="1:10" x14ac:dyDescent="0.2">
      <c r="A9" s="149" t="s">
        <v>13</v>
      </c>
      <c r="B9" s="153">
        <f t="shared" si="0"/>
        <v>8</v>
      </c>
      <c r="C9" s="153">
        <v>10</v>
      </c>
      <c r="D9" s="154">
        <v>2019</v>
      </c>
      <c r="E9" s="150">
        <f>'Consommation mensuel énergie'!L17</f>
        <v>6600</v>
      </c>
      <c r="F9" s="150">
        <f>'Consommation mensuel énergie'!M17</f>
        <v>9394</v>
      </c>
      <c r="G9" s="150">
        <f>'Consommation mensuel énergie'!N17</f>
        <v>4136</v>
      </c>
      <c r="H9" s="150">
        <f>'Consommation mensuel énergie'!D17</f>
        <v>174</v>
      </c>
      <c r="I9" s="150">
        <f>'Consommation mensuel énergie'!E17</f>
        <v>254</v>
      </c>
      <c r="J9" s="146" t="e">
        <f>E9*F9+G9*#REF!+#REF!*#REF!+#REF!*#REF!</f>
        <v>#REF!</v>
      </c>
    </row>
    <row r="10" spans="1:10" x14ac:dyDescent="0.2">
      <c r="A10" s="149" t="s">
        <v>13</v>
      </c>
      <c r="B10" s="153">
        <f t="shared" si="0"/>
        <v>9</v>
      </c>
      <c r="C10" s="153">
        <v>10</v>
      </c>
      <c r="D10" s="154">
        <v>2019</v>
      </c>
      <c r="E10" s="150">
        <f>'Consommation mensuel énergie'!L18</f>
        <v>5550</v>
      </c>
      <c r="F10" s="150">
        <f>'Consommation mensuel énergie'!M18</f>
        <v>9265</v>
      </c>
      <c r="G10" s="150">
        <f>'Consommation mensuel énergie'!N18</f>
        <v>4123</v>
      </c>
      <c r="H10" s="150">
        <f>'Consommation mensuel énergie'!D18</f>
        <v>173</v>
      </c>
      <c r="I10" s="150">
        <f>'Consommation mensuel énergie'!E18</f>
        <v>246</v>
      </c>
      <c r="J10" s="146" t="e">
        <f>E10*F10+G10*#REF!+#REF!*#REF!+#REF!*#REF!</f>
        <v>#REF!</v>
      </c>
    </row>
    <row r="11" spans="1:10" x14ac:dyDescent="0.2">
      <c r="A11" s="149" t="s">
        <v>13</v>
      </c>
      <c r="B11" s="153">
        <f t="shared" si="0"/>
        <v>10</v>
      </c>
      <c r="C11" s="153">
        <v>10</v>
      </c>
      <c r="D11" s="154">
        <v>2019</v>
      </c>
      <c r="E11" s="150">
        <f>'Consommation mensuel énergie'!L19</f>
        <v>5849</v>
      </c>
      <c r="F11" s="150">
        <f>'Consommation mensuel énergie'!M19</f>
        <v>9348</v>
      </c>
      <c r="G11" s="150">
        <f>'Consommation mensuel énergie'!N19</f>
        <v>4368</v>
      </c>
      <c r="H11" s="150">
        <f>'Consommation mensuel énergie'!D19</f>
        <v>166</v>
      </c>
      <c r="I11" s="150">
        <f>'Consommation mensuel énergie'!E19</f>
        <v>256</v>
      </c>
      <c r="J11" s="146" t="e">
        <f>E11*F11+G11*#REF!+#REF!*#REF!+#REF!*#REF!</f>
        <v>#REF!</v>
      </c>
    </row>
    <row r="12" spans="1:10" x14ac:dyDescent="0.2">
      <c r="A12" s="149" t="s">
        <v>13</v>
      </c>
      <c r="B12" s="153">
        <f t="shared" si="0"/>
        <v>11</v>
      </c>
      <c r="C12" s="153">
        <v>10</v>
      </c>
      <c r="D12" s="154">
        <v>2019</v>
      </c>
      <c r="E12" s="150">
        <f>'Consommation mensuel énergie'!L20</f>
        <v>5826</v>
      </c>
      <c r="F12" s="150">
        <f>'Consommation mensuel énergie'!M20</f>
        <v>9697</v>
      </c>
      <c r="G12" s="150">
        <f>'Consommation mensuel énergie'!N20</f>
        <v>4257</v>
      </c>
      <c r="H12" s="150">
        <f>'Consommation mensuel énergie'!D20</f>
        <v>175</v>
      </c>
      <c r="I12" s="150">
        <f>'Consommation mensuel énergie'!E20</f>
        <v>271</v>
      </c>
      <c r="J12" s="146" t="e">
        <f>E12*F12+G12*#REF!+#REF!*#REF!+#REF!*#REF!</f>
        <v>#REF!</v>
      </c>
    </row>
    <row r="13" spans="1:10" x14ac:dyDescent="0.2">
      <c r="A13" s="149" t="s">
        <v>13</v>
      </c>
      <c r="B13" s="153">
        <f t="shared" si="0"/>
        <v>12</v>
      </c>
      <c r="C13" s="153">
        <v>10</v>
      </c>
      <c r="D13" s="154">
        <v>2019</v>
      </c>
      <c r="E13" s="150">
        <f>'Consommation mensuel énergie'!L21</f>
        <v>5515</v>
      </c>
      <c r="F13" s="150">
        <f>'Consommation mensuel énergie'!M21</f>
        <v>9482</v>
      </c>
      <c r="G13" s="150">
        <f>'Consommation mensuel énergie'!N21</f>
        <v>4076</v>
      </c>
      <c r="H13" s="150">
        <f>'Consommation mensuel énergie'!D21</f>
        <v>158</v>
      </c>
      <c r="I13" s="150">
        <f>'Consommation mensuel énergie'!E21</f>
        <v>270</v>
      </c>
      <c r="J13" s="146" t="e">
        <f>E13*F13+G13*#REF!+#REF!*#REF!+#REF!*#REF!</f>
        <v>#REF!</v>
      </c>
    </row>
    <row r="14" spans="1:10" x14ac:dyDescent="0.2">
      <c r="A14" s="149" t="s">
        <v>13</v>
      </c>
      <c r="B14" s="153">
        <f t="shared" si="0"/>
        <v>13</v>
      </c>
      <c r="C14" s="153">
        <v>10</v>
      </c>
      <c r="D14" s="154">
        <v>2019</v>
      </c>
      <c r="E14" s="150">
        <f>'Consommation mensuel énergie'!L22</f>
        <v>5324</v>
      </c>
      <c r="F14" s="150">
        <f>'Consommation mensuel énergie'!M22</f>
        <v>9665</v>
      </c>
      <c r="G14" s="150">
        <f>'Consommation mensuel énergie'!N22</f>
        <v>4150</v>
      </c>
      <c r="H14" s="150">
        <f>'Consommation mensuel énergie'!D22</f>
        <v>176</v>
      </c>
      <c r="I14" s="150">
        <f>'Consommation mensuel énergie'!E22</f>
        <v>269</v>
      </c>
      <c r="J14" s="146" t="e">
        <f>E14*F14+G14*#REF!+#REF!*#REF!+#REF!*#REF!</f>
        <v>#REF!</v>
      </c>
    </row>
    <row r="15" spans="1:10" x14ac:dyDescent="0.2">
      <c r="A15" s="149" t="s">
        <v>13</v>
      </c>
      <c r="B15" s="153">
        <f t="shared" si="0"/>
        <v>14</v>
      </c>
      <c r="C15" s="153">
        <v>10</v>
      </c>
      <c r="D15" s="154">
        <v>2019</v>
      </c>
      <c r="E15" s="150">
        <f>'Consommation mensuel énergie'!L23</f>
        <v>5032</v>
      </c>
      <c r="F15" s="150">
        <f>'Consommation mensuel énergie'!M23</f>
        <v>8891</v>
      </c>
      <c r="G15" s="150">
        <f>'Consommation mensuel énergie'!N23</f>
        <v>4082</v>
      </c>
      <c r="H15" s="150">
        <f>'Consommation mensuel énergie'!D23</f>
        <v>162</v>
      </c>
      <c r="I15" s="150">
        <f>'Consommation mensuel énergie'!E23</f>
        <v>249</v>
      </c>
      <c r="J15" s="146" t="e">
        <f>E15*F15+G15*#REF!+#REF!*#REF!+#REF!*#REF!</f>
        <v>#REF!</v>
      </c>
    </row>
    <row r="16" spans="1:10" x14ac:dyDescent="0.2">
      <c r="A16" s="149" t="s">
        <v>13</v>
      </c>
      <c r="B16" s="153">
        <f t="shared" si="0"/>
        <v>15</v>
      </c>
      <c r="C16" s="153">
        <v>10</v>
      </c>
      <c r="D16" s="154">
        <v>2019</v>
      </c>
      <c r="E16" s="150">
        <f>'Consommation mensuel énergie'!L24</f>
        <v>5400</v>
      </c>
      <c r="F16" s="150">
        <f>'Consommation mensuel énergie'!M24</f>
        <v>9365</v>
      </c>
      <c r="G16" s="150">
        <f>'Consommation mensuel énergie'!N24</f>
        <v>4040</v>
      </c>
      <c r="H16" s="150">
        <f>'Consommation mensuel énergie'!D24</f>
        <v>167</v>
      </c>
      <c r="I16" s="150">
        <f>'Consommation mensuel énergie'!E24</f>
        <v>241</v>
      </c>
      <c r="J16" s="146" t="e">
        <f>E16*F16+G16*#REF!+#REF!*#REF!+#REF!*#REF!</f>
        <v>#REF!</v>
      </c>
    </row>
    <row r="17" spans="1:10" x14ac:dyDescent="0.2">
      <c r="A17" s="149" t="s">
        <v>13</v>
      </c>
      <c r="B17" s="153">
        <f t="shared" si="0"/>
        <v>16</v>
      </c>
      <c r="C17" s="153">
        <v>10</v>
      </c>
      <c r="D17" s="154">
        <v>2019</v>
      </c>
      <c r="E17" s="150">
        <f>'Consommation mensuel énergie'!L25</f>
        <v>4910</v>
      </c>
      <c r="F17" s="150">
        <f>'Consommation mensuel énergie'!M25</f>
        <v>8733</v>
      </c>
      <c r="G17" s="150">
        <f>'Consommation mensuel énergie'!N25</f>
        <v>3777</v>
      </c>
      <c r="H17" s="150">
        <f>'Consommation mensuel énergie'!D25</f>
        <v>168</v>
      </c>
      <c r="I17" s="150">
        <f>'Consommation mensuel énergie'!E25</f>
        <v>246</v>
      </c>
      <c r="J17" s="146" t="e">
        <f>E17*F17+G17*#REF!+#REF!*#REF!+#REF!*#REF!</f>
        <v>#REF!</v>
      </c>
    </row>
    <row r="18" spans="1:10" x14ac:dyDescent="0.2">
      <c r="A18" s="149" t="s">
        <v>13</v>
      </c>
      <c r="B18" s="153">
        <f t="shared" si="0"/>
        <v>17</v>
      </c>
      <c r="C18" s="153">
        <v>10</v>
      </c>
      <c r="D18" s="154">
        <v>2019</v>
      </c>
      <c r="E18" s="150">
        <f>'Consommation mensuel énergie'!L26</f>
        <v>4215</v>
      </c>
      <c r="F18" s="150">
        <f>'Consommation mensuel énergie'!M26</f>
        <v>7997</v>
      </c>
      <c r="G18" s="150">
        <f>'Consommation mensuel énergie'!N26</f>
        <v>3779</v>
      </c>
      <c r="H18" s="150">
        <f>'Consommation mensuel énergie'!D26</f>
        <v>176</v>
      </c>
      <c r="I18" s="150">
        <f>'Consommation mensuel énergie'!E26</f>
        <v>269</v>
      </c>
      <c r="J18" s="146" t="e">
        <f>E18*F18+G18*#REF!+#REF!*#REF!+#REF!*#REF!</f>
        <v>#REF!</v>
      </c>
    </row>
    <row r="19" spans="1:10" x14ac:dyDescent="0.2">
      <c r="A19" s="149" t="s">
        <v>13</v>
      </c>
      <c r="B19" s="153">
        <f t="shared" si="0"/>
        <v>18</v>
      </c>
      <c r="C19" s="153">
        <v>10</v>
      </c>
      <c r="D19" s="154">
        <v>2019</v>
      </c>
      <c r="E19" s="150">
        <f>'Consommation mensuel énergie'!L27</f>
        <v>5118</v>
      </c>
      <c r="F19" s="150">
        <f>'Consommation mensuel énergie'!M27</f>
        <v>9246</v>
      </c>
      <c r="G19" s="150">
        <f>'Consommation mensuel énergie'!N27</f>
        <v>3802</v>
      </c>
      <c r="H19" s="150">
        <f>'Consommation mensuel énergie'!D27</f>
        <v>161</v>
      </c>
      <c r="I19" s="150">
        <f>'Consommation mensuel énergie'!E27</f>
        <v>265</v>
      </c>
      <c r="J19" s="146" t="e">
        <f>E19*F19+G19*#REF!+#REF!*#REF!+#REF!*#REF!</f>
        <v>#REF!</v>
      </c>
    </row>
    <row r="20" spans="1:10" x14ac:dyDescent="0.2">
      <c r="A20" s="149" t="s">
        <v>13</v>
      </c>
      <c r="B20" s="153">
        <f t="shared" si="0"/>
        <v>19</v>
      </c>
      <c r="C20" s="153">
        <v>10</v>
      </c>
      <c r="D20" s="154">
        <v>2019</v>
      </c>
      <c r="E20" s="150">
        <f>'Consommation mensuel énergie'!L28</f>
        <v>5071</v>
      </c>
      <c r="F20" s="150">
        <f>'Consommation mensuel énergie'!M28</f>
        <v>8430</v>
      </c>
      <c r="G20" s="150">
        <f>'Consommation mensuel énergie'!N28</f>
        <v>3837</v>
      </c>
      <c r="H20" s="150">
        <f>'Consommation mensuel énergie'!D28</f>
        <v>177</v>
      </c>
      <c r="I20" s="150">
        <f>'Consommation mensuel énergie'!E28</f>
        <v>296</v>
      </c>
      <c r="J20" s="146" t="e">
        <f>E20*F20+G20*#REF!+#REF!*#REF!+#REF!*#REF!</f>
        <v>#REF!</v>
      </c>
    </row>
    <row r="21" spans="1:10" x14ac:dyDescent="0.2">
      <c r="A21" s="149" t="s">
        <v>13</v>
      </c>
      <c r="B21" s="153">
        <f t="shared" si="0"/>
        <v>20</v>
      </c>
      <c r="C21" s="153">
        <v>10</v>
      </c>
      <c r="D21" s="154">
        <v>2019</v>
      </c>
      <c r="E21" s="150">
        <f>'Consommation mensuel énergie'!L29</f>
        <v>5863</v>
      </c>
      <c r="F21" s="150">
        <f>'Consommation mensuel énergie'!M29</f>
        <v>9481</v>
      </c>
      <c r="G21" s="150">
        <f>'Consommation mensuel énergie'!N29</f>
        <v>4937</v>
      </c>
      <c r="H21" s="150">
        <f>'Consommation mensuel énergie'!D29</f>
        <v>145</v>
      </c>
      <c r="I21" s="150">
        <f>'Consommation mensuel énergie'!E29</f>
        <v>226</v>
      </c>
      <c r="J21" s="146" t="e">
        <f>E21*F21+G21*#REF!+#REF!*#REF!+#REF!*#REF!</f>
        <v>#REF!</v>
      </c>
    </row>
    <row r="22" spans="1:10" x14ac:dyDescent="0.2">
      <c r="A22" s="149" t="s">
        <v>13</v>
      </c>
      <c r="B22" s="153">
        <f t="shared" si="0"/>
        <v>21</v>
      </c>
      <c r="C22" s="153">
        <v>10</v>
      </c>
      <c r="D22" s="154">
        <v>2019</v>
      </c>
      <c r="E22" s="150">
        <f>'Consommation mensuel énergie'!L30</f>
        <v>4608</v>
      </c>
      <c r="F22" s="150">
        <f>'Consommation mensuel énergie'!M30</f>
        <v>8012</v>
      </c>
      <c r="G22" s="150">
        <f>'Consommation mensuel énergie'!N30</f>
        <v>3802</v>
      </c>
      <c r="H22" s="150">
        <f>'Consommation mensuel énergie'!D30</f>
        <v>171</v>
      </c>
      <c r="I22" s="150">
        <f>'Consommation mensuel énergie'!E30</f>
        <v>246</v>
      </c>
      <c r="J22" s="146" t="e">
        <f>E22*F22+G22*#REF!+#REF!*#REF!+#REF!*#REF!</f>
        <v>#REF!</v>
      </c>
    </row>
    <row r="23" spans="1:10" x14ac:dyDescent="0.2">
      <c r="A23" s="149" t="s">
        <v>13</v>
      </c>
      <c r="B23" s="153">
        <f t="shared" si="0"/>
        <v>22</v>
      </c>
      <c r="C23" s="153">
        <v>10</v>
      </c>
      <c r="D23" s="154">
        <v>2019</v>
      </c>
      <c r="E23" s="150">
        <f>'Consommation mensuel énergie'!L31</f>
        <v>6417</v>
      </c>
      <c r="F23" s="150">
        <f>'Consommation mensuel énergie'!M31</f>
        <v>8116</v>
      </c>
      <c r="G23" s="150">
        <f>'Consommation mensuel énergie'!N31</f>
        <v>3370</v>
      </c>
      <c r="H23" s="150">
        <f>'Consommation mensuel énergie'!D31</f>
        <v>173</v>
      </c>
      <c r="I23" s="150">
        <f>'Consommation mensuel énergie'!E31</f>
        <v>243</v>
      </c>
      <c r="J23" s="146" t="e">
        <f>E23*F23+G23*#REF!+#REF!*#REF!+#REF!*#REF!</f>
        <v>#REF!</v>
      </c>
    </row>
    <row r="24" spans="1:10" x14ac:dyDescent="0.2">
      <c r="A24" s="149" t="s">
        <v>13</v>
      </c>
      <c r="B24" s="153">
        <f t="shared" si="0"/>
        <v>23</v>
      </c>
      <c r="C24" s="153">
        <v>10</v>
      </c>
      <c r="D24" s="154">
        <v>2019</v>
      </c>
      <c r="E24" s="150">
        <f>'Consommation mensuel énergie'!L32</f>
        <v>4991</v>
      </c>
      <c r="F24" s="150">
        <f>'Consommation mensuel énergie'!M32</f>
        <v>7299</v>
      </c>
      <c r="G24" s="150">
        <f>'Consommation mensuel énergie'!N32</f>
        <v>3213</v>
      </c>
      <c r="H24" s="150">
        <f>'Consommation mensuel énergie'!D32</f>
        <v>180</v>
      </c>
      <c r="I24" s="150">
        <f>'Consommation mensuel énergie'!E32</f>
        <v>273</v>
      </c>
      <c r="J24" s="146" t="e">
        <f>E24*F24+G24*#REF!+#REF!*#REF!+#REF!*#REF!</f>
        <v>#REF!</v>
      </c>
    </row>
    <row r="25" spans="1:10" x14ac:dyDescent="0.2">
      <c r="A25" s="149" t="s">
        <v>13</v>
      </c>
      <c r="B25" s="153">
        <f t="shared" si="0"/>
        <v>24</v>
      </c>
      <c r="C25" s="153">
        <v>10</v>
      </c>
      <c r="D25" s="154">
        <v>2019</v>
      </c>
      <c r="E25" s="150">
        <f>'Consommation mensuel énergie'!L33</f>
        <v>5306</v>
      </c>
      <c r="F25" s="150">
        <f>'Consommation mensuel énergie'!M33</f>
        <v>7804</v>
      </c>
      <c r="G25" s="150">
        <f>'Consommation mensuel énergie'!N33</f>
        <v>5312</v>
      </c>
      <c r="H25" s="150">
        <f>'Consommation mensuel énergie'!D33</f>
        <v>148</v>
      </c>
      <c r="I25" s="150">
        <f>'Consommation mensuel énergie'!E33</f>
        <v>240</v>
      </c>
      <c r="J25" s="146" t="e">
        <f>E25*F25+G25*#REF!+#REF!*#REF!+#REF!*#REF!</f>
        <v>#REF!</v>
      </c>
    </row>
    <row r="26" spans="1:10" x14ac:dyDescent="0.2">
      <c r="A26" s="149" t="s">
        <v>13</v>
      </c>
      <c r="B26" s="153">
        <f>B25+1</f>
        <v>25</v>
      </c>
      <c r="C26" s="153">
        <v>10</v>
      </c>
      <c r="D26" s="154">
        <v>2019</v>
      </c>
      <c r="E26" s="150">
        <f>'Consommation mensuel énergie'!L34</f>
        <v>5635</v>
      </c>
      <c r="F26" s="150">
        <f>'Consommation mensuel énergie'!M34</f>
        <v>8313</v>
      </c>
      <c r="G26" s="150">
        <f>'Consommation mensuel énergie'!N34</f>
        <v>1486</v>
      </c>
      <c r="H26" s="150">
        <f>'Consommation mensuel énergie'!D34</f>
        <v>136</v>
      </c>
      <c r="I26" s="150">
        <f>'Consommation mensuel énergie'!E34</f>
        <v>241</v>
      </c>
      <c r="J26" s="146" t="e">
        <f>E26*F26+G26*#REF!+#REF!*#REF!+#REF!*#REF!</f>
        <v>#REF!</v>
      </c>
    </row>
    <row r="27" spans="1:10" x14ac:dyDescent="0.2">
      <c r="A27" s="149" t="s">
        <v>13</v>
      </c>
      <c r="B27" s="153">
        <f t="shared" si="0"/>
        <v>26</v>
      </c>
      <c r="C27" s="153">
        <v>10</v>
      </c>
      <c r="D27" s="154">
        <v>2019</v>
      </c>
      <c r="E27" s="150">
        <f>'Consommation mensuel énergie'!L35</f>
        <v>4280</v>
      </c>
      <c r="F27" s="150">
        <f>'Consommation mensuel énergie'!M35</f>
        <v>7593</v>
      </c>
      <c r="G27" s="150">
        <f>'Consommation mensuel énergie'!N35</f>
        <v>3493</v>
      </c>
      <c r="H27" s="150">
        <f>'Consommation mensuel énergie'!D35</f>
        <v>140</v>
      </c>
      <c r="I27" s="150">
        <f>'Consommation mensuel énergie'!E35</f>
        <v>247</v>
      </c>
      <c r="J27" s="146" t="e">
        <f>E27*F27+G27*#REF!+#REF!*#REF!+#REF!*#REF!</f>
        <v>#REF!</v>
      </c>
    </row>
    <row r="28" spans="1:10" x14ac:dyDescent="0.2">
      <c r="A28" s="149" t="s">
        <v>13</v>
      </c>
      <c r="B28" s="153">
        <f t="shared" si="0"/>
        <v>27</v>
      </c>
      <c r="C28" s="153">
        <v>10</v>
      </c>
      <c r="D28" s="154">
        <v>2019</v>
      </c>
      <c r="E28" s="150">
        <f>'Consommation mensuel énergie'!L36</f>
        <v>4844</v>
      </c>
      <c r="F28" s="150">
        <f>'Consommation mensuel énergie'!M36</f>
        <v>7885</v>
      </c>
      <c r="G28" s="150">
        <f>'Consommation mensuel énergie'!N36</f>
        <v>3394</v>
      </c>
      <c r="H28" s="150">
        <f>'Consommation mensuel énergie'!D36</f>
        <v>135</v>
      </c>
      <c r="I28" s="150">
        <f>'Consommation mensuel énergie'!E36</f>
        <v>200</v>
      </c>
      <c r="J28" s="146" t="e">
        <f>E28*F28+G28*#REF!+#REF!*#REF!+#REF!*#REF!</f>
        <v>#REF!</v>
      </c>
    </row>
    <row r="29" spans="1:10" x14ac:dyDescent="0.2">
      <c r="A29" s="149" t="s">
        <v>13</v>
      </c>
      <c r="B29" s="153">
        <f t="shared" si="0"/>
        <v>28</v>
      </c>
      <c r="C29" s="153">
        <v>10</v>
      </c>
      <c r="D29" s="154">
        <v>2019</v>
      </c>
      <c r="E29" s="150">
        <f>'Consommation mensuel énergie'!L37</f>
        <v>4830</v>
      </c>
      <c r="F29" s="150">
        <f>'Consommation mensuel énergie'!M37</f>
        <v>7761</v>
      </c>
      <c r="G29" s="150">
        <f>'Consommation mensuel énergie'!N37</f>
        <v>3580</v>
      </c>
      <c r="H29" s="150">
        <f>'Consommation mensuel énergie'!D37</f>
        <v>176</v>
      </c>
      <c r="I29" s="150">
        <f>'Consommation mensuel énergie'!E37</f>
        <v>260</v>
      </c>
      <c r="J29" s="146" t="e">
        <f>E29*F29+G29*#REF!+#REF!*#REF!+#REF!*#REF!</f>
        <v>#REF!</v>
      </c>
    </row>
    <row r="30" spans="1:10" x14ac:dyDescent="0.2">
      <c r="A30" s="149" t="s">
        <v>13</v>
      </c>
      <c r="B30" s="153">
        <f t="shared" si="0"/>
        <v>29</v>
      </c>
      <c r="C30" s="153">
        <v>10</v>
      </c>
      <c r="D30" s="154">
        <v>2019</v>
      </c>
      <c r="E30" s="150">
        <f>'Consommation mensuel énergie'!L38</f>
        <v>5081</v>
      </c>
      <c r="F30" s="150">
        <f>'Consommation mensuel énergie'!M38</f>
        <v>7775</v>
      </c>
      <c r="G30" s="150">
        <f>'Consommation mensuel énergie'!N38</f>
        <v>3948</v>
      </c>
      <c r="H30" s="150">
        <f>'Consommation mensuel énergie'!D38</f>
        <v>170</v>
      </c>
      <c r="I30" s="150">
        <f>'Consommation mensuel énergie'!E38</f>
        <v>227</v>
      </c>
      <c r="J30" s="146" t="e">
        <f>E30*F30+G30*#REF!+#REF!*#REF!+#REF!*#REF!</f>
        <v>#REF!</v>
      </c>
    </row>
    <row r="31" spans="1:10" x14ac:dyDescent="0.2">
      <c r="A31" s="149" t="s">
        <v>13</v>
      </c>
      <c r="B31" s="153">
        <f t="shared" si="0"/>
        <v>30</v>
      </c>
      <c r="C31" s="153">
        <v>10</v>
      </c>
      <c r="D31" s="154">
        <v>2019</v>
      </c>
      <c r="E31" s="150">
        <f>'Consommation mensuel énergie'!L39</f>
        <v>4956</v>
      </c>
      <c r="F31" s="150">
        <f>'Consommation mensuel énergie'!M39</f>
        <v>8627</v>
      </c>
      <c r="G31" s="150">
        <f>'Consommation mensuel énergie'!N39</f>
        <v>3948</v>
      </c>
      <c r="H31" s="150">
        <f>'Consommation mensuel énergie'!D39</f>
        <v>160</v>
      </c>
      <c r="I31" s="150">
        <f>'Consommation mensuel énergie'!E39</f>
        <v>225</v>
      </c>
      <c r="J31" s="146"/>
    </row>
    <row r="32" spans="1:10" x14ac:dyDescent="0.2">
      <c r="A32" s="149" t="s">
        <v>13</v>
      </c>
      <c r="B32" s="153">
        <f t="shared" si="0"/>
        <v>31</v>
      </c>
      <c r="C32" s="153">
        <v>10</v>
      </c>
      <c r="D32" s="154">
        <v>2019</v>
      </c>
      <c r="E32" s="150">
        <f>'Consommation mensuel énergie'!L40</f>
        <v>4404</v>
      </c>
      <c r="F32" s="150">
        <f>'Consommation mensuel énergie'!M40</f>
        <v>8990</v>
      </c>
      <c r="G32" s="150">
        <f>'Consommation mensuel énergie'!N40</f>
        <v>4071</v>
      </c>
      <c r="H32" s="150">
        <f>'Consommation mensuel énergie'!D40</f>
        <v>173</v>
      </c>
      <c r="I32" s="150">
        <f>'Consommation mensuel énergie'!E40</f>
        <v>266</v>
      </c>
      <c r="J32" s="146"/>
    </row>
    <row r="33" spans="5:9" x14ac:dyDescent="0.2">
      <c r="E33" s="147"/>
      <c r="F33" s="147"/>
      <c r="G33" s="147"/>
      <c r="H33" s="146"/>
      <c r="I33" s="146"/>
    </row>
    <row r="34" spans="5:9" x14ac:dyDescent="0.2">
      <c r="E34" s="147"/>
      <c r="F34" s="147"/>
      <c r="G34" s="147"/>
      <c r="H34" s="146"/>
      <c r="I34" s="146"/>
    </row>
    <row r="35" spans="5:9" x14ac:dyDescent="0.2">
      <c r="E35" s="147"/>
      <c r="F35" s="147"/>
      <c r="G35" s="147"/>
      <c r="H35" s="146"/>
      <c r="I35" s="146"/>
    </row>
    <row r="36" spans="5:9" x14ac:dyDescent="0.2">
      <c r="E36" s="147"/>
      <c r="F36" s="147"/>
      <c r="G36" s="147"/>
      <c r="H36" s="146"/>
      <c r="I36" s="146"/>
    </row>
    <row r="37" spans="5:9" x14ac:dyDescent="0.2">
      <c r="E37" s="147"/>
      <c r="F37" s="147"/>
      <c r="G37" s="147"/>
      <c r="H37" s="146"/>
      <c r="I37" s="146"/>
    </row>
    <row r="38" spans="5:9" x14ac:dyDescent="0.2">
      <c r="E38" s="147"/>
      <c r="F38" s="147"/>
      <c r="G38" s="147"/>
      <c r="H38" s="146"/>
      <c r="I38" s="146"/>
    </row>
    <row r="39" spans="5:9" x14ac:dyDescent="0.2">
      <c r="E39" s="147"/>
      <c r="F39" s="147"/>
      <c r="G39" s="147"/>
      <c r="H39" s="146"/>
      <c r="I39" s="14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60"/>
  <sheetViews>
    <sheetView showGridLines="0" tabSelected="1" view="pageBreakPreview" zoomScale="60" zoomScaleNormal="85" workbookViewId="0">
      <pane xSplit="3" ySplit="9" topLeftCell="D37" activePane="bottomRight" state="frozen"/>
      <selection pane="topRight" activeCell="B21" sqref="A21:IV21"/>
      <selection pane="bottomLeft" activeCell="B21" sqref="A21:IV21"/>
      <selection pane="bottomRight" activeCell="A47" sqref="A47:XFD52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20"/>
      <c r="B2" s="221"/>
      <c r="C2" s="221"/>
      <c r="D2" s="221"/>
      <c r="E2" s="221"/>
      <c r="F2" s="221"/>
      <c r="G2" s="221"/>
      <c r="H2" s="222"/>
      <c r="I2" s="230" t="s">
        <v>17</v>
      </c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</row>
    <row r="3" spans="1:24" ht="15" hidden="1" customHeight="1" thickBot="1" x14ac:dyDescent="0.25"/>
    <row r="4" spans="1:24" ht="39" hidden="1" customHeight="1" thickBot="1" x14ac:dyDescent="0.25">
      <c r="A4" s="223"/>
      <c r="B4" s="223"/>
      <c r="C4" s="223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23"/>
      <c r="B5" s="223"/>
      <c r="C5" s="223"/>
      <c r="D5" s="5"/>
      <c r="E5" s="5"/>
      <c r="F5" s="5"/>
      <c r="G5" s="5"/>
      <c r="H5" s="5"/>
      <c r="I5" s="5"/>
      <c r="J5" s="5"/>
      <c r="K5" s="5"/>
      <c r="L5" s="5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</row>
    <row r="6" spans="1:24" s="5" customFormat="1" ht="44.25" hidden="1" customHeight="1" thickBot="1" x14ac:dyDescent="0.25">
      <c r="A6" s="3"/>
      <c r="B6" s="3"/>
      <c r="C6" s="3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</row>
    <row r="7" spans="1:24" s="5" customFormat="1" ht="18.75" hidden="1" customHeight="1" thickBot="1" x14ac:dyDescent="0.25">
      <c r="F7" s="214"/>
      <c r="G7" s="214"/>
      <c r="H7" s="214"/>
      <c r="I7" s="214"/>
      <c r="J7" s="214"/>
      <c r="K7" s="214"/>
      <c r="L7" s="214"/>
      <c r="M7" s="214"/>
      <c r="N7" s="218"/>
      <c r="O7" s="218"/>
      <c r="P7" s="214"/>
      <c r="Q7" s="214"/>
      <c r="R7" s="214"/>
      <c r="S7" s="214"/>
      <c r="T7" s="214"/>
      <c r="U7" s="214"/>
      <c r="V7" s="214"/>
      <c r="W7" s="214"/>
      <c r="X7" s="214"/>
    </row>
    <row r="8" spans="1:24" ht="18.75" customHeight="1" thickBot="1" x14ac:dyDescent="0.25">
      <c r="A8" s="214"/>
      <c r="B8" s="215" t="s">
        <v>19</v>
      </c>
      <c r="C8" s="4"/>
      <c r="D8" s="198" t="s">
        <v>20</v>
      </c>
      <c r="E8" s="198" t="s">
        <v>21</v>
      </c>
      <c r="F8" s="210" t="s">
        <v>22</v>
      </c>
      <c r="G8" s="2"/>
      <c r="H8" s="224" t="s">
        <v>23</v>
      </c>
      <c r="I8" s="225"/>
      <c r="J8" s="226"/>
      <c r="K8" s="216" t="s">
        <v>24</v>
      </c>
      <c r="L8" s="209" t="s">
        <v>25</v>
      </c>
      <c r="M8" s="209"/>
      <c r="N8" s="209"/>
      <c r="O8" s="209" t="s">
        <v>26</v>
      </c>
      <c r="P8" s="2"/>
      <c r="Q8" s="200" t="s">
        <v>23</v>
      </c>
      <c r="R8" s="2"/>
      <c r="S8" s="200" t="s">
        <v>27</v>
      </c>
      <c r="T8" s="2"/>
      <c r="U8" s="200" t="s">
        <v>28</v>
      </c>
      <c r="V8" s="202" t="s">
        <v>29</v>
      </c>
      <c r="W8" s="2"/>
      <c r="X8" s="200" t="s">
        <v>23</v>
      </c>
    </row>
    <row r="9" spans="1:24" ht="59.25" customHeight="1" thickBot="1" x14ac:dyDescent="0.25">
      <c r="A9" s="214"/>
      <c r="B9" s="215"/>
      <c r="C9" s="4"/>
      <c r="D9" s="199"/>
      <c r="E9" s="199"/>
      <c r="F9" s="211"/>
      <c r="G9" s="2"/>
      <c r="H9" s="227"/>
      <c r="I9" s="228"/>
      <c r="J9" s="229"/>
      <c r="K9" s="217"/>
      <c r="L9" s="99" t="s">
        <v>30</v>
      </c>
      <c r="M9" s="99" t="s">
        <v>31</v>
      </c>
      <c r="N9" s="99" t="s">
        <v>32</v>
      </c>
      <c r="O9" s="219"/>
      <c r="P9" s="2"/>
      <c r="Q9" s="201"/>
      <c r="R9" s="2"/>
      <c r="S9" s="201"/>
      <c r="T9" s="2"/>
      <c r="U9" s="201"/>
      <c r="V9" s="203"/>
      <c r="W9" s="2"/>
      <c r="X9" s="201"/>
    </row>
    <row r="10" spans="1:24" ht="32.25" customHeight="1" thickBot="1" x14ac:dyDescent="0.25">
      <c r="A10" s="2"/>
      <c r="B10" s="6">
        <v>43739</v>
      </c>
      <c r="C10" s="7"/>
      <c r="D10" s="156">
        <v>172</v>
      </c>
      <c r="E10" s="156">
        <v>256</v>
      </c>
      <c r="F10" s="13">
        <f>'Suivi EAU-ELEC'!E9</f>
        <v>174</v>
      </c>
      <c r="G10" s="11"/>
      <c r="H10" s="185">
        <f>F10*11.4</f>
        <v>1983.6000000000001</v>
      </c>
      <c r="I10" s="186"/>
      <c r="J10" s="186"/>
      <c r="K10" s="67">
        <v>42278</v>
      </c>
      <c r="L10" s="100">
        <f>'Suivi EAU-ELEC'!G9</f>
        <v>4878</v>
      </c>
      <c r="M10" s="101">
        <f>'Suivi EAU-ELEC'!I9</f>
        <v>9815</v>
      </c>
      <c r="N10" s="101">
        <f>'Suivi EAU-ELEC'!K9</f>
        <v>3733</v>
      </c>
      <c r="O10" s="101">
        <f>L10+M10+N10</f>
        <v>18426</v>
      </c>
      <c r="P10" s="11"/>
      <c r="Q10" s="37">
        <f>L10*0.6985+M10*0.9514+N10*1.3304</f>
        <v>17711.657200000001</v>
      </c>
      <c r="R10" s="11"/>
      <c r="S10" s="31"/>
      <c r="T10" s="11"/>
      <c r="U10" s="31"/>
      <c r="V10" s="161">
        <f>'Suvi Gaz'!O4</f>
        <v>447.98894000000001</v>
      </c>
      <c r="W10" s="11"/>
      <c r="X10" s="37">
        <f>V10*7.6251</f>
        <v>3415.9604663939999</v>
      </c>
    </row>
    <row r="11" spans="1:24" ht="32.25" customHeight="1" thickBot="1" x14ac:dyDescent="0.25">
      <c r="A11" s="2"/>
      <c r="B11" s="6">
        <v>43740</v>
      </c>
      <c r="C11" s="7"/>
      <c r="D11" s="156">
        <v>174</v>
      </c>
      <c r="E11" s="156">
        <v>244</v>
      </c>
      <c r="F11" s="13">
        <f>'Suivi EAU-ELEC'!E10</f>
        <v>167</v>
      </c>
      <c r="G11" s="11"/>
      <c r="H11" s="185">
        <f t="shared" ref="H11:H40" si="0">F11*11.4</f>
        <v>1903.8</v>
      </c>
      <c r="I11" s="186"/>
      <c r="J11" s="186"/>
      <c r="K11" s="67">
        <v>42279</v>
      </c>
      <c r="L11" s="100">
        <f>'Suivi EAU-ELEC'!G10</f>
        <v>5381</v>
      </c>
      <c r="M11" s="101">
        <f>'Suivi EAU-ELEC'!I10</f>
        <v>9329</v>
      </c>
      <c r="N11" s="101">
        <f>'Suivi EAU-ELEC'!K10</f>
        <v>4287</v>
      </c>
      <c r="O11" s="101">
        <f t="shared" ref="O11:O40" si="1">L11+M11+N11</f>
        <v>18997</v>
      </c>
      <c r="P11" s="11"/>
      <c r="Q11" s="37">
        <f t="shared" ref="Q11:Q40" si="2">L11*0.6985+M11*0.9514+N11*1.3304</f>
        <v>18337.6639</v>
      </c>
      <c r="R11" s="11"/>
      <c r="S11" s="31"/>
      <c r="T11" s="11"/>
      <c r="U11" s="31"/>
      <c r="V11" s="161">
        <f>'Suvi Gaz'!O5</f>
        <v>415.98973000000001</v>
      </c>
      <c r="W11" s="11"/>
      <c r="X11" s="37">
        <f t="shared" ref="X11:X40" si="3">V11*7.6251</f>
        <v>3171.9632902230001</v>
      </c>
    </row>
    <row r="12" spans="1:24" ht="32.25" customHeight="1" thickBot="1" x14ac:dyDescent="0.25">
      <c r="A12" s="2"/>
      <c r="B12" s="6">
        <v>43741</v>
      </c>
      <c r="C12" s="7"/>
      <c r="D12" s="156">
        <v>173</v>
      </c>
      <c r="E12" s="156">
        <v>258</v>
      </c>
      <c r="F12" s="13">
        <f>'Suivi EAU-ELEC'!E11</f>
        <v>179.80000000000291</v>
      </c>
      <c r="G12" s="11"/>
      <c r="H12" s="185">
        <f t="shared" si="0"/>
        <v>2049.7200000000335</v>
      </c>
      <c r="I12" s="186"/>
      <c r="J12" s="186"/>
      <c r="K12" s="67">
        <v>42280</v>
      </c>
      <c r="L12" s="100">
        <f>'Suivi EAU-ELEC'!G11</f>
        <v>4680</v>
      </c>
      <c r="M12" s="101">
        <f>'Suivi EAU-ELEC'!I11</f>
        <v>9557</v>
      </c>
      <c r="N12" s="101">
        <f>'Suivi EAU-ELEC'!K11</f>
        <v>4368</v>
      </c>
      <c r="O12" s="101">
        <f t="shared" si="1"/>
        <v>18605</v>
      </c>
      <c r="P12" s="11"/>
      <c r="Q12" s="37">
        <f t="shared" si="2"/>
        <v>18172.697</v>
      </c>
      <c r="R12" s="11"/>
      <c r="S12" s="31"/>
      <c r="T12" s="11"/>
      <c r="U12" s="31"/>
      <c r="V12" s="161">
        <f>'Suvi Gaz'!O6</f>
        <v>415.98973000000001</v>
      </c>
      <c r="W12" s="11"/>
      <c r="X12" s="37">
        <f t="shared" si="3"/>
        <v>3171.9632902230001</v>
      </c>
    </row>
    <row r="13" spans="1:24" ht="32.25" customHeight="1" thickBot="1" x14ac:dyDescent="0.25">
      <c r="A13" s="2"/>
      <c r="B13" s="6">
        <v>43742</v>
      </c>
      <c r="C13" s="7"/>
      <c r="D13" s="156">
        <v>155</v>
      </c>
      <c r="E13" s="156">
        <v>267</v>
      </c>
      <c r="F13" s="13">
        <f>'Suivi EAU-ELEC'!E12</f>
        <v>178.29999999999563</v>
      </c>
      <c r="G13" s="11"/>
      <c r="H13" s="185">
        <f t="shared" si="0"/>
        <v>2032.6199999999503</v>
      </c>
      <c r="I13" s="186"/>
      <c r="J13" s="186"/>
      <c r="K13" s="67">
        <v>42281</v>
      </c>
      <c r="L13" s="100">
        <f>'Suivi EAU-ELEC'!G12</f>
        <v>5460</v>
      </c>
      <c r="M13" s="101">
        <f>'Suivi EAU-ELEC'!I12</f>
        <v>9383</v>
      </c>
      <c r="N13" s="101">
        <f>'Suivi EAU-ELEC'!K12</f>
        <v>4099</v>
      </c>
      <c r="O13" s="101">
        <f t="shared" si="1"/>
        <v>18942</v>
      </c>
      <c r="P13" s="11"/>
      <c r="Q13" s="37">
        <f t="shared" si="2"/>
        <v>18194.105799999998</v>
      </c>
      <c r="R13" s="11"/>
      <c r="S13" s="31"/>
      <c r="T13" s="11"/>
      <c r="U13" s="31"/>
      <c r="V13" s="161">
        <f>'Suvi Gaz'!O7</f>
        <v>511.98736000000002</v>
      </c>
      <c r="W13" s="11"/>
      <c r="X13" s="37">
        <f t="shared" si="3"/>
        <v>3903.9548187360001</v>
      </c>
    </row>
    <row r="14" spans="1:24" ht="32.25" customHeight="1" thickBot="1" x14ac:dyDescent="0.25">
      <c r="A14" s="2"/>
      <c r="B14" s="6">
        <v>43743</v>
      </c>
      <c r="C14" s="7"/>
      <c r="D14" s="156">
        <v>178</v>
      </c>
      <c r="E14" s="156">
        <v>320</v>
      </c>
      <c r="F14" s="13">
        <f>'Suivi EAU-ELEC'!E13</f>
        <v>214</v>
      </c>
      <c r="G14" s="12"/>
      <c r="H14" s="185">
        <f t="shared" si="0"/>
        <v>2439.6</v>
      </c>
      <c r="I14" s="186"/>
      <c r="J14" s="186"/>
      <c r="K14" s="67">
        <v>42282</v>
      </c>
      <c r="L14" s="100">
        <f>'Suivi EAU-ELEC'!G13</f>
        <v>5209</v>
      </c>
      <c r="M14" s="101">
        <f>'Suivi EAU-ELEC'!I13</f>
        <v>9442</v>
      </c>
      <c r="N14" s="101">
        <f>'Suivi EAU-ELEC'!K13</f>
        <v>4349</v>
      </c>
      <c r="O14" s="101">
        <f t="shared" si="1"/>
        <v>19000</v>
      </c>
      <c r="P14" s="12"/>
      <c r="Q14" s="37">
        <f t="shared" si="2"/>
        <v>18407.514899999998</v>
      </c>
      <c r="R14" s="12"/>
      <c r="S14" s="31"/>
      <c r="T14" s="12"/>
      <c r="U14" s="31"/>
      <c r="V14" s="161">
        <f>'Suvi Gaz'!O8</f>
        <v>191.99526</v>
      </c>
      <c r="W14" s="11"/>
      <c r="X14" s="37">
        <f t="shared" si="3"/>
        <v>1463.9830570259999</v>
      </c>
    </row>
    <row r="15" spans="1:24" ht="32.25" customHeight="1" thickBot="1" x14ac:dyDescent="0.25">
      <c r="A15" s="5"/>
      <c r="B15" s="6">
        <v>43744</v>
      </c>
      <c r="C15" s="7"/>
      <c r="D15" s="156">
        <v>163</v>
      </c>
      <c r="E15" s="156">
        <v>274</v>
      </c>
      <c r="F15" s="13">
        <f>'Suivi EAU-ELEC'!E14</f>
        <v>174.09999999999854</v>
      </c>
      <c r="G15" s="11"/>
      <c r="H15" s="185">
        <f t="shared" si="0"/>
        <v>1984.7399999999834</v>
      </c>
      <c r="I15" s="186"/>
      <c r="J15" s="186"/>
      <c r="K15" s="67">
        <v>42283</v>
      </c>
      <c r="L15" s="100">
        <f>'Suivi EAU-ELEC'!G14</f>
        <v>5333</v>
      </c>
      <c r="M15" s="101">
        <f>'Suivi EAU-ELEC'!I14</f>
        <v>9322</v>
      </c>
      <c r="N15" s="101">
        <f>'Suivi EAU-ELEC'!K14</f>
        <v>4256</v>
      </c>
      <c r="O15" s="101">
        <f t="shared" si="1"/>
        <v>18911</v>
      </c>
      <c r="P15" s="12"/>
      <c r="Q15" s="37">
        <f t="shared" si="2"/>
        <v>18256.233700000001</v>
      </c>
      <c r="R15" s="12"/>
      <c r="S15" s="31"/>
      <c r="T15" s="12"/>
      <c r="U15" s="31"/>
      <c r="V15" s="161">
        <f>'Suvi Gaz'!O9</f>
        <v>479.98815000000002</v>
      </c>
      <c r="W15" s="11"/>
      <c r="X15" s="37">
        <f t="shared" si="3"/>
        <v>3659.9576425650002</v>
      </c>
    </row>
    <row r="16" spans="1:24" ht="32.25" customHeight="1" thickBot="1" x14ac:dyDescent="0.25">
      <c r="A16" s="5"/>
      <c r="B16" s="6">
        <v>43745</v>
      </c>
      <c r="C16" s="7"/>
      <c r="D16" s="156">
        <v>165</v>
      </c>
      <c r="E16" s="156">
        <v>254</v>
      </c>
      <c r="F16" s="13">
        <f>'Suivi EAU-ELEC'!E15</f>
        <v>162.30000000000291</v>
      </c>
      <c r="G16" s="11"/>
      <c r="H16" s="185">
        <f t="shared" si="0"/>
        <v>1850.2200000000332</v>
      </c>
      <c r="I16" s="186"/>
      <c r="J16" s="186"/>
      <c r="K16" s="67">
        <v>42284</v>
      </c>
      <c r="L16" s="100">
        <f>'Suivi EAU-ELEC'!G15</f>
        <v>5158</v>
      </c>
      <c r="M16" s="101">
        <f>'Suivi EAU-ELEC'!I15</f>
        <v>9268</v>
      </c>
      <c r="N16" s="101">
        <f>'Suivi EAU-ELEC'!K15</f>
        <v>4370</v>
      </c>
      <c r="O16" s="101">
        <f t="shared" si="1"/>
        <v>18796</v>
      </c>
      <c r="P16" s="11"/>
      <c r="Q16" s="37">
        <f t="shared" si="2"/>
        <v>18234.286199999999</v>
      </c>
      <c r="R16" s="11"/>
      <c r="S16" s="31"/>
      <c r="T16" s="11"/>
      <c r="U16" s="31"/>
      <c r="V16" s="161">
        <f>'Suvi Gaz'!O10</f>
        <v>511.98736000000002</v>
      </c>
      <c r="W16" s="11"/>
      <c r="X16" s="37">
        <f t="shared" si="3"/>
        <v>3903.9548187360001</v>
      </c>
    </row>
    <row r="17" spans="1:24" s="5" customFormat="1" ht="32.25" customHeight="1" thickBot="1" x14ac:dyDescent="0.25">
      <c r="A17" s="2"/>
      <c r="B17" s="6">
        <v>43746</v>
      </c>
      <c r="C17" s="7"/>
      <c r="D17" s="156">
        <v>174</v>
      </c>
      <c r="E17" s="156">
        <v>254</v>
      </c>
      <c r="F17" s="13">
        <f>'Suivi EAU-ELEC'!E16</f>
        <v>274.80000000000291</v>
      </c>
      <c r="G17" s="11"/>
      <c r="H17" s="185">
        <f t="shared" si="0"/>
        <v>3132.7200000000335</v>
      </c>
      <c r="I17" s="186"/>
      <c r="J17" s="186"/>
      <c r="K17" s="67">
        <v>42285</v>
      </c>
      <c r="L17" s="100">
        <f>'Suivi EAU-ELEC'!G16</f>
        <v>6600</v>
      </c>
      <c r="M17" s="101">
        <f>'Suivi EAU-ELEC'!I16</f>
        <v>9394</v>
      </c>
      <c r="N17" s="101">
        <f>'Suivi EAU-ELEC'!K16</f>
        <v>4136</v>
      </c>
      <c r="O17" s="101">
        <f t="shared" si="1"/>
        <v>20130</v>
      </c>
      <c r="P17" s="12"/>
      <c r="Q17" s="37">
        <f t="shared" si="2"/>
        <v>19050.086000000003</v>
      </c>
      <c r="R17" s="12"/>
      <c r="S17" s="31"/>
      <c r="T17" s="12"/>
      <c r="U17" s="31"/>
      <c r="V17" s="161">
        <f>'Suvi Gaz'!O11</f>
        <v>447.98894000000001</v>
      </c>
      <c r="W17" s="11"/>
      <c r="X17" s="37">
        <f t="shared" si="3"/>
        <v>3415.9604663939999</v>
      </c>
    </row>
    <row r="18" spans="1:24" ht="32.25" customHeight="1" thickBot="1" x14ac:dyDescent="0.25">
      <c r="A18" s="2"/>
      <c r="B18" s="6">
        <v>43747</v>
      </c>
      <c r="C18" s="7"/>
      <c r="D18" s="156">
        <v>173</v>
      </c>
      <c r="E18" s="156">
        <v>246</v>
      </c>
      <c r="F18" s="13">
        <f>'Suivi EAU-ELEC'!E17</f>
        <v>290</v>
      </c>
      <c r="G18" s="11"/>
      <c r="H18" s="185">
        <f t="shared" si="0"/>
        <v>3306</v>
      </c>
      <c r="I18" s="186"/>
      <c r="J18" s="186"/>
      <c r="K18" s="67">
        <v>42286</v>
      </c>
      <c r="L18" s="100">
        <f>'Suivi EAU-ELEC'!G17</f>
        <v>5550</v>
      </c>
      <c r="M18" s="101">
        <f>'Suivi EAU-ELEC'!I17</f>
        <v>9265</v>
      </c>
      <c r="N18" s="101">
        <f>'Suivi EAU-ELEC'!K17</f>
        <v>4123</v>
      </c>
      <c r="O18" s="101">
        <f t="shared" si="1"/>
        <v>18938</v>
      </c>
      <c r="P18" s="12"/>
      <c r="Q18" s="37">
        <f t="shared" si="2"/>
        <v>18176.635200000001</v>
      </c>
      <c r="R18" s="12"/>
      <c r="S18" s="31"/>
      <c r="T18" s="12"/>
      <c r="U18" s="31"/>
      <c r="V18" s="161">
        <f>'Suvi Gaz'!O12</f>
        <v>383.99052</v>
      </c>
      <c r="W18" s="11"/>
      <c r="X18" s="37">
        <f t="shared" si="3"/>
        <v>2927.9661140519997</v>
      </c>
    </row>
    <row r="19" spans="1:24" ht="32.25" customHeight="1" thickBot="1" x14ac:dyDescent="0.25">
      <c r="A19" s="2"/>
      <c r="B19" s="6">
        <v>43748</v>
      </c>
      <c r="C19" s="7"/>
      <c r="D19" s="156">
        <v>166</v>
      </c>
      <c r="E19" s="156">
        <v>256</v>
      </c>
      <c r="F19" s="13">
        <f>'Suivi EAU-ELEC'!E18</f>
        <v>228.29999999999563</v>
      </c>
      <c r="G19" s="12"/>
      <c r="H19" s="185">
        <f t="shared" si="0"/>
        <v>2602.6199999999503</v>
      </c>
      <c r="I19" s="186"/>
      <c r="J19" s="186"/>
      <c r="K19" s="67">
        <v>42287</v>
      </c>
      <c r="L19" s="100">
        <f>'Suivi EAU-ELEC'!G18</f>
        <v>5849</v>
      </c>
      <c r="M19" s="101">
        <f>'Suivi EAU-ELEC'!I18</f>
        <v>9348</v>
      </c>
      <c r="N19" s="101">
        <f>'Suivi EAU-ELEC'!K18</f>
        <v>4368</v>
      </c>
      <c r="O19" s="101">
        <f t="shared" si="1"/>
        <v>19565</v>
      </c>
      <c r="P19" s="12"/>
      <c r="Q19" s="37">
        <f t="shared" si="2"/>
        <v>18790.400900000001</v>
      </c>
      <c r="R19" s="12"/>
      <c r="S19" s="31"/>
      <c r="T19" s="12"/>
      <c r="U19" s="31"/>
      <c r="V19" s="161">
        <f>'Suvi Gaz'!O13</f>
        <v>479.98815000000002</v>
      </c>
      <c r="W19" s="11"/>
      <c r="X19" s="37">
        <f t="shared" si="3"/>
        <v>3659.9576425650002</v>
      </c>
    </row>
    <row r="20" spans="1:24" ht="32.25" customHeight="1" thickBot="1" x14ac:dyDescent="0.25">
      <c r="A20" s="2"/>
      <c r="B20" s="6">
        <v>43749</v>
      </c>
      <c r="C20" s="7"/>
      <c r="D20" s="156">
        <v>175</v>
      </c>
      <c r="E20" s="156">
        <v>271</v>
      </c>
      <c r="F20" s="13">
        <f>'Suivi EAU-ELEC'!E19</f>
        <v>183.70000000000437</v>
      </c>
      <c r="G20" s="12"/>
      <c r="H20" s="185">
        <f t="shared" si="0"/>
        <v>2094.1800000000499</v>
      </c>
      <c r="I20" s="186"/>
      <c r="J20" s="186"/>
      <c r="K20" s="67">
        <v>42288</v>
      </c>
      <c r="L20" s="100">
        <f>'Suivi EAU-ELEC'!G19</f>
        <v>5826</v>
      </c>
      <c r="M20" s="101">
        <f>'Suivi EAU-ELEC'!I19</f>
        <v>9697</v>
      </c>
      <c r="N20" s="101">
        <f>'Suivi EAU-ELEC'!K19</f>
        <v>4257</v>
      </c>
      <c r="O20" s="101">
        <f t="shared" si="1"/>
        <v>19780</v>
      </c>
      <c r="P20" s="12"/>
      <c r="Q20" s="37">
        <f t="shared" si="2"/>
        <v>18958.6996</v>
      </c>
      <c r="R20" s="12"/>
      <c r="S20" s="31"/>
      <c r="T20" s="12"/>
      <c r="U20" s="31"/>
      <c r="V20" s="161">
        <f>'Suvi Gaz'!O14</f>
        <v>351.99131</v>
      </c>
      <c r="W20" s="11"/>
      <c r="X20" s="37">
        <f t="shared" si="3"/>
        <v>2683.9689378809999</v>
      </c>
    </row>
    <row r="21" spans="1:24" ht="32.25" customHeight="1" thickBot="1" x14ac:dyDescent="0.25">
      <c r="A21" s="2"/>
      <c r="B21" s="6">
        <v>43750</v>
      </c>
      <c r="C21" s="7"/>
      <c r="D21" s="156">
        <v>158</v>
      </c>
      <c r="E21" s="156">
        <v>270</v>
      </c>
      <c r="F21" s="13">
        <f>'Suivi EAU-ELEC'!E20</f>
        <v>179.69999999999709</v>
      </c>
      <c r="G21" s="12"/>
      <c r="H21" s="185">
        <f t="shared" si="0"/>
        <v>2048.5799999999667</v>
      </c>
      <c r="I21" s="186"/>
      <c r="J21" s="186"/>
      <c r="K21" s="67">
        <v>42289</v>
      </c>
      <c r="L21" s="100">
        <f>'Suivi EAU-ELEC'!G20</f>
        <v>5515</v>
      </c>
      <c r="M21" s="101">
        <f>'Suivi EAU-ELEC'!I20</f>
        <v>9482</v>
      </c>
      <c r="N21" s="101">
        <f>'Suivi EAU-ELEC'!K20</f>
        <v>4076</v>
      </c>
      <c r="O21" s="101">
        <f t="shared" si="1"/>
        <v>19073</v>
      </c>
      <c r="P21" s="12"/>
      <c r="Q21" s="37">
        <f t="shared" si="2"/>
        <v>18296.112700000001</v>
      </c>
      <c r="R21" s="12"/>
      <c r="S21" s="31"/>
      <c r="T21" s="12"/>
      <c r="U21" s="31"/>
      <c r="V21" s="161">
        <f>'Suvi Gaz'!O15</f>
        <v>511.98736000000002</v>
      </c>
      <c r="W21" s="11"/>
      <c r="X21" s="37">
        <f t="shared" si="3"/>
        <v>3903.9548187360001</v>
      </c>
    </row>
    <row r="22" spans="1:24" ht="32.25" customHeight="1" thickBot="1" x14ac:dyDescent="0.25">
      <c r="A22" s="2"/>
      <c r="B22" s="6">
        <v>43751</v>
      </c>
      <c r="C22" s="7"/>
      <c r="D22" s="156">
        <v>176</v>
      </c>
      <c r="E22" s="156">
        <v>269</v>
      </c>
      <c r="F22" s="13">
        <f>'Suivi EAU-ELEC'!E21</f>
        <v>174</v>
      </c>
      <c r="G22" s="12"/>
      <c r="H22" s="185">
        <f t="shared" si="0"/>
        <v>1983.6000000000001</v>
      </c>
      <c r="I22" s="186"/>
      <c r="J22" s="186"/>
      <c r="K22" s="67">
        <v>42290</v>
      </c>
      <c r="L22" s="100">
        <f>'Suivi EAU-ELEC'!G21</f>
        <v>5324</v>
      </c>
      <c r="M22" s="101">
        <f>'Suivi EAU-ELEC'!I21</f>
        <v>9665</v>
      </c>
      <c r="N22" s="101">
        <f>'Suivi EAU-ELEC'!K21</f>
        <v>4150</v>
      </c>
      <c r="O22" s="101">
        <f t="shared" si="1"/>
        <v>19139</v>
      </c>
      <c r="P22" s="12"/>
      <c r="Q22" s="37">
        <f t="shared" si="2"/>
        <v>18435.255000000001</v>
      </c>
      <c r="R22" s="12"/>
      <c r="S22" s="31"/>
      <c r="T22" s="12"/>
      <c r="U22" s="31"/>
      <c r="V22" s="161">
        <f>'Suvi Gaz'!O16</f>
        <v>447.98894000000001</v>
      </c>
      <c r="W22" s="11"/>
      <c r="X22" s="37">
        <f t="shared" si="3"/>
        <v>3415.9604663939999</v>
      </c>
    </row>
    <row r="23" spans="1:24" ht="32.25" customHeight="1" thickBot="1" x14ac:dyDescent="0.25">
      <c r="A23" s="2"/>
      <c r="B23" s="6">
        <v>43752</v>
      </c>
      <c r="C23" s="7"/>
      <c r="D23" s="156">
        <v>162</v>
      </c>
      <c r="E23" s="156">
        <v>249</v>
      </c>
      <c r="F23" s="13">
        <f>'Suivi EAU-ELEC'!E22</f>
        <v>168</v>
      </c>
      <c r="G23" s="14"/>
      <c r="H23" s="185">
        <f t="shared" si="0"/>
        <v>1915.2</v>
      </c>
      <c r="I23" s="186"/>
      <c r="J23" s="186"/>
      <c r="K23" s="67">
        <v>42291</v>
      </c>
      <c r="L23" s="100">
        <f>'Suivi EAU-ELEC'!G22</f>
        <v>5032</v>
      </c>
      <c r="M23" s="101">
        <f>'Suivi EAU-ELEC'!I22</f>
        <v>8891</v>
      </c>
      <c r="N23" s="101">
        <f>'Suivi EAU-ELEC'!K22</f>
        <v>4082</v>
      </c>
      <c r="O23" s="101">
        <f t="shared" si="1"/>
        <v>18005</v>
      </c>
      <c r="P23" s="12"/>
      <c r="Q23" s="37">
        <f t="shared" si="2"/>
        <v>17404.442200000001</v>
      </c>
      <c r="R23" s="12"/>
      <c r="S23" s="31"/>
      <c r="T23" s="14"/>
      <c r="U23" s="31"/>
      <c r="V23" s="161">
        <f>'Suvi Gaz'!O17</f>
        <v>415.98973000000001</v>
      </c>
      <c r="W23" s="11"/>
      <c r="X23" s="37">
        <f t="shared" si="3"/>
        <v>3171.9632902230001</v>
      </c>
    </row>
    <row r="24" spans="1:24" ht="32.25" customHeight="1" thickBot="1" x14ac:dyDescent="0.25">
      <c r="A24" s="2"/>
      <c r="B24" s="6">
        <v>43753</v>
      </c>
      <c r="C24" s="7"/>
      <c r="D24" s="156">
        <v>167</v>
      </c>
      <c r="E24" s="156">
        <v>241</v>
      </c>
      <c r="F24" s="13">
        <f>'Suivi EAU-ELEC'!E23</f>
        <v>207</v>
      </c>
      <c r="G24" s="14"/>
      <c r="H24" s="185">
        <f t="shared" si="0"/>
        <v>2359.8000000000002</v>
      </c>
      <c r="I24" s="186"/>
      <c r="J24" s="186"/>
      <c r="K24" s="67">
        <v>42292</v>
      </c>
      <c r="L24" s="100">
        <f>'Suivi EAU-ELEC'!G23</f>
        <v>5400</v>
      </c>
      <c r="M24" s="101">
        <f>'Suivi EAU-ELEC'!I23</f>
        <v>9365</v>
      </c>
      <c r="N24" s="101">
        <f>'Suivi EAU-ELEC'!K23</f>
        <v>4040</v>
      </c>
      <c r="O24" s="101">
        <f t="shared" si="1"/>
        <v>18805</v>
      </c>
      <c r="P24" s="12"/>
      <c r="Q24" s="37">
        <f t="shared" si="2"/>
        <v>18056.577000000001</v>
      </c>
      <c r="R24" s="12"/>
      <c r="S24" s="31"/>
      <c r="T24" s="14"/>
      <c r="U24" s="31"/>
      <c r="V24" s="161">
        <f>'Suvi Gaz'!O18</f>
        <v>415.98973000000001</v>
      </c>
      <c r="W24" s="11"/>
      <c r="X24" s="37">
        <f t="shared" si="3"/>
        <v>3171.9632902230001</v>
      </c>
    </row>
    <row r="25" spans="1:24" ht="32.25" customHeight="1" thickBot="1" x14ac:dyDescent="0.25">
      <c r="A25" s="2"/>
      <c r="B25" s="6">
        <v>43754</v>
      </c>
      <c r="C25" s="7"/>
      <c r="D25" s="156">
        <v>168</v>
      </c>
      <c r="E25" s="156">
        <v>246</v>
      </c>
      <c r="F25" s="13">
        <f>'Suivi EAU-ELEC'!E24</f>
        <v>177</v>
      </c>
      <c r="G25" s="14"/>
      <c r="H25" s="185">
        <f t="shared" si="0"/>
        <v>2017.8</v>
      </c>
      <c r="I25" s="186"/>
      <c r="J25" s="186"/>
      <c r="K25" s="67">
        <v>42293</v>
      </c>
      <c r="L25" s="100">
        <f>'Suivi EAU-ELEC'!G24</f>
        <v>4910</v>
      </c>
      <c r="M25" s="101">
        <f>'Suivi EAU-ELEC'!I24</f>
        <v>8733</v>
      </c>
      <c r="N25" s="101">
        <f>'Suivi EAU-ELEC'!K24</f>
        <v>3777</v>
      </c>
      <c r="O25" s="101">
        <f t="shared" si="1"/>
        <v>17420</v>
      </c>
      <c r="P25" s="12"/>
      <c r="Q25" s="37">
        <f t="shared" si="2"/>
        <v>16763.131999999998</v>
      </c>
      <c r="R25" s="12"/>
      <c r="S25" s="31"/>
      <c r="T25" s="14"/>
      <c r="U25" s="31"/>
      <c r="V25" s="161">
        <f>'Suvi Gaz'!O19</f>
        <v>415.98973000000001</v>
      </c>
      <c r="W25" s="11"/>
      <c r="X25" s="37">
        <f t="shared" si="3"/>
        <v>3171.9632902230001</v>
      </c>
    </row>
    <row r="26" spans="1:24" ht="32.25" customHeight="1" thickBot="1" x14ac:dyDescent="0.25">
      <c r="A26" s="2"/>
      <c r="B26" s="6">
        <v>43755</v>
      </c>
      <c r="C26" s="7"/>
      <c r="D26" s="156">
        <v>176</v>
      </c>
      <c r="E26" s="156">
        <v>269</v>
      </c>
      <c r="F26" s="13">
        <f>'Suivi EAU-ELEC'!E25</f>
        <v>167.59999999999854</v>
      </c>
      <c r="G26" s="14"/>
      <c r="H26" s="185">
        <f t="shared" si="0"/>
        <v>1910.6399999999835</v>
      </c>
      <c r="I26" s="186"/>
      <c r="J26" s="186"/>
      <c r="K26" s="67">
        <v>42294</v>
      </c>
      <c r="L26" s="100">
        <f>'Suivi EAU-ELEC'!G25</f>
        <v>4215</v>
      </c>
      <c r="M26" s="101">
        <f>'Suivi EAU-ELEC'!I25</f>
        <v>7997</v>
      </c>
      <c r="N26" s="101">
        <f>'Suivi EAU-ELEC'!K25</f>
        <v>3779</v>
      </c>
      <c r="O26" s="101">
        <f t="shared" si="1"/>
        <v>15991</v>
      </c>
      <c r="P26" s="14"/>
      <c r="Q26" s="37">
        <f t="shared" si="2"/>
        <v>15580.104900000002</v>
      </c>
      <c r="R26" s="14"/>
      <c r="S26" s="31"/>
      <c r="T26" s="14"/>
      <c r="U26" s="31"/>
      <c r="V26" s="161">
        <f>'Suvi Gaz'!O20</f>
        <v>511.98736000000002</v>
      </c>
      <c r="W26" s="11"/>
      <c r="X26" s="37">
        <f t="shared" si="3"/>
        <v>3903.9548187360001</v>
      </c>
    </row>
    <row r="27" spans="1:24" ht="32.25" customHeight="1" thickBot="1" x14ac:dyDescent="0.25">
      <c r="A27" s="2"/>
      <c r="B27" s="6">
        <v>43756</v>
      </c>
      <c r="C27" s="7"/>
      <c r="D27" s="156">
        <v>161</v>
      </c>
      <c r="E27" s="156">
        <v>265</v>
      </c>
      <c r="F27" s="13">
        <f>'Suivi EAU-ELEC'!E26</f>
        <v>170.5</v>
      </c>
      <c r="G27" s="14"/>
      <c r="H27" s="185">
        <f t="shared" si="0"/>
        <v>1943.7</v>
      </c>
      <c r="I27" s="186"/>
      <c r="J27" s="186"/>
      <c r="K27" s="67">
        <v>42295</v>
      </c>
      <c r="L27" s="100">
        <f>'Suivi EAU-ELEC'!G26</f>
        <v>5118</v>
      </c>
      <c r="M27" s="101">
        <f>'Suivi EAU-ELEC'!I26</f>
        <v>9246</v>
      </c>
      <c r="N27" s="101">
        <f>'Suivi EAU-ELEC'!K26</f>
        <v>3802</v>
      </c>
      <c r="O27" s="101">
        <f t="shared" si="1"/>
        <v>18166</v>
      </c>
      <c r="P27" s="14"/>
      <c r="Q27" s="37">
        <f t="shared" si="2"/>
        <v>17429.748200000002</v>
      </c>
      <c r="R27" s="14"/>
      <c r="S27" s="31"/>
      <c r="T27" s="14"/>
      <c r="U27" s="31"/>
      <c r="V27" s="161">
        <f>'Suvi Gaz'!O21</f>
        <v>639.98419999999999</v>
      </c>
      <c r="W27" s="11"/>
      <c r="X27" s="37">
        <f t="shared" si="3"/>
        <v>4879.94352342</v>
      </c>
    </row>
    <row r="28" spans="1:24" ht="32.25" customHeight="1" thickBot="1" x14ac:dyDescent="0.25">
      <c r="A28" s="2"/>
      <c r="B28" s="6">
        <v>43757</v>
      </c>
      <c r="C28" s="7"/>
      <c r="D28" s="156">
        <v>177</v>
      </c>
      <c r="E28" s="156">
        <v>296</v>
      </c>
      <c r="F28" s="13">
        <f>'Suivi EAU-ELEC'!E27</f>
        <v>196</v>
      </c>
      <c r="G28" s="11"/>
      <c r="H28" s="185">
        <f t="shared" si="0"/>
        <v>2234.4</v>
      </c>
      <c r="I28" s="186"/>
      <c r="J28" s="186"/>
      <c r="K28" s="67">
        <v>42296</v>
      </c>
      <c r="L28" s="100">
        <f>'Suivi EAU-ELEC'!G27</f>
        <v>5071</v>
      </c>
      <c r="M28" s="101">
        <f>'Suivi EAU-ELEC'!I27</f>
        <v>8430</v>
      </c>
      <c r="N28" s="101">
        <f>'Suivi EAU-ELEC'!K27</f>
        <v>3837</v>
      </c>
      <c r="O28" s="101">
        <f t="shared" si="1"/>
        <v>17338</v>
      </c>
      <c r="P28" s="11"/>
      <c r="Q28" s="37">
        <f t="shared" si="2"/>
        <v>16667.140299999999</v>
      </c>
      <c r="R28" s="11"/>
      <c r="S28" s="31"/>
      <c r="T28" s="11"/>
      <c r="U28" s="31"/>
      <c r="V28" s="161">
        <f>'Suvi Gaz'!O22</f>
        <v>575.98577999999998</v>
      </c>
      <c r="W28" s="11"/>
      <c r="X28" s="37">
        <f t="shared" si="3"/>
        <v>4391.9491710779994</v>
      </c>
    </row>
    <row r="29" spans="1:24" ht="32.25" customHeight="1" thickBot="1" x14ac:dyDescent="0.25">
      <c r="A29" s="2"/>
      <c r="B29" s="6">
        <v>43758</v>
      </c>
      <c r="C29" s="7"/>
      <c r="D29" s="156">
        <v>145</v>
      </c>
      <c r="E29" s="156">
        <v>226</v>
      </c>
      <c r="F29" s="13">
        <f>'Suivi EAU-ELEC'!E28</f>
        <v>193.70000000000437</v>
      </c>
      <c r="G29" s="11"/>
      <c r="H29" s="185">
        <f t="shared" si="0"/>
        <v>2208.1800000000499</v>
      </c>
      <c r="I29" s="186"/>
      <c r="J29" s="186"/>
      <c r="K29" s="67">
        <v>42297</v>
      </c>
      <c r="L29" s="100">
        <f>'Suivi EAU-ELEC'!G28</f>
        <v>5863</v>
      </c>
      <c r="M29" s="101">
        <f>'Suivi EAU-ELEC'!I28</f>
        <v>9481</v>
      </c>
      <c r="N29" s="101">
        <f>'Suivi EAU-ELEC'!K28</f>
        <v>4937</v>
      </c>
      <c r="O29" s="101">
        <f t="shared" si="1"/>
        <v>20281</v>
      </c>
      <c r="P29" s="11"/>
      <c r="Q29" s="37">
        <f t="shared" si="2"/>
        <v>19683.7137</v>
      </c>
      <c r="R29" s="11"/>
      <c r="S29" s="31"/>
      <c r="T29" s="11"/>
      <c r="U29" s="31"/>
      <c r="V29" s="161">
        <f>'Suvi Gaz'!O23</f>
        <v>447.98894000000001</v>
      </c>
      <c r="W29" s="11"/>
      <c r="X29" s="37">
        <f t="shared" si="3"/>
        <v>3415.9604663939999</v>
      </c>
    </row>
    <row r="30" spans="1:24" ht="32.25" customHeight="1" thickBot="1" x14ac:dyDescent="0.25">
      <c r="A30" s="2"/>
      <c r="B30" s="6">
        <v>43759</v>
      </c>
      <c r="C30" s="7"/>
      <c r="D30" s="156">
        <v>171</v>
      </c>
      <c r="E30" s="156">
        <v>246</v>
      </c>
      <c r="F30" s="13">
        <f>'Suivi EAU-ELEC'!E29</f>
        <v>174.19999999999709</v>
      </c>
      <c r="G30" s="11"/>
      <c r="H30" s="185">
        <f t="shared" si="0"/>
        <v>1985.8799999999669</v>
      </c>
      <c r="I30" s="186"/>
      <c r="J30" s="186"/>
      <c r="K30" s="67">
        <v>42298</v>
      </c>
      <c r="L30" s="100">
        <f>'Suivi EAU-ELEC'!G29</f>
        <v>4608</v>
      </c>
      <c r="M30" s="101">
        <f>'Suivi EAU-ELEC'!I29</f>
        <v>8012</v>
      </c>
      <c r="N30" s="101">
        <f>'Suivi EAU-ELEC'!K29</f>
        <v>3802</v>
      </c>
      <c r="O30" s="101">
        <f t="shared" si="1"/>
        <v>16422</v>
      </c>
      <c r="P30" s="11"/>
      <c r="Q30" s="37">
        <f t="shared" si="2"/>
        <v>15899.4856</v>
      </c>
      <c r="R30" s="11"/>
      <c r="S30" s="31"/>
      <c r="T30" s="11"/>
      <c r="U30" s="31"/>
      <c r="V30" s="161">
        <f>'Suvi Gaz'!O24</f>
        <v>767.98104000000001</v>
      </c>
      <c r="W30" s="11"/>
      <c r="X30" s="37">
        <f t="shared" si="3"/>
        <v>5855.9322281039995</v>
      </c>
    </row>
    <row r="31" spans="1:24" ht="27.75" customHeight="1" thickBot="1" x14ac:dyDescent="0.25">
      <c r="A31" s="2"/>
      <c r="B31" s="6">
        <v>43760</v>
      </c>
      <c r="C31" s="7"/>
      <c r="D31" s="156">
        <v>173</v>
      </c>
      <c r="E31" s="156">
        <v>243</v>
      </c>
      <c r="F31" s="13">
        <f>'Suivi EAU-ELEC'!E30</f>
        <v>203.59999999999854</v>
      </c>
      <c r="G31" s="11"/>
      <c r="H31" s="185">
        <f t="shared" si="0"/>
        <v>2321.0399999999836</v>
      </c>
      <c r="I31" s="186"/>
      <c r="J31" s="186"/>
      <c r="K31" s="67">
        <v>42299</v>
      </c>
      <c r="L31" s="100">
        <f>'Suivi EAU-ELEC'!G30</f>
        <v>6417</v>
      </c>
      <c r="M31" s="101">
        <f>'Suivi EAU-ELEC'!I30</f>
        <v>8116</v>
      </c>
      <c r="N31" s="101">
        <f>'Suivi EAU-ELEC'!K30</f>
        <v>3370</v>
      </c>
      <c r="O31" s="101">
        <f t="shared" si="1"/>
        <v>17903</v>
      </c>
      <c r="P31" s="11"/>
      <c r="Q31" s="37">
        <f>L31*0.6985+M31*0.9514+N31*1.3304</f>
        <v>16687.284899999999</v>
      </c>
      <c r="R31" s="11"/>
      <c r="S31" s="31"/>
      <c r="T31" s="11"/>
      <c r="U31" s="31"/>
      <c r="V31" s="161">
        <f>'Suvi Gaz'!O25</f>
        <v>511.98736000000002</v>
      </c>
      <c r="W31" s="11"/>
      <c r="X31" s="37">
        <f t="shared" si="3"/>
        <v>3903.9548187360001</v>
      </c>
    </row>
    <row r="32" spans="1:24" ht="37.5" customHeight="1" thickBot="1" x14ac:dyDescent="0.25">
      <c r="A32" s="2"/>
      <c r="B32" s="6">
        <v>43761</v>
      </c>
      <c r="C32" s="7"/>
      <c r="D32" s="156">
        <v>180</v>
      </c>
      <c r="E32" s="156">
        <v>273</v>
      </c>
      <c r="F32" s="13">
        <f>'Suivi EAU-ELEC'!E31</f>
        <v>193</v>
      </c>
      <c r="G32" s="11"/>
      <c r="H32" s="185">
        <f t="shared" si="0"/>
        <v>2200.2000000000003</v>
      </c>
      <c r="I32" s="186"/>
      <c r="J32" s="186"/>
      <c r="K32" s="67">
        <v>42300</v>
      </c>
      <c r="L32" s="100">
        <f>'Suivi EAU-ELEC'!G31</f>
        <v>4991</v>
      </c>
      <c r="M32" s="101">
        <f>'Suivi EAU-ELEC'!I31</f>
        <v>7299</v>
      </c>
      <c r="N32" s="101">
        <f>'Suivi EAU-ELEC'!K31</f>
        <v>3213</v>
      </c>
      <c r="O32" s="101">
        <f t="shared" si="1"/>
        <v>15503</v>
      </c>
      <c r="P32" s="11"/>
      <c r="Q32" s="37">
        <f t="shared" si="2"/>
        <v>14705.0573</v>
      </c>
      <c r="R32" s="11"/>
      <c r="S32" s="31"/>
      <c r="T32" s="11"/>
      <c r="U32" s="31"/>
      <c r="V32" s="161">
        <f>'Suvi Gaz'!O26</f>
        <v>703.98262</v>
      </c>
      <c r="W32" s="11"/>
      <c r="X32" s="37">
        <f t="shared" si="3"/>
        <v>5367.9378757619997</v>
      </c>
    </row>
    <row r="33" spans="1:24" ht="37.5" customHeight="1" thickBot="1" x14ac:dyDescent="0.25">
      <c r="A33" s="2"/>
      <c r="B33" s="6">
        <v>43762</v>
      </c>
      <c r="C33" s="7"/>
      <c r="D33" s="156">
        <v>148</v>
      </c>
      <c r="E33" s="156">
        <v>240</v>
      </c>
      <c r="F33" s="13">
        <f>'Suivi EAU-ELEC'!E32</f>
        <v>215.5</v>
      </c>
      <c r="G33" s="11"/>
      <c r="H33" s="185">
        <f t="shared" si="0"/>
        <v>2456.7000000000003</v>
      </c>
      <c r="I33" s="186"/>
      <c r="J33" s="186"/>
      <c r="K33" s="67">
        <v>42301</v>
      </c>
      <c r="L33" s="100">
        <f>'Suivi EAU-ELEC'!G32</f>
        <v>5306</v>
      </c>
      <c r="M33" s="101">
        <f>'Suivi EAU-ELEC'!I32</f>
        <v>7804</v>
      </c>
      <c r="N33" s="101">
        <f>'Suivi EAU-ELEC'!K32</f>
        <v>5312</v>
      </c>
      <c r="O33" s="101">
        <f t="shared" si="1"/>
        <v>18422</v>
      </c>
      <c r="P33" s="11"/>
      <c r="Q33" s="37">
        <f t="shared" si="2"/>
        <v>18198.0514</v>
      </c>
      <c r="R33" s="11"/>
      <c r="S33" s="31"/>
      <c r="T33" s="11"/>
      <c r="U33" s="31"/>
      <c r="V33" s="161">
        <f>'Suvi Gaz'!O27</f>
        <v>703.98262</v>
      </c>
      <c r="W33" s="11"/>
      <c r="X33" s="37">
        <f t="shared" si="3"/>
        <v>5367.9378757619997</v>
      </c>
    </row>
    <row r="34" spans="1:24" ht="37.5" customHeight="1" thickBot="1" x14ac:dyDescent="0.25">
      <c r="A34" s="2"/>
      <c r="B34" s="6">
        <v>43763</v>
      </c>
      <c r="C34" s="7"/>
      <c r="D34" s="156">
        <v>136</v>
      </c>
      <c r="E34" s="156">
        <v>241</v>
      </c>
      <c r="F34" s="13">
        <f>'Suivi EAU-ELEC'!E33</f>
        <v>199</v>
      </c>
      <c r="G34" s="11"/>
      <c r="H34" s="185">
        <f t="shared" si="0"/>
        <v>2268.6</v>
      </c>
      <c r="I34" s="186"/>
      <c r="J34" s="186"/>
      <c r="K34" s="67">
        <v>42302</v>
      </c>
      <c r="L34" s="100">
        <f>'Suivi EAU-ELEC'!G33</f>
        <v>5635</v>
      </c>
      <c r="M34" s="101">
        <f>'Suivi EAU-ELEC'!I33</f>
        <v>8313</v>
      </c>
      <c r="N34" s="101">
        <f>'Suivi EAU-ELEC'!K33</f>
        <v>1486</v>
      </c>
      <c r="O34" s="101">
        <f t="shared" si="1"/>
        <v>15434</v>
      </c>
      <c r="P34" s="11"/>
      <c r="Q34" s="37">
        <f t="shared" si="2"/>
        <v>13822.0101</v>
      </c>
      <c r="R34" s="11"/>
      <c r="S34" s="31"/>
      <c r="T34" s="11"/>
      <c r="U34" s="31"/>
      <c r="V34" s="161">
        <f>'Suvi Gaz'!O28</f>
        <v>735.98183000000006</v>
      </c>
      <c r="W34" s="11"/>
      <c r="X34" s="37">
        <f t="shared" si="3"/>
        <v>5611.9350519330001</v>
      </c>
    </row>
    <row r="35" spans="1:24" ht="33.75" customHeight="1" thickBot="1" x14ac:dyDescent="0.25">
      <c r="A35" s="2"/>
      <c r="B35" s="6">
        <v>43764</v>
      </c>
      <c r="C35" s="7"/>
      <c r="D35" s="156">
        <v>140</v>
      </c>
      <c r="E35" s="156">
        <v>247</v>
      </c>
      <c r="F35" s="13">
        <f>'Suivi EAU-ELEC'!E34</f>
        <v>203.90000000000146</v>
      </c>
      <c r="G35" s="11"/>
      <c r="H35" s="185">
        <f t="shared" si="0"/>
        <v>2324.4600000000169</v>
      </c>
      <c r="I35" s="186"/>
      <c r="J35" s="186"/>
      <c r="K35" s="67">
        <v>42303</v>
      </c>
      <c r="L35" s="100">
        <f>'Suivi EAU-ELEC'!G34</f>
        <v>4280</v>
      </c>
      <c r="M35" s="101">
        <f>'Suivi EAU-ELEC'!I34</f>
        <v>7593</v>
      </c>
      <c r="N35" s="101">
        <f>'Suivi EAU-ELEC'!K34</f>
        <v>3493</v>
      </c>
      <c r="O35" s="101">
        <f t="shared" si="1"/>
        <v>15366</v>
      </c>
      <c r="P35" s="11"/>
      <c r="Q35" s="37">
        <f t="shared" si="2"/>
        <v>14860.6474</v>
      </c>
      <c r="R35" s="11"/>
      <c r="S35" s="31"/>
      <c r="T35" s="11"/>
      <c r="U35" s="31"/>
      <c r="V35" s="161">
        <f>'Suvi Gaz'!O29</f>
        <v>383.99052</v>
      </c>
      <c r="W35" s="11"/>
      <c r="X35" s="37">
        <f t="shared" si="3"/>
        <v>2927.9661140519997</v>
      </c>
    </row>
    <row r="36" spans="1:24" ht="33.75" customHeight="1" thickBot="1" x14ac:dyDescent="0.25">
      <c r="A36" s="2"/>
      <c r="B36" s="6">
        <v>43765</v>
      </c>
      <c r="C36" s="7"/>
      <c r="D36" s="156">
        <v>135</v>
      </c>
      <c r="E36" s="156">
        <v>200</v>
      </c>
      <c r="F36" s="13">
        <f>'Suivi EAU-ELEC'!E35</f>
        <v>172</v>
      </c>
      <c r="G36" s="11"/>
      <c r="H36" s="185">
        <f t="shared" si="0"/>
        <v>1960.8</v>
      </c>
      <c r="I36" s="186"/>
      <c r="J36" s="186"/>
      <c r="K36" s="67">
        <v>42304</v>
      </c>
      <c r="L36" s="100">
        <f>'Suivi EAU-ELEC'!G35</f>
        <v>4844</v>
      </c>
      <c r="M36" s="101">
        <f>'Suivi EAU-ELEC'!I35</f>
        <v>7885</v>
      </c>
      <c r="N36" s="101">
        <f>'Suivi EAU-ELEC'!K35</f>
        <v>3394</v>
      </c>
      <c r="O36" s="101">
        <f t="shared" si="1"/>
        <v>16123</v>
      </c>
      <c r="P36" s="11"/>
      <c r="Q36" s="37">
        <f t="shared" si="2"/>
        <v>15400.7006</v>
      </c>
      <c r="R36" s="11"/>
      <c r="S36" s="31"/>
      <c r="T36" s="11"/>
      <c r="U36" s="31"/>
      <c r="V36" s="161">
        <f>'Suvi Gaz'!O30</f>
        <v>511.98736000000002</v>
      </c>
      <c r="W36" s="11"/>
      <c r="X36" s="37">
        <f t="shared" si="3"/>
        <v>3903.9548187360001</v>
      </c>
    </row>
    <row r="37" spans="1:24" ht="33.75" customHeight="1" thickBot="1" x14ac:dyDescent="0.25">
      <c r="A37" s="2"/>
      <c r="B37" s="6">
        <v>43766</v>
      </c>
      <c r="C37" s="7"/>
      <c r="D37" s="156">
        <v>176</v>
      </c>
      <c r="E37" s="156">
        <v>260</v>
      </c>
      <c r="F37" s="13">
        <f>'Suivi EAU-ELEC'!E36</f>
        <v>172</v>
      </c>
      <c r="G37" s="11"/>
      <c r="H37" s="185">
        <f t="shared" si="0"/>
        <v>1960.8</v>
      </c>
      <c r="I37" s="186"/>
      <c r="J37" s="186"/>
      <c r="K37" s="67">
        <v>42305</v>
      </c>
      <c r="L37" s="100">
        <f>'Suivi EAU-ELEC'!G36</f>
        <v>4830</v>
      </c>
      <c r="M37" s="101">
        <f>'Suivi EAU-ELEC'!I36</f>
        <v>7761</v>
      </c>
      <c r="N37" s="101">
        <f>'Suivi EAU-ELEC'!K36</f>
        <v>3580</v>
      </c>
      <c r="O37" s="101">
        <f t="shared" si="1"/>
        <v>16171</v>
      </c>
      <c r="P37" s="11"/>
      <c r="Q37" s="37">
        <f t="shared" si="2"/>
        <v>15520.402400000001</v>
      </c>
      <c r="R37" s="11"/>
      <c r="S37" s="31"/>
      <c r="T37" s="11"/>
      <c r="U37" s="31"/>
      <c r="V37" s="161">
        <f>'Suvi Gaz'!O31</f>
        <v>575.98577999999998</v>
      </c>
      <c r="W37" s="11"/>
      <c r="X37" s="37">
        <f t="shared" si="3"/>
        <v>4391.9491710779994</v>
      </c>
    </row>
    <row r="38" spans="1:24" ht="33.75" customHeight="1" thickBot="1" x14ac:dyDescent="0.25">
      <c r="A38" s="2"/>
      <c r="B38" s="6">
        <v>43767</v>
      </c>
      <c r="C38" s="7"/>
      <c r="D38" s="156">
        <v>170</v>
      </c>
      <c r="E38" s="156">
        <v>227</v>
      </c>
      <c r="F38" s="13">
        <f>'Suivi EAU-ELEC'!E37</f>
        <v>184</v>
      </c>
      <c r="G38" s="11"/>
      <c r="H38" s="185">
        <f t="shared" si="0"/>
        <v>2097.6</v>
      </c>
      <c r="I38" s="186"/>
      <c r="J38" s="186"/>
      <c r="K38" s="67"/>
      <c r="L38" s="100">
        <f>'Suivi EAU-ELEC'!G37</f>
        <v>5081</v>
      </c>
      <c r="M38" s="101">
        <f>'Suivi EAU-ELEC'!I37</f>
        <v>7775</v>
      </c>
      <c r="N38" s="101">
        <f>'Suivi EAU-ELEC'!K37</f>
        <v>3948</v>
      </c>
      <c r="O38" s="101">
        <f t="shared" si="1"/>
        <v>16804</v>
      </c>
      <c r="P38" s="11"/>
      <c r="Q38" s="37">
        <f t="shared" si="2"/>
        <v>16198.6327</v>
      </c>
      <c r="R38" s="11"/>
      <c r="S38" s="31"/>
      <c r="T38" s="11"/>
      <c r="U38" s="31"/>
      <c r="V38" s="161">
        <f>'Suvi Gaz'!O32</f>
        <v>511.98736000000002</v>
      </c>
      <c r="W38" s="11"/>
      <c r="X38" s="37">
        <f t="shared" si="3"/>
        <v>3903.9548187360001</v>
      </c>
    </row>
    <row r="39" spans="1:24" ht="33.75" customHeight="1" thickBot="1" x14ac:dyDescent="0.25">
      <c r="A39" s="2"/>
      <c r="B39" s="6">
        <v>43768</v>
      </c>
      <c r="C39" s="7"/>
      <c r="D39" s="156">
        <v>160</v>
      </c>
      <c r="E39" s="156">
        <v>225</v>
      </c>
      <c r="F39" s="13">
        <f>'Suivi EAU-ELEC'!E38</f>
        <v>226</v>
      </c>
      <c r="G39" s="11"/>
      <c r="H39" s="185">
        <f t="shared" si="0"/>
        <v>2576.4</v>
      </c>
      <c r="I39" s="186"/>
      <c r="J39" s="186"/>
      <c r="K39" s="67"/>
      <c r="L39" s="100">
        <f>'Suivi EAU-ELEC'!G38</f>
        <v>4956</v>
      </c>
      <c r="M39" s="101">
        <f>'Suivi EAU-ELEC'!I38</f>
        <v>8627</v>
      </c>
      <c r="N39" s="101">
        <f>'Suivi EAU-ELEC'!K38</f>
        <v>3948</v>
      </c>
      <c r="O39" s="101">
        <f t="shared" si="1"/>
        <v>17531</v>
      </c>
      <c r="P39" s="11"/>
      <c r="Q39" s="37">
        <f t="shared" si="2"/>
        <v>16921.913</v>
      </c>
      <c r="R39" s="11"/>
      <c r="S39" s="31"/>
      <c r="T39" s="11"/>
      <c r="U39" s="31"/>
      <c r="V39" s="161">
        <f>'Suvi Gaz'!O33</f>
        <v>607.98499000000004</v>
      </c>
      <c r="W39" s="11"/>
      <c r="X39" s="37">
        <f t="shared" si="3"/>
        <v>4635.9463472490006</v>
      </c>
    </row>
    <row r="40" spans="1:24" ht="33.75" customHeight="1" thickBot="1" x14ac:dyDescent="0.25">
      <c r="A40" s="2"/>
      <c r="B40" s="6">
        <v>43769</v>
      </c>
      <c r="C40" s="7"/>
      <c r="D40" s="156">
        <v>173</v>
      </c>
      <c r="E40" s="156">
        <v>266</v>
      </c>
      <c r="F40" s="13">
        <f>'Suivi EAU-ELEC'!E39</f>
        <v>197.59999999999854</v>
      </c>
      <c r="G40" s="11"/>
      <c r="H40" s="185">
        <f t="shared" si="0"/>
        <v>2252.6399999999835</v>
      </c>
      <c r="I40" s="186"/>
      <c r="J40" s="186"/>
      <c r="K40" s="67"/>
      <c r="L40" s="100">
        <f>'Suivi EAU-ELEC'!G39</f>
        <v>4404</v>
      </c>
      <c r="M40" s="101">
        <f>'Suivi EAU-ELEC'!I39</f>
        <v>8990</v>
      </c>
      <c r="N40" s="101">
        <f>'Suivi EAU-ELEC'!K39</f>
        <v>4071</v>
      </c>
      <c r="O40" s="101">
        <f t="shared" si="1"/>
        <v>17465</v>
      </c>
      <c r="P40" s="11"/>
      <c r="Q40" s="37">
        <f t="shared" si="2"/>
        <v>17045.338400000001</v>
      </c>
      <c r="R40" s="11"/>
      <c r="S40" s="31"/>
      <c r="T40" s="11"/>
      <c r="U40" s="31"/>
      <c r="V40" s="161">
        <f>'Suvi Gaz'!O34</f>
        <v>639.98419999999999</v>
      </c>
      <c r="W40" s="11"/>
      <c r="X40" s="37">
        <f t="shared" si="3"/>
        <v>4879.94352342</v>
      </c>
    </row>
    <row r="41" spans="1:24" ht="42.75" customHeight="1" thickBot="1" x14ac:dyDescent="0.25">
      <c r="A41" s="2"/>
      <c r="B41" s="10"/>
      <c r="C41" s="10"/>
      <c r="D41" s="8">
        <f>SUM(D10:D40)</f>
        <v>5120</v>
      </c>
      <c r="E41" s="8">
        <f>SUM(E10:E40)</f>
        <v>7899</v>
      </c>
      <c r="F41" s="8">
        <f>SUM(F10:F40)</f>
        <v>6000.5999999999985</v>
      </c>
      <c r="G41" s="1"/>
      <c r="H41" s="182">
        <f>SUM(H10:H40)</f>
        <v>68406.839999999982</v>
      </c>
      <c r="I41" s="183"/>
      <c r="J41" s="184"/>
      <c r="K41" s="1"/>
      <c r="L41" s="57">
        <f>SUM(L10:L40)</f>
        <v>161724</v>
      </c>
      <c r="M41" s="57">
        <f>SUM(M10:M40)</f>
        <v>273285</v>
      </c>
      <c r="N41" s="58">
        <f>SUM(N10:N40)</f>
        <v>122443</v>
      </c>
      <c r="O41" s="59">
        <f>SUM(O10:O40)</f>
        <v>557452</v>
      </c>
      <c r="P41" s="34"/>
      <c r="Q41" s="35">
        <f>SUM(Q10:Q40)</f>
        <v>535865.73019999999</v>
      </c>
      <c r="R41" s="34"/>
      <c r="S41" s="33">
        <f>SUM(S10:S40)</f>
        <v>0</v>
      </c>
      <c r="T41" s="34"/>
      <c r="U41" s="33">
        <f>SUM(U10:U40)</f>
        <v>0</v>
      </c>
      <c r="V41" s="35">
        <f>SUM(V10:V40)</f>
        <v>15679.612900000002</v>
      </c>
      <c r="W41" s="34"/>
      <c r="X41" s="35">
        <f>SUM(X10:X40)</f>
        <v>119558.61632379002</v>
      </c>
    </row>
    <row r="42" spans="1:24" s="5" customFormat="1" ht="12.75" customHeight="1" thickBot="1" x14ac:dyDescent="0.25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37" t="s">
        <v>33</v>
      </c>
      <c r="B43" s="238"/>
      <c r="C43" s="238"/>
      <c r="D43" s="238"/>
      <c r="E43" s="238"/>
      <c r="F43" s="239"/>
      <c r="G43" s="29"/>
      <c r="H43" s="30" t="s">
        <v>34</v>
      </c>
      <c r="I43" s="195" t="s">
        <v>35</v>
      </c>
      <c r="J43" s="196"/>
      <c r="K43" s="197"/>
      <c r="L43" s="212" t="s">
        <v>36</v>
      </c>
      <c r="M43" s="213"/>
      <c r="N43" s="237" t="s">
        <v>37</v>
      </c>
      <c r="O43" s="238"/>
      <c r="P43" s="238"/>
      <c r="Q43" s="238"/>
      <c r="R43" s="238"/>
      <c r="S43" s="238"/>
      <c r="T43" s="238"/>
      <c r="U43" s="238"/>
      <c r="V43" s="238"/>
      <c r="W43" s="238"/>
      <c r="X43" s="239"/>
    </row>
    <row r="44" spans="1:24" s="20" customFormat="1" ht="29.25" customHeight="1" thickBot="1" x14ac:dyDescent="0.25">
      <c r="A44" s="175" t="s">
        <v>38</v>
      </c>
      <c r="B44" s="204"/>
      <c r="C44" s="205"/>
      <c r="D44" s="17" t="s">
        <v>30</v>
      </c>
      <c r="E44" s="17" t="s">
        <v>30</v>
      </c>
      <c r="F44" s="17" t="s">
        <v>30</v>
      </c>
      <c r="G44" s="18"/>
      <c r="H44" s="19">
        <v>0.69850000000000001</v>
      </c>
      <c r="I44" s="169">
        <f>L41</f>
        <v>161724</v>
      </c>
      <c r="J44" s="190"/>
      <c r="K44" s="191"/>
      <c r="L44" s="172">
        <f>I44*H44</f>
        <v>112964.21400000001</v>
      </c>
      <c r="M44" s="173"/>
      <c r="N44" s="247">
        <f>L44+L45+L46</f>
        <v>535865.73019999999</v>
      </c>
      <c r="O44" s="248"/>
      <c r="P44" s="248"/>
      <c r="Q44" s="248"/>
      <c r="R44" s="248"/>
      <c r="S44" s="248"/>
      <c r="T44" s="248"/>
      <c r="U44" s="248"/>
      <c r="V44" s="248"/>
      <c r="W44" s="248"/>
      <c r="X44" s="249"/>
    </row>
    <row r="45" spans="1:24" s="20" customFormat="1" ht="29.25" customHeight="1" thickBot="1" x14ac:dyDescent="0.25">
      <c r="A45" s="206"/>
      <c r="B45" s="207"/>
      <c r="C45" s="208"/>
      <c r="D45" s="16" t="s">
        <v>31</v>
      </c>
      <c r="E45" s="16" t="s">
        <v>31</v>
      </c>
      <c r="F45" s="16" t="s">
        <v>31</v>
      </c>
      <c r="G45" s="18"/>
      <c r="H45" s="21">
        <v>0.95140000000000002</v>
      </c>
      <c r="I45" s="169">
        <f>M41</f>
        <v>273285</v>
      </c>
      <c r="J45" s="190"/>
      <c r="K45" s="191"/>
      <c r="L45" s="172">
        <f>I45*H45</f>
        <v>260003.34900000002</v>
      </c>
      <c r="M45" s="173"/>
      <c r="N45" s="250"/>
      <c r="O45" s="251"/>
      <c r="P45" s="251"/>
      <c r="Q45" s="251"/>
      <c r="R45" s="251"/>
      <c r="S45" s="251"/>
      <c r="T45" s="251"/>
      <c r="U45" s="251"/>
      <c r="V45" s="251"/>
      <c r="W45" s="251"/>
      <c r="X45" s="252"/>
    </row>
    <row r="46" spans="1:24" s="20" customFormat="1" ht="24.75" customHeight="1" thickBot="1" x14ac:dyDescent="0.25">
      <c r="A46" s="206"/>
      <c r="B46" s="207"/>
      <c r="C46" s="208"/>
      <c r="D46" s="22" t="s">
        <v>32</v>
      </c>
      <c r="E46" s="22" t="s">
        <v>32</v>
      </c>
      <c r="F46" s="22" t="s">
        <v>32</v>
      </c>
      <c r="G46" s="23"/>
      <c r="H46" s="23">
        <v>1.3304</v>
      </c>
      <c r="I46" s="192">
        <f>N41</f>
        <v>122443</v>
      </c>
      <c r="J46" s="193"/>
      <c r="K46" s="194"/>
      <c r="L46" s="172">
        <f>I46*H46</f>
        <v>162898.1672</v>
      </c>
      <c r="M46" s="173"/>
      <c r="N46" s="253"/>
      <c r="O46" s="254"/>
      <c r="P46" s="254"/>
      <c r="Q46" s="254"/>
      <c r="R46" s="254"/>
      <c r="S46" s="254"/>
      <c r="T46" s="254"/>
      <c r="U46" s="254"/>
      <c r="V46" s="254"/>
      <c r="W46" s="254"/>
      <c r="X46" s="255"/>
    </row>
    <row r="47" spans="1:24" s="20" customFormat="1" ht="39.950000000000003" customHeight="1" thickBot="1" x14ac:dyDescent="0.25">
      <c r="A47" s="165"/>
      <c r="B47" s="166"/>
      <c r="C47" s="166"/>
      <c r="D47" s="169" t="s">
        <v>127</v>
      </c>
      <c r="E47" s="170"/>
      <c r="F47" s="171"/>
      <c r="G47" s="165"/>
      <c r="H47" s="21">
        <v>1000</v>
      </c>
      <c r="I47" s="162">
        <v>43.88167</v>
      </c>
      <c r="J47" s="163">
        <v>43.88167</v>
      </c>
      <c r="K47" s="164"/>
      <c r="L47" s="180">
        <f>I47*H47</f>
        <v>43881.67</v>
      </c>
      <c r="M47" s="181"/>
      <c r="N47" s="174">
        <f>L47</f>
        <v>43881.67</v>
      </c>
      <c r="O47" s="170"/>
      <c r="P47" s="170"/>
      <c r="Q47" s="170"/>
      <c r="R47" s="170"/>
      <c r="S47" s="170"/>
      <c r="T47" s="170"/>
      <c r="U47" s="170"/>
      <c r="V47" s="170"/>
      <c r="W47" s="170"/>
      <c r="X47" s="171"/>
    </row>
    <row r="48" spans="1:24" s="20" customFormat="1" ht="39.950000000000003" customHeight="1" thickBot="1" x14ac:dyDescent="0.25">
      <c r="A48" s="165"/>
      <c r="B48" s="166"/>
      <c r="C48" s="166"/>
      <c r="D48" s="169" t="s">
        <v>128</v>
      </c>
      <c r="E48" s="170"/>
      <c r="F48" s="171"/>
      <c r="G48" s="18"/>
      <c r="H48" s="168">
        <v>69</v>
      </c>
      <c r="I48" s="162">
        <v>65.822505000000007</v>
      </c>
      <c r="J48" s="163">
        <v>65.822505000000007</v>
      </c>
      <c r="K48" s="164"/>
      <c r="L48" s="172">
        <f>I48*H48</f>
        <v>4541.7528450000009</v>
      </c>
      <c r="M48" s="173"/>
      <c r="N48" s="174">
        <f>L48</f>
        <v>4541.7528450000009</v>
      </c>
      <c r="O48" s="170"/>
      <c r="P48" s="170"/>
      <c r="Q48" s="170"/>
      <c r="R48" s="170"/>
      <c r="S48" s="170"/>
      <c r="T48" s="170"/>
      <c r="U48" s="170"/>
      <c r="V48" s="170"/>
      <c r="W48" s="170"/>
      <c r="X48" s="171"/>
    </row>
    <row r="49" spans="1:24" s="20" customFormat="1" ht="39.950000000000003" customHeight="1" thickBot="1" x14ac:dyDescent="0.25">
      <c r="A49" s="165"/>
      <c r="B49" s="166"/>
      <c r="C49" s="166"/>
      <c r="D49" s="169" t="s">
        <v>129</v>
      </c>
      <c r="E49" s="170"/>
      <c r="F49" s="171"/>
      <c r="G49" s="18"/>
      <c r="H49" s="21"/>
      <c r="I49" s="162">
        <v>841</v>
      </c>
      <c r="J49" s="163">
        <v>841</v>
      </c>
      <c r="K49" s="164"/>
      <c r="L49" s="172">
        <f>J49</f>
        <v>841</v>
      </c>
      <c r="M49" s="173"/>
      <c r="N49" s="174">
        <f>L49</f>
        <v>841</v>
      </c>
      <c r="O49" s="170"/>
      <c r="P49" s="170"/>
      <c r="Q49" s="170"/>
      <c r="R49" s="170"/>
      <c r="S49" s="170"/>
      <c r="T49" s="170"/>
      <c r="U49" s="170"/>
      <c r="V49" s="170"/>
      <c r="W49" s="170"/>
      <c r="X49" s="171"/>
    </row>
    <row r="50" spans="1:24" s="20" customFormat="1" ht="39.950000000000003" customHeight="1" thickBot="1" x14ac:dyDescent="0.25">
      <c r="A50" s="165"/>
      <c r="B50" s="166"/>
      <c r="C50" s="166"/>
      <c r="D50" s="175" t="s">
        <v>130</v>
      </c>
      <c r="E50" s="176"/>
      <c r="F50" s="177"/>
      <c r="G50" s="18"/>
      <c r="H50" s="23"/>
      <c r="I50" s="165">
        <v>1492</v>
      </c>
      <c r="J50" s="166">
        <v>1492</v>
      </c>
      <c r="K50" s="167"/>
      <c r="L50" s="178">
        <f>J50</f>
        <v>1492</v>
      </c>
      <c r="M50" s="179"/>
      <c r="N50" s="174">
        <f>L50</f>
        <v>1492</v>
      </c>
      <c r="O50" s="170"/>
      <c r="P50" s="170"/>
      <c r="Q50" s="170"/>
      <c r="R50" s="170"/>
      <c r="S50" s="170"/>
      <c r="T50" s="170"/>
      <c r="U50" s="170"/>
      <c r="V50" s="170"/>
      <c r="W50" s="170"/>
      <c r="X50" s="171"/>
    </row>
    <row r="51" spans="1:24" s="20" customFormat="1" ht="39.950000000000003" customHeight="1" thickBot="1" x14ac:dyDescent="0.25">
      <c r="A51" s="165"/>
      <c r="B51" s="166"/>
      <c r="C51" s="166"/>
      <c r="D51" s="169" t="s">
        <v>183</v>
      </c>
      <c r="E51" s="170"/>
      <c r="F51" s="170"/>
      <c r="G51" s="170"/>
      <c r="H51" s="170"/>
      <c r="I51" s="170"/>
      <c r="J51" s="170"/>
      <c r="K51" s="170"/>
      <c r="L51" s="170"/>
      <c r="M51" s="171"/>
      <c r="N51" s="174">
        <f>N44+N47+N48+N49+N50</f>
        <v>586622.15304500004</v>
      </c>
      <c r="O51" s="170"/>
      <c r="P51" s="170"/>
      <c r="Q51" s="170"/>
      <c r="R51" s="170"/>
      <c r="S51" s="170"/>
      <c r="T51" s="170"/>
      <c r="U51" s="170"/>
      <c r="V51" s="170"/>
      <c r="W51" s="170"/>
      <c r="X51" s="171"/>
    </row>
    <row r="52" spans="1:24" s="20" customFormat="1" ht="43.5" customHeight="1" thickBot="1" x14ac:dyDescent="0.25">
      <c r="A52" s="165"/>
      <c r="B52" s="166"/>
      <c r="C52" s="166"/>
      <c r="D52" s="169" t="s">
        <v>184</v>
      </c>
      <c r="E52" s="170"/>
      <c r="F52" s="170"/>
      <c r="G52" s="170"/>
      <c r="H52" s="170"/>
      <c r="I52" s="170"/>
      <c r="J52" s="170"/>
      <c r="K52" s="170"/>
      <c r="L52" s="170"/>
      <c r="M52" s="171"/>
      <c r="N52" s="187">
        <f>N51/O41</f>
        <v>1.0523276498155896</v>
      </c>
      <c r="O52" s="188"/>
      <c r="P52" s="188"/>
      <c r="Q52" s="188"/>
      <c r="R52" s="188"/>
      <c r="S52" s="188"/>
      <c r="T52" s="188"/>
      <c r="U52" s="188"/>
      <c r="V52" s="188"/>
      <c r="W52" s="188"/>
      <c r="X52" s="189"/>
    </row>
    <row r="53" spans="1:24" s="26" customFormat="1" ht="32.25" customHeight="1" thickBot="1" x14ac:dyDescent="0.25">
      <c r="A53" s="234" t="s">
        <v>39</v>
      </c>
      <c r="B53" s="235"/>
      <c r="C53" s="235"/>
      <c r="D53" s="235"/>
      <c r="E53" s="235"/>
      <c r="F53" s="236"/>
      <c r="G53" s="24"/>
      <c r="H53" s="25">
        <v>11.4</v>
      </c>
      <c r="I53" s="234">
        <f>F41</f>
        <v>6000.5999999999985</v>
      </c>
      <c r="J53" s="235"/>
      <c r="K53" s="236"/>
      <c r="L53" s="259">
        <f>I53*H53</f>
        <v>68406.839999999982</v>
      </c>
      <c r="M53" s="260"/>
      <c r="N53" s="244">
        <f>L53</f>
        <v>68406.839999999982</v>
      </c>
      <c r="O53" s="245"/>
      <c r="P53" s="245"/>
      <c r="Q53" s="245"/>
      <c r="R53" s="245"/>
      <c r="S53" s="245"/>
      <c r="T53" s="245"/>
      <c r="U53" s="245"/>
      <c r="V53" s="245"/>
      <c r="W53" s="245"/>
      <c r="X53" s="246"/>
    </row>
    <row r="54" spans="1:24" s="26" customFormat="1" ht="36.75" customHeight="1" x14ac:dyDescent="0.2">
      <c r="A54" s="256" t="s">
        <v>40</v>
      </c>
      <c r="B54" s="257"/>
      <c r="C54" s="257"/>
      <c r="D54" s="257"/>
      <c r="E54" s="257"/>
      <c r="F54" s="258"/>
      <c r="G54" s="27"/>
      <c r="H54" s="28">
        <v>7.6250999999999998</v>
      </c>
      <c r="I54" s="232">
        <f>V41</f>
        <v>15679.612900000002</v>
      </c>
      <c r="J54" s="261"/>
      <c r="K54" s="233"/>
      <c r="L54" s="232">
        <f>I54*H54</f>
        <v>119558.61632379</v>
      </c>
      <c r="M54" s="233"/>
      <c r="N54" s="241">
        <f>L54</f>
        <v>119558.61632379</v>
      </c>
      <c r="O54" s="242"/>
      <c r="P54" s="242"/>
      <c r="Q54" s="242"/>
      <c r="R54" s="242"/>
      <c r="S54" s="242"/>
      <c r="T54" s="242"/>
      <c r="U54" s="242"/>
      <c r="V54" s="242"/>
      <c r="W54" s="242"/>
      <c r="X54" s="243"/>
    </row>
    <row r="55" spans="1:24" ht="27" customHeight="1" x14ac:dyDescent="0.2">
      <c r="A55" s="2"/>
      <c r="B55" s="2"/>
      <c r="C55" s="2"/>
      <c r="D55" s="2"/>
      <c r="E55" s="2"/>
      <c r="F55" s="2"/>
      <c r="G55" s="36"/>
      <c r="H55" s="3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6"/>
      <c r="U55" s="36"/>
      <c r="V55" s="36"/>
      <c r="W55" s="36"/>
      <c r="X55" s="36"/>
    </row>
    <row r="56" spans="1:24" ht="18.75" customHeight="1" x14ac:dyDescent="0.2"/>
    <row r="60" spans="1:24" ht="39" customHeight="1" x14ac:dyDescent="0.2"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</row>
  </sheetData>
  <mergeCells count="88">
    <mergeCell ref="H26:J26"/>
    <mergeCell ref="L54:M54"/>
    <mergeCell ref="A53:F53"/>
    <mergeCell ref="A43:F43"/>
    <mergeCell ref="B60:X60"/>
    <mergeCell ref="N54:X54"/>
    <mergeCell ref="N53:X53"/>
    <mergeCell ref="N44:X46"/>
    <mergeCell ref="N43:X43"/>
    <mergeCell ref="A54:F54"/>
    <mergeCell ref="I53:K53"/>
    <mergeCell ref="L53:M53"/>
    <mergeCell ref="L45:M45"/>
    <mergeCell ref="H34:J34"/>
    <mergeCell ref="I44:K44"/>
    <mergeCell ref="I54:K54"/>
    <mergeCell ref="M5:X7"/>
    <mergeCell ref="U8:U9"/>
    <mergeCell ref="Q8:Q9"/>
    <mergeCell ref="O8:O9"/>
    <mergeCell ref="A2:H2"/>
    <mergeCell ref="A4:C5"/>
    <mergeCell ref="F7:L7"/>
    <mergeCell ref="H8:J9"/>
    <mergeCell ref="I2:X2"/>
    <mergeCell ref="A44:C46"/>
    <mergeCell ref="H13:J13"/>
    <mergeCell ref="S8:S9"/>
    <mergeCell ref="L8:N8"/>
    <mergeCell ref="F8:F9"/>
    <mergeCell ref="H37:J37"/>
    <mergeCell ref="L43:M43"/>
    <mergeCell ref="H15:J15"/>
    <mergeCell ref="H23:J23"/>
    <mergeCell ref="A8:A9"/>
    <mergeCell ref="B8:B9"/>
    <mergeCell ref="K8:K9"/>
    <mergeCell ref="H22:J22"/>
    <mergeCell ref="H10:J10"/>
    <mergeCell ref="H12:J12"/>
    <mergeCell ref="H14:J14"/>
    <mergeCell ref="H18:J18"/>
    <mergeCell ref="E8:E9"/>
    <mergeCell ref="D8:D9"/>
    <mergeCell ref="X8:X9"/>
    <mergeCell ref="V8:V9"/>
    <mergeCell ref="H17:J17"/>
    <mergeCell ref="H16:J16"/>
    <mergeCell ref="H11:J11"/>
    <mergeCell ref="H25:J25"/>
    <mergeCell ref="H20:J20"/>
    <mergeCell ref="H24:J24"/>
    <mergeCell ref="H21:J21"/>
    <mergeCell ref="H19:J19"/>
    <mergeCell ref="D52:M52"/>
    <mergeCell ref="N52:X52"/>
    <mergeCell ref="H27:J27"/>
    <mergeCell ref="I45:K45"/>
    <mergeCell ref="H28:J28"/>
    <mergeCell ref="H32:J32"/>
    <mergeCell ref="I46:K46"/>
    <mergeCell ref="H40:J40"/>
    <mergeCell ref="I43:K43"/>
    <mergeCell ref="H29:J29"/>
    <mergeCell ref="H39:J39"/>
    <mergeCell ref="L46:M46"/>
    <mergeCell ref="H31:J31"/>
    <mergeCell ref="H35:J35"/>
    <mergeCell ref="D51:M51"/>
    <mergeCell ref="N51:X51"/>
    <mergeCell ref="H41:J41"/>
    <mergeCell ref="H30:J30"/>
    <mergeCell ref="H38:J38"/>
    <mergeCell ref="H36:J36"/>
    <mergeCell ref="L44:M44"/>
    <mergeCell ref="H33:J33"/>
    <mergeCell ref="D47:F47"/>
    <mergeCell ref="L47:M47"/>
    <mergeCell ref="N47:X47"/>
    <mergeCell ref="D48:F48"/>
    <mergeCell ref="L48:M48"/>
    <mergeCell ref="N48:X48"/>
    <mergeCell ref="D49:F49"/>
    <mergeCell ref="L49:M49"/>
    <mergeCell ref="N49:X49"/>
    <mergeCell ref="D50:F50"/>
    <mergeCell ref="L50:M50"/>
    <mergeCell ref="N50:X5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9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11" sqref="E11"/>
    </sheetView>
  </sheetViews>
  <sheetFormatPr baseColWidth="10" defaultColWidth="11.42578125" defaultRowHeight="18" x14ac:dyDescent="0.25"/>
  <cols>
    <col min="1" max="1" width="18.5703125" style="50" customWidth="1"/>
    <col min="2" max="3" width="19.140625" style="50" customWidth="1"/>
    <col min="4" max="4" width="16.7109375" customWidth="1"/>
    <col min="5" max="5" width="19.5703125" style="157" customWidth="1"/>
    <col min="6" max="11" width="16.7109375" customWidth="1"/>
    <col min="12" max="12" width="24.28515625" customWidth="1"/>
  </cols>
  <sheetData>
    <row r="1" spans="1:12" ht="12.75" customHeight="1" x14ac:dyDescent="0.2">
      <c r="A1" s="281"/>
      <c r="B1" s="282"/>
      <c r="C1" s="282"/>
      <c r="D1" s="283"/>
      <c r="E1" s="264" t="s">
        <v>41</v>
      </c>
      <c r="F1" s="265"/>
      <c r="G1" s="265"/>
      <c r="H1" s="265"/>
      <c r="I1" s="266"/>
      <c r="J1" s="273" t="s">
        <v>42</v>
      </c>
      <c r="K1" s="274"/>
      <c r="L1" s="52"/>
    </row>
    <row r="2" spans="1:12" ht="16.5" customHeight="1" x14ac:dyDescent="0.2">
      <c r="A2" s="284"/>
      <c r="B2" s="285"/>
      <c r="C2" s="285"/>
      <c r="D2" s="286"/>
      <c r="E2" s="267"/>
      <c r="F2" s="268"/>
      <c r="G2" s="268"/>
      <c r="H2" s="268"/>
      <c r="I2" s="269"/>
      <c r="J2" s="275"/>
      <c r="K2" s="276"/>
      <c r="L2" s="52"/>
    </row>
    <row r="3" spans="1:12" ht="48" customHeight="1" thickBot="1" x14ac:dyDescent="0.25">
      <c r="A3" s="287"/>
      <c r="B3" s="288"/>
      <c r="C3" s="288"/>
      <c r="D3" s="289"/>
      <c r="E3" s="270"/>
      <c r="F3" s="271"/>
      <c r="G3" s="271"/>
      <c r="H3" s="271"/>
      <c r="I3" s="272"/>
      <c r="J3" s="277"/>
      <c r="K3" s="278"/>
      <c r="L3" s="52"/>
    </row>
    <row r="6" spans="1:12" ht="10.5" customHeight="1" thickBot="1" x14ac:dyDescent="0.3"/>
    <row r="7" spans="1:12" ht="16.5" customHeight="1" thickTop="1" thickBot="1" x14ac:dyDescent="0.25">
      <c r="A7" s="262" t="s">
        <v>43</v>
      </c>
      <c r="B7" s="290" t="s">
        <v>44</v>
      </c>
      <c r="C7" s="291"/>
      <c r="D7" s="279" t="s">
        <v>45</v>
      </c>
      <c r="E7" s="279"/>
      <c r="F7" s="280" t="s">
        <v>46</v>
      </c>
      <c r="G7" s="280"/>
      <c r="H7" s="280"/>
      <c r="I7" s="280"/>
      <c r="J7" s="280"/>
      <c r="K7" s="280"/>
    </row>
    <row r="8" spans="1:12" s="32" customFormat="1" ht="28.5" customHeight="1" thickTop="1" thickBot="1" x14ac:dyDescent="0.25">
      <c r="A8" s="263"/>
      <c r="B8" s="127" t="s">
        <v>47</v>
      </c>
      <c r="C8" s="127" t="s">
        <v>48</v>
      </c>
      <c r="D8" s="62" t="s">
        <v>47</v>
      </c>
      <c r="E8" s="62" t="s">
        <v>49</v>
      </c>
      <c r="F8" s="64" t="s">
        <v>50</v>
      </c>
      <c r="G8" s="64" t="s">
        <v>51</v>
      </c>
      <c r="H8" s="64" t="s">
        <v>52</v>
      </c>
      <c r="I8" s="64" t="s">
        <v>53</v>
      </c>
      <c r="J8" s="64" t="s">
        <v>54</v>
      </c>
      <c r="K8" s="64" t="s">
        <v>55</v>
      </c>
    </row>
    <row r="9" spans="1:12" ht="21" thickTop="1" thickBot="1" x14ac:dyDescent="0.35">
      <c r="A9" s="65">
        <v>43739</v>
      </c>
      <c r="B9" s="129">
        <v>2375</v>
      </c>
      <c r="C9" s="128">
        <v>0</v>
      </c>
      <c r="D9" s="63">
        <v>50949</v>
      </c>
      <c r="E9" s="54">
        <v>174</v>
      </c>
      <c r="F9" s="55">
        <v>8848543</v>
      </c>
      <c r="G9" s="54">
        <v>4878</v>
      </c>
      <c r="H9" s="55">
        <v>14962295</v>
      </c>
      <c r="I9" s="54">
        <v>9815</v>
      </c>
      <c r="J9" s="55">
        <v>6630934</v>
      </c>
      <c r="K9" s="54">
        <v>3733</v>
      </c>
    </row>
    <row r="10" spans="1:12" ht="21" thickTop="1" thickBot="1" x14ac:dyDescent="0.35">
      <c r="A10" s="65">
        <v>43740</v>
      </c>
      <c r="B10" s="129">
        <v>2375</v>
      </c>
      <c r="C10" s="128">
        <v>0</v>
      </c>
      <c r="D10" s="63">
        <v>51116</v>
      </c>
      <c r="E10" s="54">
        <f>D10-D9</f>
        <v>167</v>
      </c>
      <c r="F10" s="55">
        <v>8853924</v>
      </c>
      <c r="G10" s="54">
        <f>F10-F9</f>
        <v>5381</v>
      </c>
      <c r="H10" s="55">
        <v>14971624</v>
      </c>
      <c r="I10" s="54">
        <f>H10-H9</f>
        <v>9329</v>
      </c>
      <c r="J10" s="55">
        <v>6635221</v>
      </c>
      <c r="K10" s="54">
        <f>J10-J9</f>
        <v>4287</v>
      </c>
    </row>
    <row r="11" spans="1:12" ht="21" thickTop="1" thickBot="1" x14ac:dyDescent="0.35">
      <c r="A11" s="65">
        <v>43741</v>
      </c>
      <c r="B11" s="129">
        <v>2375</v>
      </c>
      <c r="C11" s="128">
        <v>0</v>
      </c>
      <c r="D11" s="63">
        <v>51295.8</v>
      </c>
      <c r="E11" s="54">
        <f>D11-D10</f>
        <v>179.80000000000291</v>
      </c>
      <c r="F11" s="55">
        <v>8858604</v>
      </c>
      <c r="G11" s="54">
        <f>F11-F10</f>
        <v>4680</v>
      </c>
      <c r="H11" s="55">
        <v>14981181</v>
      </c>
      <c r="I11" s="54">
        <f>H11-H10</f>
        <v>9557</v>
      </c>
      <c r="J11" s="55">
        <v>6639589</v>
      </c>
      <c r="K11" s="54">
        <f>J11-J10</f>
        <v>4368</v>
      </c>
    </row>
    <row r="12" spans="1:12" ht="21" thickTop="1" thickBot="1" x14ac:dyDescent="0.35">
      <c r="A12" s="65">
        <v>43742</v>
      </c>
      <c r="B12" s="129">
        <v>2375</v>
      </c>
      <c r="C12" s="128">
        <f t="shared" ref="C12:C34" si="0">B12-B11</f>
        <v>0</v>
      </c>
      <c r="D12" s="63">
        <v>51474.1</v>
      </c>
      <c r="E12" s="54">
        <f>D12-D11</f>
        <v>178.29999999999563</v>
      </c>
      <c r="F12" s="55">
        <v>8864064</v>
      </c>
      <c r="G12" s="54">
        <f>F12-F11</f>
        <v>5460</v>
      </c>
      <c r="H12" s="55">
        <v>14990564</v>
      </c>
      <c r="I12" s="54">
        <f>H12-H11</f>
        <v>9383</v>
      </c>
      <c r="J12" s="55">
        <v>6643688</v>
      </c>
      <c r="K12" s="54">
        <f>J12-J11</f>
        <v>4099</v>
      </c>
    </row>
    <row r="13" spans="1:12" ht="21" thickTop="1" thickBot="1" x14ac:dyDescent="0.35">
      <c r="A13" s="65">
        <v>43743</v>
      </c>
      <c r="B13" s="129">
        <v>2375</v>
      </c>
      <c r="C13" s="128">
        <f t="shared" si="0"/>
        <v>0</v>
      </c>
      <c r="D13" s="63">
        <v>51688.1</v>
      </c>
      <c r="E13" s="54">
        <f>D13-D12</f>
        <v>214</v>
      </c>
      <c r="F13" s="55">
        <v>8869273</v>
      </c>
      <c r="G13" s="54">
        <f>F13-F12</f>
        <v>5209</v>
      </c>
      <c r="H13" s="55">
        <v>15000006</v>
      </c>
      <c r="I13" s="54">
        <f>H13-H12</f>
        <v>9442</v>
      </c>
      <c r="J13" s="55">
        <v>6648037</v>
      </c>
      <c r="K13" s="54">
        <f>J13-J12</f>
        <v>4349</v>
      </c>
    </row>
    <row r="14" spans="1:12" ht="21" thickTop="1" thickBot="1" x14ac:dyDescent="0.35">
      <c r="A14" s="65">
        <v>43744</v>
      </c>
      <c r="B14" s="129">
        <v>2375</v>
      </c>
      <c r="C14" s="128">
        <f t="shared" si="0"/>
        <v>0</v>
      </c>
      <c r="D14" s="63">
        <v>51862.2</v>
      </c>
      <c r="E14" s="54">
        <f t="shared" ref="E14:E34" si="1">D14-D13</f>
        <v>174.09999999999854</v>
      </c>
      <c r="F14" s="55">
        <v>8874606</v>
      </c>
      <c r="G14" s="54">
        <f t="shared" ref="G14:G34" si="2">F14-F13</f>
        <v>5333</v>
      </c>
      <c r="H14" s="55">
        <v>15009328</v>
      </c>
      <c r="I14" s="54">
        <f t="shared" ref="I14:I34" si="3">H14-H13</f>
        <v>9322</v>
      </c>
      <c r="J14" s="55">
        <v>6652293</v>
      </c>
      <c r="K14" s="54">
        <f t="shared" ref="K14:K34" si="4">J14-J13</f>
        <v>4256</v>
      </c>
    </row>
    <row r="15" spans="1:12" ht="21" thickTop="1" thickBot="1" x14ac:dyDescent="0.35">
      <c r="A15" s="65">
        <v>43745</v>
      </c>
      <c r="B15" s="129">
        <v>2375</v>
      </c>
      <c r="C15" s="128">
        <f t="shared" si="0"/>
        <v>0</v>
      </c>
      <c r="D15" s="63">
        <v>52024.5</v>
      </c>
      <c r="E15" s="54">
        <f t="shared" si="1"/>
        <v>162.30000000000291</v>
      </c>
      <c r="F15" s="55">
        <v>8879764</v>
      </c>
      <c r="G15" s="54">
        <f t="shared" si="2"/>
        <v>5158</v>
      </c>
      <c r="H15" s="55">
        <v>15018596</v>
      </c>
      <c r="I15" s="54">
        <f t="shared" si="3"/>
        <v>9268</v>
      </c>
      <c r="J15" s="55">
        <v>6656663</v>
      </c>
      <c r="K15" s="54">
        <f t="shared" si="4"/>
        <v>4370</v>
      </c>
    </row>
    <row r="16" spans="1:12" ht="21" thickTop="1" thickBot="1" x14ac:dyDescent="0.35">
      <c r="A16" s="65">
        <v>43746</v>
      </c>
      <c r="B16" s="129">
        <v>2375</v>
      </c>
      <c r="C16" s="128">
        <f t="shared" si="0"/>
        <v>0</v>
      </c>
      <c r="D16" s="63">
        <v>52299.3</v>
      </c>
      <c r="E16" s="54">
        <f t="shared" si="1"/>
        <v>274.80000000000291</v>
      </c>
      <c r="F16" s="55">
        <v>8886364</v>
      </c>
      <c r="G16" s="54">
        <f t="shared" si="2"/>
        <v>6600</v>
      </c>
      <c r="H16" s="55">
        <v>15027990</v>
      </c>
      <c r="I16" s="54">
        <f t="shared" si="3"/>
        <v>9394</v>
      </c>
      <c r="J16" s="55">
        <v>6660799</v>
      </c>
      <c r="K16" s="54">
        <f t="shared" si="4"/>
        <v>4136</v>
      </c>
    </row>
    <row r="17" spans="1:29" ht="21" thickTop="1" thickBot="1" x14ac:dyDescent="0.35">
      <c r="A17" s="65">
        <v>43747</v>
      </c>
      <c r="B17" s="129">
        <v>2375</v>
      </c>
      <c r="C17" s="128">
        <f t="shared" si="0"/>
        <v>0</v>
      </c>
      <c r="D17" s="63">
        <v>52589.3</v>
      </c>
      <c r="E17" s="54">
        <f t="shared" si="1"/>
        <v>290</v>
      </c>
      <c r="F17" s="55">
        <v>8891914</v>
      </c>
      <c r="G17" s="54">
        <f t="shared" si="2"/>
        <v>5550</v>
      </c>
      <c r="H17" s="55">
        <v>15037255</v>
      </c>
      <c r="I17" s="54">
        <f t="shared" si="3"/>
        <v>9265</v>
      </c>
      <c r="J17" s="55">
        <v>6664922</v>
      </c>
      <c r="K17" s="54">
        <f t="shared" si="4"/>
        <v>4123</v>
      </c>
    </row>
    <row r="18" spans="1:29" ht="21" thickTop="1" thickBot="1" x14ac:dyDescent="0.35">
      <c r="A18" s="65">
        <v>43748</v>
      </c>
      <c r="B18" s="129">
        <v>2375</v>
      </c>
      <c r="C18" s="128">
        <f t="shared" si="0"/>
        <v>0</v>
      </c>
      <c r="D18" s="63">
        <v>52817.599999999999</v>
      </c>
      <c r="E18" s="54">
        <f t="shared" si="1"/>
        <v>228.29999999999563</v>
      </c>
      <c r="F18" s="55">
        <v>8897763</v>
      </c>
      <c r="G18" s="54">
        <f t="shared" si="2"/>
        <v>5849</v>
      </c>
      <c r="H18" s="55">
        <v>15046603</v>
      </c>
      <c r="I18" s="54">
        <f t="shared" si="3"/>
        <v>9348</v>
      </c>
      <c r="J18" s="55">
        <v>6669290</v>
      </c>
      <c r="K18" s="54">
        <f t="shared" si="4"/>
        <v>4368</v>
      </c>
    </row>
    <row r="19" spans="1:29" ht="21" thickTop="1" thickBot="1" x14ac:dyDescent="0.35">
      <c r="A19" s="65">
        <v>43749</v>
      </c>
      <c r="B19" s="129">
        <v>2375</v>
      </c>
      <c r="C19" s="128">
        <f t="shared" si="0"/>
        <v>0</v>
      </c>
      <c r="D19" s="63">
        <v>53001.3</v>
      </c>
      <c r="E19" s="54">
        <f>D19-D18</f>
        <v>183.70000000000437</v>
      </c>
      <c r="F19" s="55">
        <v>8903589</v>
      </c>
      <c r="G19" s="54">
        <f t="shared" si="2"/>
        <v>5826</v>
      </c>
      <c r="H19" s="55">
        <v>15056300</v>
      </c>
      <c r="I19" s="54">
        <f t="shared" si="3"/>
        <v>9697</v>
      </c>
      <c r="J19" s="55">
        <v>6673547</v>
      </c>
      <c r="K19" s="54">
        <f t="shared" si="4"/>
        <v>4257</v>
      </c>
    </row>
    <row r="20" spans="1:29" ht="27" thickTop="1" thickBot="1" x14ac:dyDescent="0.4">
      <c r="A20" s="65">
        <v>43750</v>
      </c>
      <c r="B20" s="129">
        <v>2375</v>
      </c>
      <c r="C20" s="128">
        <f t="shared" si="0"/>
        <v>0</v>
      </c>
      <c r="D20" s="63">
        <v>53181</v>
      </c>
      <c r="E20" s="54">
        <f>D20-D19</f>
        <v>179.69999999999709</v>
      </c>
      <c r="F20" s="55">
        <v>8909104</v>
      </c>
      <c r="G20" s="54">
        <f t="shared" si="2"/>
        <v>5515</v>
      </c>
      <c r="H20" s="55">
        <v>15065782</v>
      </c>
      <c r="I20" s="54">
        <f t="shared" si="3"/>
        <v>9482</v>
      </c>
      <c r="J20" s="55">
        <v>6677623</v>
      </c>
      <c r="K20" s="54">
        <f t="shared" si="4"/>
        <v>4076</v>
      </c>
      <c r="L20" s="130" t="s">
        <v>18</v>
      </c>
      <c r="AC20" t="s">
        <v>56</v>
      </c>
    </row>
    <row r="21" spans="1:29" ht="21" thickTop="1" thickBot="1" x14ac:dyDescent="0.35">
      <c r="A21" s="65">
        <v>43751</v>
      </c>
      <c r="B21" s="129">
        <v>2375</v>
      </c>
      <c r="C21" s="128">
        <f t="shared" si="0"/>
        <v>0</v>
      </c>
      <c r="D21" s="63">
        <v>53355</v>
      </c>
      <c r="E21" s="54">
        <f t="shared" si="1"/>
        <v>174</v>
      </c>
      <c r="F21" s="55">
        <v>8914428</v>
      </c>
      <c r="G21" s="54">
        <f t="shared" si="2"/>
        <v>5324</v>
      </c>
      <c r="H21" s="55">
        <v>15075447</v>
      </c>
      <c r="I21" s="54">
        <f t="shared" si="3"/>
        <v>9665</v>
      </c>
      <c r="J21" s="55">
        <v>6681773</v>
      </c>
      <c r="K21" s="54">
        <f t="shared" si="4"/>
        <v>4150</v>
      </c>
    </row>
    <row r="22" spans="1:29" ht="21" thickTop="1" thickBot="1" x14ac:dyDescent="0.35">
      <c r="A22" s="65">
        <v>43752</v>
      </c>
      <c r="B22" s="129">
        <v>2375</v>
      </c>
      <c r="C22" s="128">
        <f t="shared" si="0"/>
        <v>0</v>
      </c>
      <c r="D22" s="63">
        <v>53523</v>
      </c>
      <c r="E22" s="54">
        <f t="shared" si="1"/>
        <v>168</v>
      </c>
      <c r="F22" s="55">
        <v>8919460</v>
      </c>
      <c r="G22" s="54">
        <f t="shared" si="2"/>
        <v>5032</v>
      </c>
      <c r="H22" s="55">
        <v>15084338</v>
      </c>
      <c r="I22" s="54">
        <f t="shared" si="3"/>
        <v>8891</v>
      </c>
      <c r="J22" s="55">
        <v>6685855</v>
      </c>
      <c r="K22" s="54">
        <f t="shared" si="4"/>
        <v>4082</v>
      </c>
    </row>
    <row r="23" spans="1:29" ht="21" thickTop="1" thickBot="1" x14ac:dyDescent="0.35">
      <c r="A23" s="65">
        <v>43753</v>
      </c>
      <c r="B23" s="129">
        <v>2375</v>
      </c>
      <c r="C23" s="128">
        <f t="shared" si="0"/>
        <v>0</v>
      </c>
      <c r="D23" s="63">
        <v>53730</v>
      </c>
      <c r="E23" s="54">
        <f t="shared" si="1"/>
        <v>207</v>
      </c>
      <c r="F23" s="55">
        <v>8924860</v>
      </c>
      <c r="G23" s="54">
        <f t="shared" si="2"/>
        <v>5400</v>
      </c>
      <c r="H23" s="55">
        <v>15093703</v>
      </c>
      <c r="I23" s="54">
        <f t="shared" si="3"/>
        <v>9365</v>
      </c>
      <c r="J23" s="55">
        <v>6689895</v>
      </c>
      <c r="K23" s="54">
        <f t="shared" si="4"/>
        <v>4040</v>
      </c>
    </row>
    <row r="24" spans="1:29" ht="21" thickTop="1" thickBot="1" x14ac:dyDescent="0.35">
      <c r="A24" s="65">
        <v>43754</v>
      </c>
      <c r="B24" s="129">
        <v>2375</v>
      </c>
      <c r="C24" s="128">
        <f t="shared" si="0"/>
        <v>0</v>
      </c>
      <c r="D24" s="63">
        <v>53907</v>
      </c>
      <c r="E24" s="54">
        <f t="shared" si="1"/>
        <v>177</v>
      </c>
      <c r="F24" s="55">
        <v>8929770</v>
      </c>
      <c r="G24" s="54">
        <f t="shared" si="2"/>
        <v>4910</v>
      </c>
      <c r="H24" s="55">
        <v>15102436</v>
      </c>
      <c r="I24" s="54">
        <f t="shared" si="3"/>
        <v>8733</v>
      </c>
      <c r="J24" s="55">
        <v>6693672</v>
      </c>
      <c r="K24" s="54">
        <f t="shared" si="4"/>
        <v>3777</v>
      </c>
    </row>
    <row r="25" spans="1:29" ht="21" thickTop="1" thickBot="1" x14ac:dyDescent="0.35">
      <c r="A25" s="65">
        <v>43755</v>
      </c>
      <c r="B25" s="129">
        <v>2375</v>
      </c>
      <c r="C25" s="128">
        <f t="shared" si="0"/>
        <v>0</v>
      </c>
      <c r="D25" s="63">
        <v>54074.6</v>
      </c>
      <c r="E25" s="54">
        <f t="shared" si="1"/>
        <v>167.59999999999854</v>
      </c>
      <c r="F25" s="55">
        <v>8933985</v>
      </c>
      <c r="G25" s="54">
        <f t="shared" si="2"/>
        <v>4215</v>
      </c>
      <c r="H25" s="55">
        <v>15110433</v>
      </c>
      <c r="I25" s="54">
        <f t="shared" si="3"/>
        <v>7997</v>
      </c>
      <c r="J25" s="55">
        <v>6697451</v>
      </c>
      <c r="K25" s="54">
        <f t="shared" si="4"/>
        <v>3779</v>
      </c>
    </row>
    <row r="26" spans="1:29" ht="21" thickTop="1" thickBot="1" x14ac:dyDescent="0.35">
      <c r="A26" s="65">
        <v>43756</v>
      </c>
      <c r="B26" s="129">
        <v>2375</v>
      </c>
      <c r="C26" s="128">
        <f t="shared" si="0"/>
        <v>0</v>
      </c>
      <c r="D26" s="63">
        <v>54245.1</v>
      </c>
      <c r="E26" s="54">
        <f t="shared" si="1"/>
        <v>170.5</v>
      </c>
      <c r="F26" s="55">
        <v>8939103</v>
      </c>
      <c r="G26" s="54">
        <f t="shared" si="2"/>
        <v>5118</v>
      </c>
      <c r="H26" s="55">
        <v>15119679</v>
      </c>
      <c r="I26" s="54">
        <f t="shared" si="3"/>
        <v>9246</v>
      </c>
      <c r="J26" s="55">
        <v>6701253</v>
      </c>
      <c r="K26" s="54">
        <f t="shared" si="4"/>
        <v>3802</v>
      </c>
    </row>
    <row r="27" spans="1:29" ht="21" thickTop="1" thickBot="1" x14ac:dyDescent="0.35">
      <c r="A27" s="65">
        <v>43757</v>
      </c>
      <c r="B27" s="129">
        <v>2375</v>
      </c>
      <c r="C27" s="128">
        <f t="shared" si="0"/>
        <v>0</v>
      </c>
      <c r="D27" s="63">
        <v>54441.1</v>
      </c>
      <c r="E27" s="54">
        <f t="shared" si="1"/>
        <v>196</v>
      </c>
      <c r="F27" s="55">
        <v>8944174</v>
      </c>
      <c r="G27" s="54">
        <f t="shared" si="2"/>
        <v>5071</v>
      </c>
      <c r="H27" s="55">
        <v>15128109</v>
      </c>
      <c r="I27" s="54">
        <f t="shared" si="3"/>
        <v>8430</v>
      </c>
      <c r="J27" s="55">
        <v>6705090</v>
      </c>
      <c r="K27" s="54">
        <f t="shared" si="4"/>
        <v>3837</v>
      </c>
    </row>
    <row r="28" spans="1:29" ht="21" thickTop="1" thickBot="1" x14ac:dyDescent="0.35">
      <c r="A28" s="65">
        <v>43758</v>
      </c>
      <c r="B28" s="129">
        <v>2375</v>
      </c>
      <c r="C28" s="128">
        <f t="shared" si="0"/>
        <v>0</v>
      </c>
      <c r="D28" s="63">
        <v>54634.8</v>
      </c>
      <c r="E28" s="54">
        <f t="shared" si="1"/>
        <v>193.70000000000437</v>
      </c>
      <c r="F28" s="55">
        <v>8950037</v>
      </c>
      <c r="G28" s="54">
        <f t="shared" si="2"/>
        <v>5863</v>
      </c>
      <c r="H28" s="55">
        <v>15137590</v>
      </c>
      <c r="I28" s="54">
        <f t="shared" si="3"/>
        <v>9481</v>
      </c>
      <c r="J28" s="55">
        <v>6710027</v>
      </c>
      <c r="K28" s="54">
        <f t="shared" si="4"/>
        <v>4937</v>
      </c>
    </row>
    <row r="29" spans="1:29" ht="21" thickTop="1" thickBot="1" x14ac:dyDescent="0.35">
      <c r="A29" s="65">
        <v>43759</v>
      </c>
      <c r="B29" s="129">
        <v>2375</v>
      </c>
      <c r="C29" s="128">
        <f t="shared" si="0"/>
        <v>0</v>
      </c>
      <c r="D29" s="63">
        <v>54809</v>
      </c>
      <c r="E29" s="54">
        <f t="shared" si="1"/>
        <v>174.19999999999709</v>
      </c>
      <c r="F29" s="55">
        <v>8954645</v>
      </c>
      <c r="G29" s="54">
        <f t="shared" si="2"/>
        <v>4608</v>
      </c>
      <c r="H29" s="55">
        <v>15145602</v>
      </c>
      <c r="I29" s="54">
        <f t="shared" si="3"/>
        <v>8012</v>
      </c>
      <c r="J29" s="55">
        <v>6713829</v>
      </c>
      <c r="K29" s="54">
        <f t="shared" si="4"/>
        <v>3802</v>
      </c>
    </row>
    <row r="30" spans="1:29" ht="21" thickTop="1" thickBot="1" x14ac:dyDescent="0.35">
      <c r="A30" s="65">
        <v>43760</v>
      </c>
      <c r="B30" s="129">
        <v>2375</v>
      </c>
      <c r="C30" s="128">
        <f t="shared" si="0"/>
        <v>0</v>
      </c>
      <c r="D30" s="63">
        <v>55012.6</v>
      </c>
      <c r="E30" s="54">
        <f t="shared" si="1"/>
        <v>203.59999999999854</v>
      </c>
      <c r="F30" s="55">
        <v>8961062</v>
      </c>
      <c r="G30" s="54">
        <f t="shared" si="2"/>
        <v>6417</v>
      </c>
      <c r="H30" s="55">
        <v>15153718</v>
      </c>
      <c r="I30" s="54">
        <f t="shared" si="3"/>
        <v>8116</v>
      </c>
      <c r="J30" s="55">
        <v>6717199</v>
      </c>
      <c r="K30" s="54">
        <f t="shared" si="4"/>
        <v>3370</v>
      </c>
    </row>
    <row r="31" spans="1:29" ht="21" thickTop="1" thickBot="1" x14ac:dyDescent="0.35">
      <c r="A31" s="65">
        <v>43761</v>
      </c>
      <c r="B31" s="129">
        <v>2375</v>
      </c>
      <c r="C31" s="128">
        <f t="shared" si="0"/>
        <v>0</v>
      </c>
      <c r="D31" s="63">
        <v>55205.599999999999</v>
      </c>
      <c r="E31" s="54">
        <f t="shared" si="1"/>
        <v>193</v>
      </c>
      <c r="F31" s="55">
        <v>8966053</v>
      </c>
      <c r="G31" s="54">
        <f t="shared" si="2"/>
        <v>4991</v>
      </c>
      <c r="H31" s="55">
        <v>15161017</v>
      </c>
      <c r="I31" s="54">
        <f t="shared" si="3"/>
        <v>7299</v>
      </c>
      <c r="J31" s="55">
        <v>6720412</v>
      </c>
      <c r="K31" s="54">
        <f t="shared" si="4"/>
        <v>3213</v>
      </c>
    </row>
    <row r="32" spans="1:29" ht="21" thickTop="1" thickBot="1" x14ac:dyDescent="0.35">
      <c r="A32" s="65">
        <v>43762</v>
      </c>
      <c r="B32" s="129">
        <v>2375</v>
      </c>
      <c r="C32" s="128">
        <f t="shared" si="0"/>
        <v>0</v>
      </c>
      <c r="D32" s="63">
        <v>55421.1</v>
      </c>
      <c r="E32" s="54">
        <f t="shared" si="1"/>
        <v>215.5</v>
      </c>
      <c r="F32" s="55">
        <v>8971359</v>
      </c>
      <c r="G32" s="54">
        <f t="shared" si="2"/>
        <v>5306</v>
      </c>
      <c r="H32" s="55">
        <v>15168821</v>
      </c>
      <c r="I32" s="54">
        <f t="shared" si="3"/>
        <v>7804</v>
      </c>
      <c r="J32" s="55">
        <v>6725724</v>
      </c>
      <c r="K32" s="54">
        <f t="shared" si="4"/>
        <v>5312</v>
      </c>
    </row>
    <row r="33" spans="1:11" ht="21" thickTop="1" thickBot="1" x14ac:dyDescent="0.35">
      <c r="A33" s="65">
        <v>43763</v>
      </c>
      <c r="B33" s="129">
        <v>2375</v>
      </c>
      <c r="C33" s="128">
        <f t="shared" si="0"/>
        <v>0</v>
      </c>
      <c r="D33" s="63">
        <v>55620.1</v>
      </c>
      <c r="E33" s="54">
        <f t="shared" si="1"/>
        <v>199</v>
      </c>
      <c r="F33" s="55">
        <v>8976994</v>
      </c>
      <c r="G33" s="54">
        <f t="shared" si="2"/>
        <v>5635</v>
      </c>
      <c r="H33" s="55">
        <v>15177134</v>
      </c>
      <c r="I33" s="54">
        <f t="shared" si="3"/>
        <v>8313</v>
      </c>
      <c r="J33" s="55">
        <v>6727210</v>
      </c>
      <c r="K33" s="54">
        <f t="shared" si="4"/>
        <v>1486</v>
      </c>
    </row>
    <row r="34" spans="1:11" ht="21" thickTop="1" thickBot="1" x14ac:dyDescent="0.35">
      <c r="A34" s="65">
        <v>43764</v>
      </c>
      <c r="B34" s="129">
        <v>2375</v>
      </c>
      <c r="C34" s="128">
        <f t="shared" si="0"/>
        <v>0</v>
      </c>
      <c r="D34" s="63">
        <v>55824</v>
      </c>
      <c r="E34" s="54">
        <f t="shared" si="1"/>
        <v>203.90000000000146</v>
      </c>
      <c r="F34" s="55">
        <v>8981274</v>
      </c>
      <c r="G34" s="54">
        <f t="shared" si="2"/>
        <v>4280</v>
      </c>
      <c r="H34" s="55">
        <v>15184727</v>
      </c>
      <c r="I34" s="54">
        <f t="shared" si="3"/>
        <v>7593</v>
      </c>
      <c r="J34" s="55">
        <v>6730703</v>
      </c>
      <c r="K34" s="54">
        <f t="shared" si="4"/>
        <v>3493</v>
      </c>
    </row>
    <row r="35" spans="1:11" ht="21" thickTop="1" thickBot="1" x14ac:dyDescent="0.35">
      <c r="A35" s="65">
        <v>43765</v>
      </c>
      <c r="B35" s="129">
        <v>2375</v>
      </c>
      <c r="C35" s="128">
        <f t="shared" ref="C35:C40" si="5">B35-B34</f>
        <v>0</v>
      </c>
      <c r="D35" s="63">
        <v>55996</v>
      </c>
      <c r="E35" s="54">
        <f t="shared" ref="E35:E40" si="6">D35-D34</f>
        <v>172</v>
      </c>
      <c r="F35" s="55">
        <v>8986118</v>
      </c>
      <c r="G35" s="54">
        <f t="shared" ref="G35:G40" si="7">F35-F34</f>
        <v>4844</v>
      </c>
      <c r="H35" s="55">
        <v>15192612</v>
      </c>
      <c r="I35" s="54">
        <f t="shared" ref="I35:I40" si="8">H35-H34</f>
        <v>7885</v>
      </c>
      <c r="J35" s="55">
        <v>6734097</v>
      </c>
      <c r="K35" s="54">
        <f t="shared" ref="K35:K40" si="9">J35-J34</f>
        <v>3394</v>
      </c>
    </row>
    <row r="36" spans="1:11" ht="21" thickTop="1" thickBot="1" x14ac:dyDescent="0.35">
      <c r="A36" s="65">
        <v>43766</v>
      </c>
      <c r="B36" s="129">
        <v>2375</v>
      </c>
      <c r="C36" s="128">
        <f t="shared" si="5"/>
        <v>0</v>
      </c>
      <c r="D36" s="63">
        <v>56168</v>
      </c>
      <c r="E36" s="54">
        <f t="shared" si="6"/>
        <v>172</v>
      </c>
      <c r="F36" s="55">
        <v>8990948</v>
      </c>
      <c r="G36" s="54">
        <f t="shared" si="7"/>
        <v>4830</v>
      </c>
      <c r="H36" s="55">
        <v>15200373</v>
      </c>
      <c r="I36" s="54">
        <f t="shared" si="8"/>
        <v>7761</v>
      </c>
      <c r="J36" s="55">
        <v>6737677</v>
      </c>
      <c r="K36" s="54">
        <f t="shared" si="9"/>
        <v>3580</v>
      </c>
    </row>
    <row r="37" spans="1:11" ht="21" thickTop="1" thickBot="1" x14ac:dyDescent="0.35">
      <c r="A37" s="65">
        <v>43767</v>
      </c>
      <c r="B37" s="129">
        <v>2375</v>
      </c>
      <c r="C37" s="128">
        <f t="shared" si="5"/>
        <v>0</v>
      </c>
      <c r="D37" s="63">
        <v>56352</v>
      </c>
      <c r="E37" s="54">
        <f t="shared" si="6"/>
        <v>184</v>
      </c>
      <c r="F37" s="55">
        <v>8996029</v>
      </c>
      <c r="G37" s="54">
        <f t="shared" si="7"/>
        <v>5081</v>
      </c>
      <c r="H37" s="55">
        <v>15208148</v>
      </c>
      <c r="I37" s="54">
        <f t="shared" si="8"/>
        <v>7775</v>
      </c>
      <c r="J37" s="55">
        <v>6741625</v>
      </c>
      <c r="K37" s="54">
        <f t="shared" si="9"/>
        <v>3948</v>
      </c>
    </row>
    <row r="38" spans="1:11" ht="21" thickTop="1" thickBot="1" x14ac:dyDescent="0.35">
      <c r="A38" s="65">
        <v>43768</v>
      </c>
      <c r="B38" s="129">
        <v>2375</v>
      </c>
      <c r="C38" s="128">
        <f t="shared" si="5"/>
        <v>0</v>
      </c>
      <c r="D38" s="63">
        <v>56578</v>
      </c>
      <c r="E38" s="54">
        <f t="shared" si="6"/>
        <v>226</v>
      </c>
      <c r="F38" s="55">
        <v>9000985</v>
      </c>
      <c r="G38" s="54">
        <f t="shared" si="7"/>
        <v>4956</v>
      </c>
      <c r="H38" s="55">
        <v>15216775</v>
      </c>
      <c r="I38" s="54">
        <f t="shared" si="8"/>
        <v>8627</v>
      </c>
      <c r="J38" s="55">
        <v>6745573</v>
      </c>
      <c r="K38" s="54">
        <f t="shared" si="9"/>
        <v>3948</v>
      </c>
    </row>
    <row r="39" spans="1:11" ht="21" thickTop="1" thickBot="1" x14ac:dyDescent="0.35">
      <c r="A39" s="65">
        <v>43769</v>
      </c>
      <c r="B39" s="129">
        <v>2375</v>
      </c>
      <c r="C39" s="128">
        <f t="shared" si="5"/>
        <v>0</v>
      </c>
      <c r="D39" s="63">
        <v>56775.6</v>
      </c>
      <c r="E39" s="54">
        <f t="shared" si="6"/>
        <v>197.59999999999854</v>
      </c>
      <c r="F39" s="55">
        <v>9005389</v>
      </c>
      <c r="G39" s="54">
        <f t="shared" si="7"/>
        <v>4404</v>
      </c>
      <c r="H39" s="55">
        <v>15225765</v>
      </c>
      <c r="I39" s="54">
        <f t="shared" si="8"/>
        <v>8990</v>
      </c>
      <c r="J39" s="55">
        <v>6749644</v>
      </c>
      <c r="K39" s="54">
        <f t="shared" si="9"/>
        <v>4071</v>
      </c>
    </row>
    <row r="40" spans="1:11" ht="21" thickTop="1" thickBot="1" x14ac:dyDescent="0.35">
      <c r="A40" s="65">
        <v>43770</v>
      </c>
      <c r="B40" s="129">
        <v>2375</v>
      </c>
      <c r="C40" s="128">
        <f t="shared" si="5"/>
        <v>0</v>
      </c>
      <c r="D40" s="63">
        <v>57000</v>
      </c>
      <c r="E40" s="54">
        <f t="shared" si="6"/>
        <v>224.40000000000146</v>
      </c>
      <c r="F40" s="55">
        <v>9011268</v>
      </c>
      <c r="G40" s="54">
        <f t="shared" si="7"/>
        <v>5879</v>
      </c>
      <c r="H40" s="55">
        <v>15234895</v>
      </c>
      <c r="I40" s="54">
        <f t="shared" si="8"/>
        <v>9130</v>
      </c>
      <c r="J40" s="55">
        <v>6754201</v>
      </c>
      <c r="K40" s="54">
        <f t="shared" si="9"/>
        <v>4557</v>
      </c>
    </row>
    <row r="41" spans="1:11" ht="21" thickTop="1" thickBot="1" x14ac:dyDescent="0.35">
      <c r="A41" s="53"/>
      <c r="B41" s="53"/>
      <c r="C41" s="53"/>
      <c r="D41" s="66"/>
      <c r="E41" s="158"/>
      <c r="F41" s="55"/>
      <c r="G41" s="54"/>
      <c r="H41" s="55"/>
      <c r="I41" s="54"/>
      <c r="J41" s="55"/>
      <c r="K41" s="54"/>
    </row>
    <row r="42" spans="1:11" ht="21" thickTop="1" thickBot="1" x14ac:dyDescent="0.35">
      <c r="A42" s="53"/>
      <c r="B42" s="53"/>
      <c r="C42" s="53"/>
      <c r="D42" s="66"/>
      <c r="E42" s="158"/>
      <c r="F42" s="61"/>
      <c r="G42" s="54"/>
      <c r="H42" s="61"/>
      <c r="I42" s="54"/>
      <c r="J42" s="61"/>
      <c r="K42" s="54"/>
    </row>
    <row r="43" spans="1:11" ht="21" thickTop="1" thickBot="1" x14ac:dyDescent="0.35">
      <c r="A43" s="53"/>
      <c r="B43" s="53"/>
      <c r="C43" s="53"/>
      <c r="D43" s="66"/>
      <c r="E43" s="158"/>
      <c r="G43" s="54"/>
      <c r="I43" s="54"/>
      <c r="K43" s="54"/>
    </row>
    <row r="44" spans="1:11" ht="21" thickTop="1" thickBot="1" x14ac:dyDescent="0.35">
      <c r="A44" s="53"/>
      <c r="B44" s="53"/>
      <c r="C44" s="53"/>
      <c r="D44" s="66"/>
      <c r="E44" s="158"/>
    </row>
    <row r="45" spans="1:11" ht="21" thickTop="1" thickBot="1" x14ac:dyDescent="0.35">
      <c r="A45" s="53"/>
      <c r="B45" s="126"/>
      <c r="C45" s="126"/>
      <c r="D45" s="60"/>
      <c r="E45" s="159"/>
    </row>
    <row r="46" spans="1:11" ht="21.75" customHeight="1" thickTop="1" thickBot="1" x14ac:dyDescent="0.35">
      <c r="A46" s="56"/>
      <c r="B46" s="56"/>
      <c r="C46" s="56"/>
      <c r="E46" s="159"/>
    </row>
    <row r="47" spans="1:11" ht="24" customHeight="1" thickTop="1" x14ac:dyDescent="0.3">
      <c r="A47" s="56"/>
      <c r="B47" s="56"/>
      <c r="C47" s="56"/>
    </row>
    <row r="48" spans="1:11" x14ac:dyDescent="0.25">
      <c r="A48" s="51"/>
      <c r="B48" s="51"/>
      <c r="C48" s="51"/>
    </row>
    <row r="49" spans="1:3" x14ac:dyDescent="0.25">
      <c r="A49" s="51"/>
      <c r="B49" s="51"/>
      <c r="C49" s="51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5:E65536">
    <cfRule type="cellIs" dxfId="2" priority="38" stopIfTrue="1" operator="lessThanOrEqual">
      <formula>0</formula>
    </cfRule>
  </conditionalFormatting>
  <conditionalFormatting sqref="K43">
    <cfRule type="cellIs" dxfId="1" priority="34" stopIfTrue="1" operator="lessThanOrEqual">
      <formula>0</formula>
    </cfRule>
  </conditionalFormatting>
  <conditionalFormatting sqref="E9:E34">
    <cfRule type="cellIs" dxfId="0" priority="5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view="pageBreakPreview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8" customWidth="1"/>
    <col min="2" max="3" width="9.5703125" style="39" customWidth="1"/>
    <col min="4" max="4" width="9.85546875" style="39" customWidth="1"/>
    <col min="5" max="5" width="8.85546875" style="39" customWidth="1"/>
    <col min="6" max="6" width="11.42578125" style="39" customWidth="1"/>
    <col min="7" max="7" width="8.85546875" style="39" customWidth="1"/>
    <col min="8" max="8" width="9.85546875" style="39" customWidth="1"/>
    <col min="9" max="9" width="12.140625" style="39" customWidth="1"/>
    <col min="10" max="10" width="16.140625" style="39" customWidth="1"/>
    <col min="11" max="11" width="17.28515625" style="39" customWidth="1"/>
    <col min="12" max="12" width="14.28515625" style="39" customWidth="1"/>
    <col min="13" max="13" width="16.28515625" style="39" customWidth="1"/>
    <col min="14" max="14" width="14.140625" style="39" customWidth="1"/>
    <col min="15" max="15" width="14.42578125" style="39" customWidth="1"/>
    <col min="16" max="16" width="15.85546875" style="39" customWidth="1"/>
    <col min="17" max="17" width="11.85546875" style="39" customWidth="1"/>
    <col min="18" max="18" width="8.42578125" style="39" customWidth="1"/>
    <col min="19" max="19" width="9.85546875" style="39" customWidth="1"/>
    <col min="20" max="20" width="11.28515625" style="39" customWidth="1"/>
    <col min="21" max="21" width="8.42578125" style="39" customWidth="1"/>
    <col min="22" max="22" width="9.85546875" style="39" customWidth="1"/>
    <col min="23" max="23" width="11.28515625" style="39" customWidth="1"/>
    <col min="24" max="24" width="8.42578125" style="39" customWidth="1"/>
    <col min="25" max="25" width="9.85546875" style="39" customWidth="1"/>
    <col min="26" max="26" width="11.28515625" style="39" customWidth="1"/>
    <col min="27" max="27" width="8.42578125" style="39" customWidth="1"/>
    <col min="28" max="28" width="9.85546875" style="39" customWidth="1"/>
    <col min="29" max="29" width="15.28515625" style="40" customWidth="1"/>
    <col min="30" max="30" width="20.140625" style="39" customWidth="1"/>
    <col min="31" max="31" width="24.5703125" style="39" customWidth="1"/>
    <col min="32" max="16384" width="11.42578125" style="39"/>
  </cols>
  <sheetData>
    <row r="1" spans="1:31" ht="62.25" customHeight="1" thickBot="1" x14ac:dyDescent="0.35">
      <c r="F1" s="295" t="s">
        <v>57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39" t="s">
        <v>58</v>
      </c>
    </row>
    <row r="2" spans="1:31" ht="41.25" customHeight="1" thickBot="1" x14ac:dyDescent="0.4">
      <c r="Q2" s="300">
        <v>803</v>
      </c>
      <c r="R2" s="301"/>
      <c r="S2" s="302"/>
      <c r="T2" s="303">
        <v>519</v>
      </c>
      <c r="U2" s="301"/>
      <c r="V2" s="302"/>
      <c r="W2" s="303">
        <v>800</v>
      </c>
      <c r="X2" s="301"/>
      <c r="Y2" s="302"/>
      <c r="Z2" s="303">
        <v>802</v>
      </c>
      <c r="AA2" s="301"/>
      <c r="AB2" s="304"/>
      <c r="AC2" s="39"/>
    </row>
    <row r="3" spans="1:31" s="143" customFormat="1" ht="50.25" customHeight="1" x14ac:dyDescent="0.3">
      <c r="A3" s="132"/>
      <c r="B3" s="133" t="s">
        <v>59</v>
      </c>
      <c r="C3" s="134" t="s">
        <v>60</v>
      </c>
      <c r="D3" s="133" t="s">
        <v>61</v>
      </c>
      <c r="E3" s="134" t="s">
        <v>62</v>
      </c>
      <c r="F3" s="133" t="s">
        <v>63</v>
      </c>
      <c r="G3" s="134" t="s">
        <v>64</v>
      </c>
      <c r="H3" s="133" t="s">
        <v>65</v>
      </c>
      <c r="I3" s="134" t="s">
        <v>66</v>
      </c>
      <c r="J3" s="135" t="s">
        <v>67</v>
      </c>
      <c r="K3" s="135" t="s">
        <v>68</v>
      </c>
      <c r="L3" s="135" t="s">
        <v>69</v>
      </c>
      <c r="M3" s="135" t="s">
        <v>70</v>
      </c>
      <c r="N3" s="135" t="s">
        <v>71</v>
      </c>
      <c r="O3" s="136" t="s">
        <v>72</v>
      </c>
      <c r="P3" s="136" t="s">
        <v>73</v>
      </c>
      <c r="Q3" s="137" t="s">
        <v>74</v>
      </c>
      <c r="R3" s="137" t="s">
        <v>75</v>
      </c>
      <c r="S3" s="137" t="s">
        <v>76</v>
      </c>
      <c r="T3" s="138" t="s">
        <v>77</v>
      </c>
      <c r="U3" s="139" t="s">
        <v>75</v>
      </c>
      <c r="V3" s="138" t="s">
        <v>76</v>
      </c>
      <c r="W3" s="138" t="s">
        <v>78</v>
      </c>
      <c r="X3" s="138" t="s">
        <v>75</v>
      </c>
      <c r="Y3" s="138" t="s">
        <v>76</v>
      </c>
      <c r="Z3" s="138" t="s">
        <v>79</v>
      </c>
      <c r="AA3" s="138" t="s">
        <v>75</v>
      </c>
      <c r="AB3" s="140" t="s">
        <v>76</v>
      </c>
      <c r="AC3" s="141" t="s">
        <v>80</v>
      </c>
      <c r="AD3" s="142" t="s">
        <v>81</v>
      </c>
      <c r="AE3" s="142" t="s">
        <v>82</v>
      </c>
    </row>
    <row r="4" spans="1:31" ht="32.25" customHeight="1" x14ac:dyDescent="0.3">
      <c r="A4" s="43">
        <v>43739</v>
      </c>
      <c r="B4" s="44">
        <v>60</v>
      </c>
      <c r="C4" s="42">
        <f>IF(AC4&gt;0,((B4-R4)+(S4-B5)),IF(B5=0, ,(B4-B5)))</f>
        <v>2</v>
      </c>
      <c r="D4" s="44">
        <v>60</v>
      </c>
      <c r="E4" s="42">
        <f>IF(AC4&gt;0,((D4-U4)+(V4-D5)),IF(D5=0, ,(D4-D5)))</f>
        <v>2</v>
      </c>
      <c r="F4" s="44">
        <v>65</v>
      </c>
      <c r="G4" s="42">
        <f>IF(AC4&gt;0,((F4-X4)+(Y4-F5)),IF(F5=0, ,(F4-F5)))</f>
        <v>5</v>
      </c>
      <c r="H4" s="44">
        <v>65</v>
      </c>
      <c r="I4" s="42">
        <f>IF(AC4&gt;0,((H4-AA4)+(AB4-H5)),IF(H5=0, ,(H4-H5)))</f>
        <v>5</v>
      </c>
      <c r="J4" s="42">
        <f>B4+D4+F4+H4</f>
        <v>250</v>
      </c>
      <c r="K4" s="42">
        <f>J4/4</f>
        <v>62.5</v>
      </c>
      <c r="L4" s="42">
        <f>IF(AC4&gt;0,((K4-AD4)+(AE4-K5)),IF(K5=0, ,(K4-K5)))</f>
        <v>3.5</v>
      </c>
      <c r="M4" s="42">
        <f>6049*4</f>
        <v>24196</v>
      </c>
      <c r="N4" s="42">
        <f>L4*M4/100</f>
        <v>846.86</v>
      </c>
      <c r="O4" s="42">
        <f>N4*0.529</f>
        <v>447.98894000000001</v>
      </c>
      <c r="P4" s="45">
        <f>O4*7.6251</f>
        <v>3415.9604663939999</v>
      </c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>
        <f t="shared" ref="AC4:AC25" si="0">Q4+T4+W4+Z4</f>
        <v>0</v>
      </c>
      <c r="AD4" s="41">
        <f t="shared" ref="AD4:AD24" si="1">(R4+U4+X4+AA4)/4</f>
        <v>0</v>
      </c>
      <c r="AE4" s="41">
        <f t="shared" ref="AE4:AE24" si="2">(S4+V4+Y4+AB4)/4</f>
        <v>0</v>
      </c>
    </row>
    <row r="5" spans="1:31" ht="32.25" customHeight="1" x14ac:dyDescent="0.3">
      <c r="A5" s="43">
        <v>43740</v>
      </c>
      <c r="B5" s="44">
        <v>58</v>
      </c>
      <c r="C5" s="42">
        <f>IF(AC5&gt;0,((B5-R5)+(S5-B6)),IF(B6=0, ,(B5-B6)))</f>
        <v>7</v>
      </c>
      <c r="D5" s="44">
        <v>58</v>
      </c>
      <c r="E5" s="42">
        <f>IF(AC5&gt;0,((D5-U5)+(V5-D6)),IF(D6=0, ,(D5-D6)))</f>
        <v>4</v>
      </c>
      <c r="F5" s="44">
        <v>60</v>
      </c>
      <c r="G5" s="42">
        <f>IF(AC5&gt;0,((F5-X5)+(Y5-F6)),IF(F6=0, ,(F5-F6)))</f>
        <v>1</v>
      </c>
      <c r="H5" s="44">
        <v>60</v>
      </c>
      <c r="I5" s="42">
        <f>IF(AC5&gt;0,((H5-AA5)+(AB5-H6)),IF(H6=0, ,(H5-H6)))</f>
        <v>1</v>
      </c>
      <c r="J5" s="42">
        <f>B5+D5+F5+H5</f>
        <v>236</v>
      </c>
      <c r="K5" s="42">
        <f>J5/4</f>
        <v>59</v>
      </c>
      <c r="L5" s="42">
        <f>IF(AC5&gt;0,((K5-AD5)+(AE5-K6)),IF(K6=0, ,(K5-K6)))</f>
        <v>3.25</v>
      </c>
      <c r="M5" s="42">
        <f>6049*4</f>
        <v>24196</v>
      </c>
      <c r="N5" s="42">
        <f t="shared" ref="N5:N35" si="3">L5*M5/100</f>
        <v>786.37</v>
      </c>
      <c r="O5" s="42">
        <f t="shared" ref="O5:O34" si="4">N5*0.529</f>
        <v>415.98973000000001</v>
      </c>
      <c r="P5" s="45">
        <f t="shared" ref="P5:P34" si="5">O5*7.6251</f>
        <v>3171.9632902230001</v>
      </c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>
        <f t="shared" si="0"/>
        <v>0</v>
      </c>
      <c r="AD5" s="41">
        <f t="shared" si="1"/>
        <v>0</v>
      </c>
      <c r="AE5" s="41">
        <f t="shared" si="2"/>
        <v>0</v>
      </c>
    </row>
    <row r="6" spans="1:31" ht="32.25" customHeight="1" x14ac:dyDescent="0.3">
      <c r="A6" s="43">
        <v>43741</v>
      </c>
      <c r="B6" s="44">
        <v>51</v>
      </c>
      <c r="C6" s="42">
        <f t="shared" ref="C6:C19" si="6">IF(AC6&gt;0,((B6-R6)+(S6-B7)),IF(B7=0, ,(B6-B7)))</f>
        <v>1</v>
      </c>
      <c r="D6" s="44">
        <v>54</v>
      </c>
      <c r="E6" s="42">
        <f>IF(AC6:AC29&gt;0,((D6-U6)+(V6-D7)),IF(D7=0, ,(D6-D7)))</f>
        <v>4</v>
      </c>
      <c r="F6" s="44">
        <v>59</v>
      </c>
      <c r="G6" s="42">
        <f t="shared" ref="G6:G23" si="7">IF(AC6&gt;0,((F6-X6)+(Y6-F7)),IF(F7=0, ,(F6-F7)))</f>
        <v>4</v>
      </c>
      <c r="H6" s="44">
        <v>59</v>
      </c>
      <c r="I6" s="42">
        <f t="shared" ref="I6:I36" si="8">IF(AC6&gt;0,((H6-AA6)+(AB6-H7)),IF(H7=0, ,(H6-H7)))</f>
        <v>4</v>
      </c>
      <c r="J6" s="42">
        <f t="shared" ref="J6:J42" si="9">B6+D6+F6+H6</f>
        <v>223</v>
      </c>
      <c r="K6" s="42">
        <f t="shared" ref="K6:K42" si="10">J6/4</f>
        <v>55.75</v>
      </c>
      <c r="L6" s="42">
        <f t="shared" ref="L6:L19" si="11">IF(AC6&gt;0,((K6-AD6)+(AE6-K7)),IF(K7=0, ,(K6-K7)))</f>
        <v>3.25</v>
      </c>
      <c r="M6" s="42">
        <f>6049*4</f>
        <v>24196</v>
      </c>
      <c r="N6" s="42">
        <f t="shared" si="3"/>
        <v>786.37</v>
      </c>
      <c r="O6" s="42">
        <f t="shared" si="4"/>
        <v>415.98973000000001</v>
      </c>
      <c r="P6" s="45">
        <f t="shared" si="5"/>
        <v>3171.9632902230001</v>
      </c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>
        <f t="shared" si="0"/>
        <v>0</v>
      </c>
      <c r="AD6" s="41">
        <f t="shared" si="1"/>
        <v>0</v>
      </c>
      <c r="AE6" s="41">
        <f t="shared" si="2"/>
        <v>0</v>
      </c>
    </row>
    <row r="7" spans="1:31" ht="32.25" customHeight="1" x14ac:dyDescent="0.3">
      <c r="A7" s="43">
        <v>43742</v>
      </c>
      <c r="B7" s="44">
        <v>50</v>
      </c>
      <c r="C7" s="42">
        <f t="shared" si="6"/>
        <v>4</v>
      </c>
      <c r="D7" s="44">
        <v>50</v>
      </c>
      <c r="E7" s="42">
        <f>IF(AC7:AC30&gt;0,((D7-U7)+(V7-D8)),IF(D8=0, ,(D7-D8)))</f>
        <v>3</v>
      </c>
      <c r="F7" s="44">
        <v>55</v>
      </c>
      <c r="G7" s="42">
        <f t="shared" si="7"/>
        <v>4</v>
      </c>
      <c r="H7" s="44">
        <v>55</v>
      </c>
      <c r="I7" s="42">
        <f t="shared" si="8"/>
        <v>5</v>
      </c>
      <c r="J7" s="42">
        <f t="shared" si="9"/>
        <v>210</v>
      </c>
      <c r="K7" s="42">
        <f t="shared" si="10"/>
        <v>52.5</v>
      </c>
      <c r="L7" s="42">
        <f t="shared" si="11"/>
        <v>4</v>
      </c>
      <c r="M7" s="42">
        <f>6049*4</f>
        <v>24196</v>
      </c>
      <c r="N7" s="42">
        <f t="shared" si="3"/>
        <v>967.84</v>
      </c>
      <c r="O7" s="42">
        <f t="shared" si="4"/>
        <v>511.98736000000002</v>
      </c>
      <c r="P7" s="45">
        <f t="shared" si="5"/>
        <v>3903.9548187360001</v>
      </c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>
        <f t="shared" si="0"/>
        <v>0</v>
      </c>
      <c r="AD7" s="41">
        <f t="shared" si="1"/>
        <v>0</v>
      </c>
      <c r="AE7" s="41">
        <f t="shared" si="2"/>
        <v>0</v>
      </c>
    </row>
    <row r="8" spans="1:31" ht="32.25" customHeight="1" x14ac:dyDescent="0.3">
      <c r="A8" s="43">
        <v>43743</v>
      </c>
      <c r="B8" s="44">
        <v>46</v>
      </c>
      <c r="C8" s="42">
        <f t="shared" si="6"/>
        <v>2</v>
      </c>
      <c r="D8" s="44">
        <v>47</v>
      </c>
      <c r="E8" s="42">
        <f t="shared" ref="E8:E23" si="12">IF(AC8&gt;0,((D8-U8)+(V8-D9)),IF(D9=0, ,(D8-D9)))</f>
        <v>2</v>
      </c>
      <c r="F8" s="44">
        <v>51</v>
      </c>
      <c r="G8" s="42">
        <f t="shared" si="7"/>
        <v>1</v>
      </c>
      <c r="H8" s="44">
        <v>50</v>
      </c>
      <c r="I8" s="42">
        <f t="shared" si="8"/>
        <v>1</v>
      </c>
      <c r="J8" s="42">
        <f t="shared" si="9"/>
        <v>194</v>
      </c>
      <c r="K8" s="42">
        <f t="shared" si="10"/>
        <v>48.5</v>
      </c>
      <c r="L8" s="42">
        <f t="shared" si="11"/>
        <v>1.5</v>
      </c>
      <c r="M8" s="42">
        <f t="shared" ref="M8:M42" si="13">6049*4</f>
        <v>24196</v>
      </c>
      <c r="N8" s="42">
        <f t="shared" si="3"/>
        <v>362.94</v>
      </c>
      <c r="O8" s="42">
        <f t="shared" si="4"/>
        <v>191.99526</v>
      </c>
      <c r="P8" s="45">
        <f t="shared" si="5"/>
        <v>1463.9830570259999</v>
      </c>
      <c r="Q8" s="42">
        <v>3130</v>
      </c>
      <c r="R8" s="42">
        <v>45</v>
      </c>
      <c r="S8" s="42">
        <v>85</v>
      </c>
      <c r="T8" s="42">
        <v>2990</v>
      </c>
      <c r="U8" s="42">
        <v>45</v>
      </c>
      <c r="V8" s="42">
        <v>85</v>
      </c>
      <c r="W8" s="42">
        <v>2590</v>
      </c>
      <c r="X8" s="42">
        <v>50</v>
      </c>
      <c r="Y8" s="42">
        <v>85</v>
      </c>
      <c r="Z8" s="42">
        <v>2619</v>
      </c>
      <c r="AA8" s="42">
        <v>50</v>
      </c>
      <c r="AB8" s="42">
        <v>85</v>
      </c>
      <c r="AC8" s="42">
        <f t="shared" si="0"/>
        <v>11329</v>
      </c>
      <c r="AD8" s="41">
        <f t="shared" si="1"/>
        <v>47.5</v>
      </c>
      <c r="AE8" s="41">
        <f t="shared" si="2"/>
        <v>85</v>
      </c>
    </row>
    <row r="9" spans="1:31" ht="32.25" customHeight="1" x14ac:dyDescent="0.3">
      <c r="A9" s="43">
        <v>43744</v>
      </c>
      <c r="B9" s="44">
        <v>84</v>
      </c>
      <c r="C9" s="42">
        <f t="shared" si="6"/>
        <v>3</v>
      </c>
      <c r="D9" s="44">
        <v>85</v>
      </c>
      <c r="E9" s="42">
        <f t="shared" si="12"/>
        <v>3</v>
      </c>
      <c r="F9" s="44">
        <v>85</v>
      </c>
      <c r="G9" s="42">
        <f t="shared" si="7"/>
        <v>5</v>
      </c>
      <c r="H9" s="44">
        <v>84</v>
      </c>
      <c r="I9" s="42">
        <f t="shared" si="8"/>
        <v>4</v>
      </c>
      <c r="J9" s="42">
        <f t="shared" si="9"/>
        <v>338</v>
      </c>
      <c r="K9" s="42">
        <f t="shared" si="10"/>
        <v>84.5</v>
      </c>
      <c r="L9" s="42">
        <f t="shared" si="11"/>
        <v>3.75</v>
      </c>
      <c r="M9" s="42">
        <f t="shared" si="13"/>
        <v>24196</v>
      </c>
      <c r="N9" s="42">
        <f t="shared" si="3"/>
        <v>907.35</v>
      </c>
      <c r="O9" s="42">
        <f t="shared" si="4"/>
        <v>479.98815000000002</v>
      </c>
      <c r="P9" s="45">
        <f t="shared" si="5"/>
        <v>3659.9576425650002</v>
      </c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>
        <f t="shared" si="0"/>
        <v>0</v>
      </c>
      <c r="AD9" s="41">
        <f t="shared" si="1"/>
        <v>0</v>
      </c>
      <c r="AE9" s="41">
        <f t="shared" si="2"/>
        <v>0</v>
      </c>
    </row>
    <row r="10" spans="1:31" ht="32.25" customHeight="1" x14ac:dyDescent="0.3">
      <c r="A10" s="43">
        <v>43745</v>
      </c>
      <c r="B10" s="44">
        <v>81</v>
      </c>
      <c r="C10" s="42">
        <f t="shared" si="6"/>
        <v>10</v>
      </c>
      <c r="D10" s="44">
        <v>82</v>
      </c>
      <c r="E10" s="42">
        <f t="shared" si="12"/>
        <v>3</v>
      </c>
      <c r="F10" s="44">
        <v>80</v>
      </c>
      <c r="G10" s="42">
        <f t="shared" si="7"/>
        <v>1</v>
      </c>
      <c r="H10" s="44">
        <v>80</v>
      </c>
      <c r="I10" s="42">
        <f t="shared" si="8"/>
        <v>2</v>
      </c>
      <c r="J10" s="42">
        <f t="shared" si="9"/>
        <v>323</v>
      </c>
      <c r="K10" s="42">
        <f t="shared" si="10"/>
        <v>80.75</v>
      </c>
      <c r="L10" s="42">
        <f t="shared" si="11"/>
        <v>4</v>
      </c>
      <c r="M10" s="42">
        <f t="shared" si="13"/>
        <v>24196</v>
      </c>
      <c r="N10" s="42">
        <f t="shared" si="3"/>
        <v>967.84</v>
      </c>
      <c r="O10" s="42">
        <f t="shared" si="4"/>
        <v>511.98736000000002</v>
      </c>
      <c r="P10" s="45">
        <f t="shared" si="5"/>
        <v>3903.9548187360001</v>
      </c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>
        <f t="shared" si="0"/>
        <v>0</v>
      </c>
      <c r="AD10" s="41">
        <f t="shared" si="1"/>
        <v>0</v>
      </c>
      <c r="AE10" s="41">
        <f t="shared" si="2"/>
        <v>0</v>
      </c>
    </row>
    <row r="11" spans="1:31" ht="32.25" customHeight="1" x14ac:dyDescent="0.3">
      <c r="A11" s="43">
        <v>43746</v>
      </c>
      <c r="B11" s="44">
        <v>71</v>
      </c>
      <c r="C11" s="42">
        <f t="shared" si="6"/>
        <v>2</v>
      </c>
      <c r="D11" s="44">
        <v>79</v>
      </c>
      <c r="E11" s="42">
        <f t="shared" si="12"/>
        <v>5</v>
      </c>
      <c r="F11" s="44">
        <v>79</v>
      </c>
      <c r="G11" s="42">
        <f t="shared" si="7"/>
        <v>4</v>
      </c>
      <c r="H11" s="44">
        <v>78</v>
      </c>
      <c r="I11" s="42">
        <f t="shared" si="8"/>
        <v>3</v>
      </c>
      <c r="J11" s="42">
        <f t="shared" si="9"/>
        <v>307</v>
      </c>
      <c r="K11" s="42">
        <f t="shared" si="10"/>
        <v>76.75</v>
      </c>
      <c r="L11" s="42">
        <f t="shared" si="11"/>
        <v>3.5</v>
      </c>
      <c r="M11" s="42">
        <f t="shared" si="13"/>
        <v>24196</v>
      </c>
      <c r="N11" s="42">
        <f t="shared" si="3"/>
        <v>846.86</v>
      </c>
      <c r="O11" s="42">
        <f t="shared" si="4"/>
        <v>447.98894000000001</v>
      </c>
      <c r="P11" s="45">
        <f t="shared" si="5"/>
        <v>3415.9604663939999</v>
      </c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>
        <f t="shared" si="0"/>
        <v>0</v>
      </c>
      <c r="AD11" s="41">
        <f t="shared" si="1"/>
        <v>0</v>
      </c>
      <c r="AE11" s="41">
        <f t="shared" si="2"/>
        <v>0</v>
      </c>
    </row>
    <row r="12" spans="1:31" ht="32.25" customHeight="1" x14ac:dyDescent="0.3">
      <c r="A12" s="43">
        <v>43747</v>
      </c>
      <c r="B12" s="44">
        <v>69</v>
      </c>
      <c r="C12" s="42">
        <f t="shared" si="6"/>
        <v>0</v>
      </c>
      <c r="D12" s="44">
        <v>74</v>
      </c>
      <c r="E12" s="42">
        <f t="shared" si="12"/>
        <v>3</v>
      </c>
      <c r="F12" s="44">
        <v>75</v>
      </c>
      <c r="G12" s="42">
        <f t="shared" si="7"/>
        <v>4</v>
      </c>
      <c r="H12" s="44">
        <v>75</v>
      </c>
      <c r="I12" s="42">
        <f t="shared" si="8"/>
        <v>5</v>
      </c>
      <c r="J12" s="42">
        <f t="shared" si="9"/>
        <v>293</v>
      </c>
      <c r="K12" s="42">
        <f t="shared" si="10"/>
        <v>73.25</v>
      </c>
      <c r="L12" s="42">
        <f t="shared" si="11"/>
        <v>3</v>
      </c>
      <c r="M12" s="42">
        <f t="shared" si="13"/>
        <v>24196</v>
      </c>
      <c r="N12" s="42">
        <f t="shared" si="3"/>
        <v>725.88</v>
      </c>
      <c r="O12" s="42">
        <f t="shared" si="4"/>
        <v>383.99052</v>
      </c>
      <c r="P12" s="45">
        <f t="shared" si="5"/>
        <v>2927.9661140519997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>
        <f t="shared" si="0"/>
        <v>0</v>
      </c>
      <c r="AD12" s="41">
        <f t="shared" si="1"/>
        <v>0</v>
      </c>
      <c r="AE12" s="41">
        <f t="shared" si="2"/>
        <v>0</v>
      </c>
    </row>
    <row r="13" spans="1:31" ht="32.25" customHeight="1" x14ac:dyDescent="0.3">
      <c r="A13" s="43">
        <v>43748</v>
      </c>
      <c r="B13" s="44">
        <v>69</v>
      </c>
      <c r="C13" s="42">
        <f t="shared" si="6"/>
        <v>4</v>
      </c>
      <c r="D13" s="44">
        <v>71</v>
      </c>
      <c r="E13" s="42">
        <f t="shared" si="12"/>
        <v>5</v>
      </c>
      <c r="F13" s="44">
        <v>71</v>
      </c>
      <c r="G13" s="42">
        <f t="shared" si="7"/>
        <v>4</v>
      </c>
      <c r="H13" s="44">
        <v>70</v>
      </c>
      <c r="I13" s="42">
        <f t="shared" si="8"/>
        <v>2</v>
      </c>
      <c r="J13" s="42">
        <f t="shared" si="9"/>
        <v>281</v>
      </c>
      <c r="K13" s="42">
        <f t="shared" si="10"/>
        <v>70.25</v>
      </c>
      <c r="L13" s="42">
        <f t="shared" si="11"/>
        <v>3.75</v>
      </c>
      <c r="M13" s="42">
        <f t="shared" si="13"/>
        <v>24196</v>
      </c>
      <c r="N13" s="42">
        <f t="shared" si="3"/>
        <v>907.35</v>
      </c>
      <c r="O13" s="42">
        <f t="shared" si="4"/>
        <v>479.98815000000002</v>
      </c>
      <c r="P13" s="45">
        <f t="shared" si="5"/>
        <v>3659.9576425650002</v>
      </c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>
        <f t="shared" si="0"/>
        <v>0</v>
      </c>
      <c r="AD13" s="41">
        <f t="shared" si="1"/>
        <v>0</v>
      </c>
      <c r="AE13" s="41">
        <f t="shared" si="2"/>
        <v>0</v>
      </c>
    </row>
    <row r="14" spans="1:31" ht="32.25" customHeight="1" x14ac:dyDescent="0.3">
      <c r="A14" s="43">
        <v>43749</v>
      </c>
      <c r="B14" s="44">
        <v>65</v>
      </c>
      <c r="C14" s="42">
        <f t="shared" si="6"/>
        <v>4</v>
      </c>
      <c r="D14" s="44">
        <v>66</v>
      </c>
      <c r="E14" s="42">
        <f t="shared" si="12"/>
        <v>2</v>
      </c>
      <c r="F14" s="44">
        <v>67</v>
      </c>
      <c r="G14" s="42">
        <f t="shared" si="7"/>
        <v>2</v>
      </c>
      <c r="H14" s="44">
        <v>68</v>
      </c>
      <c r="I14" s="42">
        <f t="shared" si="8"/>
        <v>3</v>
      </c>
      <c r="J14" s="42">
        <f t="shared" si="9"/>
        <v>266</v>
      </c>
      <c r="K14" s="42">
        <f t="shared" si="10"/>
        <v>66.5</v>
      </c>
      <c r="L14" s="42">
        <f t="shared" si="11"/>
        <v>2.75</v>
      </c>
      <c r="M14" s="42">
        <f t="shared" si="13"/>
        <v>24196</v>
      </c>
      <c r="N14" s="42">
        <f t="shared" si="3"/>
        <v>665.39</v>
      </c>
      <c r="O14" s="42">
        <f t="shared" si="4"/>
        <v>351.99131</v>
      </c>
      <c r="P14" s="45">
        <f t="shared" si="5"/>
        <v>2683.9689378809999</v>
      </c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>
        <f t="shared" si="0"/>
        <v>0</v>
      </c>
      <c r="AD14" s="41">
        <f t="shared" si="1"/>
        <v>0</v>
      </c>
      <c r="AE14" s="41">
        <f t="shared" si="2"/>
        <v>0</v>
      </c>
    </row>
    <row r="15" spans="1:31" ht="32.25" customHeight="1" x14ac:dyDescent="0.3">
      <c r="A15" s="43">
        <v>43750</v>
      </c>
      <c r="B15" s="44">
        <v>61</v>
      </c>
      <c r="C15" s="42">
        <f t="shared" si="6"/>
        <v>2</v>
      </c>
      <c r="D15" s="44">
        <v>64</v>
      </c>
      <c r="E15" s="42">
        <f t="shared" si="12"/>
        <v>4</v>
      </c>
      <c r="F15" s="44">
        <v>65</v>
      </c>
      <c r="G15" s="42">
        <f t="shared" si="7"/>
        <v>5</v>
      </c>
      <c r="H15" s="44">
        <v>65</v>
      </c>
      <c r="I15" s="42">
        <f t="shared" si="8"/>
        <v>5</v>
      </c>
      <c r="J15" s="42">
        <f t="shared" si="9"/>
        <v>255</v>
      </c>
      <c r="K15" s="42">
        <f t="shared" si="10"/>
        <v>63.75</v>
      </c>
      <c r="L15" s="42">
        <f t="shared" si="11"/>
        <v>4</v>
      </c>
      <c r="M15" s="42">
        <f t="shared" si="13"/>
        <v>24196</v>
      </c>
      <c r="N15" s="42">
        <f t="shared" si="3"/>
        <v>967.84</v>
      </c>
      <c r="O15" s="42">
        <f t="shared" si="4"/>
        <v>511.98736000000002</v>
      </c>
      <c r="P15" s="45">
        <f t="shared" si="5"/>
        <v>3903.9548187360001</v>
      </c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>
        <f t="shared" si="0"/>
        <v>0</v>
      </c>
      <c r="AD15" s="41">
        <f t="shared" si="1"/>
        <v>0</v>
      </c>
      <c r="AE15" s="41">
        <f t="shared" si="2"/>
        <v>0</v>
      </c>
    </row>
    <row r="16" spans="1:31" ht="32.25" customHeight="1" x14ac:dyDescent="0.3">
      <c r="A16" s="43">
        <v>43751</v>
      </c>
      <c r="B16" s="44">
        <v>59</v>
      </c>
      <c r="C16" s="42">
        <f t="shared" si="6"/>
        <v>4</v>
      </c>
      <c r="D16" s="44">
        <v>60</v>
      </c>
      <c r="E16" s="42">
        <f t="shared" si="12"/>
        <v>4</v>
      </c>
      <c r="F16" s="44">
        <v>60</v>
      </c>
      <c r="G16" s="42">
        <f t="shared" si="7"/>
        <v>3</v>
      </c>
      <c r="H16" s="44">
        <v>60</v>
      </c>
      <c r="I16" s="42">
        <f t="shared" si="8"/>
        <v>3</v>
      </c>
      <c r="J16" s="42">
        <f t="shared" si="9"/>
        <v>239</v>
      </c>
      <c r="K16" s="42">
        <f t="shared" si="10"/>
        <v>59.75</v>
      </c>
      <c r="L16" s="42">
        <f t="shared" si="11"/>
        <v>3.5</v>
      </c>
      <c r="M16" s="42">
        <f t="shared" si="13"/>
        <v>24196</v>
      </c>
      <c r="N16" s="42">
        <f t="shared" si="3"/>
        <v>846.86</v>
      </c>
      <c r="O16" s="42">
        <f t="shared" si="4"/>
        <v>447.98894000000001</v>
      </c>
      <c r="P16" s="45">
        <f t="shared" si="5"/>
        <v>3415.9604663939999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>
        <f t="shared" si="0"/>
        <v>0</v>
      </c>
      <c r="AD16" s="41">
        <f t="shared" si="1"/>
        <v>0</v>
      </c>
      <c r="AE16" s="41">
        <f t="shared" si="2"/>
        <v>0</v>
      </c>
    </row>
    <row r="17" spans="1:31" ht="32.25" customHeight="1" x14ac:dyDescent="0.3">
      <c r="A17" s="43">
        <v>43752</v>
      </c>
      <c r="B17" s="44">
        <v>55</v>
      </c>
      <c r="C17" s="42">
        <f t="shared" si="6"/>
        <v>5</v>
      </c>
      <c r="D17" s="44">
        <v>56</v>
      </c>
      <c r="E17" s="42">
        <f t="shared" si="12"/>
        <v>2</v>
      </c>
      <c r="F17" s="44">
        <v>57</v>
      </c>
      <c r="G17" s="42">
        <f t="shared" si="7"/>
        <v>3</v>
      </c>
      <c r="H17" s="44">
        <v>57</v>
      </c>
      <c r="I17" s="42">
        <f t="shared" si="8"/>
        <v>3</v>
      </c>
      <c r="J17" s="42">
        <f t="shared" si="9"/>
        <v>225</v>
      </c>
      <c r="K17" s="42">
        <f t="shared" si="10"/>
        <v>56.25</v>
      </c>
      <c r="L17" s="42">
        <f t="shared" si="11"/>
        <v>3.25</v>
      </c>
      <c r="M17" s="42">
        <f t="shared" si="13"/>
        <v>24196</v>
      </c>
      <c r="N17" s="42">
        <f t="shared" si="3"/>
        <v>786.37</v>
      </c>
      <c r="O17" s="42">
        <f t="shared" si="4"/>
        <v>415.98973000000001</v>
      </c>
      <c r="P17" s="45">
        <f t="shared" si="5"/>
        <v>3171.9632902230001</v>
      </c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>
        <f t="shared" si="0"/>
        <v>0</v>
      </c>
      <c r="AD17" s="41">
        <f t="shared" si="1"/>
        <v>0</v>
      </c>
      <c r="AE17" s="41">
        <f t="shared" si="2"/>
        <v>0</v>
      </c>
    </row>
    <row r="18" spans="1:31" ht="32.25" customHeight="1" x14ac:dyDescent="0.3">
      <c r="A18" s="43">
        <v>43753</v>
      </c>
      <c r="B18" s="44">
        <v>50</v>
      </c>
      <c r="C18" s="42">
        <f t="shared" si="6"/>
        <v>1</v>
      </c>
      <c r="D18" s="44">
        <v>54</v>
      </c>
      <c r="E18" s="42">
        <f t="shared" si="12"/>
        <v>4</v>
      </c>
      <c r="F18" s="44">
        <v>54</v>
      </c>
      <c r="G18" s="42">
        <f t="shared" si="7"/>
        <v>4</v>
      </c>
      <c r="H18" s="44">
        <v>54</v>
      </c>
      <c r="I18" s="42">
        <f t="shared" si="8"/>
        <v>4</v>
      </c>
      <c r="J18" s="42">
        <f t="shared" si="9"/>
        <v>212</v>
      </c>
      <c r="K18" s="42">
        <f t="shared" si="10"/>
        <v>53</v>
      </c>
      <c r="L18" s="42">
        <f t="shared" si="11"/>
        <v>3.25</v>
      </c>
      <c r="M18" s="42">
        <f t="shared" si="13"/>
        <v>24196</v>
      </c>
      <c r="N18" s="42">
        <f t="shared" si="3"/>
        <v>786.37</v>
      </c>
      <c r="O18" s="42">
        <f t="shared" si="4"/>
        <v>415.98973000000001</v>
      </c>
      <c r="P18" s="45">
        <f t="shared" si="5"/>
        <v>3171.9632902230001</v>
      </c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>
        <f t="shared" si="0"/>
        <v>0</v>
      </c>
      <c r="AD18" s="41">
        <f t="shared" si="1"/>
        <v>0</v>
      </c>
      <c r="AE18" s="41">
        <f t="shared" si="2"/>
        <v>0</v>
      </c>
    </row>
    <row r="19" spans="1:31" ht="32.25" customHeight="1" x14ac:dyDescent="0.3">
      <c r="A19" s="43">
        <v>43754</v>
      </c>
      <c r="B19" s="44">
        <v>49</v>
      </c>
      <c r="C19" s="42">
        <f t="shared" si="6"/>
        <v>4</v>
      </c>
      <c r="D19" s="44">
        <v>50</v>
      </c>
      <c r="E19" s="42">
        <f t="shared" si="12"/>
        <v>5</v>
      </c>
      <c r="F19" s="44">
        <v>50</v>
      </c>
      <c r="G19" s="42">
        <f t="shared" si="7"/>
        <v>2</v>
      </c>
      <c r="H19" s="44">
        <v>50</v>
      </c>
      <c r="I19" s="42">
        <f t="shared" si="8"/>
        <v>2</v>
      </c>
      <c r="J19" s="42">
        <f t="shared" si="9"/>
        <v>199</v>
      </c>
      <c r="K19" s="42">
        <f t="shared" si="10"/>
        <v>49.75</v>
      </c>
      <c r="L19" s="42">
        <f t="shared" si="11"/>
        <v>3.25</v>
      </c>
      <c r="M19" s="42">
        <f t="shared" si="13"/>
        <v>24196</v>
      </c>
      <c r="N19" s="42">
        <f t="shared" si="3"/>
        <v>786.37</v>
      </c>
      <c r="O19" s="42">
        <f t="shared" si="4"/>
        <v>415.98973000000001</v>
      </c>
      <c r="P19" s="45">
        <f t="shared" si="5"/>
        <v>3171.9632902230001</v>
      </c>
      <c r="Q19" s="42">
        <v>3023</v>
      </c>
      <c r="R19" s="42">
        <v>45</v>
      </c>
      <c r="S19" s="42">
        <v>85</v>
      </c>
      <c r="T19" s="42">
        <v>2841</v>
      </c>
      <c r="U19" s="42">
        <v>45</v>
      </c>
      <c r="V19" s="42">
        <v>85</v>
      </c>
      <c r="W19" s="42">
        <v>2726</v>
      </c>
      <c r="X19" s="42">
        <v>48</v>
      </c>
      <c r="Y19" s="42">
        <v>85</v>
      </c>
      <c r="Z19" s="42">
        <v>2751</v>
      </c>
      <c r="AA19" s="42">
        <v>48</v>
      </c>
      <c r="AB19" s="42">
        <v>85</v>
      </c>
      <c r="AC19" s="42">
        <f t="shared" si="0"/>
        <v>11341</v>
      </c>
      <c r="AD19" s="41">
        <f t="shared" si="1"/>
        <v>46.5</v>
      </c>
      <c r="AE19" s="41">
        <f t="shared" si="2"/>
        <v>85</v>
      </c>
    </row>
    <row r="20" spans="1:31" ht="32.25" customHeight="1" x14ac:dyDescent="0.3">
      <c r="A20" s="43">
        <v>43755</v>
      </c>
      <c r="B20" s="44">
        <v>85</v>
      </c>
      <c r="C20" s="42">
        <f t="shared" ref="C20:C35" si="14">IF(AC20&gt;0,((B20-R20)+(S20-B21)),IF(B21=0, ,(B20-B21)))</f>
        <v>4</v>
      </c>
      <c r="D20" s="44">
        <v>85</v>
      </c>
      <c r="E20" s="42">
        <f t="shared" si="12"/>
        <v>4</v>
      </c>
      <c r="F20" s="44">
        <v>85</v>
      </c>
      <c r="G20" s="42">
        <f t="shared" si="7"/>
        <v>4</v>
      </c>
      <c r="H20" s="44">
        <v>85</v>
      </c>
      <c r="I20" s="42">
        <f t="shared" si="8"/>
        <v>4</v>
      </c>
      <c r="J20" s="42">
        <f t="shared" si="9"/>
        <v>340</v>
      </c>
      <c r="K20" s="42">
        <f t="shared" si="10"/>
        <v>85</v>
      </c>
      <c r="L20" s="42">
        <f t="shared" ref="L20:L42" si="15">IF(AC20&gt;0,((K20-AD20)+(AE20-K21)),IF(K21=0, ,(K20-K21)))</f>
        <v>4</v>
      </c>
      <c r="M20" s="42">
        <f t="shared" si="13"/>
        <v>24196</v>
      </c>
      <c r="N20" s="42">
        <f t="shared" si="3"/>
        <v>967.84</v>
      </c>
      <c r="O20" s="42">
        <f t="shared" si="4"/>
        <v>511.98736000000002</v>
      </c>
      <c r="P20" s="45">
        <f t="shared" si="5"/>
        <v>3903.9548187360001</v>
      </c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>
        <f t="shared" si="0"/>
        <v>0</v>
      </c>
      <c r="AD20" s="41">
        <f t="shared" si="1"/>
        <v>0</v>
      </c>
      <c r="AE20" s="41">
        <f t="shared" si="2"/>
        <v>0</v>
      </c>
    </row>
    <row r="21" spans="1:31" ht="32.25" customHeight="1" x14ac:dyDescent="0.3">
      <c r="A21" s="43">
        <v>43756</v>
      </c>
      <c r="B21" s="44">
        <v>81</v>
      </c>
      <c r="C21" s="42">
        <f t="shared" si="14"/>
        <v>5</v>
      </c>
      <c r="D21" s="44">
        <v>81</v>
      </c>
      <c r="E21" s="42">
        <f t="shared" si="12"/>
        <v>5</v>
      </c>
      <c r="F21" s="44">
        <v>81</v>
      </c>
      <c r="G21" s="42">
        <f t="shared" si="7"/>
        <v>5</v>
      </c>
      <c r="H21" s="44">
        <v>81</v>
      </c>
      <c r="I21" s="42">
        <f t="shared" si="8"/>
        <v>5</v>
      </c>
      <c r="J21" s="42">
        <f t="shared" si="9"/>
        <v>324</v>
      </c>
      <c r="K21" s="42">
        <f t="shared" si="10"/>
        <v>81</v>
      </c>
      <c r="L21" s="42">
        <f>IF(AC21&gt;0,((K21-AD21)+(AE21-K22)),IF(K22=0, ,(K21-K22)))</f>
        <v>5</v>
      </c>
      <c r="M21" s="42">
        <f t="shared" si="13"/>
        <v>24196</v>
      </c>
      <c r="N21" s="42">
        <f t="shared" si="3"/>
        <v>1209.8</v>
      </c>
      <c r="O21" s="42">
        <f t="shared" si="4"/>
        <v>639.98419999999999</v>
      </c>
      <c r="P21" s="45">
        <f t="shared" si="5"/>
        <v>4879.94352342</v>
      </c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>
        <f t="shared" si="0"/>
        <v>0</v>
      </c>
      <c r="AD21" s="41">
        <f t="shared" si="1"/>
        <v>0</v>
      </c>
      <c r="AE21" s="41">
        <f t="shared" si="2"/>
        <v>0</v>
      </c>
    </row>
    <row r="22" spans="1:31" ht="32.25" customHeight="1" x14ac:dyDescent="0.3">
      <c r="A22" s="43">
        <v>43757</v>
      </c>
      <c r="B22" s="44">
        <v>76</v>
      </c>
      <c r="C22" s="42">
        <f t="shared" si="14"/>
        <v>5</v>
      </c>
      <c r="D22" s="44">
        <v>76</v>
      </c>
      <c r="E22" s="42">
        <f t="shared" si="12"/>
        <v>5</v>
      </c>
      <c r="F22" s="44">
        <v>76</v>
      </c>
      <c r="G22" s="42">
        <f t="shared" si="7"/>
        <v>4</v>
      </c>
      <c r="H22" s="44">
        <v>76</v>
      </c>
      <c r="I22" s="42">
        <f t="shared" si="8"/>
        <v>4</v>
      </c>
      <c r="J22" s="42">
        <f t="shared" si="9"/>
        <v>304</v>
      </c>
      <c r="K22" s="42">
        <f t="shared" si="10"/>
        <v>76</v>
      </c>
      <c r="L22" s="42">
        <f>IF(AC22&gt;0,((K22-AD22)+(AE22-K23)),IF(K23=0, ,(K22-K23)))</f>
        <v>4.5</v>
      </c>
      <c r="M22" s="42">
        <f t="shared" si="13"/>
        <v>24196</v>
      </c>
      <c r="N22" s="42">
        <f t="shared" si="3"/>
        <v>1088.82</v>
      </c>
      <c r="O22" s="42">
        <f t="shared" si="4"/>
        <v>575.98577999999998</v>
      </c>
      <c r="P22" s="45">
        <f t="shared" si="5"/>
        <v>4391.9491710779994</v>
      </c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>
        <f t="shared" si="0"/>
        <v>0</v>
      </c>
      <c r="AD22" s="41">
        <f t="shared" si="1"/>
        <v>0</v>
      </c>
      <c r="AE22" s="41">
        <f t="shared" si="2"/>
        <v>0</v>
      </c>
    </row>
    <row r="23" spans="1:31" ht="32.25" customHeight="1" x14ac:dyDescent="0.3">
      <c r="A23" s="43">
        <v>43758</v>
      </c>
      <c r="B23" s="44">
        <v>71</v>
      </c>
      <c r="C23" s="42">
        <f t="shared" si="14"/>
        <v>4</v>
      </c>
      <c r="D23" s="44">
        <v>71</v>
      </c>
      <c r="E23" s="42">
        <f t="shared" si="12"/>
        <v>4</v>
      </c>
      <c r="F23" s="44">
        <v>72</v>
      </c>
      <c r="G23" s="42">
        <f t="shared" si="7"/>
        <v>3</v>
      </c>
      <c r="H23" s="44">
        <v>72</v>
      </c>
      <c r="I23" s="42">
        <f t="shared" si="8"/>
        <v>3</v>
      </c>
      <c r="J23" s="42">
        <f t="shared" si="9"/>
        <v>286</v>
      </c>
      <c r="K23" s="42">
        <f t="shared" si="10"/>
        <v>71.5</v>
      </c>
      <c r="L23" s="42">
        <f t="shared" si="15"/>
        <v>3.5</v>
      </c>
      <c r="M23" s="42">
        <f t="shared" si="13"/>
        <v>24196</v>
      </c>
      <c r="N23" s="42">
        <f t="shared" si="3"/>
        <v>846.86</v>
      </c>
      <c r="O23" s="42">
        <f t="shared" si="4"/>
        <v>447.98894000000001</v>
      </c>
      <c r="P23" s="45">
        <f t="shared" si="5"/>
        <v>3415.9604663939999</v>
      </c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>
        <f t="shared" si="0"/>
        <v>0</v>
      </c>
      <c r="AD23" s="41">
        <f t="shared" si="1"/>
        <v>0</v>
      </c>
      <c r="AE23" s="41">
        <f t="shared" si="2"/>
        <v>0</v>
      </c>
    </row>
    <row r="24" spans="1:31" ht="32.25" customHeight="1" x14ac:dyDescent="0.3">
      <c r="A24" s="43">
        <v>43759</v>
      </c>
      <c r="B24" s="44">
        <v>67</v>
      </c>
      <c r="C24" s="42">
        <f t="shared" si="14"/>
        <v>7</v>
      </c>
      <c r="D24" s="44">
        <v>67</v>
      </c>
      <c r="E24" s="42">
        <f t="shared" ref="E24:E36" si="16">IF(AC24&gt;0,((D24-U24)+(V24-D25)),IF(D25=0, ,(D24-D25)))</f>
        <v>7</v>
      </c>
      <c r="F24" s="44">
        <v>69</v>
      </c>
      <c r="G24" s="42">
        <f t="shared" ref="G24:G36" si="17">IF(AC24&gt;0,((F24-X24)+(Y24-F25)),IF(F25=0, ,(F24-F25)))</f>
        <v>5</v>
      </c>
      <c r="H24" s="44">
        <v>69</v>
      </c>
      <c r="I24" s="42">
        <f t="shared" si="8"/>
        <v>5</v>
      </c>
      <c r="J24" s="42">
        <f t="shared" si="9"/>
        <v>272</v>
      </c>
      <c r="K24" s="42">
        <f t="shared" si="10"/>
        <v>68</v>
      </c>
      <c r="L24" s="42">
        <f t="shared" si="15"/>
        <v>6</v>
      </c>
      <c r="M24" s="42">
        <f t="shared" si="13"/>
        <v>24196</v>
      </c>
      <c r="N24" s="42">
        <f t="shared" si="3"/>
        <v>1451.76</v>
      </c>
      <c r="O24" s="42">
        <f t="shared" si="4"/>
        <v>767.98104000000001</v>
      </c>
      <c r="P24" s="45">
        <f t="shared" si="5"/>
        <v>5855.9322281039995</v>
      </c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>
        <f t="shared" si="0"/>
        <v>0</v>
      </c>
      <c r="AD24" s="41">
        <f t="shared" si="1"/>
        <v>0</v>
      </c>
      <c r="AE24" s="41">
        <f t="shared" si="2"/>
        <v>0</v>
      </c>
    </row>
    <row r="25" spans="1:31" ht="32.25" customHeight="1" x14ac:dyDescent="0.3">
      <c r="A25" s="43">
        <v>43760</v>
      </c>
      <c r="B25" s="44">
        <v>60</v>
      </c>
      <c r="C25" s="42">
        <f t="shared" si="14"/>
        <v>2</v>
      </c>
      <c r="D25" s="44">
        <v>60</v>
      </c>
      <c r="E25" s="42">
        <f t="shared" si="16"/>
        <v>4</v>
      </c>
      <c r="F25" s="44">
        <v>64</v>
      </c>
      <c r="G25" s="42">
        <f t="shared" si="17"/>
        <v>5</v>
      </c>
      <c r="H25" s="44">
        <v>64</v>
      </c>
      <c r="I25" s="42">
        <f t="shared" si="8"/>
        <v>5</v>
      </c>
      <c r="J25" s="42">
        <f t="shared" si="9"/>
        <v>248</v>
      </c>
      <c r="K25" s="42">
        <f t="shared" si="10"/>
        <v>62</v>
      </c>
      <c r="L25" s="42">
        <f t="shared" si="15"/>
        <v>4</v>
      </c>
      <c r="M25" s="42">
        <f t="shared" si="13"/>
        <v>24196</v>
      </c>
      <c r="N25" s="42">
        <f t="shared" si="3"/>
        <v>967.84</v>
      </c>
      <c r="O25" s="42">
        <f t="shared" si="4"/>
        <v>511.98736000000002</v>
      </c>
      <c r="P25" s="45">
        <f t="shared" si="5"/>
        <v>3903.9548187360001</v>
      </c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>
        <f t="shared" si="0"/>
        <v>0</v>
      </c>
      <c r="AD25" s="41">
        <f t="shared" ref="AD25:AD42" si="18">(R25+U25+X25+AA25)/4</f>
        <v>0</v>
      </c>
      <c r="AE25" s="41">
        <f>(S25+V25+Y25+AB25)/4</f>
        <v>0</v>
      </c>
    </row>
    <row r="26" spans="1:31" ht="32.25" customHeight="1" x14ac:dyDescent="0.3">
      <c r="A26" s="43">
        <v>43761</v>
      </c>
      <c r="B26" s="44">
        <v>58</v>
      </c>
      <c r="C26" s="42">
        <f>IF(AC26&gt;0,((B26-R26)+(S26-B27)),IF(B27=0, ,(B26-B27)))</f>
        <v>7</v>
      </c>
      <c r="D26" s="44">
        <v>56</v>
      </c>
      <c r="E26" s="42">
        <f t="shared" si="16"/>
        <v>6</v>
      </c>
      <c r="F26" s="44">
        <v>59</v>
      </c>
      <c r="G26" s="42">
        <f t="shared" si="17"/>
        <v>5</v>
      </c>
      <c r="H26" s="44">
        <v>59</v>
      </c>
      <c r="I26" s="42">
        <f t="shared" si="8"/>
        <v>4</v>
      </c>
      <c r="J26" s="42">
        <f t="shared" si="9"/>
        <v>232</v>
      </c>
      <c r="K26" s="42">
        <f t="shared" si="10"/>
        <v>58</v>
      </c>
      <c r="L26" s="42">
        <f t="shared" si="15"/>
        <v>5.5</v>
      </c>
      <c r="M26" s="42">
        <f t="shared" si="13"/>
        <v>24196</v>
      </c>
      <c r="N26" s="42">
        <f t="shared" si="3"/>
        <v>1330.78</v>
      </c>
      <c r="O26" s="42">
        <f t="shared" si="4"/>
        <v>703.98262</v>
      </c>
      <c r="P26" s="45">
        <f t="shared" si="5"/>
        <v>5367.9378757619997</v>
      </c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>
        <f t="shared" ref="AC26:AC43" si="19">Q26+T26+W26+Z26</f>
        <v>0</v>
      </c>
      <c r="AD26" s="41">
        <f t="shared" si="18"/>
        <v>0</v>
      </c>
      <c r="AE26" s="41">
        <f>(S26+V26+Y26+AB26)/4</f>
        <v>0</v>
      </c>
    </row>
    <row r="27" spans="1:31" ht="32.25" customHeight="1" x14ac:dyDescent="0.3">
      <c r="A27" s="43">
        <v>43762</v>
      </c>
      <c r="B27" s="44">
        <v>51</v>
      </c>
      <c r="C27" s="42">
        <f t="shared" si="14"/>
        <v>6</v>
      </c>
      <c r="D27" s="44">
        <v>50</v>
      </c>
      <c r="E27" s="42">
        <f t="shared" si="16"/>
        <v>4</v>
      </c>
      <c r="F27" s="44">
        <v>54</v>
      </c>
      <c r="G27" s="42">
        <f t="shared" si="17"/>
        <v>6</v>
      </c>
      <c r="H27" s="44">
        <v>55</v>
      </c>
      <c r="I27" s="42">
        <f t="shared" si="8"/>
        <v>6</v>
      </c>
      <c r="J27" s="42">
        <f t="shared" si="9"/>
        <v>210</v>
      </c>
      <c r="K27" s="42">
        <f t="shared" si="10"/>
        <v>52.5</v>
      </c>
      <c r="L27" s="42">
        <f t="shared" si="15"/>
        <v>5.5</v>
      </c>
      <c r="M27" s="42">
        <f t="shared" si="13"/>
        <v>24196</v>
      </c>
      <c r="N27" s="42">
        <f t="shared" si="3"/>
        <v>1330.78</v>
      </c>
      <c r="O27" s="42">
        <f t="shared" si="4"/>
        <v>703.98262</v>
      </c>
      <c r="P27" s="45">
        <f t="shared" si="5"/>
        <v>5367.9378757619997</v>
      </c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>
        <f t="shared" si="19"/>
        <v>0</v>
      </c>
      <c r="AD27" s="41">
        <f t="shared" si="18"/>
        <v>0</v>
      </c>
      <c r="AE27" s="41">
        <f>(S27+V27+Y27+AB27)/4</f>
        <v>0</v>
      </c>
    </row>
    <row r="28" spans="1:31" ht="32.25" customHeight="1" x14ac:dyDescent="0.3">
      <c r="A28" s="43">
        <v>43763</v>
      </c>
      <c r="B28" s="44">
        <v>45</v>
      </c>
      <c r="C28" s="42">
        <f t="shared" si="14"/>
        <v>5</v>
      </c>
      <c r="D28" s="44">
        <v>46</v>
      </c>
      <c r="E28" s="42">
        <f t="shared" si="16"/>
        <v>6</v>
      </c>
      <c r="F28" s="44">
        <v>48</v>
      </c>
      <c r="G28" s="42">
        <f t="shared" si="17"/>
        <v>8</v>
      </c>
      <c r="H28" s="44">
        <v>49</v>
      </c>
      <c r="I28" s="42">
        <f t="shared" si="8"/>
        <v>4</v>
      </c>
      <c r="J28" s="42">
        <f t="shared" si="9"/>
        <v>188</v>
      </c>
      <c r="K28" s="42">
        <f t="shared" si="10"/>
        <v>47</v>
      </c>
      <c r="L28" s="42">
        <f t="shared" si="15"/>
        <v>5.75</v>
      </c>
      <c r="M28" s="42">
        <f t="shared" si="13"/>
        <v>24196</v>
      </c>
      <c r="N28" s="42">
        <f t="shared" si="3"/>
        <v>1391.27</v>
      </c>
      <c r="O28" s="42">
        <f t="shared" si="4"/>
        <v>735.98183000000006</v>
      </c>
      <c r="P28" s="45">
        <f t="shared" si="5"/>
        <v>5611.9350519330001</v>
      </c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>
        <f t="shared" si="19"/>
        <v>0</v>
      </c>
      <c r="AD28" s="41">
        <f t="shared" si="18"/>
        <v>0</v>
      </c>
      <c r="AE28" s="41">
        <f>(S28+V28+Y28+AB28)/4</f>
        <v>0</v>
      </c>
    </row>
    <row r="29" spans="1:31" ht="32.25" customHeight="1" x14ac:dyDescent="0.3">
      <c r="A29" s="43">
        <v>43764</v>
      </c>
      <c r="B29" s="44">
        <v>40</v>
      </c>
      <c r="C29" s="42">
        <f t="shared" si="14"/>
        <v>2</v>
      </c>
      <c r="D29" s="44">
        <v>40</v>
      </c>
      <c r="E29" s="42">
        <f t="shared" si="16"/>
        <v>0</v>
      </c>
      <c r="F29" s="44">
        <v>40</v>
      </c>
      <c r="G29" s="42">
        <f t="shared" si="17"/>
        <v>0</v>
      </c>
      <c r="H29" s="44">
        <v>45</v>
      </c>
      <c r="I29" s="42">
        <f t="shared" si="8"/>
        <v>10</v>
      </c>
      <c r="J29" s="42">
        <f t="shared" si="9"/>
        <v>165</v>
      </c>
      <c r="K29" s="42">
        <f t="shared" si="10"/>
        <v>41.25</v>
      </c>
      <c r="L29" s="42">
        <f t="shared" si="15"/>
        <v>3</v>
      </c>
      <c r="M29" s="42">
        <f t="shared" si="13"/>
        <v>24196</v>
      </c>
      <c r="N29" s="42">
        <f t="shared" si="3"/>
        <v>725.88</v>
      </c>
      <c r="O29" s="42">
        <f t="shared" si="4"/>
        <v>383.99052</v>
      </c>
      <c r="P29" s="45">
        <f t="shared" si="5"/>
        <v>2927.9661140519997</v>
      </c>
      <c r="Q29" s="42">
        <v>2611</v>
      </c>
      <c r="R29" s="42">
        <v>40</v>
      </c>
      <c r="S29" s="42">
        <v>75</v>
      </c>
      <c r="T29" s="42">
        <v>2611</v>
      </c>
      <c r="U29" s="42">
        <v>40</v>
      </c>
      <c r="V29" s="42">
        <v>75</v>
      </c>
      <c r="W29" s="42">
        <v>2611</v>
      </c>
      <c r="X29" s="42">
        <v>40</v>
      </c>
      <c r="Y29" s="42">
        <v>75</v>
      </c>
      <c r="Z29" s="42">
        <v>2611</v>
      </c>
      <c r="AA29" s="42">
        <v>40</v>
      </c>
      <c r="AB29" s="42">
        <v>80</v>
      </c>
      <c r="AC29" s="42">
        <f t="shared" si="19"/>
        <v>10444</v>
      </c>
      <c r="AD29" s="41">
        <f t="shared" si="18"/>
        <v>40</v>
      </c>
      <c r="AE29" s="41">
        <f>(S29+V29+Y29+AB29)/4</f>
        <v>76.25</v>
      </c>
    </row>
    <row r="30" spans="1:31" ht="32.25" customHeight="1" x14ac:dyDescent="0.3">
      <c r="A30" s="43">
        <v>43765</v>
      </c>
      <c r="B30" s="44">
        <v>73</v>
      </c>
      <c r="C30" s="42">
        <f t="shared" si="14"/>
        <v>5</v>
      </c>
      <c r="D30" s="44">
        <v>75</v>
      </c>
      <c r="E30" s="42">
        <f t="shared" si="16"/>
        <v>6</v>
      </c>
      <c r="F30" s="44">
        <v>75</v>
      </c>
      <c r="G30" s="42">
        <f t="shared" si="17"/>
        <v>4</v>
      </c>
      <c r="H30" s="44">
        <v>75</v>
      </c>
      <c r="I30" s="42">
        <f t="shared" si="8"/>
        <v>1</v>
      </c>
      <c r="J30" s="42">
        <f t="shared" si="9"/>
        <v>298</v>
      </c>
      <c r="K30" s="42">
        <f t="shared" si="10"/>
        <v>74.5</v>
      </c>
      <c r="L30" s="42">
        <f t="shared" si="15"/>
        <v>4</v>
      </c>
      <c r="M30" s="42">
        <f t="shared" si="13"/>
        <v>24196</v>
      </c>
      <c r="N30" s="42">
        <f t="shared" si="3"/>
        <v>967.84</v>
      </c>
      <c r="O30" s="42">
        <f t="shared" si="4"/>
        <v>511.98736000000002</v>
      </c>
      <c r="P30" s="45">
        <f t="shared" si="5"/>
        <v>3903.9548187360001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>
        <f t="shared" si="19"/>
        <v>0</v>
      </c>
      <c r="AD30" s="41">
        <f t="shared" si="18"/>
        <v>0</v>
      </c>
      <c r="AE30" s="41">
        <f t="shared" ref="AE30:AE42" si="20">(S30+V30+Y30+AB30)/4</f>
        <v>0</v>
      </c>
    </row>
    <row r="31" spans="1:31" ht="32.25" customHeight="1" x14ac:dyDescent="0.3">
      <c r="A31" s="43">
        <v>43766</v>
      </c>
      <c r="B31" s="44">
        <v>68</v>
      </c>
      <c r="C31" s="42">
        <f t="shared" si="14"/>
        <v>4</v>
      </c>
      <c r="D31" s="44">
        <v>69</v>
      </c>
      <c r="E31" s="42">
        <f t="shared" si="16"/>
        <v>5</v>
      </c>
      <c r="F31" s="44">
        <v>71</v>
      </c>
      <c r="G31" s="42">
        <f>IF(AC31&gt;0,((F31-X31)+(Y31-F32)),IF(F32=0, ,(F31-F32)))</f>
        <v>3</v>
      </c>
      <c r="H31" s="44">
        <v>74</v>
      </c>
      <c r="I31" s="42">
        <f t="shared" si="8"/>
        <v>6</v>
      </c>
      <c r="J31" s="42">
        <f t="shared" si="9"/>
        <v>282</v>
      </c>
      <c r="K31" s="42">
        <f t="shared" si="10"/>
        <v>70.5</v>
      </c>
      <c r="L31" s="42">
        <f t="shared" si="15"/>
        <v>4.5</v>
      </c>
      <c r="M31" s="42">
        <f t="shared" si="13"/>
        <v>24196</v>
      </c>
      <c r="N31" s="42">
        <f t="shared" si="3"/>
        <v>1088.82</v>
      </c>
      <c r="O31" s="42">
        <f t="shared" si="4"/>
        <v>575.98577999999998</v>
      </c>
      <c r="P31" s="45">
        <f t="shared" si="5"/>
        <v>4391.9491710779994</v>
      </c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>
        <f t="shared" si="19"/>
        <v>0</v>
      </c>
      <c r="AD31" s="41">
        <f t="shared" si="18"/>
        <v>0</v>
      </c>
      <c r="AE31" s="41">
        <f t="shared" si="20"/>
        <v>0</v>
      </c>
    </row>
    <row r="32" spans="1:31" ht="32.25" customHeight="1" x14ac:dyDescent="0.3">
      <c r="A32" s="43">
        <v>43767</v>
      </c>
      <c r="B32" s="44">
        <v>64</v>
      </c>
      <c r="C32" s="42">
        <f t="shared" si="14"/>
        <v>4</v>
      </c>
      <c r="D32" s="44">
        <v>64</v>
      </c>
      <c r="E32" s="42">
        <f t="shared" si="16"/>
        <v>4</v>
      </c>
      <c r="F32" s="44">
        <v>68</v>
      </c>
      <c r="G32" s="42">
        <f t="shared" si="17"/>
        <v>5</v>
      </c>
      <c r="H32" s="44">
        <v>68</v>
      </c>
      <c r="I32" s="42">
        <f t="shared" si="8"/>
        <v>3</v>
      </c>
      <c r="J32" s="42">
        <f t="shared" si="9"/>
        <v>264</v>
      </c>
      <c r="K32" s="42">
        <f t="shared" si="10"/>
        <v>66</v>
      </c>
      <c r="L32" s="42">
        <f t="shared" si="15"/>
        <v>4</v>
      </c>
      <c r="M32" s="42">
        <f t="shared" si="13"/>
        <v>24196</v>
      </c>
      <c r="N32" s="42">
        <f t="shared" si="3"/>
        <v>967.84</v>
      </c>
      <c r="O32" s="42">
        <f t="shared" si="4"/>
        <v>511.98736000000002</v>
      </c>
      <c r="P32" s="45">
        <f t="shared" si="5"/>
        <v>3903.9548187360001</v>
      </c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>
        <f>Q32+T32+W32+Z32</f>
        <v>0</v>
      </c>
      <c r="AD32" s="41">
        <f t="shared" si="18"/>
        <v>0</v>
      </c>
      <c r="AE32" s="41">
        <f t="shared" si="20"/>
        <v>0</v>
      </c>
    </row>
    <row r="33" spans="1:31" ht="32.25" customHeight="1" x14ac:dyDescent="0.3">
      <c r="A33" s="43">
        <v>43768</v>
      </c>
      <c r="B33" s="44">
        <v>60</v>
      </c>
      <c r="C33" s="42">
        <f t="shared" si="14"/>
        <v>5</v>
      </c>
      <c r="D33" s="44">
        <v>60</v>
      </c>
      <c r="E33" s="42">
        <f t="shared" si="16"/>
        <v>5</v>
      </c>
      <c r="F33" s="44">
        <v>63</v>
      </c>
      <c r="G33" s="42">
        <f t="shared" si="17"/>
        <v>3</v>
      </c>
      <c r="H33" s="44">
        <v>65</v>
      </c>
      <c r="I33" s="42">
        <f t="shared" si="8"/>
        <v>6</v>
      </c>
      <c r="J33" s="42">
        <f t="shared" si="9"/>
        <v>248</v>
      </c>
      <c r="K33" s="42">
        <f t="shared" si="10"/>
        <v>62</v>
      </c>
      <c r="L33" s="42">
        <f t="shared" si="15"/>
        <v>4.75</v>
      </c>
      <c r="M33" s="42">
        <f t="shared" si="13"/>
        <v>24196</v>
      </c>
      <c r="N33" s="42">
        <f t="shared" si="3"/>
        <v>1149.31</v>
      </c>
      <c r="O33" s="42">
        <f t="shared" si="4"/>
        <v>607.98499000000004</v>
      </c>
      <c r="P33" s="45">
        <f t="shared" si="5"/>
        <v>4635.9463472490006</v>
      </c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>
        <f>Q33+T33+W33+Z33</f>
        <v>0</v>
      </c>
      <c r="AD33" s="41">
        <f t="shared" si="18"/>
        <v>0</v>
      </c>
      <c r="AE33" s="41">
        <f t="shared" si="20"/>
        <v>0</v>
      </c>
    </row>
    <row r="34" spans="1:31" ht="32.25" customHeight="1" x14ac:dyDescent="0.3">
      <c r="A34" s="43">
        <v>43769</v>
      </c>
      <c r="B34" s="44">
        <v>55</v>
      </c>
      <c r="C34" s="42">
        <f t="shared" si="14"/>
        <v>5</v>
      </c>
      <c r="D34" s="44">
        <v>55</v>
      </c>
      <c r="E34" s="42">
        <f t="shared" si="16"/>
        <v>5</v>
      </c>
      <c r="F34" s="44">
        <v>60</v>
      </c>
      <c r="G34" s="42">
        <f t="shared" si="17"/>
        <v>5</v>
      </c>
      <c r="H34" s="44">
        <v>59</v>
      </c>
      <c r="I34" s="42">
        <f t="shared" si="8"/>
        <v>5</v>
      </c>
      <c r="J34" s="42">
        <f>B34+D34+F34+H34</f>
        <v>229</v>
      </c>
      <c r="K34" s="42">
        <f>J34/4</f>
        <v>57.25</v>
      </c>
      <c r="L34" s="42">
        <f>IF(AC34&gt;0,((K34-AD34)+(AE34-K35)),IF(K35=0, ,(K34-K35)))</f>
        <v>5</v>
      </c>
      <c r="M34" s="42">
        <f>6049*4</f>
        <v>24196</v>
      </c>
      <c r="N34" s="42">
        <f t="shared" si="3"/>
        <v>1209.8</v>
      </c>
      <c r="O34" s="42">
        <f t="shared" si="4"/>
        <v>639.98419999999999</v>
      </c>
      <c r="P34" s="45">
        <f t="shared" si="5"/>
        <v>4879.94352342</v>
      </c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>
        <f t="shared" si="19"/>
        <v>0</v>
      </c>
      <c r="AD34" s="41">
        <f t="shared" si="18"/>
        <v>0</v>
      </c>
      <c r="AE34" s="41">
        <f t="shared" si="20"/>
        <v>0</v>
      </c>
    </row>
    <row r="35" spans="1:31" ht="32.25" customHeight="1" x14ac:dyDescent="0.3">
      <c r="A35" s="43">
        <v>43770</v>
      </c>
      <c r="B35" s="44">
        <v>50</v>
      </c>
      <c r="C35" s="42">
        <f t="shared" si="14"/>
        <v>0</v>
      </c>
      <c r="D35" s="44">
        <v>50</v>
      </c>
      <c r="E35" s="42">
        <f t="shared" si="16"/>
        <v>0</v>
      </c>
      <c r="F35" s="44">
        <v>55</v>
      </c>
      <c r="G35" s="42">
        <f t="shared" si="17"/>
        <v>0</v>
      </c>
      <c r="H35" s="44">
        <v>54</v>
      </c>
      <c r="I35" s="42">
        <f t="shared" si="8"/>
        <v>0</v>
      </c>
      <c r="J35" s="42">
        <f>B35+D35+F35+H35</f>
        <v>209</v>
      </c>
      <c r="K35" s="42">
        <f>J35/4</f>
        <v>52.25</v>
      </c>
      <c r="L35" s="42">
        <f t="shared" si="15"/>
        <v>0</v>
      </c>
      <c r="M35" s="42">
        <f t="shared" si="13"/>
        <v>24196</v>
      </c>
      <c r="N35" s="42">
        <f t="shared" si="3"/>
        <v>0</v>
      </c>
      <c r="O35" s="42">
        <f t="shared" ref="O35:O37" si="21">N35*0.529</f>
        <v>0</v>
      </c>
      <c r="P35" s="45">
        <f t="shared" ref="P35:P39" si="22">O35*7.6251</f>
        <v>0</v>
      </c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>
        <f t="shared" si="19"/>
        <v>0</v>
      </c>
      <c r="AD35" s="41">
        <f t="shared" si="18"/>
        <v>0</v>
      </c>
      <c r="AE35" s="41">
        <f t="shared" si="20"/>
        <v>0</v>
      </c>
    </row>
    <row r="36" spans="1:31" ht="32.25" customHeight="1" x14ac:dyDescent="0.3">
      <c r="A36" s="43"/>
      <c r="B36" s="44"/>
      <c r="C36" s="42">
        <f>IF(AC36&gt;0,((B36-R36)+(S36-B37)),IF(B37=0, ,(B36-B37)))</f>
        <v>0</v>
      </c>
      <c r="D36" s="44"/>
      <c r="E36" s="42">
        <f t="shared" si="16"/>
        <v>0</v>
      </c>
      <c r="F36" s="44"/>
      <c r="G36" s="42">
        <f t="shared" si="17"/>
        <v>0</v>
      </c>
      <c r="H36" s="44"/>
      <c r="I36" s="42">
        <f t="shared" si="8"/>
        <v>0</v>
      </c>
      <c r="J36" s="42">
        <f t="shared" si="9"/>
        <v>0</v>
      </c>
      <c r="K36" s="42">
        <f t="shared" si="10"/>
        <v>0</v>
      </c>
      <c r="L36" s="42">
        <f t="shared" si="15"/>
        <v>0</v>
      </c>
      <c r="M36" s="42">
        <f t="shared" si="13"/>
        <v>24196</v>
      </c>
      <c r="N36" s="42">
        <f t="shared" ref="N36:N42" si="23">L36*M36/100</f>
        <v>0</v>
      </c>
      <c r="O36" s="42">
        <f t="shared" si="21"/>
        <v>0</v>
      </c>
      <c r="P36" s="45">
        <f t="shared" si="22"/>
        <v>0</v>
      </c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>
        <f t="shared" si="19"/>
        <v>0</v>
      </c>
      <c r="AD36" s="41">
        <f t="shared" si="18"/>
        <v>0</v>
      </c>
      <c r="AE36" s="41">
        <f t="shared" si="20"/>
        <v>0</v>
      </c>
    </row>
    <row r="37" spans="1:31" ht="32.25" customHeight="1" x14ac:dyDescent="0.3">
      <c r="A37" s="43"/>
      <c r="B37" s="44"/>
      <c r="C37" s="42">
        <f t="shared" ref="C37:C42" si="24">IF(AC37&gt;0,((B37-R37)+(S37-B38)),IF(B38=0, ,(B37-B38)))</f>
        <v>0</v>
      </c>
      <c r="D37" s="44"/>
      <c r="E37" s="42">
        <f>IF(AC37:AC60&gt;0,((D37-U37)+(V37-D38)),IF(D38=0, ,(D37-D38)))</f>
        <v>0</v>
      </c>
      <c r="F37" s="44"/>
      <c r="G37" s="42">
        <f t="shared" ref="G37:G42" si="25">IF(AC37&gt;0,((F37-X37)+(Y37-F38)),IF(F38=0, ,(F37-F38)))</f>
        <v>0</v>
      </c>
      <c r="H37" s="44"/>
      <c r="I37" s="42">
        <f t="shared" ref="I37:I42" si="26">IF(AC37&gt;0,((H37-AA37)+(AB37-H38)),IF(H38=0, ,(H37-H38)))</f>
        <v>0</v>
      </c>
      <c r="J37" s="42">
        <f t="shared" si="9"/>
        <v>0</v>
      </c>
      <c r="K37" s="42">
        <f t="shared" si="10"/>
        <v>0</v>
      </c>
      <c r="L37" s="42">
        <f t="shared" si="15"/>
        <v>0</v>
      </c>
      <c r="M37" s="42">
        <f t="shared" si="13"/>
        <v>24196</v>
      </c>
      <c r="N37" s="42">
        <f t="shared" si="23"/>
        <v>0</v>
      </c>
      <c r="O37" s="42">
        <f t="shared" si="21"/>
        <v>0</v>
      </c>
      <c r="P37" s="45">
        <f t="shared" si="22"/>
        <v>0</v>
      </c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>
        <f t="shared" si="19"/>
        <v>0</v>
      </c>
      <c r="AD37" s="41">
        <f t="shared" si="18"/>
        <v>0</v>
      </c>
      <c r="AE37" s="41">
        <f t="shared" si="20"/>
        <v>0</v>
      </c>
    </row>
    <row r="38" spans="1:31" ht="32.25" customHeight="1" x14ac:dyDescent="0.3">
      <c r="A38" s="43"/>
      <c r="B38" s="44"/>
      <c r="C38" s="42">
        <f t="shared" si="24"/>
        <v>0</v>
      </c>
      <c r="D38" s="44"/>
      <c r="E38" s="42">
        <f>IF(AC38:AC61&gt;0,((D38-U38)+(V38-D39)),IF(D39=0, ,(D38-D39)))</f>
        <v>0</v>
      </c>
      <c r="F38" s="44"/>
      <c r="G38" s="42">
        <f t="shared" si="25"/>
        <v>0</v>
      </c>
      <c r="H38" s="44"/>
      <c r="I38" s="42">
        <f t="shared" si="26"/>
        <v>0</v>
      </c>
      <c r="J38" s="42">
        <f t="shared" si="9"/>
        <v>0</v>
      </c>
      <c r="K38" s="42">
        <f t="shared" si="10"/>
        <v>0</v>
      </c>
      <c r="L38" s="42">
        <f t="shared" si="15"/>
        <v>0</v>
      </c>
      <c r="M38" s="42">
        <f t="shared" si="13"/>
        <v>24196</v>
      </c>
      <c r="N38" s="42">
        <f t="shared" si="23"/>
        <v>0</v>
      </c>
      <c r="O38" s="42">
        <f>N38*0.53</f>
        <v>0</v>
      </c>
      <c r="P38" s="45">
        <f t="shared" si="22"/>
        <v>0</v>
      </c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>
        <f t="shared" si="19"/>
        <v>0</v>
      </c>
      <c r="AD38" s="41">
        <f t="shared" si="18"/>
        <v>0</v>
      </c>
      <c r="AE38" s="41">
        <f t="shared" si="20"/>
        <v>0</v>
      </c>
    </row>
    <row r="39" spans="1:31" ht="32.25" customHeight="1" x14ac:dyDescent="0.3">
      <c r="A39" s="43"/>
      <c r="B39" s="44"/>
      <c r="C39" s="42">
        <f t="shared" si="24"/>
        <v>0</v>
      </c>
      <c r="D39" s="44"/>
      <c r="E39" s="42">
        <f>IF(AC39&gt;0,((D39-U39)+(V39-D40)),IF(D40=0, ,(D39-D40)))</f>
        <v>0</v>
      </c>
      <c r="F39" s="44"/>
      <c r="G39" s="42">
        <f t="shared" si="25"/>
        <v>0</v>
      </c>
      <c r="H39" s="44"/>
      <c r="I39" s="42">
        <f t="shared" si="26"/>
        <v>0</v>
      </c>
      <c r="J39" s="42">
        <f t="shared" si="9"/>
        <v>0</v>
      </c>
      <c r="K39" s="42">
        <f t="shared" si="10"/>
        <v>0</v>
      </c>
      <c r="L39" s="42">
        <f t="shared" si="15"/>
        <v>0</v>
      </c>
      <c r="M39" s="42">
        <f t="shared" si="13"/>
        <v>24196</v>
      </c>
      <c r="N39" s="42">
        <f t="shared" si="23"/>
        <v>0</v>
      </c>
      <c r="O39" s="42">
        <f>N39*0.53</f>
        <v>0</v>
      </c>
      <c r="P39" s="45">
        <f t="shared" si="22"/>
        <v>0</v>
      </c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>
        <f t="shared" si="19"/>
        <v>0</v>
      </c>
      <c r="AD39" s="41">
        <f t="shared" si="18"/>
        <v>0</v>
      </c>
      <c r="AE39" s="41">
        <f t="shared" si="20"/>
        <v>0</v>
      </c>
    </row>
    <row r="40" spans="1:31" ht="32.25" customHeight="1" x14ac:dyDescent="0.3">
      <c r="A40" s="43"/>
      <c r="B40" s="44"/>
      <c r="C40" s="42">
        <f t="shared" si="24"/>
        <v>0</v>
      </c>
      <c r="D40" s="44"/>
      <c r="E40" s="42">
        <f>IF(AC40&gt;0,((D40-U40)+(V40-D41)),IF(D41=0, ,(D40-D41)))</f>
        <v>0</v>
      </c>
      <c r="F40" s="44"/>
      <c r="G40" s="42">
        <f t="shared" si="25"/>
        <v>0</v>
      </c>
      <c r="H40" s="44"/>
      <c r="I40" s="42">
        <f t="shared" si="26"/>
        <v>0</v>
      </c>
      <c r="J40" s="42">
        <f t="shared" si="9"/>
        <v>0</v>
      </c>
      <c r="K40" s="42">
        <f t="shared" si="10"/>
        <v>0</v>
      </c>
      <c r="L40" s="42">
        <f t="shared" si="15"/>
        <v>0</v>
      </c>
      <c r="M40" s="42">
        <f t="shared" si="13"/>
        <v>24196</v>
      </c>
      <c r="N40" s="42">
        <f t="shared" si="23"/>
        <v>0</v>
      </c>
      <c r="O40" s="42">
        <f>N40*0.53</f>
        <v>0</v>
      </c>
      <c r="P40" s="45">
        <f>O40*8</f>
        <v>0</v>
      </c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>
        <f t="shared" si="19"/>
        <v>0</v>
      </c>
      <c r="AD40" s="41">
        <f t="shared" si="18"/>
        <v>0</v>
      </c>
      <c r="AE40" s="41">
        <f t="shared" si="20"/>
        <v>0</v>
      </c>
    </row>
    <row r="41" spans="1:31" ht="32.25" customHeight="1" x14ac:dyDescent="0.3">
      <c r="A41" s="43"/>
      <c r="B41" s="44"/>
      <c r="C41" s="42">
        <f t="shared" si="24"/>
        <v>0</v>
      </c>
      <c r="D41" s="44"/>
      <c r="E41" s="42">
        <f>IF(AC41&gt;0,((D41-U41)+(V41-D42)),IF(D42=0, ,(D41-D42)))</f>
        <v>0</v>
      </c>
      <c r="F41" s="44"/>
      <c r="G41" s="42">
        <f t="shared" si="25"/>
        <v>0</v>
      </c>
      <c r="H41" s="44"/>
      <c r="I41" s="42">
        <f t="shared" si="26"/>
        <v>0</v>
      </c>
      <c r="J41" s="42">
        <f t="shared" si="9"/>
        <v>0</v>
      </c>
      <c r="K41" s="42">
        <f t="shared" si="10"/>
        <v>0</v>
      </c>
      <c r="L41" s="42">
        <f t="shared" si="15"/>
        <v>0</v>
      </c>
      <c r="M41" s="42">
        <f t="shared" si="13"/>
        <v>24196</v>
      </c>
      <c r="N41" s="42">
        <f t="shared" si="23"/>
        <v>0</v>
      </c>
      <c r="O41" s="42">
        <f>N41*0.53</f>
        <v>0</v>
      </c>
      <c r="P41" s="45">
        <f>O41*8</f>
        <v>0</v>
      </c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>
        <f t="shared" si="19"/>
        <v>0</v>
      </c>
      <c r="AD41" s="41">
        <f t="shared" si="18"/>
        <v>0</v>
      </c>
      <c r="AE41" s="41">
        <f t="shared" si="20"/>
        <v>0</v>
      </c>
    </row>
    <row r="42" spans="1:31" ht="32.25" customHeight="1" x14ac:dyDescent="0.3">
      <c r="A42" s="43"/>
      <c r="B42" s="44"/>
      <c r="C42" s="42">
        <f t="shared" si="24"/>
        <v>0</v>
      </c>
      <c r="D42" s="44"/>
      <c r="E42" s="42">
        <f>IF(AC42&gt;0,((D42-U42)+(V42-D43)),IF(D43=0, ,(D42-D43)))</f>
        <v>0</v>
      </c>
      <c r="F42" s="44"/>
      <c r="G42" s="42">
        <f t="shared" si="25"/>
        <v>0</v>
      </c>
      <c r="H42" s="44"/>
      <c r="I42" s="42">
        <f t="shared" si="26"/>
        <v>0</v>
      </c>
      <c r="J42" s="42">
        <f t="shared" si="9"/>
        <v>0</v>
      </c>
      <c r="K42" s="42">
        <f t="shared" si="10"/>
        <v>0</v>
      </c>
      <c r="L42" s="42">
        <f t="shared" si="15"/>
        <v>0</v>
      </c>
      <c r="M42" s="42">
        <f t="shared" si="13"/>
        <v>24196</v>
      </c>
      <c r="N42" s="42">
        <f t="shared" si="23"/>
        <v>0</v>
      </c>
      <c r="O42" s="42">
        <f>N42*0.53</f>
        <v>0</v>
      </c>
      <c r="P42" s="45">
        <f>O42*8</f>
        <v>0</v>
      </c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>
        <f t="shared" si="19"/>
        <v>0</v>
      </c>
      <c r="AD42" s="41">
        <f t="shared" si="18"/>
        <v>0</v>
      </c>
      <c r="AE42" s="41">
        <f t="shared" si="20"/>
        <v>0</v>
      </c>
    </row>
    <row r="43" spans="1:31" ht="32.25" customHeight="1" thickBot="1" x14ac:dyDescent="0.3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2">
        <f>SUM(N4:N42)</f>
        <v>29640.100000000002</v>
      </c>
      <c r="O43" s="42">
        <f>N43*0.529</f>
        <v>15679.612900000002</v>
      </c>
      <c r="P43" s="45">
        <f>O43*7.6251</f>
        <v>119558.61632379</v>
      </c>
      <c r="Q43" s="296">
        <f>SUM(Q4:Q42)</f>
        <v>8764</v>
      </c>
      <c r="R43" s="297"/>
      <c r="S43" s="298"/>
      <c r="T43" s="299">
        <f>SUM(T4:T42)</f>
        <v>8442</v>
      </c>
      <c r="U43" s="297"/>
      <c r="V43" s="298"/>
      <c r="W43" s="299">
        <f>SUM(W4:W42)</f>
        <v>7927</v>
      </c>
      <c r="X43" s="297"/>
      <c r="Y43" s="298"/>
      <c r="Z43" s="299">
        <f>SUM(Z4:Z42)</f>
        <v>7981</v>
      </c>
      <c r="AA43" s="297"/>
      <c r="AB43" s="298"/>
      <c r="AC43" s="42">
        <f t="shared" si="19"/>
        <v>33114</v>
      </c>
    </row>
    <row r="44" spans="1:31" ht="35.25" customHeight="1" thickBot="1" x14ac:dyDescent="0.35">
      <c r="B44" s="305"/>
      <c r="C44" s="306"/>
      <c r="D44" s="306"/>
      <c r="E44" s="306"/>
      <c r="F44" s="306"/>
      <c r="G44" s="306"/>
      <c r="H44" s="306"/>
      <c r="I44" s="307"/>
      <c r="J44" s="40"/>
      <c r="K44" s="40"/>
      <c r="L44" s="40"/>
      <c r="M44" s="40"/>
      <c r="N44" s="40"/>
      <c r="O44" s="40"/>
      <c r="P44" s="40"/>
      <c r="Q44" s="308">
        <f>Q43+T43+W43+Z43</f>
        <v>33114</v>
      </c>
      <c r="R44" s="309"/>
      <c r="S44" s="309"/>
      <c r="T44" s="309"/>
      <c r="U44" s="309"/>
      <c r="V44" s="309"/>
      <c r="W44" s="309"/>
      <c r="X44" s="309"/>
      <c r="Y44" s="309"/>
      <c r="Z44" s="309"/>
      <c r="AA44" s="309"/>
      <c r="AB44" s="310"/>
      <c r="AC44" s="42">
        <f>Q44+T44+W44+Z44</f>
        <v>33114</v>
      </c>
    </row>
    <row r="45" spans="1:31" ht="7.5" customHeight="1" thickBot="1" x14ac:dyDescent="0.35">
      <c r="D45" s="39" t="s">
        <v>18</v>
      </c>
    </row>
    <row r="46" spans="1:31" ht="51" customHeight="1" thickBot="1" x14ac:dyDescent="0.35">
      <c r="H46" s="40"/>
      <c r="I46" s="40"/>
      <c r="J46" s="40"/>
      <c r="K46" s="46" t="s">
        <v>83</v>
      </c>
      <c r="L46" s="47" t="s">
        <v>84</v>
      </c>
      <c r="M46" s="47" t="s">
        <v>85</v>
      </c>
    </row>
    <row r="47" spans="1:31" ht="48" customHeight="1" thickBot="1" x14ac:dyDescent="0.35">
      <c r="H47" s="292" t="s">
        <v>86</v>
      </c>
      <c r="I47" s="293"/>
      <c r="J47" s="294"/>
      <c r="K47" s="48">
        <f>N43</f>
        <v>29640.100000000002</v>
      </c>
      <c r="L47" s="49">
        <f>O43</f>
        <v>15679.612900000002</v>
      </c>
      <c r="M47" s="49">
        <f>P43</f>
        <v>119558.61632379</v>
      </c>
    </row>
    <row r="48" spans="1:31" ht="54.75" customHeight="1" thickBot="1" x14ac:dyDescent="0.35">
      <c r="H48" s="292" t="s">
        <v>87</v>
      </c>
      <c r="I48" s="293"/>
      <c r="J48" s="294"/>
      <c r="K48" s="46">
        <f>AC44</f>
        <v>33114</v>
      </c>
      <c r="L48" s="47">
        <f>K48*0.529</f>
        <v>17517.306</v>
      </c>
      <c r="M48" s="47">
        <f>L48*7.6251</f>
        <v>133571.20998059999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81"/>
      <c r="B1" s="283"/>
      <c r="C1" s="311" t="s">
        <v>88</v>
      </c>
      <c r="D1" s="312"/>
      <c r="E1" s="312"/>
      <c r="F1" s="312"/>
      <c r="G1" s="312"/>
      <c r="H1" s="317" t="s">
        <v>89</v>
      </c>
      <c r="I1" s="318"/>
      <c r="J1" s="319"/>
    </row>
    <row r="2" spans="1:10" ht="16.5" customHeight="1" thickBot="1" x14ac:dyDescent="0.25">
      <c r="A2" s="284"/>
      <c r="B2" s="286"/>
      <c r="C2" s="313"/>
      <c r="D2" s="314"/>
      <c r="E2" s="314"/>
      <c r="F2" s="314"/>
      <c r="G2" s="314"/>
      <c r="H2" s="320"/>
      <c r="I2" s="321"/>
      <c r="J2" s="322"/>
    </row>
    <row r="3" spans="1:10" ht="15" customHeight="1" x14ac:dyDescent="0.2">
      <c r="A3" s="284"/>
      <c r="B3" s="286"/>
      <c r="C3" s="313"/>
      <c r="D3" s="314"/>
      <c r="E3" s="314"/>
      <c r="F3" s="314"/>
      <c r="G3" s="314"/>
      <c r="H3" s="323" t="s">
        <v>90</v>
      </c>
      <c r="I3" s="324"/>
      <c r="J3" s="325"/>
    </row>
    <row r="4" spans="1:10" ht="15.75" customHeight="1" thickBot="1" x14ac:dyDescent="0.25">
      <c r="A4" s="287"/>
      <c r="B4" s="289"/>
      <c r="C4" s="315"/>
      <c r="D4" s="316"/>
      <c r="E4" s="316"/>
      <c r="F4" s="316"/>
      <c r="G4" s="316"/>
      <c r="H4" s="326"/>
      <c r="I4" s="327"/>
      <c r="J4" s="328"/>
    </row>
    <row r="6" spans="1:10" ht="33" customHeight="1" thickBot="1" x14ac:dyDescent="0.25"/>
    <row r="7" spans="1:10" ht="36.75" thickTop="1" x14ac:dyDescent="0.2">
      <c r="A7" s="329" t="s">
        <v>91</v>
      </c>
      <c r="B7" s="329"/>
      <c r="C7" s="330" t="s">
        <v>92</v>
      </c>
      <c r="D7" s="331"/>
      <c r="E7" s="68" t="s">
        <v>93</v>
      </c>
      <c r="F7" s="68" t="s">
        <v>94</v>
      </c>
      <c r="G7" s="68" t="s">
        <v>95</v>
      </c>
      <c r="H7" s="68" t="s">
        <v>96</v>
      </c>
      <c r="I7" s="332" t="s">
        <v>97</v>
      </c>
      <c r="J7" s="333"/>
    </row>
    <row r="8" spans="1:10" x14ac:dyDescent="0.2">
      <c r="A8" s="334">
        <v>95670781</v>
      </c>
      <c r="B8" s="334"/>
      <c r="C8" s="335">
        <v>43736</v>
      </c>
      <c r="D8" s="336"/>
      <c r="E8" s="125">
        <v>43766</v>
      </c>
      <c r="F8" s="69" t="s">
        <v>98</v>
      </c>
      <c r="G8" s="70"/>
      <c r="H8" s="70"/>
      <c r="I8" s="337"/>
      <c r="J8" s="338"/>
    </row>
    <row r="10" spans="1:10" ht="23.25" customHeight="1" thickBot="1" x14ac:dyDescent="0.25"/>
    <row r="11" spans="1:10" ht="24.75" customHeight="1" thickTop="1" x14ac:dyDescent="0.2">
      <c r="A11" s="339" t="s">
        <v>99</v>
      </c>
      <c r="B11" s="339"/>
      <c r="C11" s="340" t="s">
        <v>100</v>
      </c>
      <c r="D11" s="341"/>
      <c r="E11" s="339" t="s">
        <v>101</v>
      </c>
      <c r="F11" s="339"/>
      <c r="G11" s="340" t="s">
        <v>102</v>
      </c>
      <c r="H11" s="341"/>
      <c r="I11" s="342" t="s">
        <v>103</v>
      </c>
      <c r="J11" s="342"/>
    </row>
    <row r="12" spans="1:10" x14ac:dyDescent="0.2">
      <c r="A12" s="334" t="s">
        <v>104</v>
      </c>
      <c r="B12" s="334"/>
      <c r="C12" s="334">
        <v>3750</v>
      </c>
      <c r="D12" s="334"/>
      <c r="E12" s="334">
        <v>1000</v>
      </c>
      <c r="F12" s="334"/>
      <c r="G12" s="346">
        <v>1069</v>
      </c>
      <c r="H12" s="346"/>
      <c r="I12" s="347"/>
      <c r="J12" s="347"/>
    </row>
    <row r="13" spans="1:10" x14ac:dyDescent="0.2">
      <c r="A13" s="348"/>
      <c r="B13" s="349"/>
      <c r="C13" s="349"/>
      <c r="D13" s="349"/>
      <c r="E13" s="349"/>
      <c r="F13" s="349"/>
      <c r="G13" s="349"/>
      <c r="H13" s="349"/>
      <c r="I13" s="349"/>
      <c r="J13" s="349"/>
    </row>
    <row r="15" spans="1:10" ht="13.5" thickBot="1" x14ac:dyDescent="0.25"/>
    <row r="16" spans="1:10" ht="26.25" thickTop="1" x14ac:dyDescent="0.2">
      <c r="A16" s="339" t="s">
        <v>105</v>
      </c>
      <c r="B16" s="339"/>
      <c r="C16" s="72" t="s">
        <v>106</v>
      </c>
      <c r="D16" s="73" t="s">
        <v>107</v>
      </c>
      <c r="E16" s="73" t="s">
        <v>48</v>
      </c>
      <c r="F16" s="73" t="s">
        <v>108</v>
      </c>
      <c r="G16" s="343" t="s">
        <v>109</v>
      </c>
      <c r="H16" s="343"/>
      <c r="I16" s="344" t="s">
        <v>110</v>
      </c>
      <c r="J16" s="345"/>
    </row>
    <row r="17" spans="1:10" x14ac:dyDescent="0.2">
      <c r="A17" s="350" t="s">
        <v>111</v>
      </c>
      <c r="B17" s="351"/>
      <c r="C17" s="75">
        <v>15200373</v>
      </c>
      <c r="D17" s="75">
        <v>14933283</v>
      </c>
      <c r="E17" s="76">
        <f>MIN(C17-D17)</f>
        <v>267090</v>
      </c>
      <c r="F17" s="76">
        <f>+E17</f>
        <v>267090</v>
      </c>
      <c r="G17" s="352"/>
      <c r="H17" s="353"/>
      <c r="I17" s="352">
        <f>+E17</f>
        <v>267090</v>
      </c>
      <c r="J17" s="353"/>
    </row>
    <row r="18" spans="1:10" x14ac:dyDescent="0.2">
      <c r="A18" s="350" t="s">
        <v>112</v>
      </c>
      <c r="B18" s="351"/>
      <c r="C18" s="75">
        <v>8988644</v>
      </c>
      <c r="D18" s="75">
        <v>8831469</v>
      </c>
      <c r="E18" s="76">
        <f>MIN(C18-D18)</f>
        <v>157175</v>
      </c>
      <c r="F18" s="76">
        <f>+E18</f>
        <v>157175</v>
      </c>
      <c r="G18" s="352"/>
      <c r="H18" s="353"/>
      <c r="I18" s="352">
        <f>+E18</f>
        <v>157175</v>
      </c>
      <c r="J18" s="353"/>
    </row>
    <row r="19" spans="1:10" x14ac:dyDescent="0.2">
      <c r="A19" s="350" t="s">
        <v>113</v>
      </c>
      <c r="B19" s="351"/>
      <c r="C19" s="75">
        <v>6737677</v>
      </c>
      <c r="D19" s="75">
        <v>6619302</v>
      </c>
      <c r="E19" s="76">
        <f>AVERAGE(C19-D19)</f>
        <v>118375</v>
      </c>
      <c r="F19" s="76">
        <f>+E19</f>
        <v>118375</v>
      </c>
      <c r="G19" s="352"/>
      <c r="H19" s="353"/>
      <c r="I19" s="352">
        <f>+E19</f>
        <v>118375</v>
      </c>
      <c r="J19" s="353"/>
    </row>
    <row r="20" spans="1:10" ht="15" x14ac:dyDescent="0.25">
      <c r="A20" s="354" t="s">
        <v>114</v>
      </c>
      <c r="B20" s="355"/>
      <c r="C20" s="77"/>
      <c r="D20" s="78"/>
      <c r="E20" s="77">
        <f>SUM(E17:E19)</f>
        <v>542640</v>
      </c>
      <c r="F20" s="79"/>
      <c r="G20" s="356"/>
      <c r="H20" s="357"/>
      <c r="I20" s="356"/>
      <c r="J20" s="357"/>
    </row>
    <row r="21" spans="1:10" x14ac:dyDescent="0.2">
      <c r="C21" s="121" t="s">
        <v>18</v>
      </c>
      <c r="D21" t="s">
        <v>115</v>
      </c>
      <c r="G21" s="363"/>
      <c r="H21" s="363"/>
    </row>
    <row r="22" spans="1:10" ht="13.5" thickBot="1" x14ac:dyDescent="0.25">
      <c r="G22" s="364"/>
      <c r="H22" s="364"/>
    </row>
    <row r="23" spans="1:10" ht="13.5" thickTop="1" x14ac:dyDescent="0.2">
      <c r="A23" s="365" t="s">
        <v>116</v>
      </c>
      <c r="B23" s="366"/>
      <c r="C23" s="367"/>
      <c r="D23" s="339" t="s">
        <v>117</v>
      </c>
      <c r="E23" s="339" t="s">
        <v>118</v>
      </c>
      <c r="F23" s="372" t="s">
        <v>119</v>
      </c>
      <c r="G23" s="374" t="s">
        <v>120</v>
      </c>
      <c r="H23" s="374"/>
      <c r="I23" s="375" t="s">
        <v>121</v>
      </c>
      <c r="J23" s="375"/>
    </row>
    <row r="24" spans="1:10" x14ac:dyDescent="0.2">
      <c r="A24" s="368"/>
      <c r="B24" s="369"/>
      <c r="C24" s="370"/>
      <c r="D24" s="371"/>
      <c r="E24" s="371"/>
      <c r="F24" s="373"/>
      <c r="G24" s="114" t="s">
        <v>122</v>
      </c>
      <c r="H24" s="80" t="s">
        <v>123</v>
      </c>
      <c r="I24" s="375"/>
      <c r="J24" s="375"/>
    </row>
    <row r="25" spans="1:10" ht="15" x14ac:dyDescent="0.25">
      <c r="A25" s="376" t="s">
        <v>124</v>
      </c>
      <c r="B25" s="377"/>
      <c r="C25" s="378"/>
      <c r="D25" s="76">
        <f>+E17</f>
        <v>267090</v>
      </c>
      <c r="E25" s="81">
        <v>0.95140000000000002</v>
      </c>
      <c r="F25" s="82">
        <f>PRODUCT(D25*E25)</f>
        <v>254109.42600000001</v>
      </c>
      <c r="G25" s="71">
        <v>14</v>
      </c>
      <c r="H25" s="74">
        <f>PRODUCT(0.14,F25)</f>
        <v>35575.319640000002</v>
      </c>
      <c r="I25" s="361">
        <f>SUM(H25,F25)</f>
        <v>289684.74563999998</v>
      </c>
      <c r="J25" s="362"/>
    </row>
    <row r="26" spans="1:10" ht="15" x14ac:dyDescent="0.25">
      <c r="A26" s="358" t="s">
        <v>125</v>
      </c>
      <c r="B26" s="359"/>
      <c r="C26" s="360"/>
      <c r="D26" s="76">
        <f>+E18</f>
        <v>157175</v>
      </c>
      <c r="E26" s="83">
        <v>0.69850000000000001</v>
      </c>
      <c r="F26" s="82">
        <f>PRODUCT(D26*E26)</f>
        <v>109786.7375</v>
      </c>
      <c r="G26">
        <v>14</v>
      </c>
      <c r="H26" s="76">
        <f>PRODUCT(0.14,F26)</f>
        <v>15370.143250000001</v>
      </c>
      <c r="I26" s="361">
        <f t="shared" ref="I26:I31" si="0">SUM(H26,F26)</f>
        <v>125156.88075000001</v>
      </c>
      <c r="J26" s="362"/>
    </row>
    <row r="27" spans="1:10" ht="15" x14ac:dyDescent="0.25">
      <c r="A27" s="358" t="s">
        <v>126</v>
      </c>
      <c r="B27" s="359"/>
      <c r="C27" s="360"/>
      <c r="D27" s="76">
        <f>+E19</f>
        <v>118375</v>
      </c>
      <c r="E27" s="83">
        <v>1.3304</v>
      </c>
      <c r="F27" s="82">
        <f>PRODUCT(D27*E27)</f>
        <v>157486.1</v>
      </c>
      <c r="G27">
        <v>14</v>
      </c>
      <c r="H27" s="76">
        <f>PRODUCT(0.14,F27)</f>
        <v>22048.054000000004</v>
      </c>
      <c r="I27" s="361">
        <f>SUM(H27,F27)</f>
        <v>179534.15400000001</v>
      </c>
      <c r="J27" s="362"/>
    </row>
    <row r="28" spans="1:10" ht="15" x14ac:dyDescent="0.25">
      <c r="A28" s="358" t="s">
        <v>127</v>
      </c>
      <c r="B28" s="359"/>
      <c r="C28" s="360"/>
      <c r="D28" s="76">
        <v>1000</v>
      </c>
      <c r="E28" s="83">
        <v>43.88167</v>
      </c>
      <c r="F28" s="82">
        <f>PRODUCT(D28,E28)</f>
        <v>43881.67</v>
      </c>
      <c r="G28">
        <v>14</v>
      </c>
      <c r="H28" s="76">
        <f>PRODUCT(0.14,F28)</f>
        <v>6143.4338000000007</v>
      </c>
      <c r="I28" s="361">
        <f t="shared" si="0"/>
        <v>50025.103799999997</v>
      </c>
      <c r="J28" s="362"/>
    </row>
    <row r="29" spans="1:10" ht="15" x14ac:dyDescent="0.25">
      <c r="A29" s="387" t="s">
        <v>128</v>
      </c>
      <c r="B29" s="388"/>
      <c r="C29" s="389"/>
      <c r="D29" s="84">
        <f>G12-E12</f>
        <v>69</v>
      </c>
      <c r="E29" s="85">
        <f>E28*1.5</f>
        <v>65.822505000000007</v>
      </c>
      <c r="F29" s="86">
        <f>PRODUCT(D29,E29)</f>
        <v>4541.7528450000009</v>
      </c>
      <c r="G29" s="87">
        <v>14</v>
      </c>
      <c r="H29" s="84">
        <f>PRODUCT(0.14,F29)</f>
        <v>635.84539830000017</v>
      </c>
      <c r="I29" s="390">
        <f t="shared" si="0"/>
        <v>5177.5982433000008</v>
      </c>
      <c r="J29" s="391"/>
    </row>
    <row r="30" spans="1:10" ht="15" x14ac:dyDescent="0.25">
      <c r="A30" s="358" t="s">
        <v>129</v>
      </c>
      <c r="B30" s="359"/>
      <c r="C30" s="360"/>
      <c r="D30" s="76"/>
      <c r="E30" s="88"/>
      <c r="F30" s="82">
        <v>841</v>
      </c>
      <c r="G30">
        <v>20</v>
      </c>
      <c r="H30" s="89">
        <f>PRODUCT(F30,0.2)</f>
        <v>168.20000000000002</v>
      </c>
      <c r="I30" s="361">
        <f>SUM(H30,F30)</f>
        <v>1009.2</v>
      </c>
      <c r="J30" s="362"/>
    </row>
    <row r="31" spans="1:10" ht="15.75" thickBot="1" x14ac:dyDescent="0.3">
      <c r="A31" s="379" t="s">
        <v>130</v>
      </c>
      <c r="B31" s="380"/>
      <c r="C31" s="381"/>
      <c r="D31" s="90"/>
      <c r="E31" s="91"/>
      <c r="F31" s="82">
        <v>1492</v>
      </c>
      <c r="G31" s="79">
        <v>7</v>
      </c>
      <c r="H31" s="92">
        <f>PRODUCT(F31,0.07)</f>
        <v>104.44000000000001</v>
      </c>
      <c r="I31" s="361">
        <f t="shared" si="0"/>
        <v>1596.44</v>
      </c>
      <c r="J31" s="362"/>
    </row>
    <row r="32" spans="1:10" ht="21" x14ac:dyDescent="0.2">
      <c r="A32" s="382" t="s">
        <v>131</v>
      </c>
      <c r="B32" s="383"/>
      <c r="C32" s="383"/>
      <c r="D32" s="383"/>
      <c r="E32" s="383"/>
      <c r="F32" s="93">
        <f>SUM(F25:F31)</f>
        <v>572138.68634500005</v>
      </c>
      <c r="G32" s="94"/>
      <c r="H32" s="95"/>
      <c r="I32" s="386">
        <f>SUM(I25:J31)</f>
        <v>652184.1224332999</v>
      </c>
      <c r="J32" s="386"/>
    </row>
    <row r="33" spans="1:10" ht="21.75" thickBot="1" x14ac:dyDescent="0.25">
      <c r="A33" s="384"/>
      <c r="B33" s="385"/>
      <c r="C33" s="385"/>
      <c r="D33" s="385"/>
      <c r="E33" s="385"/>
      <c r="F33" s="96"/>
      <c r="G33" s="97"/>
      <c r="H33" s="98"/>
      <c r="I33" s="386"/>
      <c r="J33" s="386"/>
    </row>
  </sheetData>
  <mergeCells count="60"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A27:C27"/>
    <mergeCell ref="I27:J27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D19" sqref="D19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81"/>
      <c r="B1" s="283"/>
      <c r="C1" s="311" t="s">
        <v>88</v>
      </c>
      <c r="D1" s="312"/>
      <c r="E1" s="312"/>
      <c r="F1" s="312"/>
      <c r="G1" s="312"/>
      <c r="H1" s="317" t="s">
        <v>89</v>
      </c>
      <c r="I1" s="318"/>
      <c r="J1" s="319"/>
    </row>
    <row r="2" spans="1:10" ht="16.5" customHeight="1" thickBot="1" x14ac:dyDescent="0.25">
      <c r="A2" s="284"/>
      <c r="B2" s="286"/>
      <c r="C2" s="313"/>
      <c r="D2" s="314"/>
      <c r="E2" s="314"/>
      <c r="F2" s="314"/>
      <c r="G2" s="314"/>
      <c r="H2" s="320"/>
      <c r="I2" s="321"/>
      <c r="J2" s="322"/>
    </row>
    <row r="3" spans="1:10" ht="15" customHeight="1" x14ac:dyDescent="0.2">
      <c r="A3" s="284"/>
      <c r="B3" s="286"/>
      <c r="C3" s="313"/>
      <c r="D3" s="314"/>
      <c r="E3" s="314"/>
      <c r="F3" s="314"/>
      <c r="G3" s="314"/>
      <c r="H3" s="323" t="s">
        <v>90</v>
      </c>
      <c r="I3" s="324"/>
      <c r="J3" s="325"/>
    </row>
    <row r="4" spans="1:10" ht="15.75" customHeight="1" thickBot="1" x14ac:dyDescent="0.25">
      <c r="A4" s="287"/>
      <c r="B4" s="289"/>
      <c r="C4" s="315"/>
      <c r="D4" s="316"/>
      <c r="E4" s="316"/>
      <c r="F4" s="316"/>
      <c r="G4" s="316"/>
      <c r="H4" s="326"/>
      <c r="I4" s="327"/>
      <c r="J4" s="328"/>
    </row>
    <row r="6" spans="1:10" ht="33" customHeight="1" thickBot="1" x14ac:dyDescent="0.25"/>
    <row r="7" spans="1:10" ht="36.75" thickTop="1" x14ac:dyDescent="0.2">
      <c r="A7" s="329" t="s">
        <v>91</v>
      </c>
      <c r="B7" s="329"/>
      <c r="C7" s="330" t="s">
        <v>92</v>
      </c>
      <c r="D7" s="331"/>
      <c r="E7" s="68" t="s">
        <v>93</v>
      </c>
      <c r="F7" s="68" t="s">
        <v>94</v>
      </c>
      <c r="G7" s="68" t="s">
        <v>95</v>
      </c>
      <c r="H7" s="68" t="s">
        <v>96</v>
      </c>
      <c r="I7" s="332" t="s">
        <v>97</v>
      </c>
      <c r="J7" s="333"/>
    </row>
    <row r="8" spans="1:10" x14ac:dyDescent="0.2">
      <c r="A8" s="334">
        <v>95670781</v>
      </c>
      <c r="B8" s="334"/>
      <c r="C8" s="335">
        <v>43768</v>
      </c>
      <c r="D8" s="336"/>
      <c r="E8" s="125">
        <v>43769</v>
      </c>
      <c r="F8" s="69" t="s">
        <v>98</v>
      </c>
      <c r="G8" s="70"/>
      <c r="H8" s="70"/>
      <c r="I8" s="337"/>
      <c r="J8" s="338"/>
    </row>
    <row r="10" spans="1:10" ht="23.25" customHeight="1" thickBot="1" x14ac:dyDescent="0.25"/>
    <row r="11" spans="1:10" ht="24.75" customHeight="1" thickTop="1" x14ac:dyDescent="0.2">
      <c r="A11" s="339" t="s">
        <v>99</v>
      </c>
      <c r="B11" s="339"/>
      <c r="C11" s="340" t="s">
        <v>100</v>
      </c>
      <c r="D11" s="341"/>
      <c r="E11" s="339" t="s">
        <v>101</v>
      </c>
      <c r="F11" s="339"/>
      <c r="G11" s="340" t="s">
        <v>102</v>
      </c>
      <c r="H11" s="341"/>
      <c r="I11" s="342" t="s">
        <v>103</v>
      </c>
      <c r="J11" s="342"/>
    </row>
    <row r="12" spans="1:10" x14ac:dyDescent="0.2">
      <c r="A12" s="334" t="s">
        <v>104</v>
      </c>
      <c r="B12" s="334"/>
      <c r="C12" s="334">
        <v>3750</v>
      </c>
      <c r="D12" s="334"/>
      <c r="E12" s="334">
        <v>1000</v>
      </c>
      <c r="F12" s="334"/>
      <c r="G12" s="346">
        <v>1398</v>
      </c>
      <c r="H12" s="346"/>
      <c r="I12" s="347"/>
      <c r="J12" s="347"/>
    </row>
    <row r="13" spans="1:10" x14ac:dyDescent="0.2">
      <c r="A13" s="348"/>
      <c r="B13" s="349"/>
      <c r="C13" s="349"/>
      <c r="D13" s="349"/>
      <c r="E13" s="349"/>
      <c r="F13" s="349"/>
      <c r="G13" s="349"/>
      <c r="H13" s="349"/>
      <c r="I13" s="349"/>
      <c r="J13" s="349"/>
    </row>
    <row r="15" spans="1:10" ht="13.5" thickBot="1" x14ac:dyDescent="0.25"/>
    <row r="16" spans="1:10" ht="26.25" thickTop="1" x14ac:dyDescent="0.2">
      <c r="A16" s="339" t="s">
        <v>105</v>
      </c>
      <c r="B16" s="339"/>
      <c r="C16" s="72" t="s">
        <v>106</v>
      </c>
      <c r="D16" s="73" t="s">
        <v>107</v>
      </c>
      <c r="E16" s="73" t="s">
        <v>48</v>
      </c>
      <c r="F16" s="73" t="s">
        <v>108</v>
      </c>
      <c r="G16" s="343" t="s">
        <v>109</v>
      </c>
      <c r="H16" s="343"/>
      <c r="I16" s="344" t="s">
        <v>110</v>
      </c>
      <c r="J16" s="345"/>
    </row>
    <row r="17" spans="1:10" x14ac:dyDescent="0.2">
      <c r="A17" s="350" t="s">
        <v>111</v>
      </c>
      <c r="B17" s="351"/>
      <c r="C17" s="75">
        <v>15225765</v>
      </c>
      <c r="D17" s="75">
        <v>15216775</v>
      </c>
      <c r="E17" s="76">
        <f>MIN(C17-D17)</f>
        <v>8990</v>
      </c>
      <c r="F17" s="76">
        <f>+E17</f>
        <v>8990</v>
      </c>
      <c r="G17" s="352"/>
      <c r="H17" s="353"/>
      <c r="I17" s="352">
        <f>+E17</f>
        <v>8990</v>
      </c>
      <c r="J17" s="353"/>
    </row>
    <row r="18" spans="1:10" x14ac:dyDescent="0.2">
      <c r="A18" s="350" t="s">
        <v>112</v>
      </c>
      <c r="B18" s="351"/>
      <c r="C18" s="75">
        <v>9005389</v>
      </c>
      <c r="D18" s="75">
        <v>9000985</v>
      </c>
      <c r="E18" s="76">
        <f>MIN(C18-D18)</f>
        <v>4404</v>
      </c>
      <c r="F18" s="76">
        <f>+E18</f>
        <v>4404</v>
      </c>
      <c r="G18" s="352"/>
      <c r="H18" s="353"/>
      <c r="I18" s="352">
        <f>+E18</f>
        <v>4404</v>
      </c>
      <c r="J18" s="353"/>
    </row>
    <row r="19" spans="1:10" x14ac:dyDescent="0.2">
      <c r="A19" s="350" t="s">
        <v>113</v>
      </c>
      <c r="B19" s="351"/>
      <c r="C19" s="75">
        <v>6749644</v>
      </c>
      <c r="D19" s="75">
        <v>6745573</v>
      </c>
      <c r="E19" s="76">
        <f>AVERAGE(C19-D19)</f>
        <v>4071</v>
      </c>
      <c r="F19" s="76">
        <f>+E19</f>
        <v>4071</v>
      </c>
      <c r="G19" s="352"/>
      <c r="H19" s="353"/>
      <c r="I19" s="352">
        <f>+E19</f>
        <v>4071</v>
      </c>
      <c r="J19" s="353"/>
    </row>
    <row r="20" spans="1:10" ht="15" x14ac:dyDescent="0.25">
      <c r="A20" s="354" t="s">
        <v>114</v>
      </c>
      <c r="B20" s="355"/>
      <c r="C20" s="77"/>
      <c r="D20" s="78"/>
      <c r="E20" s="77">
        <f>SUM(E17:E19)</f>
        <v>17465</v>
      </c>
      <c r="F20" s="79"/>
      <c r="G20" s="356"/>
      <c r="H20" s="357"/>
      <c r="I20" s="356"/>
      <c r="J20" s="357"/>
    </row>
    <row r="21" spans="1:10" x14ac:dyDescent="0.2">
      <c r="C21" s="121" t="s">
        <v>18</v>
      </c>
      <c r="D21" t="s">
        <v>115</v>
      </c>
      <c r="G21" s="363"/>
      <c r="H21" s="363"/>
    </row>
    <row r="22" spans="1:10" ht="13.5" thickBot="1" x14ac:dyDescent="0.25">
      <c r="G22" s="364"/>
      <c r="H22" s="364"/>
    </row>
    <row r="23" spans="1:10" ht="13.5" thickTop="1" x14ac:dyDescent="0.2">
      <c r="A23" s="365" t="s">
        <v>116</v>
      </c>
      <c r="B23" s="366"/>
      <c r="C23" s="367"/>
      <c r="D23" s="339" t="s">
        <v>117</v>
      </c>
      <c r="E23" s="339" t="s">
        <v>118</v>
      </c>
      <c r="F23" s="372" t="s">
        <v>119</v>
      </c>
      <c r="G23" s="374" t="s">
        <v>120</v>
      </c>
      <c r="H23" s="374"/>
      <c r="I23" s="375" t="s">
        <v>121</v>
      </c>
      <c r="J23" s="375"/>
    </row>
    <row r="24" spans="1:10" x14ac:dyDescent="0.2">
      <c r="A24" s="368"/>
      <c r="B24" s="369"/>
      <c r="C24" s="370"/>
      <c r="D24" s="371"/>
      <c r="E24" s="371"/>
      <c r="F24" s="373"/>
      <c r="G24" s="114" t="s">
        <v>122</v>
      </c>
      <c r="H24" s="80" t="s">
        <v>123</v>
      </c>
      <c r="I24" s="375"/>
      <c r="J24" s="375"/>
    </row>
    <row r="25" spans="1:10" ht="15" x14ac:dyDescent="0.25">
      <c r="A25" s="376" t="s">
        <v>124</v>
      </c>
      <c r="B25" s="377"/>
      <c r="C25" s="378"/>
      <c r="D25" s="76">
        <f>+E17</f>
        <v>8990</v>
      </c>
      <c r="E25" s="81">
        <v>0.95140000000000002</v>
      </c>
      <c r="F25" s="82">
        <f>PRODUCT(D25*E25)</f>
        <v>8553.0859999999993</v>
      </c>
      <c r="G25" s="71">
        <v>14</v>
      </c>
      <c r="H25" s="74">
        <f>PRODUCT(0.14,F25)</f>
        <v>1197.4320399999999</v>
      </c>
      <c r="I25" s="361">
        <f>SUM(H25,F25)</f>
        <v>9750.518039999999</v>
      </c>
      <c r="J25" s="362"/>
    </row>
    <row r="26" spans="1:10" ht="15" x14ac:dyDescent="0.25">
      <c r="A26" s="358" t="s">
        <v>125</v>
      </c>
      <c r="B26" s="359"/>
      <c r="C26" s="360"/>
      <c r="D26" s="76">
        <f>+E18</f>
        <v>4404</v>
      </c>
      <c r="E26" s="83">
        <v>0.69850000000000001</v>
      </c>
      <c r="F26" s="82">
        <f>PRODUCT(D26*E26)</f>
        <v>3076.194</v>
      </c>
      <c r="G26">
        <v>14</v>
      </c>
      <c r="H26" s="76">
        <f>PRODUCT(0.14,F26)</f>
        <v>430.66716000000002</v>
      </c>
      <c r="I26" s="361">
        <f t="shared" ref="I26:I31" si="0">SUM(H26,F26)</f>
        <v>3506.8611599999999</v>
      </c>
      <c r="J26" s="362"/>
    </row>
    <row r="27" spans="1:10" ht="15" x14ac:dyDescent="0.25">
      <c r="A27" s="358" t="s">
        <v>126</v>
      </c>
      <c r="B27" s="359"/>
      <c r="C27" s="360"/>
      <c r="D27" s="76">
        <f>+E19</f>
        <v>4071</v>
      </c>
      <c r="E27" s="83">
        <v>1.3304</v>
      </c>
      <c r="F27" s="82">
        <f>PRODUCT(D27*E27)</f>
        <v>5416.0583999999999</v>
      </c>
      <c r="G27">
        <v>14</v>
      </c>
      <c r="H27" s="76">
        <f>PRODUCT(0.14,F27)</f>
        <v>758.24817600000006</v>
      </c>
      <c r="I27" s="361">
        <f>SUM(H27,F27)</f>
        <v>6174.3065759999999</v>
      </c>
      <c r="J27" s="362"/>
    </row>
    <row r="28" spans="1:10" ht="15" x14ac:dyDescent="0.25">
      <c r="A28" s="358" t="s">
        <v>127</v>
      </c>
      <c r="B28" s="359"/>
      <c r="C28" s="360"/>
      <c r="D28" s="76">
        <v>1000</v>
      </c>
      <c r="E28" s="83">
        <v>43.88167</v>
      </c>
      <c r="F28" s="82">
        <f>PRODUCT(D28,E28)</f>
        <v>43881.67</v>
      </c>
      <c r="G28">
        <v>14</v>
      </c>
      <c r="H28" s="76">
        <f>PRODUCT(0.14,F28)</f>
        <v>6143.4338000000007</v>
      </c>
      <c r="I28" s="361">
        <f t="shared" si="0"/>
        <v>50025.103799999997</v>
      </c>
      <c r="J28" s="362"/>
    </row>
    <row r="29" spans="1:10" ht="15" x14ac:dyDescent="0.25">
      <c r="A29" s="387" t="s">
        <v>128</v>
      </c>
      <c r="B29" s="388"/>
      <c r="C29" s="389"/>
      <c r="D29" s="84">
        <f>G12-E12</f>
        <v>398</v>
      </c>
      <c r="E29" s="85">
        <v>48.972490000000001</v>
      </c>
      <c r="F29" s="86">
        <f>PRODUCT(D29,E29)</f>
        <v>19491.051019999999</v>
      </c>
      <c r="G29" s="87">
        <v>14</v>
      </c>
      <c r="H29" s="84">
        <f>PRODUCT(0.14,F29)</f>
        <v>2728.7471427999999</v>
      </c>
      <c r="I29" s="390">
        <f t="shared" si="0"/>
        <v>22219.798162799998</v>
      </c>
      <c r="J29" s="391"/>
    </row>
    <row r="30" spans="1:10" ht="15" x14ac:dyDescent="0.25">
      <c r="A30" s="358" t="s">
        <v>129</v>
      </c>
      <c r="B30" s="359"/>
      <c r="C30" s="360"/>
      <c r="D30" s="76"/>
      <c r="E30" s="88"/>
      <c r="F30" s="82">
        <v>841</v>
      </c>
      <c r="G30">
        <v>20</v>
      </c>
      <c r="H30" s="89">
        <f>PRODUCT(F30,0.2)</f>
        <v>168.20000000000002</v>
      </c>
      <c r="I30" s="361">
        <f>SUM(H30,F30)</f>
        <v>1009.2</v>
      </c>
      <c r="J30" s="362"/>
    </row>
    <row r="31" spans="1:10" ht="15.75" thickBot="1" x14ac:dyDescent="0.3">
      <c r="A31" s="379" t="s">
        <v>130</v>
      </c>
      <c r="B31" s="380"/>
      <c r="C31" s="381"/>
      <c r="D31" s="90"/>
      <c r="E31" s="91"/>
      <c r="F31" s="82">
        <v>1492</v>
      </c>
      <c r="G31" s="79">
        <v>7</v>
      </c>
      <c r="H31" s="92">
        <f>PRODUCT(F31,0.07)</f>
        <v>104.44000000000001</v>
      </c>
      <c r="I31" s="361">
        <f t="shared" si="0"/>
        <v>1596.44</v>
      </c>
      <c r="J31" s="362"/>
    </row>
    <row r="32" spans="1:10" ht="21" x14ac:dyDescent="0.2">
      <c r="A32" s="382" t="s">
        <v>131</v>
      </c>
      <c r="B32" s="383"/>
      <c r="C32" s="383"/>
      <c r="D32" s="383"/>
      <c r="E32" s="383"/>
      <c r="F32" s="93">
        <f>SUM(F25:F31)</f>
        <v>82751.059420000005</v>
      </c>
      <c r="G32" s="94"/>
      <c r="H32" s="95"/>
      <c r="I32" s="386">
        <f>SUM(I25:J31)</f>
        <v>94282.227738799993</v>
      </c>
      <c r="J32" s="386"/>
    </row>
    <row r="33" spans="1:10" ht="21.75" thickBot="1" x14ac:dyDescent="0.25">
      <c r="A33" s="384"/>
      <c r="B33" s="385"/>
      <c r="C33" s="385"/>
      <c r="D33" s="385"/>
      <c r="E33" s="385"/>
      <c r="F33" s="96"/>
      <c r="G33" s="97"/>
      <c r="H33" s="98"/>
      <c r="I33" s="386"/>
      <c r="J33" s="38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3:J13"/>
    <mergeCell ref="A16:B16"/>
    <mergeCell ref="G16:H16"/>
    <mergeCell ref="I16:J16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I23:J24"/>
    <mergeCell ref="A25:C25"/>
    <mergeCell ref="I25:J25"/>
    <mergeCell ref="A26:C26"/>
    <mergeCell ref="I26:J26"/>
    <mergeCell ref="A23:C24"/>
    <mergeCell ref="D23:D24"/>
    <mergeCell ref="E23:E24"/>
    <mergeCell ref="F23:F24"/>
    <mergeCell ref="G23:H23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2"/>
      <c r="B1" s="311" t="s">
        <v>132</v>
      </c>
      <c r="C1" s="312"/>
      <c r="D1" s="312"/>
      <c r="E1" s="312"/>
      <c r="F1" s="395" t="s">
        <v>89</v>
      </c>
      <c r="G1" s="396"/>
      <c r="H1" s="397"/>
    </row>
    <row r="2" spans="1:8" ht="15.75" customHeight="1" thickBot="1" x14ac:dyDescent="0.25">
      <c r="A2" s="393"/>
      <c r="B2" s="313"/>
      <c r="C2" s="314"/>
      <c r="D2" s="314"/>
      <c r="E2" s="314"/>
      <c r="F2" s="398"/>
      <c r="G2" s="399"/>
      <c r="H2" s="400"/>
    </row>
    <row r="3" spans="1:8" ht="15" customHeight="1" x14ac:dyDescent="0.2">
      <c r="A3" s="393"/>
      <c r="B3" s="313"/>
      <c r="C3" s="314"/>
      <c r="D3" s="314"/>
      <c r="E3" s="314"/>
      <c r="F3" s="395" t="s">
        <v>90</v>
      </c>
      <c r="G3" s="396"/>
      <c r="H3" s="397"/>
    </row>
    <row r="4" spans="1:8" ht="15.75" customHeight="1" thickBot="1" x14ac:dyDescent="0.25">
      <c r="A4" s="394"/>
      <c r="B4" s="315"/>
      <c r="C4" s="316"/>
      <c r="D4" s="316"/>
      <c r="E4" s="316"/>
      <c r="F4" s="401"/>
      <c r="G4" s="402"/>
      <c r="H4" s="403"/>
    </row>
    <row r="6" spans="1:8" ht="42.75" customHeight="1" x14ac:dyDescent="0.2"/>
    <row r="7" spans="1:8" ht="42.75" customHeight="1" x14ac:dyDescent="0.2">
      <c r="A7" s="102" t="s">
        <v>91</v>
      </c>
      <c r="B7" s="102" t="s">
        <v>133</v>
      </c>
      <c r="C7" s="102" t="s">
        <v>134</v>
      </c>
      <c r="D7" s="104" t="s">
        <v>92</v>
      </c>
      <c r="E7" s="102" t="s">
        <v>135</v>
      </c>
      <c r="F7" s="104" t="s">
        <v>93</v>
      </c>
      <c r="G7" s="104" t="s">
        <v>136</v>
      </c>
      <c r="H7" s="103" t="s">
        <v>94</v>
      </c>
    </row>
    <row r="8" spans="1:8" ht="15" x14ac:dyDescent="0.25">
      <c r="A8" s="123"/>
      <c r="B8" s="105" t="s">
        <v>137</v>
      </c>
      <c r="C8" s="106">
        <v>50949</v>
      </c>
      <c r="D8" s="107">
        <v>43739</v>
      </c>
      <c r="E8" s="106">
        <v>57000</v>
      </c>
      <c r="F8" s="107">
        <v>43770</v>
      </c>
      <c r="G8" s="108">
        <f>E8-C8</f>
        <v>6051</v>
      </c>
      <c r="H8" s="109"/>
    </row>
    <row r="9" spans="1:8" ht="36" customHeight="1" x14ac:dyDescent="0.25">
      <c r="A9" s="110"/>
      <c r="B9" s="110"/>
      <c r="C9" s="110"/>
      <c r="D9" s="110"/>
      <c r="E9" s="110"/>
      <c r="F9" s="110"/>
      <c r="G9" s="110"/>
      <c r="H9" s="110"/>
    </row>
    <row r="10" spans="1:8" ht="15" x14ac:dyDescent="0.25">
      <c r="A10" s="111"/>
      <c r="B10" s="404" t="s">
        <v>117</v>
      </c>
      <c r="C10" s="405"/>
      <c r="D10" s="406" t="s">
        <v>138</v>
      </c>
      <c r="E10" s="406"/>
      <c r="F10" s="404" t="s">
        <v>139</v>
      </c>
      <c r="G10" s="407"/>
      <c r="H10" s="405"/>
    </row>
    <row r="11" spans="1:8" ht="15" x14ac:dyDescent="0.25">
      <c r="A11" s="112" t="s">
        <v>140</v>
      </c>
      <c r="B11" s="408"/>
      <c r="C11" s="408"/>
      <c r="D11" s="408"/>
      <c r="E11" s="408"/>
      <c r="F11" s="408">
        <v>23</v>
      </c>
      <c r="G11" s="408"/>
      <c r="H11" s="408"/>
    </row>
    <row r="12" spans="1:8" ht="21" x14ac:dyDescent="0.35">
      <c r="A12" s="409" t="s">
        <v>141</v>
      </c>
      <c r="B12" s="409"/>
      <c r="C12" s="409"/>
      <c r="D12" s="409"/>
      <c r="E12" s="409"/>
      <c r="F12" s="409"/>
      <c r="G12" s="409"/>
      <c r="H12" s="409"/>
    </row>
    <row r="13" spans="1:8" ht="15" x14ac:dyDescent="0.25">
      <c r="A13" s="112" t="s">
        <v>142</v>
      </c>
      <c r="B13" s="408">
        <f>G8</f>
        <v>6051</v>
      </c>
      <c r="C13" s="408"/>
      <c r="D13" s="408">
        <v>8.7899999999999991</v>
      </c>
      <c r="E13" s="408"/>
      <c r="F13" s="410">
        <f>PRODUCT(D13,B13)</f>
        <v>53188.289999999994</v>
      </c>
      <c r="G13" s="410"/>
      <c r="H13" s="410"/>
    </row>
    <row r="14" spans="1:8" ht="45" customHeight="1" x14ac:dyDescent="0.2">
      <c r="A14" s="411" t="s">
        <v>143</v>
      </c>
      <c r="B14" s="411"/>
      <c r="C14" s="411"/>
      <c r="D14" s="411"/>
      <c r="E14" s="411"/>
      <c r="F14" s="411"/>
      <c r="G14" s="411"/>
      <c r="H14" s="411"/>
    </row>
    <row r="15" spans="1:8" x14ac:dyDescent="0.2">
      <c r="A15" s="412"/>
      <c r="B15" s="412"/>
      <c r="C15" s="412"/>
      <c r="D15" s="412"/>
      <c r="E15" s="412"/>
      <c r="F15" s="412"/>
      <c r="G15" s="412"/>
      <c r="H15" s="412"/>
    </row>
    <row r="16" spans="1:8" ht="15" x14ac:dyDescent="0.25">
      <c r="A16" s="113" t="s">
        <v>144</v>
      </c>
      <c r="B16" s="408">
        <v>0</v>
      </c>
      <c r="C16" s="408"/>
      <c r="D16" s="408">
        <v>0</v>
      </c>
      <c r="E16" s="408"/>
      <c r="F16" s="408">
        <f>PRODUCT(D16,B16)</f>
        <v>0</v>
      </c>
      <c r="G16" s="408"/>
      <c r="H16" s="408"/>
    </row>
    <row r="17" spans="1:8" ht="15" x14ac:dyDescent="0.25">
      <c r="A17" s="113" t="s">
        <v>145</v>
      </c>
      <c r="B17" s="408">
        <v>0</v>
      </c>
      <c r="C17" s="408"/>
      <c r="D17" s="408">
        <v>0</v>
      </c>
      <c r="E17" s="408"/>
      <c r="F17" s="408">
        <f>PRODUCT(D17,B17)</f>
        <v>0</v>
      </c>
      <c r="G17" s="408"/>
      <c r="H17" s="408"/>
    </row>
    <row r="18" spans="1:8" ht="15" x14ac:dyDescent="0.25">
      <c r="A18" s="113" t="s">
        <v>146</v>
      </c>
      <c r="B18" s="408">
        <v>0</v>
      </c>
      <c r="C18" s="408"/>
      <c r="D18" s="408">
        <v>0</v>
      </c>
      <c r="E18" s="408"/>
      <c r="F18" s="408">
        <f>PRODUCT(D18,B18)</f>
        <v>0</v>
      </c>
      <c r="G18" s="408"/>
      <c r="H18" s="408"/>
    </row>
    <row r="19" spans="1:8" ht="15" x14ac:dyDescent="0.25">
      <c r="A19" s="113" t="s">
        <v>147</v>
      </c>
      <c r="B19" s="408">
        <f>G8</f>
        <v>6051</v>
      </c>
      <c r="C19" s="408"/>
      <c r="D19" s="408">
        <v>2.61</v>
      </c>
      <c r="E19" s="408"/>
      <c r="F19" s="408">
        <f>PRODUCT(D19,B19)</f>
        <v>15793.109999999999</v>
      </c>
      <c r="G19" s="408"/>
      <c r="H19" s="408"/>
    </row>
    <row r="20" spans="1:8" ht="18.75" x14ac:dyDescent="0.3">
      <c r="A20" s="424" t="s">
        <v>148</v>
      </c>
      <c r="B20" s="425"/>
      <c r="C20" s="425"/>
      <c r="D20" s="425"/>
      <c r="E20" s="426"/>
      <c r="F20" s="427">
        <f>SUM(F11+F13+F16+F17+F18+F19)</f>
        <v>69004.399999999994</v>
      </c>
      <c r="G20" s="427"/>
      <c r="H20" s="427"/>
    </row>
    <row r="21" spans="1:8" ht="15" x14ac:dyDescent="0.25">
      <c r="A21" s="413" t="s">
        <v>149</v>
      </c>
      <c r="B21" s="414"/>
      <c r="C21" s="414"/>
      <c r="D21" s="414"/>
      <c r="E21" s="415"/>
      <c r="F21" s="408">
        <f>PRODUCT(F20,0.07)</f>
        <v>4830.308</v>
      </c>
      <c r="G21" s="408"/>
      <c r="H21" s="408"/>
    </row>
    <row r="22" spans="1:8" ht="15" x14ac:dyDescent="0.25">
      <c r="A22" s="428" t="s">
        <v>150</v>
      </c>
      <c r="B22" s="429"/>
      <c r="C22" s="429"/>
      <c r="D22" s="429"/>
      <c r="E22" s="430"/>
      <c r="F22" s="408">
        <v>208.26</v>
      </c>
      <c r="G22" s="408"/>
      <c r="H22" s="408"/>
    </row>
    <row r="23" spans="1:8" ht="15.75" x14ac:dyDescent="0.25">
      <c r="A23" s="413" t="s">
        <v>151</v>
      </c>
      <c r="B23" s="414"/>
      <c r="C23" s="414"/>
      <c r="D23" s="414"/>
      <c r="E23" s="415"/>
      <c r="F23" s="416">
        <f>SUM(F21:H22)</f>
        <v>5038.5680000000002</v>
      </c>
      <c r="G23" s="416"/>
      <c r="H23" s="416"/>
    </row>
    <row r="24" spans="1:8" x14ac:dyDescent="0.2">
      <c r="A24" s="417" t="s">
        <v>152</v>
      </c>
      <c r="B24" s="418"/>
      <c r="C24" s="418"/>
      <c r="D24" s="418"/>
      <c r="E24" s="419"/>
      <c r="F24" s="423">
        <f>SUM(F20,F23)</f>
        <v>74042.967999999993</v>
      </c>
      <c r="G24" s="423"/>
      <c r="H24" s="423"/>
    </row>
    <row r="25" spans="1:8" x14ac:dyDescent="0.2">
      <c r="A25" s="420"/>
      <c r="B25" s="421"/>
      <c r="C25" s="421"/>
      <c r="D25" s="421"/>
      <c r="E25" s="422"/>
      <c r="F25" s="423"/>
      <c r="G25" s="423"/>
      <c r="H25" s="423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8" sqref="E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2"/>
      <c r="B1" s="311" t="s">
        <v>132</v>
      </c>
      <c r="C1" s="312"/>
      <c r="D1" s="312"/>
      <c r="E1" s="312"/>
      <c r="F1" s="395" t="s">
        <v>89</v>
      </c>
      <c r="G1" s="396"/>
      <c r="H1" s="397"/>
    </row>
    <row r="2" spans="1:8" ht="15.75" customHeight="1" thickBot="1" x14ac:dyDescent="0.25">
      <c r="A2" s="393"/>
      <c r="B2" s="313"/>
      <c r="C2" s="314"/>
      <c r="D2" s="314"/>
      <c r="E2" s="314"/>
      <c r="F2" s="398"/>
      <c r="G2" s="399"/>
      <c r="H2" s="400"/>
    </row>
    <row r="3" spans="1:8" ht="15" customHeight="1" x14ac:dyDescent="0.2">
      <c r="A3" s="393"/>
      <c r="B3" s="313"/>
      <c r="C3" s="314"/>
      <c r="D3" s="314"/>
      <c r="E3" s="314"/>
      <c r="F3" s="395" t="s">
        <v>90</v>
      </c>
      <c r="G3" s="396"/>
      <c r="H3" s="397"/>
    </row>
    <row r="4" spans="1:8" ht="15.75" customHeight="1" thickBot="1" x14ac:dyDescent="0.25">
      <c r="A4" s="394"/>
      <c r="B4" s="315"/>
      <c r="C4" s="316"/>
      <c r="D4" s="316"/>
      <c r="E4" s="316"/>
      <c r="F4" s="401"/>
      <c r="G4" s="402"/>
      <c r="H4" s="403"/>
    </row>
    <row r="6" spans="1:8" ht="42.75" customHeight="1" x14ac:dyDescent="0.2"/>
    <row r="7" spans="1:8" ht="42.75" customHeight="1" x14ac:dyDescent="0.2">
      <c r="A7" s="102" t="s">
        <v>91</v>
      </c>
      <c r="B7" s="102" t="s">
        <v>133</v>
      </c>
      <c r="C7" s="102" t="s">
        <v>134</v>
      </c>
      <c r="D7" s="104" t="s">
        <v>92</v>
      </c>
      <c r="E7" s="102" t="s">
        <v>135</v>
      </c>
      <c r="F7" s="104" t="s">
        <v>93</v>
      </c>
      <c r="G7" s="104" t="s">
        <v>136</v>
      </c>
      <c r="H7" s="103" t="s">
        <v>94</v>
      </c>
    </row>
    <row r="8" spans="1:8" ht="15" x14ac:dyDescent="0.25">
      <c r="A8" s="123"/>
      <c r="B8" s="105" t="s">
        <v>137</v>
      </c>
      <c r="C8" s="106">
        <v>56578</v>
      </c>
      <c r="D8" s="107">
        <v>43768</v>
      </c>
      <c r="E8" s="106">
        <v>56775.6</v>
      </c>
      <c r="F8" s="107">
        <v>43769</v>
      </c>
      <c r="G8" s="108">
        <f>E8-C8</f>
        <v>197.59999999999854</v>
      </c>
      <c r="H8" s="109"/>
    </row>
    <row r="9" spans="1:8" ht="36" customHeight="1" x14ac:dyDescent="0.25">
      <c r="A9" s="110"/>
      <c r="B9" s="110"/>
      <c r="C9" s="110"/>
      <c r="D9" s="110"/>
      <c r="E9" s="110"/>
      <c r="F9" s="110"/>
      <c r="G9" s="110"/>
      <c r="H9" s="110"/>
    </row>
    <row r="10" spans="1:8" ht="15" x14ac:dyDescent="0.25">
      <c r="A10" s="111"/>
      <c r="B10" s="404" t="s">
        <v>117</v>
      </c>
      <c r="C10" s="405"/>
      <c r="D10" s="406" t="s">
        <v>138</v>
      </c>
      <c r="E10" s="406"/>
      <c r="F10" s="404" t="s">
        <v>139</v>
      </c>
      <c r="G10" s="407"/>
      <c r="H10" s="405"/>
    </row>
    <row r="11" spans="1:8" ht="15" x14ac:dyDescent="0.25">
      <c r="A11" s="112" t="s">
        <v>140</v>
      </c>
      <c r="B11" s="408"/>
      <c r="C11" s="408"/>
      <c r="D11" s="408"/>
      <c r="E11" s="408"/>
      <c r="F11" s="408">
        <v>23</v>
      </c>
      <c r="G11" s="408"/>
      <c r="H11" s="408"/>
    </row>
    <row r="12" spans="1:8" ht="21" x14ac:dyDescent="0.35">
      <c r="A12" s="409" t="s">
        <v>141</v>
      </c>
      <c r="B12" s="409"/>
      <c r="C12" s="409"/>
      <c r="D12" s="409"/>
      <c r="E12" s="409"/>
      <c r="F12" s="409"/>
      <c r="G12" s="409"/>
      <c r="H12" s="409"/>
    </row>
    <row r="13" spans="1:8" ht="15" x14ac:dyDescent="0.25">
      <c r="A13" s="112" t="s">
        <v>142</v>
      </c>
      <c r="B13" s="408">
        <f>G8</f>
        <v>197.59999999999854</v>
      </c>
      <c r="C13" s="408"/>
      <c r="D13" s="408">
        <v>8.5</v>
      </c>
      <c r="E13" s="408"/>
      <c r="F13" s="410">
        <f>PRODUCT(D13,B13)</f>
        <v>1679.5999999999876</v>
      </c>
      <c r="G13" s="410"/>
      <c r="H13" s="410"/>
    </row>
    <row r="14" spans="1:8" ht="45" customHeight="1" x14ac:dyDescent="0.2">
      <c r="A14" s="411" t="s">
        <v>143</v>
      </c>
      <c r="B14" s="411"/>
      <c r="C14" s="411"/>
      <c r="D14" s="411"/>
      <c r="E14" s="411"/>
      <c r="F14" s="411"/>
      <c r="G14" s="411"/>
      <c r="H14" s="411"/>
    </row>
    <row r="15" spans="1:8" x14ac:dyDescent="0.2">
      <c r="A15" s="412"/>
      <c r="B15" s="412"/>
      <c r="C15" s="412"/>
      <c r="D15" s="412"/>
      <c r="E15" s="412"/>
      <c r="F15" s="412"/>
      <c r="G15" s="412"/>
      <c r="H15" s="412"/>
    </row>
    <row r="16" spans="1:8" ht="15" x14ac:dyDescent="0.25">
      <c r="A16" s="113" t="s">
        <v>144</v>
      </c>
      <c r="B16" s="408">
        <v>0</v>
      </c>
      <c r="C16" s="408"/>
      <c r="D16" s="408">
        <v>0</v>
      </c>
      <c r="E16" s="408"/>
      <c r="F16" s="408">
        <f>PRODUCT(D16,B16)</f>
        <v>0</v>
      </c>
      <c r="G16" s="408"/>
      <c r="H16" s="408"/>
    </row>
    <row r="17" spans="1:8" ht="15" x14ac:dyDescent="0.25">
      <c r="A17" s="113" t="s">
        <v>145</v>
      </c>
      <c r="B17" s="408">
        <v>0</v>
      </c>
      <c r="C17" s="408"/>
      <c r="D17" s="408">
        <v>0</v>
      </c>
      <c r="E17" s="408"/>
      <c r="F17" s="408">
        <f>PRODUCT(D17,B17)</f>
        <v>0</v>
      </c>
      <c r="G17" s="408"/>
      <c r="H17" s="408"/>
    </row>
    <row r="18" spans="1:8" ht="15" x14ac:dyDescent="0.25">
      <c r="A18" s="113" t="s">
        <v>146</v>
      </c>
      <c r="B18" s="408">
        <v>0</v>
      </c>
      <c r="C18" s="408"/>
      <c r="D18" s="408">
        <v>0</v>
      </c>
      <c r="E18" s="408"/>
      <c r="F18" s="408">
        <f>PRODUCT(D18,B18)</f>
        <v>0</v>
      </c>
      <c r="G18" s="408"/>
      <c r="H18" s="408"/>
    </row>
    <row r="19" spans="1:8" ht="15" x14ac:dyDescent="0.25">
      <c r="A19" s="113" t="s">
        <v>147</v>
      </c>
      <c r="B19" s="408">
        <v>0</v>
      </c>
      <c r="C19" s="408"/>
      <c r="D19" s="431">
        <v>0</v>
      </c>
      <c r="E19" s="432"/>
      <c r="F19" s="431">
        <v>0</v>
      </c>
      <c r="G19" s="432"/>
      <c r="H19" s="123"/>
    </row>
    <row r="20" spans="1:8" ht="15" x14ac:dyDescent="0.25">
      <c r="A20" s="113" t="s">
        <v>153</v>
      </c>
      <c r="B20" s="408">
        <f>G8</f>
        <v>197.59999999999854</v>
      </c>
      <c r="C20" s="408"/>
      <c r="D20" s="408">
        <v>2.54</v>
      </c>
      <c r="E20" s="408"/>
      <c r="F20" s="408">
        <f>PRODUCT(D20,B20)</f>
        <v>501.9039999999963</v>
      </c>
      <c r="G20" s="408"/>
      <c r="H20" s="408"/>
    </row>
    <row r="21" spans="1:8" ht="18.75" x14ac:dyDescent="0.3">
      <c r="A21" s="424" t="s">
        <v>148</v>
      </c>
      <c r="B21" s="425"/>
      <c r="C21" s="425"/>
      <c r="D21" s="425"/>
      <c r="E21" s="426"/>
      <c r="F21" s="427">
        <f>SUM(F11+F13+F16+F17+F18+F20)</f>
        <v>2204.503999999984</v>
      </c>
      <c r="G21" s="427"/>
      <c r="H21" s="427"/>
    </row>
    <row r="22" spans="1:8" ht="15" x14ac:dyDescent="0.25">
      <c r="A22" s="413" t="s">
        <v>149</v>
      </c>
      <c r="B22" s="414"/>
      <c r="C22" s="414"/>
      <c r="D22" s="414"/>
      <c r="E22" s="415"/>
      <c r="F22" s="408">
        <f>PRODUCT(F21,0.07)</f>
        <v>154.31527999999889</v>
      </c>
      <c r="G22" s="408"/>
      <c r="H22" s="408"/>
    </row>
    <row r="23" spans="1:8" ht="15" x14ac:dyDescent="0.25">
      <c r="A23" s="428" t="s">
        <v>150</v>
      </c>
      <c r="B23" s="429"/>
      <c r="C23" s="429"/>
      <c r="D23" s="429"/>
      <c r="E23" s="430"/>
      <c r="F23" s="408">
        <v>208.26</v>
      </c>
      <c r="G23" s="408"/>
      <c r="H23" s="408"/>
    </row>
    <row r="24" spans="1:8" ht="15.75" x14ac:dyDescent="0.25">
      <c r="A24" s="413" t="s">
        <v>151</v>
      </c>
      <c r="B24" s="414"/>
      <c r="C24" s="414"/>
      <c r="D24" s="414"/>
      <c r="E24" s="415"/>
      <c r="F24" s="416">
        <f>SUM(F22:H23)</f>
        <v>362.57527999999888</v>
      </c>
      <c r="G24" s="416"/>
      <c r="H24" s="416"/>
    </row>
    <row r="25" spans="1:8" x14ac:dyDescent="0.2">
      <c r="A25" s="417" t="s">
        <v>152</v>
      </c>
      <c r="B25" s="418"/>
      <c r="C25" s="418"/>
      <c r="D25" s="418"/>
      <c r="E25" s="419"/>
      <c r="F25" s="423">
        <f>SUM(F21,F24)</f>
        <v>2567.0792799999826</v>
      </c>
      <c r="G25" s="423"/>
      <c r="H25" s="423"/>
    </row>
    <row r="26" spans="1:8" x14ac:dyDescent="0.2">
      <c r="A26" s="420"/>
      <c r="B26" s="421"/>
      <c r="C26" s="421"/>
      <c r="D26" s="421"/>
      <c r="E26" s="422"/>
      <c r="F26" s="423"/>
      <c r="G26" s="423"/>
      <c r="H26" s="423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E8" sqref="E8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2"/>
      <c r="B1" s="311" t="s">
        <v>154</v>
      </c>
      <c r="C1" s="312"/>
      <c r="D1" s="312"/>
      <c r="E1" s="312"/>
      <c r="F1" s="395" t="s">
        <v>89</v>
      </c>
      <c r="G1" s="396"/>
      <c r="H1" s="397"/>
    </row>
    <row r="2" spans="1:8" ht="15.75" customHeight="1" thickBot="1" x14ac:dyDescent="0.25">
      <c r="A2" s="393"/>
      <c r="B2" s="313"/>
      <c r="C2" s="314"/>
      <c r="D2" s="314"/>
      <c r="E2" s="314"/>
      <c r="F2" s="398"/>
      <c r="G2" s="399"/>
      <c r="H2" s="400"/>
    </row>
    <row r="3" spans="1:8" ht="15" customHeight="1" x14ac:dyDescent="0.2">
      <c r="A3" s="393"/>
      <c r="B3" s="313"/>
      <c r="C3" s="314"/>
      <c r="D3" s="314"/>
      <c r="E3" s="314"/>
      <c r="F3" s="395" t="s">
        <v>90</v>
      </c>
      <c r="G3" s="396"/>
      <c r="H3" s="397"/>
    </row>
    <row r="4" spans="1:8" ht="15.75" customHeight="1" thickBot="1" x14ac:dyDescent="0.25">
      <c r="A4" s="394"/>
      <c r="B4" s="315"/>
      <c r="C4" s="316"/>
      <c r="D4" s="316"/>
      <c r="E4" s="316"/>
      <c r="F4" s="401"/>
      <c r="G4" s="402"/>
      <c r="H4" s="403"/>
    </row>
    <row r="6" spans="1:8" ht="42.75" customHeight="1" x14ac:dyDescent="0.2"/>
    <row r="7" spans="1:8" ht="42.75" customHeight="1" x14ac:dyDescent="0.2">
      <c r="A7" s="102" t="s">
        <v>91</v>
      </c>
      <c r="B7" s="102" t="s">
        <v>133</v>
      </c>
      <c r="C7" s="102" t="s">
        <v>134</v>
      </c>
      <c r="D7" s="104" t="s">
        <v>92</v>
      </c>
      <c r="E7" s="102" t="s">
        <v>135</v>
      </c>
      <c r="F7" s="104" t="s">
        <v>93</v>
      </c>
      <c r="G7" s="104" t="s">
        <v>136</v>
      </c>
      <c r="H7" s="103" t="s">
        <v>94</v>
      </c>
    </row>
    <row r="8" spans="1:8" ht="15" x14ac:dyDescent="0.25">
      <c r="A8" s="123"/>
      <c r="B8" s="105" t="s">
        <v>137</v>
      </c>
      <c r="C8" s="106">
        <v>2375</v>
      </c>
      <c r="D8" s="107">
        <v>43739</v>
      </c>
      <c r="E8" s="106">
        <v>2375</v>
      </c>
      <c r="F8" s="107">
        <v>43770</v>
      </c>
      <c r="G8" s="108">
        <f>E8-C8</f>
        <v>0</v>
      </c>
      <c r="H8" s="109"/>
    </row>
    <row r="9" spans="1:8" ht="36" customHeight="1" x14ac:dyDescent="0.25">
      <c r="A9" s="110"/>
      <c r="B9" s="110"/>
      <c r="C9" s="110"/>
      <c r="D9" s="110"/>
      <c r="E9" s="110"/>
      <c r="F9" s="110"/>
      <c r="G9" s="110"/>
      <c r="H9" s="110"/>
    </row>
    <row r="10" spans="1:8" ht="15" x14ac:dyDescent="0.25">
      <c r="A10" s="111"/>
      <c r="B10" s="404" t="s">
        <v>117</v>
      </c>
      <c r="C10" s="405"/>
      <c r="D10" s="406" t="s">
        <v>138</v>
      </c>
      <c r="E10" s="406"/>
      <c r="F10" s="404" t="s">
        <v>139</v>
      </c>
      <c r="G10" s="407"/>
      <c r="H10" s="405"/>
    </row>
    <row r="11" spans="1:8" ht="15" x14ac:dyDescent="0.25">
      <c r="A11" s="112" t="s">
        <v>140</v>
      </c>
      <c r="B11" s="408"/>
      <c r="C11" s="408"/>
      <c r="D11" s="408"/>
      <c r="E11" s="408"/>
      <c r="F11" s="408">
        <v>15</v>
      </c>
      <c r="G11" s="408"/>
      <c r="H11" s="408"/>
    </row>
    <row r="12" spans="1:8" ht="21" x14ac:dyDescent="0.35">
      <c r="A12" s="409" t="s">
        <v>141</v>
      </c>
      <c r="B12" s="409"/>
      <c r="C12" s="409"/>
      <c r="D12" s="409"/>
      <c r="E12" s="409"/>
      <c r="F12" s="409"/>
      <c r="G12" s="409"/>
      <c r="H12" s="409"/>
    </row>
    <row r="13" spans="1:8" ht="15" x14ac:dyDescent="0.25">
      <c r="A13" s="112" t="s">
        <v>155</v>
      </c>
      <c r="B13" s="408">
        <f>G8</f>
        <v>0</v>
      </c>
      <c r="C13" s="408"/>
      <c r="D13" s="408">
        <v>16.48</v>
      </c>
      <c r="E13" s="408"/>
      <c r="F13" s="410">
        <f>PRODUCT(D13,B13)</f>
        <v>0</v>
      </c>
      <c r="G13" s="410"/>
      <c r="H13" s="410"/>
    </row>
    <row r="14" spans="1:8" ht="15" x14ac:dyDescent="0.25">
      <c r="A14" s="112" t="s">
        <v>156</v>
      </c>
      <c r="B14" s="431"/>
      <c r="C14" s="432"/>
      <c r="D14" s="431"/>
      <c r="E14" s="432"/>
      <c r="F14" s="431"/>
      <c r="G14" s="432"/>
      <c r="H14" s="122"/>
    </row>
    <row r="15" spans="1:8" ht="15" x14ac:dyDescent="0.25">
      <c r="A15" s="112" t="s">
        <v>157</v>
      </c>
      <c r="B15" s="431"/>
      <c r="C15" s="432"/>
      <c r="D15" s="431"/>
      <c r="E15" s="432"/>
      <c r="F15" s="431"/>
      <c r="G15" s="432"/>
      <c r="H15" s="122"/>
    </row>
    <row r="16" spans="1:8" ht="15" x14ac:dyDescent="0.25">
      <c r="A16" s="112" t="s">
        <v>158</v>
      </c>
      <c r="B16" s="431"/>
      <c r="C16" s="432"/>
      <c r="D16" s="431"/>
      <c r="E16" s="432"/>
      <c r="F16" s="431"/>
      <c r="G16" s="432"/>
      <c r="H16" s="122"/>
    </row>
    <row r="17" spans="1:8" ht="15" x14ac:dyDescent="0.25">
      <c r="A17" s="112" t="s">
        <v>159</v>
      </c>
      <c r="B17" s="431"/>
      <c r="C17" s="432"/>
      <c r="D17" s="431"/>
      <c r="E17" s="432"/>
      <c r="F17" s="431"/>
      <c r="G17" s="432"/>
      <c r="H17" s="122"/>
    </row>
    <row r="18" spans="1:8" ht="45" customHeight="1" x14ac:dyDescent="0.2">
      <c r="A18" s="411" t="s">
        <v>143</v>
      </c>
      <c r="B18" s="411"/>
      <c r="C18" s="411"/>
      <c r="D18" s="411"/>
      <c r="E18" s="411"/>
      <c r="F18" s="411"/>
      <c r="G18" s="411"/>
      <c r="H18" s="411"/>
    </row>
    <row r="19" spans="1:8" x14ac:dyDescent="0.2">
      <c r="A19" s="412"/>
      <c r="B19" s="412"/>
      <c r="C19" s="412"/>
      <c r="D19" s="412"/>
      <c r="E19" s="412"/>
      <c r="F19" s="412"/>
      <c r="G19" s="412"/>
      <c r="H19" s="412"/>
    </row>
    <row r="20" spans="1:8" ht="15" x14ac:dyDescent="0.25">
      <c r="A20" s="113" t="s">
        <v>144</v>
      </c>
      <c r="B20" s="408">
        <v>0</v>
      </c>
      <c r="C20" s="408"/>
      <c r="D20" s="408">
        <v>0</v>
      </c>
      <c r="E20" s="408"/>
      <c r="F20" s="408">
        <f>PRODUCT(D20,B20)</f>
        <v>0</v>
      </c>
      <c r="G20" s="408"/>
      <c r="H20" s="408"/>
    </row>
    <row r="21" spans="1:8" ht="15" x14ac:dyDescent="0.25">
      <c r="A21" s="113" t="s">
        <v>145</v>
      </c>
      <c r="B21" s="408">
        <v>0</v>
      </c>
      <c r="C21" s="408"/>
      <c r="D21" s="408">
        <v>0</v>
      </c>
      <c r="E21" s="408"/>
      <c r="F21" s="408">
        <f>PRODUCT(D21,B21)</f>
        <v>0</v>
      </c>
      <c r="G21" s="408"/>
      <c r="H21" s="408"/>
    </row>
    <row r="22" spans="1:8" ht="15" x14ac:dyDescent="0.25">
      <c r="A22" s="113" t="s">
        <v>146</v>
      </c>
      <c r="B22" s="408">
        <v>0</v>
      </c>
      <c r="C22" s="408"/>
      <c r="D22" s="408">
        <v>0</v>
      </c>
      <c r="E22" s="408"/>
      <c r="F22" s="408">
        <f>PRODUCT(D22,B22)</f>
        <v>0</v>
      </c>
      <c r="G22" s="408"/>
      <c r="H22" s="408"/>
    </row>
    <row r="23" spans="1:8" ht="15" x14ac:dyDescent="0.25">
      <c r="A23" s="113" t="s">
        <v>147</v>
      </c>
      <c r="B23" s="408">
        <f>G8</f>
        <v>0</v>
      </c>
      <c r="C23" s="408"/>
      <c r="D23" s="408">
        <v>0</v>
      </c>
      <c r="E23" s="408"/>
      <c r="F23" s="408">
        <f>PRODUCT(D23,B23)</f>
        <v>0</v>
      </c>
      <c r="G23" s="408"/>
      <c r="H23" s="408"/>
    </row>
    <row r="24" spans="1:8" ht="15" x14ac:dyDescent="0.25">
      <c r="A24" s="113" t="s">
        <v>153</v>
      </c>
      <c r="B24" s="431">
        <v>0</v>
      </c>
      <c r="C24" s="432"/>
      <c r="D24" s="431">
        <v>2.54</v>
      </c>
      <c r="E24" s="432"/>
      <c r="F24" s="431">
        <f>B24*D24</f>
        <v>0</v>
      </c>
      <c r="G24" s="432"/>
      <c r="H24" s="123"/>
    </row>
    <row r="25" spans="1:8" ht="18.75" x14ac:dyDescent="0.3">
      <c r="A25" s="424" t="s">
        <v>148</v>
      </c>
      <c r="B25" s="425"/>
      <c r="C25" s="425"/>
      <c r="D25" s="425"/>
      <c r="E25" s="426"/>
      <c r="F25" s="433">
        <f>SUM(F11+F13+F20+F21+F22+F23)</f>
        <v>15</v>
      </c>
      <c r="G25" s="427"/>
      <c r="H25" s="427"/>
    </row>
    <row r="26" spans="1:8" ht="15" x14ac:dyDescent="0.25">
      <c r="A26" s="413" t="s">
        <v>149</v>
      </c>
      <c r="B26" s="414"/>
      <c r="C26" s="414"/>
      <c r="D26" s="414"/>
      <c r="E26" s="415"/>
      <c r="F26" s="408">
        <v>63.63</v>
      </c>
      <c r="G26" s="408"/>
      <c r="H26" s="408"/>
    </row>
    <row r="27" spans="1:8" ht="15" x14ac:dyDescent="0.25">
      <c r="A27" s="428" t="s">
        <v>150</v>
      </c>
      <c r="B27" s="429"/>
      <c r="C27" s="429"/>
      <c r="D27" s="429"/>
      <c r="E27" s="430"/>
      <c r="F27" s="408">
        <v>2.4300000000000002</v>
      </c>
      <c r="G27" s="408"/>
      <c r="H27" s="408"/>
    </row>
    <row r="28" spans="1:8" ht="15.75" x14ac:dyDescent="0.25">
      <c r="A28" s="413" t="s">
        <v>151</v>
      </c>
      <c r="B28" s="414"/>
      <c r="C28" s="414"/>
      <c r="D28" s="414"/>
      <c r="E28" s="415"/>
      <c r="F28" s="416">
        <f>SUM(F26:H27)</f>
        <v>66.06</v>
      </c>
      <c r="G28" s="416"/>
      <c r="H28" s="416"/>
    </row>
    <row r="29" spans="1:8" x14ac:dyDescent="0.2">
      <c r="A29" s="417" t="s">
        <v>152</v>
      </c>
      <c r="B29" s="418"/>
      <c r="C29" s="418"/>
      <c r="D29" s="418"/>
      <c r="E29" s="419"/>
      <c r="F29" s="423">
        <f>SUM(F25,F28)</f>
        <v>81.06</v>
      </c>
      <c r="G29" s="423"/>
      <c r="H29" s="423"/>
    </row>
    <row r="30" spans="1:8" x14ac:dyDescent="0.2">
      <c r="A30" s="420"/>
      <c r="B30" s="421"/>
      <c r="C30" s="421"/>
      <c r="D30" s="421"/>
      <c r="E30" s="422"/>
      <c r="F30" s="423"/>
      <c r="G30" s="423"/>
      <c r="H30" s="423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B22:C22"/>
    <mergeCell ref="D22:E22"/>
    <mergeCell ref="F22:H22"/>
    <mergeCell ref="B23:C23"/>
    <mergeCell ref="D23:E23"/>
    <mergeCell ref="F23:H23"/>
    <mergeCell ref="A18:H19"/>
    <mergeCell ref="B20:C20"/>
    <mergeCell ref="D20:E20"/>
    <mergeCell ref="F20:H20"/>
    <mergeCell ref="B21:C21"/>
    <mergeCell ref="D21:E21"/>
    <mergeCell ref="F21:H21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27"/>
  <sheetViews>
    <sheetView zoomScaleNormal="100" workbookViewId="0">
      <selection activeCell="L20" sqref="L20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34" t="s">
        <v>160</v>
      </c>
      <c r="D5" s="435"/>
      <c r="E5" s="435"/>
      <c r="F5" s="435"/>
      <c r="G5" s="435"/>
      <c r="H5" s="435"/>
      <c r="I5" s="435"/>
      <c r="J5" s="435"/>
      <c r="K5" s="435"/>
      <c r="L5" s="435"/>
      <c r="M5" s="435"/>
      <c r="N5" s="436"/>
    </row>
    <row r="7" spans="2:14" x14ac:dyDescent="0.2">
      <c r="C7" s="116" t="s">
        <v>161</v>
      </c>
      <c r="D7" s="116" t="s">
        <v>162</v>
      </c>
      <c r="E7" s="116" t="s">
        <v>163</v>
      </c>
      <c r="F7" s="116" t="s">
        <v>164</v>
      </c>
      <c r="G7" s="116" t="s">
        <v>165</v>
      </c>
      <c r="H7" s="116" t="s">
        <v>166</v>
      </c>
      <c r="I7" s="116" t="s">
        <v>167</v>
      </c>
      <c r="J7" s="116" t="s">
        <v>168</v>
      </c>
      <c r="K7" s="116" t="s">
        <v>169</v>
      </c>
      <c r="L7" s="116" t="s">
        <v>170</v>
      </c>
      <c r="M7" s="116" t="s">
        <v>171</v>
      </c>
      <c r="N7" s="116" t="s">
        <v>172</v>
      </c>
    </row>
    <row r="8" spans="2:14" ht="32.25" customHeight="1" x14ac:dyDescent="0.2">
      <c r="B8" s="117" t="s">
        <v>173</v>
      </c>
      <c r="C8" s="440"/>
      <c r="D8" s="441"/>
      <c r="E8" s="441"/>
      <c r="F8" s="441"/>
      <c r="G8" s="441"/>
      <c r="H8" s="441"/>
      <c r="I8" s="441"/>
      <c r="J8" s="441"/>
      <c r="K8" s="442"/>
      <c r="L8" s="115">
        <v>544520</v>
      </c>
      <c r="M8" s="115">
        <v>561765</v>
      </c>
      <c r="N8" s="115">
        <v>546771</v>
      </c>
    </row>
    <row r="9" spans="2:14" ht="33" customHeight="1" x14ac:dyDescent="0.2">
      <c r="B9" s="118" t="s">
        <v>174</v>
      </c>
      <c r="C9" s="115">
        <v>564170</v>
      </c>
      <c r="D9" s="115">
        <v>532072</v>
      </c>
      <c r="E9" s="115">
        <v>405239</v>
      </c>
      <c r="F9" s="115">
        <v>469130</v>
      </c>
      <c r="G9" s="115">
        <v>543877</v>
      </c>
      <c r="H9" s="115">
        <v>605744</v>
      </c>
      <c r="I9" s="115">
        <v>722083</v>
      </c>
      <c r="J9" s="115">
        <v>802210</v>
      </c>
      <c r="K9" s="115">
        <v>762933</v>
      </c>
      <c r="L9" s="115">
        <v>670848</v>
      </c>
      <c r="M9" s="115">
        <v>626451</v>
      </c>
      <c r="N9" s="115">
        <v>557392</v>
      </c>
    </row>
    <row r="10" spans="2:14" ht="33" customHeight="1" x14ac:dyDescent="0.2">
      <c r="B10" s="124" t="s">
        <v>175</v>
      </c>
      <c r="C10" s="115">
        <v>520977</v>
      </c>
      <c r="D10" s="115">
        <v>541271</v>
      </c>
      <c r="E10" s="115">
        <v>508392</v>
      </c>
      <c r="F10" s="115">
        <v>659200</v>
      </c>
      <c r="G10" s="115">
        <v>705703</v>
      </c>
      <c r="H10" s="115">
        <v>784214</v>
      </c>
      <c r="I10" s="115">
        <v>823726</v>
      </c>
      <c r="J10" s="115">
        <v>913736</v>
      </c>
      <c r="K10" s="115">
        <v>831734</v>
      </c>
      <c r="L10" s="115">
        <v>794243</v>
      </c>
      <c r="M10" s="115">
        <v>688127</v>
      </c>
      <c r="N10" s="115">
        <v>577067</v>
      </c>
    </row>
    <row r="11" spans="2:14" ht="29.25" customHeight="1" x14ac:dyDescent="0.2">
      <c r="B11" s="119" t="s">
        <v>176</v>
      </c>
      <c r="C11" s="115">
        <v>586355</v>
      </c>
      <c r="D11" s="115">
        <v>563735</v>
      </c>
      <c r="E11" s="115">
        <v>512313</v>
      </c>
      <c r="F11" s="115">
        <v>573440</v>
      </c>
      <c r="G11" s="115">
        <v>535115</v>
      </c>
      <c r="H11" s="115">
        <v>570139</v>
      </c>
      <c r="I11" s="115">
        <v>669302</v>
      </c>
      <c r="J11" s="115">
        <v>704714</v>
      </c>
      <c r="K11" s="115">
        <v>682717</v>
      </c>
      <c r="L11" s="115">
        <v>581239</v>
      </c>
      <c r="M11" s="115">
        <v>438561</v>
      </c>
      <c r="N11" s="115">
        <v>400672</v>
      </c>
    </row>
    <row r="12" spans="2:14" ht="33.75" customHeight="1" x14ac:dyDescent="0.2">
      <c r="B12" s="131" t="s">
        <v>177</v>
      </c>
      <c r="C12" s="115">
        <v>388363</v>
      </c>
      <c r="D12" s="115">
        <v>407737</v>
      </c>
      <c r="E12" s="115">
        <v>392102</v>
      </c>
      <c r="F12" s="115">
        <v>454554</v>
      </c>
      <c r="G12" s="115">
        <v>448580</v>
      </c>
      <c r="H12" s="115">
        <v>535391</v>
      </c>
      <c r="I12" s="115">
        <v>549301</v>
      </c>
      <c r="J12" s="115">
        <v>576078</v>
      </c>
      <c r="K12" s="115">
        <v>612675</v>
      </c>
      <c r="L12" s="115">
        <v>542640</v>
      </c>
      <c r="M12" s="115"/>
      <c r="N12" s="115"/>
    </row>
    <row r="13" spans="2:14" ht="21" thickBot="1" x14ac:dyDescent="0.35">
      <c r="C13" s="437" t="s">
        <v>178</v>
      </c>
      <c r="D13" s="438"/>
      <c r="E13" s="438"/>
      <c r="F13" s="438"/>
      <c r="G13" s="438"/>
      <c r="H13" s="438"/>
      <c r="I13" s="438"/>
      <c r="J13" s="438"/>
      <c r="K13" s="438"/>
      <c r="L13" s="438"/>
      <c r="M13" s="438"/>
      <c r="N13" s="439"/>
    </row>
    <row r="15" spans="2:14" x14ac:dyDescent="0.2">
      <c r="C15" s="116" t="s">
        <v>161</v>
      </c>
      <c r="D15" s="116" t="s">
        <v>162</v>
      </c>
      <c r="E15" s="116" t="s">
        <v>163</v>
      </c>
      <c r="F15" s="116" t="s">
        <v>164</v>
      </c>
      <c r="G15" s="116" t="s">
        <v>165</v>
      </c>
      <c r="H15" s="116" t="s">
        <v>166</v>
      </c>
      <c r="I15" s="116" t="s">
        <v>167</v>
      </c>
      <c r="J15" s="116" t="s">
        <v>168</v>
      </c>
      <c r="K15" s="116" t="s">
        <v>169</v>
      </c>
      <c r="L15" s="116" t="s">
        <v>170</v>
      </c>
      <c r="M15" s="116" t="s">
        <v>171</v>
      </c>
      <c r="N15" s="116" t="s">
        <v>172</v>
      </c>
    </row>
    <row r="16" spans="2:14" ht="28.5" customHeight="1" x14ac:dyDescent="0.2">
      <c r="B16" s="117" t="s">
        <v>173</v>
      </c>
      <c r="C16" s="440"/>
      <c r="D16" s="441"/>
      <c r="E16" s="441"/>
      <c r="F16" s="441"/>
      <c r="G16" s="441"/>
      <c r="H16" s="441"/>
      <c r="I16" s="441"/>
      <c r="J16" s="441"/>
      <c r="K16" s="442"/>
      <c r="L16" s="115">
        <v>527344.76260000002</v>
      </c>
      <c r="M16" s="115">
        <v>542887.95270000002</v>
      </c>
      <c r="N16" s="115">
        <v>530789.10450000002</v>
      </c>
    </row>
    <row r="17" spans="2:14" ht="26.25" customHeight="1" x14ac:dyDescent="0.2">
      <c r="B17" s="118" t="s">
        <v>174</v>
      </c>
      <c r="C17" s="115">
        <v>577599.26069999998</v>
      </c>
      <c r="D17" s="115">
        <v>549500.304</v>
      </c>
      <c r="E17" s="115">
        <v>437038.73300000001</v>
      </c>
      <c r="F17" s="115">
        <v>498381.28909999994</v>
      </c>
      <c r="G17" s="115">
        <v>567710.58700000006</v>
      </c>
      <c r="H17" s="115">
        <v>626665.41229999997</v>
      </c>
      <c r="I17" s="115">
        <v>732996.54229999997</v>
      </c>
      <c r="J17" s="115">
        <v>807380.11509999994</v>
      </c>
      <c r="K17" s="115">
        <v>765103.69790000003</v>
      </c>
      <c r="L17" s="115">
        <v>674808.60869999998</v>
      </c>
      <c r="M17" s="115">
        <v>636029.23249999993</v>
      </c>
      <c r="N17" s="115">
        <v>575999.90890000004</v>
      </c>
    </row>
    <row r="18" spans="2:14" ht="28.5" customHeight="1" x14ac:dyDescent="0.2">
      <c r="B18" s="124" t="s">
        <v>175</v>
      </c>
      <c r="C18" s="115">
        <v>565777.06310000003</v>
      </c>
      <c r="D18" s="115">
        <v>589465.87030000007</v>
      </c>
      <c r="E18" s="115">
        <v>559348.96649999998</v>
      </c>
      <c r="F18" s="115">
        <v>706566.82740000007</v>
      </c>
      <c r="G18" s="115">
        <v>750048.77370000002</v>
      </c>
      <c r="H18" s="115">
        <v>823657.03619999997</v>
      </c>
      <c r="I18" s="115">
        <v>863911.20730000001</v>
      </c>
      <c r="J18" s="115">
        <v>948371.73810000008</v>
      </c>
      <c r="K18" s="115">
        <v>870086.49040000001</v>
      </c>
      <c r="L18" s="115">
        <v>828237.32940000005</v>
      </c>
      <c r="M18" s="115">
        <v>728226.36450000003</v>
      </c>
      <c r="N18" s="115">
        <v>620794.43210000009</v>
      </c>
    </row>
    <row r="19" spans="2:14" ht="30" customHeight="1" x14ac:dyDescent="0.2">
      <c r="B19" s="119" t="s">
        <v>176</v>
      </c>
      <c r="C19" s="115">
        <v>629018.45440000005</v>
      </c>
      <c r="D19" s="115">
        <v>609232.05440000002</v>
      </c>
      <c r="E19" s="115">
        <v>564099.54039999994</v>
      </c>
      <c r="F19" s="115">
        <v>625412.74040000001</v>
      </c>
      <c r="G19" s="115">
        <v>591310.6496</v>
      </c>
      <c r="H19" s="115">
        <v>627578.14100000006</v>
      </c>
      <c r="I19" s="115">
        <v>723790.51</v>
      </c>
      <c r="J19" s="115">
        <v>756208.25020000001</v>
      </c>
      <c r="K19" s="115">
        <v>734211.55240000004</v>
      </c>
      <c r="L19" s="115">
        <v>634725.01650000003</v>
      </c>
      <c r="M19" s="115">
        <v>492313.53600000002</v>
      </c>
      <c r="N19" s="115">
        <v>430486.08379999996</v>
      </c>
    </row>
    <row r="20" spans="2:14" ht="32.25" customHeight="1" x14ac:dyDescent="0.2">
      <c r="B20" s="131" t="s">
        <v>177</v>
      </c>
      <c r="C20" s="115">
        <v>417767.50199999998</v>
      </c>
      <c r="D20" s="115">
        <v>437511.45040000003</v>
      </c>
      <c r="E20" s="115">
        <v>422948.91399999999</v>
      </c>
      <c r="F20" s="115">
        <v>483026.4265</v>
      </c>
      <c r="G20" s="115">
        <v>494466.65997999994</v>
      </c>
      <c r="H20" s="115">
        <v>589026.66199500009</v>
      </c>
      <c r="I20" s="115">
        <v>597445.77220000012</v>
      </c>
      <c r="J20" s="115">
        <v>624719.21129500004</v>
      </c>
      <c r="K20" s="115">
        <v>662255.2733900001</v>
      </c>
      <c r="L20" s="115">
        <v>572138.68634500005</v>
      </c>
      <c r="M20" s="75"/>
      <c r="N20" s="75"/>
    </row>
    <row r="26" spans="2:14" ht="16.5" customHeight="1" x14ac:dyDescent="0.2"/>
    <row r="27" spans="2:14" ht="15.75" customHeight="1" x14ac:dyDescent="0.2"/>
  </sheetData>
  <mergeCells count="4">
    <mergeCell ref="C5:N5"/>
    <mergeCell ref="C13:N13"/>
    <mergeCell ref="C8:K8"/>
    <mergeCell ref="C16:K16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26"/>
  <sheetViews>
    <sheetView topLeftCell="H1" zoomScaleNormal="100" workbookViewId="0">
      <selection activeCell="M20" sqref="M20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4" t="s">
        <v>179</v>
      </c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4"/>
    </row>
    <row r="6" spans="2:14" ht="21" customHeight="1" x14ac:dyDescent="0.2"/>
    <row r="7" spans="2:14" x14ac:dyDescent="0.2">
      <c r="C7" s="116" t="s">
        <v>161</v>
      </c>
      <c r="D7" s="116" t="s">
        <v>162</v>
      </c>
      <c r="E7" s="116" t="s">
        <v>163</v>
      </c>
      <c r="F7" s="116" t="s">
        <v>164</v>
      </c>
      <c r="G7" s="116" t="s">
        <v>165</v>
      </c>
      <c r="H7" s="116" t="s">
        <v>166</v>
      </c>
      <c r="I7" s="116" t="s">
        <v>167</v>
      </c>
      <c r="J7" s="116" t="s">
        <v>168</v>
      </c>
      <c r="K7" s="116" t="s">
        <v>169</v>
      </c>
      <c r="L7" s="116" t="s">
        <v>170</v>
      </c>
      <c r="M7" s="116" t="s">
        <v>171</v>
      </c>
      <c r="N7" s="116" t="s">
        <v>172</v>
      </c>
    </row>
    <row r="8" spans="2:14" ht="33" customHeight="1" x14ac:dyDescent="0.2">
      <c r="B8" s="117" t="s">
        <v>173</v>
      </c>
      <c r="C8" s="440"/>
      <c r="D8" s="441"/>
      <c r="E8" s="441"/>
      <c r="F8" s="441"/>
      <c r="G8" s="441"/>
      <c r="H8" s="441"/>
      <c r="I8" s="441"/>
      <c r="J8" s="441"/>
      <c r="K8" s="442"/>
      <c r="L8" s="115"/>
      <c r="M8" s="115">
        <v>3298</v>
      </c>
      <c r="N8" s="115">
        <v>3866</v>
      </c>
    </row>
    <row r="9" spans="2:14" ht="39" customHeight="1" x14ac:dyDescent="0.2">
      <c r="B9" s="118" t="s">
        <v>174</v>
      </c>
      <c r="C9" s="115">
        <v>4094</v>
      </c>
      <c r="D9" s="115">
        <v>3691</v>
      </c>
      <c r="E9" s="115">
        <v>3917</v>
      </c>
      <c r="F9" s="115">
        <v>4785</v>
      </c>
      <c r="G9" s="115">
        <v>5213</v>
      </c>
      <c r="H9" s="115">
        <v>4103</v>
      </c>
      <c r="I9" s="115">
        <v>5622</v>
      </c>
      <c r="J9" s="115">
        <v>6568</v>
      </c>
      <c r="K9" s="115">
        <v>4813</v>
      </c>
      <c r="L9" s="115">
        <v>6088</v>
      </c>
      <c r="M9" s="115">
        <v>4819</v>
      </c>
      <c r="N9" s="115">
        <v>5252</v>
      </c>
    </row>
    <row r="10" spans="2:14" ht="36" customHeight="1" x14ac:dyDescent="0.2">
      <c r="B10" s="124" t="s">
        <v>175</v>
      </c>
      <c r="C10" s="115">
        <v>5132</v>
      </c>
      <c r="D10" s="115">
        <v>4589</v>
      </c>
      <c r="E10" s="115">
        <v>6190</v>
      </c>
      <c r="F10" s="115">
        <v>6170</v>
      </c>
      <c r="G10" s="115">
        <v>5980</v>
      </c>
      <c r="H10" s="115">
        <v>6097.8</v>
      </c>
      <c r="I10" s="115">
        <v>7050</v>
      </c>
      <c r="J10" s="115">
        <v>8050</v>
      </c>
      <c r="K10" s="115">
        <v>6678</v>
      </c>
      <c r="L10" s="115">
        <v>6859</v>
      </c>
      <c r="M10" s="115">
        <v>5960</v>
      </c>
      <c r="N10" s="115">
        <v>5210.0999999999985</v>
      </c>
    </row>
    <row r="11" spans="2:14" ht="36.75" customHeight="1" x14ac:dyDescent="0.2">
      <c r="B11" s="119" t="s">
        <v>176</v>
      </c>
      <c r="C11" s="115">
        <v>5598.9000000000015</v>
      </c>
      <c r="D11" s="115">
        <v>5297</v>
      </c>
      <c r="E11" s="115">
        <v>5857</v>
      </c>
      <c r="F11" s="115">
        <v>6284</v>
      </c>
      <c r="G11" s="115">
        <v>5500</v>
      </c>
      <c r="H11" s="115">
        <v>5583.8000000000029</v>
      </c>
      <c r="I11" s="115">
        <v>6266.8999999999942</v>
      </c>
      <c r="J11" s="115">
        <v>6178.3000000000029</v>
      </c>
      <c r="K11" s="115">
        <v>6144.5</v>
      </c>
      <c r="L11" s="115">
        <v>6117.5</v>
      </c>
      <c r="M11" s="115">
        <v>5023</v>
      </c>
      <c r="N11" s="115">
        <v>4767.8</v>
      </c>
    </row>
    <row r="12" spans="2:14" ht="33.75" customHeight="1" thickBot="1" x14ac:dyDescent="0.25">
      <c r="B12" s="131" t="s">
        <v>177</v>
      </c>
      <c r="C12" s="115">
        <v>5044.8</v>
      </c>
      <c r="D12" s="115">
        <v>5061</v>
      </c>
      <c r="E12" s="115">
        <v>5504</v>
      </c>
      <c r="F12" s="115">
        <v>5372.2999999999993</v>
      </c>
      <c r="G12" s="115">
        <v>4507.2999999999993</v>
      </c>
      <c r="H12" s="115">
        <v>5269.2000000000044</v>
      </c>
      <c r="I12" s="115">
        <v>5509.1999999999971</v>
      </c>
      <c r="J12" s="115">
        <v>5601</v>
      </c>
      <c r="K12" s="115">
        <v>5387</v>
      </c>
      <c r="L12" s="115">
        <v>6051</v>
      </c>
      <c r="M12" s="115"/>
      <c r="N12" s="115"/>
    </row>
    <row r="13" spans="2:14" ht="21" thickBot="1" x14ac:dyDescent="0.35">
      <c r="C13" s="434" t="s">
        <v>180</v>
      </c>
      <c r="D13" s="443"/>
      <c r="E13" s="443"/>
      <c r="F13" s="443"/>
      <c r="G13" s="443"/>
      <c r="H13" s="443"/>
      <c r="I13" s="443"/>
      <c r="J13" s="443"/>
      <c r="K13" s="443"/>
      <c r="L13" s="443"/>
      <c r="M13" s="443"/>
      <c r="N13" s="444"/>
    </row>
    <row r="15" spans="2:14" ht="18" customHeight="1" x14ac:dyDescent="0.2">
      <c r="C15" s="116" t="s">
        <v>161</v>
      </c>
      <c r="D15" s="116" t="s">
        <v>162</v>
      </c>
      <c r="E15" s="116" t="s">
        <v>163</v>
      </c>
      <c r="F15" s="116" t="s">
        <v>164</v>
      </c>
      <c r="G15" s="116" t="s">
        <v>165</v>
      </c>
      <c r="H15" s="116" t="s">
        <v>166</v>
      </c>
      <c r="I15" s="116" t="s">
        <v>167</v>
      </c>
      <c r="J15" s="116" t="s">
        <v>168</v>
      </c>
      <c r="K15" s="116" t="s">
        <v>169</v>
      </c>
      <c r="L15" s="116" t="s">
        <v>170</v>
      </c>
      <c r="M15" s="116" t="s">
        <v>171</v>
      </c>
      <c r="N15" s="116" t="s">
        <v>172</v>
      </c>
    </row>
    <row r="16" spans="2:14" ht="30" customHeight="1" x14ac:dyDescent="0.2">
      <c r="B16" s="117" t="s">
        <v>173</v>
      </c>
      <c r="C16" s="440"/>
      <c r="D16" s="441"/>
      <c r="E16" s="441"/>
      <c r="F16" s="441"/>
      <c r="G16" s="441"/>
      <c r="H16" s="441"/>
      <c r="I16" s="441"/>
      <c r="J16" s="441"/>
      <c r="K16" s="442"/>
      <c r="L16" s="115"/>
      <c r="M16" s="115">
        <v>43165.84</v>
      </c>
      <c r="N16" s="115">
        <v>50595.28</v>
      </c>
    </row>
    <row r="17" spans="2:15" ht="31.5" customHeight="1" x14ac:dyDescent="0.2">
      <c r="B17" s="118" t="s">
        <v>174</v>
      </c>
      <c r="C17" s="115">
        <v>53565.520000000004</v>
      </c>
      <c r="D17" s="115">
        <v>48294.28</v>
      </c>
      <c r="E17" s="115">
        <v>51250.36</v>
      </c>
      <c r="F17" s="115">
        <v>62603.8</v>
      </c>
      <c r="G17" s="115">
        <v>68202.040000000008</v>
      </c>
      <c r="H17" s="115">
        <v>53683.240000000005</v>
      </c>
      <c r="I17" s="115">
        <v>73551.760000000009</v>
      </c>
      <c r="J17" s="115">
        <v>85925.440000000002</v>
      </c>
      <c r="K17" s="115">
        <v>57158.52</v>
      </c>
      <c r="L17" s="115">
        <v>67234.52</v>
      </c>
      <c r="M17" s="115">
        <v>53224.76</v>
      </c>
      <c r="N17" s="115">
        <v>58005.08</v>
      </c>
    </row>
    <row r="18" spans="2:15" ht="34.5" customHeight="1" x14ac:dyDescent="0.2">
      <c r="B18" s="124" t="s">
        <v>175</v>
      </c>
      <c r="C18" s="115">
        <v>56680.28</v>
      </c>
      <c r="D18" s="115">
        <v>50685.56</v>
      </c>
      <c r="E18" s="115">
        <v>68360.600000000006</v>
      </c>
      <c r="F18" s="115">
        <v>68139.8</v>
      </c>
      <c r="G18" s="115">
        <v>66042.2</v>
      </c>
      <c r="H18" s="115">
        <v>67342.712</v>
      </c>
      <c r="I18" s="115">
        <v>77855</v>
      </c>
      <c r="J18" s="115">
        <v>88895</v>
      </c>
      <c r="K18" s="115">
        <v>73748.12</v>
      </c>
      <c r="L18" s="115">
        <v>75746.36</v>
      </c>
      <c r="M18" s="115">
        <v>65821.399999999994</v>
      </c>
      <c r="N18" s="115">
        <v>57542.503999999986</v>
      </c>
    </row>
    <row r="19" spans="2:15" ht="36" customHeight="1" x14ac:dyDescent="0.2">
      <c r="B19" s="119" t="s">
        <v>176</v>
      </c>
      <c r="C19" s="115">
        <v>61834.856000000014</v>
      </c>
      <c r="D19" s="115">
        <v>58501.880000000005</v>
      </c>
      <c r="E19" s="115">
        <v>64684.28</v>
      </c>
      <c r="F19" s="115">
        <v>69398.36</v>
      </c>
      <c r="G19" s="115">
        <v>60743</v>
      </c>
      <c r="H19" s="115">
        <v>61668.152000000031</v>
      </c>
      <c r="I19" s="115">
        <v>69209.575999999943</v>
      </c>
      <c r="J19" s="115">
        <v>68231.43200000003</v>
      </c>
      <c r="K19" s="115">
        <v>67858.28</v>
      </c>
      <c r="L19" s="115">
        <v>67560.2</v>
      </c>
      <c r="M19" s="115">
        <v>55476.92</v>
      </c>
      <c r="N19" s="115">
        <v>52659.512000000002</v>
      </c>
    </row>
    <row r="20" spans="2:15" ht="32.25" customHeight="1" x14ac:dyDescent="0.2">
      <c r="B20" s="131" t="s">
        <v>177</v>
      </c>
      <c r="C20" s="115">
        <v>55717.592000000004</v>
      </c>
      <c r="D20" s="115">
        <v>57718.399999999994</v>
      </c>
      <c r="E20" s="115">
        <v>62768.599999999991</v>
      </c>
      <c r="F20" s="115">
        <v>61267.219999999987</v>
      </c>
      <c r="G20" s="115">
        <v>51406.219999999987</v>
      </c>
      <c r="H20" s="115">
        <v>60091.880000000041</v>
      </c>
      <c r="I20" s="115">
        <v>62827.879999999961</v>
      </c>
      <c r="J20" s="115">
        <v>63874.400000000001</v>
      </c>
      <c r="K20" s="115">
        <v>61434.799999999996</v>
      </c>
      <c r="L20" s="115">
        <v>69004.399999999994</v>
      </c>
      <c r="M20" s="115"/>
      <c r="N20" s="115"/>
    </row>
    <row r="25" spans="2:15" ht="16.5" customHeight="1" x14ac:dyDescent="0.2">
      <c r="O25" t="s">
        <v>18</v>
      </c>
    </row>
    <row r="26" spans="2:15" ht="15.75" customHeight="1" x14ac:dyDescent="0.2"/>
  </sheetData>
  <mergeCells count="4">
    <mergeCell ref="C5:N5"/>
    <mergeCell ref="C8:K8"/>
    <mergeCell ref="C13:N13"/>
    <mergeCell ref="C16:K16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26"/>
  <sheetViews>
    <sheetView topLeftCell="F1" zoomScaleNormal="100" workbookViewId="0">
      <selection activeCell="L20" sqref="L20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4" t="s">
        <v>181</v>
      </c>
      <c r="D5" s="435"/>
      <c r="E5" s="435"/>
      <c r="F5" s="435"/>
      <c r="G5" s="435"/>
      <c r="H5" s="435"/>
      <c r="I5" s="435"/>
      <c r="J5" s="435"/>
      <c r="K5" s="435"/>
      <c r="L5" s="435"/>
      <c r="M5" s="435"/>
      <c r="N5" s="436"/>
    </row>
    <row r="6" spans="2:14" ht="23.25" customHeight="1" x14ac:dyDescent="0.2"/>
    <row r="7" spans="2:14" x14ac:dyDescent="0.2">
      <c r="C7" s="116" t="s">
        <v>161</v>
      </c>
      <c r="D7" s="116" t="s">
        <v>162</v>
      </c>
      <c r="E7" s="116" t="s">
        <v>163</v>
      </c>
      <c r="F7" s="116" t="s">
        <v>164</v>
      </c>
      <c r="G7" s="116" t="s">
        <v>165</v>
      </c>
      <c r="H7" s="116" t="s">
        <v>166</v>
      </c>
      <c r="I7" s="116" t="s">
        <v>167</v>
      </c>
      <c r="J7" s="116" t="s">
        <v>168</v>
      </c>
      <c r="K7" s="116" t="s">
        <v>169</v>
      </c>
      <c r="L7" s="116" t="s">
        <v>170</v>
      </c>
      <c r="M7" s="116" t="s">
        <v>171</v>
      </c>
      <c r="N7" s="116" t="s">
        <v>172</v>
      </c>
    </row>
    <row r="8" spans="2:14" ht="33.75" customHeight="1" x14ac:dyDescent="0.2">
      <c r="B8" s="117" t="s">
        <v>173</v>
      </c>
      <c r="C8" s="440"/>
      <c r="D8" s="441"/>
      <c r="E8" s="441"/>
      <c r="F8" s="441"/>
      <c r="G8" s="441"/>
      <c r="H8" s="441"/>
      <c r="I8" s="441"/>
      <c r="J8" s="441"/>
      <c r="K8" s="442"/>
      <c r="L8" s="115">
        <v>19365</v>
      </c>
      <c r="M8" s="115">
        <v>21235</v>
      </c>
      <c r="N8" s="115">
        <v>34053</v>
      </c>
    </row>
    <row r="9" spans="2:14" ht="35.25" customHeight="1" x14ac:dyDescent="0.2">
      <c r="B9" s="118" t="s">
        <v>174</v>
      </c>
      <c r="C9" s="115">
        <v>23598</v>
      </c>
      <c r="D9" s="115">
        <v>28302</v>
      </c>
      <c r="E9" s="115">
        <v>23000</v>
      </c>
      <c r="F9" s="115">
        <v>28601</v>
      </c>
      <c r="G9" s="115">
        <v>24612</v>
      </c>
      <c r="H9" s="115">
        <v>16695</v>
      </c>
      <c r="I9" s="115">
        <v>10756</v>
      </c>
      <c r="J9" s="115">
        <v>14749</v>
      </c>
      <c r="K9" s="115">
        <v>18297</v>
      </c>
      <c r="L9" s="115">
        <v>20801</v>
      </c>
      <c r="M9" s="115">
        <v>22927</v>
      </c>
      <c r="N9" s="115">
        <v>38265</v>
      </c>
    </row>
    <row r="10" spans="2:14" ht="32.25" customHeight="1" x14ac:dyDescent="0.2">
      <c r="B10" s="124" t="s">
        <v>175</v>
      </c>
      <c r="C10" s="115">
        <v>39843</v>
      </c>
      <c r="D10" s="115">
        <v>27644</v>
      </c>
      <c r="E10" s="115">
        <v>31207</v>
      </c>
      <c r="F10" s="115">
        <v>34231</v>
      </c>
      <c r="G10" s="115">
        <v>21149.420000000002</v>
      </c>
      <c r="H10" s="115">
        <v>19502</v>
      </c>
      <c r="I10" s="115">
        <v>22293</v>
      </c>
      <c r="J10" s="115">
        <v>21244</v>
      </c>
      <c r="K10" s="115">
        <v>20201</v>
      </c>
      <c r="L10" s="115">
        <v>21000</v>
      </c>
      <c r="M10" s="115">
        <v>30135</v>
      </c>
      <c r="N10" s="115">
        <v>28841</v>
      </c>
    </row>
    <row r="11" spans="2:14" ht="34.5" customHeight="1" x14ac:dyDescent="0.2">
      <c r="B11" s="119" t="s">
        <v>176</v>
      </c>
      <c r="C11" s="115">
        <v>33210.620000000003</v>
      </c>
      <c r="D11" s="115">
        <v>27328.669000000002</v>
      </c>
      <c r="E11" s="115">
        <v>22296.292000000001</v>
      </c>
      <c r="F11" s="115">
        <v>18205.006000000001</v>
      </c>
      <c r="G11" s="115">
        <v>16641.811000000002</v>
      </c>
      <c r="H11" s="115">
        <v>17087.758000000002</v>
      </c>
      <c r="I11" s="115">
        <v>13220.239000000001</v>
      </c>
      <c r="J11" s="115">
        <v>15457.909000000001</v>
      </c>
      <c r="K11" s="115">
        <v>10651.944000000001</v>
      </c>
      <c r="L11" s="115">
        <v>13951.846000000001</v>
      </c>
      <c r="M11" s="115">
        <v>24676.263000000003</v>
      </c>
      <c r="N11" s="115">
        <v>21781.575000000001</v>
      </c>
    </row>
    <row r="12" spans="2:14" ht="36.75" customHeight="1" thickBot="1" x14ac:dyDescent="0.25">
      <c r="B12" s="131" t="s">
        <v>177</v>
      </c>
      <c r="C12" s="115">
        <v>26669.535</v>
      </c>
      <c r="D12" s="115">
        <v>26601.294000000002</v>
      </c>
      <c r="E12" s="115">
        <v>23114.126</v>
      </c>
      <c r="F12" s="115">
        <v>20873.811000000002</v>
      </c>
      <c r="G12" s="115">
        <v>14596.168000000001</v>
      </c>
      <c r="H12" s="115">
        <v>10659.35</v>
      </c>
      <c r="I12" s="115">
        <v>18584.299000000003</v>
      </c>
      <c r="J12" s="115">
        <v>10559.897999999999</v>
      </c>
      <c r="K12" s="115">
        <v>8546.5240000000013</v>
      </c>
      <c r="L12" s="115">
        <v>17517.306</v>
      </c>
      <c r="M12" s="115"/>
      <c r="N12" s="115"/>
    </row>
    <row r="13" spans="2:14" ht="21" thickBot="1" x14ac:dyDescent="0.35">
      <c r="C13" s="434" t="s">
        <v>182</v>
      </c>
      <c r="D13" s="435"/>
      <c r="E13" s="435"/>
      <c r="F13" s="435"/>
      <c r="G13" s="435"/>
      <c r="H13" s="435"/>
      <c r="I13" s="435"/>
      <c r="J13" s="435"/>
      <c r="K13" s="435"/>
      <c r="L13" s="435"/>
      <c r="M13" s="435"/>
      <c r="N13" s="436"/>
    </row>
    <row r="15" spans="2:14" ht="17.25" customHeight="1" x14ac:dyDescent="0.2">
      <c r="C15" s="116" t="s">
        <v>161</v>
      </c>
      <c r="D15" s="116" t="s">
        <v>162</v>
      </c>
      <c r="E15" s="116" t="s">
        <v>163</v>
      </c>
      <c r="F15" s="116" t="s">
        <v>164</v>
      </c>
      <c r="G15" s="116" t="s">
        <v>165</v>
      </c>
      <c r="H15" s="116" t="s">
        <v>166</v>
      </c>
      <c r="I15" s="116" t="s">
        <v>167</v>
      </c>
      <c r="J15" s="116" t="s">
        <v>168</v>
      </c>
      <c r="K15" s="116" t="s">
        <v>169</v>
      </c>
      <c r="L15" s="116" t="s">
        <v>170</v>
      </c>
      <c r="M15" s="116" t="s">
        <v>171</v>
      </c>
      <c r="N15" s="116" t="s">
        <v>172</v>
      </c>
    </row>
    <row r="16" spans="2:14" ht="30" customHeight="1" x14ac:dyDescent="0.2">
      <c r="B16" s="117" t="s">
        <v>173</v>
      </c>
      <c r="C16" s="440"/>
      <c r="D16" s="441"/>
      <c r="E16" s="441"/>
      <c r="F16" s="441"/>
      <c r="G16" s="441"/>
      <c r="H16" s="441"/>
      <c r="I16" s="441"/>
      <c r="J16" s="441"/>
      <c r="K16" s="442"/>
      <c r="L16" s="115">
        <v>222503.85</v>
      </c>
      <c r="M16" s="115">
        <v>248385.8</v>
      </c>
      <c r="N16" s="115">
        <v>412790.47</v>
      </c>
    </row>
    <row r="17" spans="2:14" ht="30" customHeight="1" x14ac:dyDescent="0.2">
      <c r="B17" s="118" t="s">
        <v>174</v>
      </c>
      <c r="C17" s="115">
        <v>281335.36</v>
      </c>
      <c r="D17" s="115">
        <v>329491.88</v>
      </c>
      <c r="E17" s="120">
        <v>263166</v>
      </c>
      <c r="F17" s="115">
        <v>334402.89</v>
      </c>
      <c r="G17" s="115">
        <v>287763.5</v>
      </c>
      <c r="H17" s="115">
        <v>200206.44</v>
      </c>
      <c r="I17" s="115">
        <v>128985.95</v>
      </c>
      <c r="J17" s="115">
        <v>174687.16</v>
      </c>
      <c r="K17" s="115">
        <v>221708.41</v>
      </c>
      <c r="L17" s="115">
        <v>257125.33</v>
      </c>
      <c r="M17" s="115">
        <v>290283.33</v>
      </c>
      <c r="N17" s="115">
        <v>491751.17</v>
      </c>
    </row>
    <row r="18" spans="2:14" ht="38.25" customHeight="1" x14ac:dyDescent="0.2">
      <c r="B18" s="124" t="s">
        <v>175</v>
      </c>
      <c r="C18" s="115">
        <v>534222.91</v>
      </c>
      <c r="D18" s="115">
        <v>397841.39</v>
      </c>
      <c r="E18" s="120">
        <v>463317.85</v>
      </c>
      <c r="F18" s="115">
        <v>473982.96</v>
      </c>
      <c r="G18" s="115">
        <v>288617.67497200001</v>
      </c>
      <c r="H18" s="115">
        <v>262138.08</v>
      </c>
      <c r="I18" s="115">
        <v>290959.32</v>
      </c>
      <c r="J18" s="115">
        <v>277268.19</v>
      </c>
      <c r="K18" s="115">
        <v>269109.64</v>
      </c>
      <c r="L18" s="115">
        <v>279753.59999999998</v>
      </c>
      <c r="M18" s="115">
        <v>411233.26</v>
      </c>
      <c r="N18" s="115">
        <v>393575.4632766</v>
      </c>
    </row>
    <row r="19" spans="2:14" ht="36" customHeight="1" x14ac:dyDescent="0.2">
      <c r="B19" s="119" t="s">
        <v>176</v>
      </c>
      <c r="C19" s="115">
        <v>433913.35561000003</v>
      </c>
      <c r="D19" s="115">
        <v>365261.32551950007</v>
      </c>
      <c r="E19" s="115">
        <v>291312.20312600001</v>
      </c>
      <c r="F19" s="115">
        <v>213834.17997540004</v>
      </c>
      <c r="G19" s="115">
        <v>197886.11041990001</v>
      </c>
      <c r="H19" s="115">
        <v>143537.16720000003</v>
      </c>
      <c r="I19" s="115">
        <v>111050.00760000001</v>
      </c>
      <c r="J19" s="115">
        <v>129846.43560000001</v>
      </c>
      <c r="K19" s="115">
        <v>97997.8848</v>
      </c>
      <c r="L19" s="115">
        <v>117195.50640000001</v>
      </c>
      <c r="M19" s="115">
        <v>207280.60920000004</v>
      </c>
      <c r="N19" s="115">
        <v>182965.23</v>
      </c>
    </row>
    <row r="20" spans="2:14" ht="36.75" customHeight="1" x14ac:dyDescent="0.2">
      <c r="B20" s="131" t="s">
        <v>177</v>
      </c>
      <c r="C20" s="115">
        <v>224024.09400000001</v>
      </c>
      <c r="D20" s="115">
        <v>223450.86960000003</v>
      </c>
      <c r="E20" s="115">
        <v>209182.84030000001</v>
      </c>
      <c r="F20" s="115">
        <v>188907.98955000003</v>
      </c>
      <c r="G20" s="115">
        <v>129176.0868</v>
      </c>
      <c r="H20" s="115">
        <v>94335.247499999998</v>
      </c>
      <c r="I20" s="115">
        <v>144957.53220000002</v>
      </c>
      <c r="J20" s="115">
        <v>77405.108330000003</v>
      </c>
      <c r="K20" s="115">
        <v>62646.875572400008</v>
      </c>
      <c r="L20" s="115">
        <v>133571.20998059999</v>
      </c>
      <c r="M20" s="115"/>
      <c r="N20" s="115"/>
    </row>
    <row r="25" spans="2:14" ht="16.5" customHeight="1" x14ac:dyDescent="0.2"/>
    <row r="26" spans="2:14" ht="15.75" customHeight="1" x14ac:dyDescent="0.2"/>
  </sheetData>
  <mergeCells count="4">
    <mergeCell ref="C5:N5"/>
    <mergeCell ref="C8:K8"/>
    <mergeCell ref="C13:N13"/>
    <mergeCell ref="C16:K16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4AD6A2-2EBD-4E80-82D0-AF35C44438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5FDFA0-87DA-4044-BC00-02CEF35D93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3799c-050f-4d59-acb6-f8e1ac289174"/>
    <ds:schemaRef ds:uri="1a260a97-1a1d-4976-a872-bec7d3026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2023-02-27T17:07:18Z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