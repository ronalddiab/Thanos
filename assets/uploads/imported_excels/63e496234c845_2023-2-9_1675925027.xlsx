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3.HEP_Waste record\"/>
    </mc:Choice>
  </mc:AlternateContent>
  <xr:revisionPtr revIDLastSave="0" documentId="13_ncr:1_{3EBBA815-7BC5-476D-AC86-2DF05019FDC5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" l="1"/>
  <c r="AG12" i="1"/>
  <c r="AE13" i="1"/>
  <c r="AE12" i="1"/>
  <c r="AA13" i="1"/>
  <c r="AA12" i="1"/>
  <c r="Y13" i="1"/>
  <c r="Y12" i="1"/>
  <c r="W13" i="1"/>
  <c r="W12" i="1"/>
  <c r="U13" i="1"/>
  <c r="U12" i="1"/>
  <c r="S13" i="1"/>
  <c r="S12" i="1"/>
  <c r="M13" i="1"/>
  <c r="M12" i="1"/>
  <c r="K13" i="1"/>
  <c r="K12" i="1"/>
  <c r="E13" i="1"/>
  <c r="AF13" i="1"/>
  <c r="AF12" i="1"/>
  <c r="AD13" i="1"/>
  <c r="AD12" i="1"/>
  <c r="Z13" i="1"/>
  <c r="Z12" i="1"/>
  <c r="X13" i="1"/>
  <c r="X12" i="1"/>
  <c r="V13" i="1"/>
  <c r="V12" i="1"/>
  <c r="T13" i="1"/>
  <c r="T12" i="1"/>
  <c r="R13" i="1"/>
  <c r="R12" i="1"/>
  <c r="P13" i="1"/>
  <c r="P12" i="1"/>
  <c r="N13" i="1"/>
  <c r="N12" i="1"/>
  <c r="L13" i="1"/>
  <c r="L12" i="1"/>
  <c r="J13" i="1"/>
  <c r="J12" i="1"/>
  <c r="H13" i="1"/>
  <c r="H12" i="1"/>
  <c r="D13" i="1"/>
  <c r="F13" i="1"/>
  <c r="F12" i="1"/>
  <c r="E12" i="1"/>
  <c r="D12" i="1"/>
  <c r="AG11" i="1"/>
  <c r="AF11" i="1"/>
  <c r="AE11" i="1"/>
  <c r="AD11" i="1"/>
  <c r="AA11" i="1"/>
  <c r="Z11" i="1"/>
  <c r="Y11" i="1"/>
  <c r="X11" i="1"/>
  <c r="W11" i="1"/>
  <c r="V11" i="1"/>
  <c r="U11" i="1"/>
  <c r="T11" i="1"/>
  <c r="S11" i="1"/>
  <c r="R11" i="1"/>
  <c r="P11" i="1"/>
  <c r="N11" i="1"/>
  <c r="M11" i="1"/>
  <c r="L11" i="1"/>
  <c r="K11" i="1"/>
  <c r="J11" i="1"/>
  <c r="H11" i="1"/>
  <c r="F11" i="1"/>
  <c r="E11" i="1"/>
  <c r="D11" i="1"/>
  <c r="AG10" i="1"/>
  <c r="AF10" i="1"/>
  <c r="AE10" i="1"/>
  <c r="AD10" i="1"/>
  <c r="AA10" i="1"/>
  <c r="Z10" i="1"/>
  <c r="Y10" i="1"/>
  <c r="X10" i="1"/>
  <c r="W10" i="1"/>
  <c r="V10" i="1"/>
  <c r="U10" i="1"/>
  <c r="T10" i="1"/>
  <c r="S10" i="1"/>
  <c r="R10" i="1"/>
  <c r="P10" i="1"/>
  <c r="N10" i="1"/>
  <c r="M10" i="1"/>
  <c r="L10" i="1"/>
  <c r="K10" i="1"/>
  <c r="J10" i="1"/>
  <c r="H10" i="1"/>
  <c r="F10" i="1"/>
  <c r="E10" i="1"/>
  <c r="D10" i="1"/>
  <c r="AG9" i="1"/>
  <c r="AF9" i="1"/>
  <c r="AE9" i="1"/>
  <c r="AD9" i="1"/>
  <c r="AA9" i="1"/>
  <c r="Z9" i="1"/>
  <c r="Y9" i="1"/>
  <c r="X9" i="1"/>
  <c r="W9" i="1"/>
  <c r="V9" i="1"/>
  <c r="U9" i="1"/>
  <c r="T9" i="1"/>
  <c r="S9" i="1"/>
  <c r="R9" i="1"/>
  <c r="P9" i="1"/>
  <c r="N9" i="1"/>
  <c r="M9" i="1"/>
  <c r="L9" i="1"/>
  <c r="K9" i="1"/>
  <c r="J9" i="1"/>
  <c r="H9" i="1"/>
  <c r="F9" i="1"/>
  <c r="E9" i="1"/>
  <c r="D9" i="1"/>
  <c r="AG8" i="1"/>
  <c r="AF8" i="1"/>
  <c r="AE8" i="1"/>
  <c r="AD8" i="1"/>
  <c r="AA8" i="1"/>
  <c r="Z8" i="1"/>
  <c r="Y8" i="1"/>
  <c r="X8" i="1"/>
  <c r="W8" i="1"/>
  <c r="V8" i="1"/>
  <c r="U8" i="1"/>
  <c r="T8" i="1"/>
  <c r="S8" i="1"/>
  <c r="R8" i="1"/>
  <c r="P8" i="1"/>
  <c r="N8" i="1"/>
  <c r="M8" i="1"/>
  <c r="L8" i="1"/>
  <c r="K8" i="1"/>
  <c r="J8" i="1"/>
  <c r="H8" i="1"/>
  <c r="F8" i="1"/>
  <c r="E8" i="1"/>
  <c r="D8" i="1"/>
  <c r="AG7" i="1"/>
  <c r="AF7" i="1"/>
  <c r="AE7" i="1"/>
  <c r="AD7" i="1"/>
  <c r="AA7" i="1"/>
  <c r="Z7" i="1"/>
  <c r="Y7" i="1"/>
  <c r="X7" i="1"/>
  <c r="W7" i="1"/>
  <c r="V7" i="1"/>
  <c r="U7" i="1"/>
  <c r="T7" i="1"/>
  <c r="S7" i="1"/>
  <c r="R7" i="1"/>
  <c r="P7" i="1"/>
  <c r="N7" i="1"/>
  <c r="M7" i="1"/>
  <c r="L7" i="1"/>
  <c r="K7" i="1"/>
  <c r="J7" i="1"/>
  <c r="H7" i="1"/>
  <c r="F7" i="1"/>
  <c r="E7" i="1"/>
  <c r="D7" i="1"/>
  <c r="AG6" i="1"/>
  <c r="AF6" i="1"/>
  <c r="AE6" i="1"/>
  <c r="AD6" i="1"/>
  <c r="AA6" i="1"/>
  <c r="Z6" i="1"/>
  <c r="Y6" i="1"/>
  <c r="X6" i="1"/>
  <c r="W6" i="1"/>
  <c r="V6" i="1"/>
  <c r="U6" i="1"/>
  <c r="T6" i="1"/>
  <c r="S6" i="1"/>
  <c r="R6" i="1"/>
  <c r="P6" i="1"/>
  <c r="N6" i="1"/>
  <c r="M6" i="1"/>
  <c r="L6" i="1"/>
  <c r="K6" i="1"/>
  <c r="J6" i="1"/>
  <c r="H6" i="1"/>
  <c r="F6" i="1"/>
  <c r="E6" i="1"/>
  <c r="D6" i="1"/>
  <c r="AG5" i="1"/>
  <c r="AF5" i="1"/>
  <c r="AE5" i="1"/>
  <c r="AD5" i="1"/>
  <c r="AA5" i="1"/>
  <c r="Z5" i="1"/>
  <c r="Y5" i="1"/>
  <c r="X5" i="1"/>
  <c r="W5" i="1"/>
  <c r="V5" i="1"/>
  <c r="U5" i="1"/>
  <c r="T5" i="1"/>
  <c r="S5" i="1"/>
  <c r="R5" i="1"/>
  <c r="P5" i="1"/>
  <c r="N5" i="1"/>
  <c r="M5" i="1"/>
  <c r="L5" i="1"/>
  <c r="K5" i="1"/>
  <c r="J5" i="1"/>
  <c r="H5" i="1"/>
  <c r="F5" i="1"/>
  <c r="E5" i="1"/>
  <c r="D5" i="1"/>
  <c r="AG4" i="1"/>
  <c r="AF4" i="1"/>
  <c r="AE4" i="1"/>
  <c r="AD4" i="1"/>
  <c r="AA4" i="1"/>
  <c r="Z4" i="1"/>
  <c r="Y4" i="1"/>
  <c r="X4" i="1"/>
  <c r="W4" i="1"/>
  <c r="V4" i="1"/>
  <c r="U4" i="1"/>
  <c r="T4" i="1"/>
  <c r="S4" i="1"/>
  <c r="R4" i="1"/>
  <c r="P4" i="1"/>
  <c r="N4" i="1"/>
  <c r="M4" i="1"/>
  <c r="L4" i="1"/>
  <c r="K4" i="1"/>
  <c r="J4" i="1"/>
  <c r="H4" i="1"/>
  <c r="F4" i="1"/>
  <c r="E4" i="1"/>
  <c r="D4" i="1"/>
  <c r="AG3" i="1"/>
  <c r="AF3" i="1"/>
  <c r="AE3" i="1"/>
  <c r="AD3" i="1"/>
  <c r="AA3" i="1"/>
  <c r="Z3" i="1"/>
  <c r="Y3" i="1"/>
  <c r="X3" i="1"/>
  <c r="W3" i="1"/>
  <c r="V3" i="1"/>
  <c r="U3" i="1"/>
  <c r="T3" i="1"/>
  <c r="S3" i="1"/>
  <c r="R3" i="1"/>
  <c r="P3" i="1"/>
  <c r="N3" i="1"/>
  <c r="M3" i="1"/>
  <c r="L3" i="1"/>
  <c r="K3" i="1"/>
  <c r="J3" i="1"/>
  <c r="H3" i="1"/>
  <c r="F3" i="1"/>
  <c r="E3" i="1"/>
  <c r="D3" i="1"/>
  <c r="AG2" i="1"/>
  <c r="AF2" i="1"/>
  <c r="AE2" i="1"/>
  <c r="AD2" i="1"/>
  <c r="AA2" i="1"/>
  <c r="Z2" i="1"/>
  <c r="Y2" i="1"/>
  <c r="X2" i="1"/>
  <c r="W2" i="1"/>
  <c r="V2" i="1"/>
  <c r="U2" i="1"/>
  <c r="T2" i="1"/>
  <c r="S2" i="1"/>
  <c r="R2" i="1"/>
  <c r="P2" i="1"/>
  <c r="N2" i="1"/>
  <c r="M2" i="1"/>
  <c r="L2" i="1"/>
  <c r="K2" i="1"/>
  <c r="J2" i="1"/>
  <c r="H2" i="1"/>
  <c r="F2" i="1"/>
  <c r="E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Mitsuyoshi Yuki</author>
  </authors>
  <commentList>
    <comment ref="D1" authorId="0" shapeId="0" xr:uid="{136BC3B7-38C9-43EA-B18A-CAB3E1ECA1C9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ﾋﾞﾝ+カン</t>
        </r>
      </text>
    </comment>
    <comment ref="F1" authorId="0" shapeId="0" xr:uid="{75677A34-6C9F-4DF2-9803-1BF4D328F73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段ボール</t>
        </r>
      </text>
    </comment>
    <comment ref="H1" authorId="0" shapeId="0" xr:uid="{CF6EDA61-4ADA-47D2-82E1-E69AC85E334D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新聞+雑誌+上質+ﾐｯｸｽ</t>
        </r>
      </text>
    </comment>
    <comment ref="J1" authorId="0" shapeId="0" xr:uid="{92BB3D24-6D34-45F1-8C12-9E51B44B335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ﾍﾟｯﾄﾎﾞﾙ</t>
        </r>
      </text>
    </comment>
    <comment ref="L1" authorId="0" shapeId="0" xr:uid="{9F51AC74-2EA1-4CF3-B828-50F550DFE2B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発泡</t>
        </r>
      </text>
    </comment>
    <comment ref="N1" authorId="0" shapeId="0" xr:uid="{85749360-D3AC-4658-B185-8C4CFDB4F01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家電</t>
        </r>
      </text>
    </comment>
    <comment ref="P1" authorId="0" shapeId="0" xr:uid="{F518EC33-9D36-49DE-8C3E-9CC2715C244F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廃油</t>
        </r>
      </text>
    </comment>
    <comment ref="R1" authorId="0" shapeId="0" xr:uid="{F09DA310-88DA-4E2F-A46E-DCDFF8F50104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グリーストラップ</t>
        </r>
      </text>
    </comment>
    <comment ref="T1" authorId="0" shapeId="0" xr:uid="{F07C3192-4372-4676-A9AE-1B619214E62C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乾電池</t>
        </r>
      </text>
    </comment>
    <comment ref="V1" authorId="0" shapeId="0" xr:uid="{1D81A356-23A1-4C29-9D59-FC79D40D7F1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蛍光灯</t>
        </r>
      </text>
    </comment>
    <comment ref="X1" authorId="0" shapeId="0" xr:uid="{AB9500E7-2145-4CDF-A202-1497DC292996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生ごみ</t>
        </r>
      </text>
    </comment>
    <comment ref="Z1" authorId="0" shapeId="0" xr:uid="{9547E28B-0C10-474C-BF25-E1AD9662A23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一般廃棄物　可燃ｺﾞﾐ</t>
        </r>
      </text>
    </comment>
    <comment ref="AB1" authorId="0" shapeId="0" xr:uid="{18BE63F0-E804-44EF-826B-9E71DCCAD297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注射器</t>
        </r>
      </text>
    </comment>
    <comment ref="AD1" authorId="0" shapeId="0" xr:uid="{3834AA6E-6F24-4332-93E7-82D9C971B74E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粗大</t>
        </r>
      </text>
    </comment>
    <comment ref="AF1" authorId="0" shapeId="0" xr:uid="{0D627862-81BF-4E79-80AD-D980BE96B47A}">
      <text>
        <r>
          <rPr>
            <b/>
            <sz val="9"/>
            <color indexed="81"/>
            <rFont val="MS P ゴシック"/>
            <family val="2"/>
          </rPr>
          <t>Mitsuyoshi Yuki:</t>
        </r>
        <r>
          <rPr>
            <sz val="9"/>
            <color indexed="81"/>
            <rFont val="MS P ゴシック"/>
            <family val="2"/>
          </rPr>
          <t xml:space="preserve">
</t>
        </r>
        <r>
          <rPr>
            <sz val="9"/>
            <color indexed="81"/>
            <rFont val="HGGothicE"/>
            <family val="3"/>
            <charset val="128"/>
          </rPr>
          <t>不燃ごみ</t>
        </r>
      </text>
    </comment>
  </commentList>
</comments>
</file>

<file path=xl/sharedStrings.xml><?xml version="1.0" encoding="utf-8"?>
<sst xmlns="http://schemas.openxmlformats.org/spreadsheetml/2006/main" count="45" uniqueCount="34">
  <si>
    <t>Site Name</t>
  </si>
  <si>
    <t>Month</t>
  </si>
  <si>
    <t>Year</t>
  </si>
  <si>
    <t>Total (per Unit) bottles cans</t>
  </si>
  <si>
    <t>Total cost bottles cans</t>
  </si>
  <si>
    <t>Total cost paper</t>
  </si>
  <si>
    <t>Total (per Unit) plastic pet</t>
  </si>
  <si>
    <t>Total cost plastic pet</t>
  </si>
  <si>
    <t>Total (per Unit) other plastics</t>
  </si>
  <si>
    <t>Total cost other plastics</t>
  </si>
  <si>
    <t>Total cost e waste</t>
  </si>
  <si>
    <t>Total cost liquid food waste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</si>
  <si>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</si>
  <si>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</si>
  <si>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</si>
  <si>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</si>
  <si>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</si>
  <si>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(per Unit) food waste</t>
  </si>
  <si>
    <t>Total (per Unit) hazardous and universal waste</t>
  </si>
  <si>
    <t>Total cost hazardous and universal waste</t>
  </si>
  <si>
    <t>Tokyo at Otemachi</t>
  </si>
  <si>
    <t>Total cost cardboard</t>
  </si>
  <si>
    <t>Total (per Unit) liquid food waste</t>
    <phoneticPr fontId="1"/>
  </si>
  <si>
    <t>Total cost light bulbs</t>
    <phoneticPr fontId="1"/>
  </si>
  <si>
    <t>Total (per Unit) cardboard</t>
    <phoneticPr fontId="1"/>
  </si>
  <si>
    <t>Total (per Unit) paper</t>
    <phoneticPr fontId="1"/>
  </si>
  <si>
    <t>Total (per Unit) durable goods</t>
  </si>
  <si>
    <t>Total (per Unit) plastic hdpe</t>
  </si>
  <si>
    <t>Total (per Unit) e waste</t>
    <phoneticPr fontId="1"/>
  </si>
  <si>
    <t>Total (per Unit) general municipal solid waste</t>
    <phoneticPr fontId="1"/>
  </si>
  <si>
    <t>Total cost food waste</t>
    <phoneticPr fontId="1"/>
  </si>
  <si>
    <t>Total cost general municipal solid waste</t>
    <phoneticPr fontId="1"/>
  </si>
  <si>
    <t>Total cost durable goods</t>
    <phoneticPr fontId="1"/>
  </si>
  <si>
    <t>Total cost plastic hdpe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</si>
</sst>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9"/>
      <color indexed="81"/>
      <name val="MS P ゴシック"/>
      <family val="2"/>
    </font>
    <font>
      <b/>
      <sz val="9"/>
      <color indexed="81"/>
      <name val="MS P ゴシック"/>
      <family val="2"/>
    </font>
    <font>
      <sz val="9"/>
      <color indexed="81"/>
      <name val="HGGothicE"/>
      <family val="3"/>
      <charset val="128"/>
    </font>
    <font>
      <sz val="11"/>
      <color theme="1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1" fontId="0" fillId="0" borderId="0" xfId="0" applyNumberFormat="1"/>
    <xf numFmtId="0" fontId="0" fillId="0" borderId="0" xfId="0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  <xf numFmtId="176" fontId="0" fillId="0" borderId="0" xfId="0" applyNumberFormat="1" applyFill="1"/>
    <xf numFmtId="0" fontId="2" fillId="2" borderId="0" xfId="0" applyFont="1" applyFill="1" applyAlignment="1">
      <alignment wrapText="1"/>
    </xf>
    <xf numFmtId="38" fontId="2" fillId="0" borderId="0" xfId="1" applyFont="1" applyFill="1" applyAlignment="1">
      <alignment wrapText="1"/>
    </xf>
    <xf numFmtId="38" fontId="0" fillId="0" borderId="0" xfId="1" applyFont="1" applyFill="1" applyAlignment="1"/>
    <xf numFmtId="0" fontId="2" fillId="0" borderId="0" xfId="1" applyNumberFormat="1" applyFont="1" applyFill="1" applyAlignment="1">
      <alignment wrapText="1"/>
    </xf>
    <xf numFmtId="0" fontId="0" fillId="0" borderId="0" xfId="1" applyNumberFormat="1" applyFont="1" applyFill="1" applyAlignment="1"/>
    <xf numFmtId="1" fontId="0" fillId="3" borderId="0" xfId="0" applyNumberFormat="1" applyFill="1"/>
    <xf numFmtId="0" fontId="0" fillId="3" borderId="0" xfId="1" applyNumberFormat="1" applyFont="1" applyFill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6.%20Waste%20Records%20&#24259;&#26820;&#29289;&#25490;&#20986;&#35352;&#37682;/2023%20waste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Total Waste per Night Guests"/>
      <sheetName val="Food Waste per Food Cver"/>
      <sheetName val="2023 waste records"/>
    </sheetNames>
    <sheetDataSet>
      <sheetData sheetId="0">
        <row r="10">
          <cell r="D10">
            <v>8203.1</v>
          </cell>
          <cell r="E10">
            <v>6902.1</v>
          </cell>
          <cell r="G10">
            <v>1862.1</v>
          </cell>
          <cell r="H10">
            <v>329.4</v>
          </cell>
          <cell r="I10">
            <v>5.7</v>
          </cell>
          <cell r="J10"/>
          <cell r="K10">
            <v>16</v>
          </cell>
          <cell r="L10">
            <v>160.1</v>
          </cell>
          <cell r="M10">
            <v>17.100000000000001</v>
          </cell>
          <cell r="N10">
            <v>64.7</v>
          </cell>
          <cell r="O10"/>
          <cell r="P10">
            <v>2126.6999999999998</v>
          </cell>
          <cell r="Q10">
            <v>3593.7</v>
          </cell>
          <cell r="R10">
            <v>686</v>
          </cell>
          <cell r="S10">
            <v>204.3</v>
          </cell>
          <cell r="T10">
            <v>294.2</v>
          </cell>
          <cell r="W10">
            <v>501.6</v>
          </cell>
          <cell r="Y10"/>
        </row>
        <row r="12">
          <cell r="D12">
            <v>164062</v>
          </cell>
          <cell r="E12">
            <v>207063</v>
          </cell>
          <cell r="G12">
            <v>85656</v>
          </cell>
          <cell r="H12">
            <v>82350</v>
          </cell>
          <cell r="I12">
            <v>262</v>
          </cell>
          <cell r="J12">
            <v>0</v>
          </cell>
          <cell r="K12">
            <v>4160</v>
          </cell>
          <cell r="L12">
            <v>2401</v>
          </cell>
          <cell r="Q12">
            <v>89842</v>
          </cell>
          <cell r="R12">
            <v>6860</v>
          </cell>
          <cell r="W12">
            <v>130416</v>
          </cell>
        </row>
        <row r="13">
          <cell r="D13"/>
          <cell r="E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W13"/>
          <cell r="Y13"/>
        </row>
        <row r="15"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Q15">
            <v>0</v>
          </cell>
          <cell r="R15">
            <v>0</v>
          </cell>
          <cell r="W15">
            <v>0</v>
          </cell>
        </row>
        <row r="16">
          <cell r="D16"/>
          <cell r="E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W16"/>
          <cell r="Y16"/>
        </row>
        <row r="18"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Q18">
            <v>0</v>
          </cell>
          <cell r="R18">
            <v>0</v>
          </cell>
          <cell r="W18">
            <v>0</v>
          </cell>
        </row>
        <row r="19">
          <cell r="D19"/>
          <cell r="E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W19"/>
          <cell r="Y19"/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Q21">
            <v>0</v>
          </cell>
          <cell r="R21">
            <v>0</v>
          </cell>
          <cell r="W21">
            <v>0</v>
          </cell>
        </row>
        <row r="22">
          <cell r="D22"/>
          <cell r="E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W22"/>
          <cell r="Y22"/>
        </row>
        <row r="24"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Q24">
            <v>0</v>
          </cell>
          <cell r="R24">
            <v>0</v>
          </cell>
          <cell r="W24">
            <v>0</v>
          </cell>
        </row>
        <row r="25">
          <cell r="D25"/>
          <cell r="E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W25"/>
          <cell r="Y25"/>
        </row>
        <row r="27"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Q27">
            <v>0</v>
          </cell>
          <cell r="R27">
            <v>0</v>
          </cell>
          <cell r="W27">
            <v>0</v>
          </cell>
        </row>
        <row r="28">
          <cell r="D28"/>
          <cell r="E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W28"/>
          <cell r="Y28"/>
        </row>
        <row r="30"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Q30">
            <v>0</v>
          </cell>
          <cell r="R30">
            <v>0</v>
          </cell>
          <cell r="W30">
            <v>0</v>
          </cell>
        </row>
        <row r="31">
          <cell r="D31"/>
          <cell r="E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W31"/>
          <cell r="Y31"/>
        </row>
        <row r="33"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Q33">
            <v>0</v>
          </cell>
          <cell r="R33">
            <v>0</v>
          </cell>
          <cell r="W33">
            <v>0</v>
          </cell>
        </row>
        <row r="34">
          <cell r="D34"/>
          <cell r="E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W34"/>
          <cell r="Y34"/>
        </row>
        <row r="36"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Q36">
            <v>0</v>
          </cell>
          <cell r="R36">
            <v>0</v>
          </cell>
          <cell r="W36">
            <v>0</v>
          </cell>
        </row>
        <row r="37">
          <cell r="D37"/>
          <cell r="E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W37"/>
          <cell r="Y37"/>
        </row>
        <row r="39">
          <cell r="D39">
            <v>0</v>
          </cell>
          <cell r="E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Q39">
            <v>0</v>
          </cell>
          <cell r="R39">
            <v>0</v>
          </cell>
          <cell r="W39">
            <v>0</v>
          </cell>
        </row>
        <row r="40">
          <cell r="D40"/>
          <cell r="E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W40"/>
          <cell r="Y40"/>
        </row>
        <row r="42">
          <cell r="D42">
            <v>0</v>
          </cell>
          <cell r="E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Q42">
            <v>0</v>
          </cell>
          <cell r="R42">
            <v>0</v>
          </cell>
          <cell r="W42">
            <v>0</v>
          </cell>
        </row>
        <row r="43">
          <cell r="D43"/>
          <cell r="E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W43"/>
          <cell r="Y43"/>
        </row>
        <row r="45">
          <cell r="D45">
            <v>0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Q45">
            <v>0</v>
          </cell>
          <cell r="R45">
            <v>0</v>
          </cell>
          <cell r="W45">
            <v>0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"/>
  <sheetViews>
    <sheetView tabSelected="1" topLeftCell="N1" workbookViewId="0">
      <pane ySplit="1" topLeftCell="A2" activePane="bottomLeft" state="frozen"/>
      <selection pane="bottomLeft" activeCell="AE17" sqref="AE17"/>
    </sheetView>
  </sheetViews>
  <sheetFormatPr defaultRowHeight="18.75"/>
  <cols>
    <col min="1" max="1" width="17.75" bestFit="1" customWidth="1"/>
    <col min="2" max="3" width="8.375" customWidth="1"/>
    <col min="4" max="4" width="9.375" style="2" customWidth="1"/>
    <col min="5" max="5" width="9.375" style="11" customWidth="1"/>
    <col min="6" max="6" width="9.375" style="2" customWidth="1"/>
    <col min="7" max="7" width="9.375" style="9" customWidth="1"/>
    <col min="8" max="8" width="9.375" style="2" customWidth="1"/>
    <col min="9" max="9" width="9.375" style="9" customWidth="1"/>
    <col min="10" max="10" width="9.375" style="2" customWidth="1"/>
    <col min="11" max="11" width="9.375" style="11" customWidth="1"/>
    <col min="12" max="12" width="9.375" style="2" customWidth="1"/>
    <col min="13" max="13" width="9.375" style="11" customWidth="1"/>
    <col min="14" max="14" width="10.75" style="2" bestFit="1" customWidth="1"/>
    <col min="15" max="15" width="9.375" style="9" customWidth="1"/>
    <col min="16" max="18" width="9.375" style="2" customWidth="1"/>
    <col min="19" max="19" width="9.375" style="11" customWidth="1"/>
    <col min="20" max="20" width="9.375" style="2" customWidth="1"/>
    <col min="21" max="21" width="9.375" style="11" customWidth="1"/>
    <col min="22" max="22" width="9.375" style="2" customWidth="1"/>
    <col min="23" max="23" width="9.375" style="11" customWidth="1"/>
    <col min="24" max="24" width="9.375" style="2" customWidth="1"/>
    <col min="25" max="25" width="9.375" style="11" customWidth="1"/>
    <col min="26" max="26" width="9.375" style="2" customWidth="1"/>
    <col min="27" max="27" width="9.375" style="11" customWidth="1"/>
    <col min="28" max="29" width="9.375" style="2" customWidth="1"/>
    <col min="31" max="31" width="9.375" style="11" customWidth="1"/>
    <col min="33" max="33" width="9.375" style="11" customWidth="1"/>
  </cols>
  <sheetData>
    <row r="1" spans="1:33" s="5" customFormat="1" ht="134.25" customHeight="1">
      <c r="A1" s="3" t="s">
        <v>0</v>
      </c>
      <c r="B1" s="3" t="s">
        <v>1</v>
      </c>
      <c r="C1" s="3" t="s">
        <v>2</v>
      </c>
      <c r="D1" s="7" t="s">
        <v>3</v>
      </c>
      <c r="E1" s="10" t="s">
        <v>4</v>
      </c>
      <c r="F1" s="7" t="s">
        <v>24</v>
      </c>
      <c r="G1" s="8" t="s">
        <v>21</v>
      </c>
      <c r="H1" s="7" t="s">
        <v>25</v>
      </c>
      <c r="I1" s="8" t="s">
        <v>5</v>
      </c>
      <c r="J1" s="7" t="s">
        <v>6</v>
      </c>
      <c r="K1" s="10" t="s">
        <v>7</v>
      </c>
      <c r="L1" s="7" t="s">
        <v>8</v>
      </c>
      <c r="M1" s="10" t="s">
        <v>9</v>
      </c>
      <c r="N1" s="7" t="s">
        <v>28</v>
      </c>
      <c r="O1" s="8" t="s">
        <v>10</v>
      </c>
      <c r="P1" s="7" t="s">
        <v>22</v>
      </c>
      <c r="Q1" s="4" t="s">
        <v>11</v>
      </c>
      <c r="R1" s="7" t="s">
        <v>12</v>
      </c>
      <c r="S1" s="10" t="s">
        <v>13</v>
      </c>
      <c r="T1" s="7" t="s">
        <v>14</v>
      </c>
      <c r="U1" s="10" t="s">
        <v>15</v>
      </c>
      <c r="V1" s="7" t="s">
        <v>16</v>
      </c>
      <c r="W1" s="10" t="s">
        <v>23</v>
      </c>
      <c r="X1" s="7" t="s">
        <v>17</v>
      </c>
      <c r="Y1" s="10" t="s">
        <v>30</v>
      </c>
      <c r="Z1" s="7" t="s">
        <v>29</v>
      </c>
      <c r="AA1" s="10" t="s">
        <v>31</v>
      </c>
      <c r="AB1" s="7" t="s">
        <v>18</v>
      </c>
      <c r="AC1" s="4" t="s">
        <v>19</v>
      </c>
      <c r="AD1" s="7" t="s">
        <v>26</v>
      </c>
      <c r="AE1" s="10" t="s">
        <v>32</v>
      </c>
      <c r="AF1" s="7" t="s">
        <v>27</v>
      </c>
      <c r="AG1" s="10" t="s">
        <v>33</v>
      </c>
    </row>
    <row r="2" spans="1:33">
      <c r="A2" t="s">
        <v>20</v>
      </c>
      <c r="B2" s="12">
        <v>1</v>
      </c>
      <c r="C2" s="12">
        <v>2023</v>
      </c>
      <c r="D2" s="6">
        <f>[1]English!$R$10+[1]English!$Q$10</f>
        <v>4279.7</v>
      </c>
      <c r="E2" s="13">
        <f>[1]English!$Q$12+[1]English!$R$12</f>
        <v>96702</v>
      </c>
      <c r="F2" s="6">
        <f>[1]English!$P$10</f>
        <v>2126.6999999999998</v>
      </c>
      <c r="G2" s="9">
        <v>0</v>
      </c>
      <c r="H2" s="2">
        <f>[1]English!$M$10+[1]English!$N$10+[1]English!$O$10+[1]English!$S$10</f>
        <v>286.10000000000002</v>
      </c>
      <c r="I2" s="9">
        <v>0</v>
      </c>
      <c r="J2" s="6">
        <f>[1]English!$L$10</f>
        <v>160.1</v>
      </c>
      <c r="K2" s="13">
        <f>[1]English!$L$12</f>
        <v>2401</v>
      </c>
      <c r="L2" s="6">
        <f>[1]English!$I$10</f>
        <v>5.7</v>
      </c>
      <c r="M2" s="13">
        <f>[1]English!$I$12</f>
        <v>262</v>
      </c>
      <c r="N2" s="6">
        <f>[1]English!$Y$10</f>
        <v>0</v>
      </c>
      <c r="O2" s="9">
        <v>0</v>
      </c>
      <c r="P2" s="6">
        <f>[1]English!$T$10</f>
        <v>294.2</v>
      </c>
      <c r="Q2" s="2">
        <v>0</v>
      </c>
      <c r="R2" s="6">
        <f>[1]English!$W$10</f>
        <v>501.6</v>
      </c>
      <c r="S2" s="13">
        <f>[1]English!$W$12</f>
        <v>130416</v>
      </c>
      <c r="T2" s="6">
        <f>[1]English!$K$10</f>
        <v>16</v>
      </c>
      <c r="U2" s="13">
        <f>[1]English!$K$12</f>
        <v>4160</v>
      </c>
      <c r="V2" s="6">
        <f>[1]English!$J$10</f>
        <v>0</v>
      </c>
      <c r="W2" s="13">
        <f>[1]English!$J$12</f>
        <v>0</v>
      </c>
      <c r="X2" s="6">
        <f>[1]English!$E$10</f>
        <v>6902.1</v>
      </c>
      <c r="Y2" s="13">
        <f>[1]English!$E$12</f>
        <v>207063</v>
      </c>
      <c r="Z2" s="6">
        <f>[1]English!$D$10</f>
        <v>8203.1</v>
      </c>
      <c r="AA2" s="13">
        <f>[1]English!$D$12</f>
        <v>164062</v>
      </c>
      <c r="AB2" s="6">
        <v>0</v>
      </c>
      <c r="AC2" s="2">
        <v>0</v>
      </c>
      <c r="AD2" s="6">
        <f>[1]English!$H$10</f>
        <v>329.4</v>
      </c>
      <c r="AE2" s="13">
        <f>[1]English!$H$12</f>
        <v>82350</v>
      </c>
      <c r="AF2" s="6">
        <f>[1]English!$G$10</f>
        <v>1862.1</v>
      </c>
      <c r="AG2" s="13">
        <f>[1]English!$G$12</f>
        <v>85656</v>
      </c>
    </row>
    <row r="3" spans="1:33">
      <c r="A3" t="s">
        <v>20</v>
      </c>
      <c r="B3" s="12">
        <v>2</v>
      </c>
      <c r="C3" s="12">
        <v>2023</v>
      </c>
      <c r="D3" s="6">
        <f>[1]English!$R$13+[1]English!$Q$13</f>
        <v>0</v>
      </c>
      <c r="E3" s="13">
        <f>[1]English!$Q$15+[1]English!$R$15</f>
        <v>0</v>
      </c>
      <c r="F3" s="6">
        <f>[1]English!$P$13</f>
        <v>0</v>
      </c>
      <c r="G3" s="9">
        <v>0</v>
      </c>
      <c r="H3" s="2">
        <f>[1]English!$M$13+[1]English!$N$13+[1]English!$O$13+[1]English!$S$13</f>
        <v>0</v>
      </c>
      <c r="I3" s="9">
        <v>0</v>
      </c>
      <c r="J3" s="6">
        <f>[1]English!$L$13</f>
        <v>0</v>
      </c>
      <c r="K3" s="13">
        <f>[1]English!$L$15</f>
        <v>0</v>
      </c>
      <c r="L3" s="6">
        <f>[1]English!$I$13</f>
        <v>0</v>
      </c>
      <c r="M3" s="13">
        <f>[1]English!$I$15</f>
        <v>0</v>
      </c>
      <c r="N3" s="6">
        <f>[1]English!$Y$13</f>
        <v>0</v>
      </c>
      <c r="O3" s="9">
        <v>0</v>
      </c>
      <c r="P3" s="6">
        <f>[1]English!$T$13</f>
        <v>0</v>
      </c>
      <c r="Q3" s="2">
        <v>0</v>
      </c>
      <c r="R3" s="6">
        <f>[1]English!$W$13</f>
        <v>0</v>
      </c>
      <c r="S3" s="13">
        <f>[1]English!$W$15</f>
        <v>0</v>
      </c>
      <c r="T3" s="6">
        <f>[1]English!$K$13</f>
        <v>0</v>
      </c>
      <c r="U3" s="13">
        <f>[1]English!$K$15</f>
        <v>0</v>
      </c>
      <c r="V3" s="6">
        <f>[1]English!$J$13</f>
        <v>0</v>
      </c>
      <c r="W3" s="13">
        <f>[1]English!$J$15</f>
        <v>0</v>
      </c>
      <c r="X3" s="6">
        <f>[1]English!$E$13</f>
        <v>0</v>
      </c>
      <c r="Y3" s="13">
        <f>[1]English!$E$15</f>
        <v>0</v>
      </c>
      <c r="Z3" s="6">
        <f>[1]English!$D$13</f>
        <v>0</v>
      </c>
      <c r="AA3" s="13">
        <f>[1]English!$D$15</f>
        <v>0</v>
      </c>
      <c r="AB3" s="6">
        <v>0</v>
      </c>
      <c r="AC3" s="2">
        <v>0</v>
      </c>
      <c r="AD3" s="6">
        <f>[1]English!$H$13</f>
        <v>0</v>
      </c>
      <c r="AE3" s="13">
        <f>[1]English!$H$15</f>
        <v>0</v>
      </c>
      <c r="AF3" s="6">
        <f>[1]English!$G$13</f>
        <v>0</v>
      </c>
      <c r="AG3" s="13">
        <f>[1]English!$G$15</f>
        <v>0</v>
      </c>
    </row>
    <row r="4" spans="1:33">
      <c r="A4" t="s">
        <v>20</v>
      </c>
      <c r="B4" s="12">
        <v>3</v>
      </c>
      <c r="C4" s="12">
        <v>2023</v>
      </c>
      <c r="D4" s="6">
        <f>[1]English!$R$16+[1]English!$Q$16</f>
        <v>0</v>
      </c>
      <c r="E4" s="13">
        <f>[1]English!$Q$18+[1]English!$R$18</f>
        <v>0</v>
      </c>
      <c r="F4" s="6">
        <f>[1]English!$P$16</f>
        <v>0</v>
      </c>
      <c r="G4" s="9">
        <v>0</v>
      </c>
      <c r="H4" s="2">
        <f>[1]English!$M$16+[1]English!$N$16+[1]English!$O$16+[1]English!$S$16</f>
        <v>0</v>
      </c>
      <c r="I4" s="9">
        <v>0</v>
      </c>
      <c r="J4" s="6">
        <f>[1]English!$L$16</f>
        <v>0</v>
      </c>
      <c r="K4" s="13">
        <f>[1]English!$L$18</f>
        <v>0</v>
      </c>
      <c r="L4" s="6">
        <f>[1]English!$I$16</f>
        <v>0</v>
      </c>
      <c r="M4" s="13">
        <f>[1]English!$I$18</f>
        <v>0</v>
      </c>
      <c r="N4" s="6">
        <f>[1]English!$Y$16</f>
        <v>0</v>
      </c>
      <c r="O4" s="9">
        <v>0</v>
      </c>
      <c r="P4" s="6">
        <f>[1]English!$T$16</f>
        <v>0</v>
      </c>
      <c r="Q4" s="2">
        <v>0</v>
      </c>
      <c r="R4" s="6">
        <f>[1]English!$W$16</f>
        <v>0</v>
      </c>
      <c r="S4" s="13">
        <f>[1]English!$W$18</f>
        <v>0</v>
      </c>
      <c r="T4" s="6">
        <f>[1]English!$K$16</f>
        <v>0</v>
      </c>
      <c r="U4" s="13">
        <f>[1]English!$K$18</f>
        <v>0</v>
      </c>
      <c r="V4" s="6">
        <f>[1]English!$J$16</f>
        <v>0</v>
      </c>
      <c r="W4" s="13">
        <f>[1]English!$J$18</f>
        <v>0</v>
      </c>
      <c r="X4" s="6">
        <f>[1]English!$E$16</f>
        <v>0</v>
      </c>
      <c r="Y4" s="13">
        <f>[1]English!$E$18</f>
        <v>0</v>
      </c>
      <c r="Z4" s="6">
        <f>[1]English!$D$16</f>
        <v>0</v>
      </c>
      <c r="AA4" s="13">
        <f>[1]English!$D$18</f>
        <v>0</v>
      </c>
      <c r="AB4" s="6">
        <v>0</v>
      </c>
      <c r="AC4" s="2">
        <v>0</v>
      </c>
      <c r="AD4" s="6">
        <f>[1]English!$H$16</f>
        <v>0</v>
      </c>
      <c r="AE4" s="13">
        <f>[1]English!$H$18</f>
        <v>0</v>
      </c>
      <c r="AF4" s="6">
        <f>[1]English!$G$16</f>
        <v>0</v>
      </c>
      <c r="AG4" s="13">
        <f>[1]English!$G$18</f>
        <v>0</v>
      </c>
    </row>
    <row r="5" spans="1:33">
      <c r="A5" t="s">
        <v>20</v>
      </c>
      <c r="B5" s="12">
        <v>4</v>
      </c>
      <c r="C5" s="12">
        <v>2023</v>
      </c>
      <c r="D5" s="6">
        <f>[1]English!$R$19+[1]English!$Q$19</f>
        <v>0</v>
      </c>
      <c r="E5" s="13">
        <f>[1]English!$Q$21+[1]English!$R$21</f>
        <v>0</v>
      </c>
      <c r="F5" s="6">
        <f>[1]English!$P$19</f>
        <v>0</v>
      </c>
      <c r="G5" s="9">
        <v>0</v>
      </c>
      <c r="H5" s="2">
        <f>[1]English!$M$19+[1]English!$N$19+[1]English!$O$19+[1]English!$S$19</f>
        <v>0</v>
      </c>
      <c r="I5" s="9">
        <v>0</v>
      </c>
      <c r="J5" s="6">
        <f>[1]English!$L$19</f>
        <v>0</v>
      </c>
      <c r="K5" s="13">
        <f>[1]English!$L$21</f>
        <v>0</v>
      </c>
      <c r="L5" s="6">
        <f>[1]English!$I$19</f>
        <v>0</v>
      </c>
      <c r="M5" s="13">
        <f>[1]English!$I$21</f>
        <v>0</v>
      </c>
      <c r="N5" s="6">
        <f>[1]English!$Y$19</f>
        <v>0</v>
      </c>
      <c r="O5" s="9">
        <v>0</v>
      </c>
      <c r="P5" s="6">
        <f>[1]English!$T$19</f>
        <v>0</v>
      </c>
      <c r="Q5" s="2">
        <v>0</v>
      </c>
      <c r="R5" s="6">
        <f>[1]English!$W$19</f>
        <v>0</v>
      </c>
      <c r="S5" s="13">
        <f>[1]English!$W$21</f>
        <v>0</v>
      </c>
      <c r="T5" s="6">
        <f>[1]English!$K$19</f>
        <v>0</v>
      </c>
      <c r="U5" s="13">
        <f>[1]English!$K$21</f>
        <v>0</v>
      </c>
      <c r="V5" s="6">
        <f>[1]English!$J$19</f>
        <v>0</v>
      </c>
      <c r="W5" s="13">
        <f>[1]English!$J$21</f>
        <v>0</v>
      </c>
      <c r="X5" s="6">
        <f>[1]English!$E$19</f>
        <v>0</v>
      </c>
      <c r="Y5" s="13">
        <f>[1]English!$E$21</f>
        <v>0</v>
      </c>
      <c r="Z5" s="6">
        <f>[1]English!$D$19</f>
        <v>0</v>
      </c>
      <c r="AA5" s="13">
        <f>[1]English!$D$21</f>
        <v>0</v>
      </c>
      <c r="AB5" s="6">
        <v>0</v>
      </c>
      <c r="AC5" s="2">
        <v>0</v>
      </c>
      <c r="AD5" s="6">
        <f>[1]English!$H$19</f>
        <v>0</v>
      </c>
      <c r="AE5" s="13">
        <f>[1]English!$H$21</f>
        <v>0</v>
      </c>
      <c r="AF5" s="6">
        <f>[1]English!$G$19</f>
        <v>0</v>
      </c>
      <c r="AG5" s="13">
        <f>[1]English!$G$21</f>
        <v>0</v>
      </c>
    </row>
    <row r="6" spans="1:33">
      <c r="A6" t="s">
        <v>20</v>
      </c>
      <c r="B6" s="12">
        <v>5</v>
      </c>
      <c r="C6" s="12">
        <v>2023</v>
      </c>
      <c r="D6" s="6">
        <f>[1]English!$R$22+[1]English!$Q$22</f>
        <v>0</v>
      </c>
      <c r="E6" s="13">
        <f>[1]English!$Q$24+[1]English!$R$24</f>
        <v>0</v>
      </c>
      <c r="F6" s="6">
        <f>[1]English!$P$22</f>
        <v>0</v>
      </c>
      <c r="G6" s="9">
        <v>0</v>
      </c>
      <c r="H6" s="2">
        <f>[1]English!$M$22+[1]English!$N$22+[1]English!$O$22+[1]English!$S$22</f>
        <v>0</v>
      </c>
      <c r="I6" s="9">
        <v>0</v>
      </c>
      <c r="J6" s="6">
        <f>[1]English!$L$22</f>
        <v>0</v>
      </c>
      <c r="K6" s="13">
        <f>[1]English!$L$24</f>
        <v>0</v>
      </c>
      <c r="L6" s="6">
        <f>[1]English!$I$22</f>
        <v>0</v>
      </c>
      <c r="M6" s="13">
        <f>[1]English!$I$24</f>
        <v>0</v>
      </c>
      <c r="N6" s="6">
        <f>[1]English!$Y$22</f>
        <v>0</v>
      </c>
      <c r="O6" s="9">
        <v>0</v>
      </c>
      <c r="P6" s="6">
        <f>[1]English!$T$22</f>
        <v>0</v>
      </c>
      <c r="Q6" s="2">
        <v>0</v>
      </c>
      <c r="R6" s="6">
        <f>[1]English!$W$22</f>
        <v>0</v>
      </c>
      <c r="S6" s="13">
        <f>[1]English!$W$24</f>
        <v>0</v>
      </c>
      <c r="T6" s="6">
        <f>[1]English!$K$22</f>
        <v>0</v>
      </c>
      <c r="U6" s="13">
        <f>[1]English!$K$24</f>
        <v>0</v>
      </c>
      <c r="V6" s="6">
        <f>[1]English!$J$22</f>
        <v>0</v>
      </c>
      <c r="W6" s="13">
        <f>[1]English!$J$24</f>
        <v>0</v>
      </c>
      <c r="X6" s="6">
        <f>[1]English!$E$22</f>
        <v>0</v>
      </c>
      <c r="Y6" s="13">
        <f>[1]English!$E$24</f>
        <v>0</v>
      </c>
      <c r="Z6" s="6">
        <f>[1]English!$D$22</f>
        <v>0</v>
      </c>
      <c r="AA6" s="13">
        <f>[1]English!$D$24</f>
        <v>0</v>
      </c>
      <c r="AB6" s="6">
        <v>0</v>
      </c>
      <c r="AC6" s="2">
        <v>0</v>
      </c>
      <c r="AD6" s="6">
        <f>[1]English!$H$22</f>
        <v>0</v>
      </c>
      <c r="AE6" s="13">
        <f>[1]English!$H$24</f>
        <v>0</v>
      </c>
      <c r="AF6" s="6">
        <f>[1]English!$G$22</f>
        <v>0</v>
      </c>
      <c r="AG6" s="13">
        <f>[1]English!$G$24</f>
        <v>0</v>
      </c>
    </row>
    <row r="7" spans="1:33">
      <c r="A7" t="s">
        <v>20</v>
      </c>
      <c r="B7" s="12">
        <v>6</v>
      </c>
      <c r="C7" s="12">
        <v>2023</v>
      </c>
      <c r="D7" s="6">
        <f>[1]English!$R$25+[1]English!$Q$25</f>
        <v>0</v>
      </c>
      <c r="E7" s="13">
        <f>[1]English!$Q$27+[1]English!$R$27</f>
        <v>0</v>
      </c>
      <c r="F7" s="6">
        <f>[1]English!$P$25</f>
        <v>0</v>
      </c>
      <c r="G7" s="9">
        <v>0</v>
      </c>
      <c r="H7" s="2">
        <f>[1]English!$M$25+[1]English!$N$25+[1]English!$O$25+[1]English!$S$25</f>
        <v>0</v>
      </c>
      <c r="I7" s="9">
        <v>0</v>
      </c>
      <c r="J7" s="6">
        <f>[1]English!$L$25</f>
        <v>0</v>
      </c>
      <c r="K7" s="13">
        <f>[1]English!$L$27</f>
        <v>0</v>
      </c>
      <c r="L7" s="6">
        <f>[1]English!$I$25</f>
        <v>0</v>
      </c>
      <c r="M7" s="13">
        <f>[1]English!$I$27</f>
        <v>0</v>
      </c>
      <c r="N7" s="6">
        <f>[1]English!$Y$25</f>
        <v>0</v>
      </c>
      <c r="O7" s="9">
        <v>0</v>
      </c>
      <c r="P7" s="6">
        <f>[1]English!$T$25</f>
        <v>0</v>
      </c>
      <c r="Q7" s="2">
        <v>0</v>
      </c>
      <c r="R7" s="6">
        <f>[1]English!$W$25</f>
        <v>0</v>
      </c>
      <c r="S7" s="13">
        <f>[1]English!$W$27</f>
        <v>0</v>
      </c>
      <c r="T7" s="6">
        <f>[1]English!$K$25</f>
        <v>0</v>
      </c>
      <c r="U7" s="13">
        <f>[1]English!$K$27</f>
        <v>0</v>
      </c>
      <c r="V7" s="6">
        <f>[1]English!$J$25</f>
        <v>0</v>
      </c>
      <c r="W7" s="13">
        <f>[1]English!$J$27</f>
        <v>0</v>
      </c>
      <c r="X7" s="6">
        <f>[1]English!$E$25</f>
        <v>0</v>
      </c>
      <c r="Y7" s="13">
        <f>[1]English!$E$27</f>
        <v>0</v>
      </c>
      <c r="Z7" s="6">
        <f>[1]English!$D$25</f>
        <v>0</v>
      </c>
      <c r="AA7" s="13">
        <f>[1]English!$D$27</f>
        <v>0</v>
      </c>
      <c r="AB7" s="6">
        <v>0</v>
      </c>
      <c r="AC7" s="2">
        <v>0</v>
      </c>
      <c r="AD7" s="6">
        <f>[1]English!$H$25</f>
        <v>0</v>
      </c>
      <c r="AE7" s="13">
        <f>[1]English!$H$27</f>
        <v>0</v>
      </c>
      <c r="AF7" s="6">
        <f>[1]English!$G$25</f>
        <v>0</v>
      </c>
      <c r="AG7" s="13">
        <f>[1]English!$G$27</f>
        <v>0</v>
      </c>
    </row>
    <row r="8" spans="1:33">
      <c r="A8" t="s">
        <v>20</v>
      </c>
      <c r="B8" s="12">
        <v>7</v>
      </c>
      <c r="C8" s="12">
        <v>2023</v>
      </c>
      <c r="D8" s="6">
        <f>[1]English!$R$28+[1]English!$Q$28</f>
        <v>0</v>
      </c>
      <c r="E8" s="13">
        <f>[1]English!$Q$30+[1]English!$R$30</f>
        <v>0</v>
      </c>
      <c r="F8" s="6">
        <f>[1]English!$P$28</f>
        <v>0</v>
      </c>
      <c r="G8" s="9">
        <v>0</v>
      </c>
      <c r="H8" s="2">
        <f>[1]English!$M$28+[1]English!$N$28+[1]English!$O$28+[1]English!$S$28</f>
        <v>0</v>
      </c>
      <c r="I8" s="9">
        <v>0</v>
      </c>
      <c r="J8" s="6">
        <f>[1]English!$L$28</f>
        <v>0</v>
      </c>
      <c r="K8" s="13">
        <f>[1]English!$L$30</f>
        <v>0</v>
      </c>
      <c r="L8" s="6">
        <f>[1]English!$I$28</f>
        <v>0</v>
      </c>
      <c r="M8" s="13">
        <f>[1]English!$I$30</f>
        <v>0</v>
      </c>
      <c r="N8" s="6">
        <f>[1]English!$Y$28</f>
        <v>0</v>
      </c>
      <c r="O8" s="9">
        <v>0</v>
      </c>
      <c r="P8" s="6">
        <f>[1]English!$T$28</f>
        <v>0</v>
      </c>
      <c r="Q8" s="2">
        <v>0</v>
      </c>
      <c r="R8" s="6">
        <f>[1]English!$W$28</f>
        <v>0</v>
      </c>
      <c r="S8" s="13">
        <f>[1]English!$W$30</f>
        <v>0</v>
      </c>
      <c r="T8" s="6">
        <f>[1]English!$K$28</f>
        <v>0</v>
      </c>
      <c r="U8" s="13">
        <f>[1]English!$K$30</f>
        <v>0</v>
      </c>
      <c r="V8" s="6">
        <f>[1]English!$J$28</f>
        <v>0</v>
      </c>
      <c r="W8" s="13">
        <f>[1]English!$J$30</f>
        <v>0</v>
      </c>
      <c r="X8" s="6">
        <f>[1]English!$E$28</f>
        <v>0</v>
      </c>
      <c r="Y8" s="13">
        <f>[1]English!$E$30</f>
        <v>0</v>
      </c>
      <c r="Z8" s="6">
        <f>[1]English!$D$28</f>
        <v>0</v>
      </c>
      <c r="AA8" s="13">
        <f>[1]English!$D$30</f>
        <v>0</v>
      </c>
      <c r="AB8" s="6">
        <v>0</v>
      </c>
      <c r="AC8" s="2">
        <v>0</v>
      </c>
      <c r="AD8" s="6">
        <f>[1]English!$H$28</f>
        <v>0</v>
      </c>
      <c r="AE8" s="13">
        <f>[1]English!$H$30</f>
        <v>0</v>
      </c>
      <c r="AF8" s="6">
        <f>[1]English!$G$28</f>
        <v>0</v>
      </c>
      <c r="AG8" s="13">
        <f>[1]English!$G$30</f>
        <v>0</v>
      </c>
    </row>
    <row r="9" spans="1:33">
      <c r="A9" t="s">
        <v>20</v>
      </c>
      <c r="B9" s="12">
        <v>8</v>
      </c>
      <c r="C9" s="12">
        <v>2023</v>
      </c>
      <c r="D9" s="6">
        <f>[1]English!$R$31+[1]English!$Q$31</f>
        <v>0</v>
      </c>
      <c r="E9" s="13">
        <f>[1]English!$Q$33+[1]English!$R$33</f>
        <v>0</v>
      </c>
      <c r="F9" s="6">
        <f>[1]English!$P$31</f>
        <v>0</v>
      </c>
      <c r="G9" s="9">
        <v>0</v>
      </c>
      <c r="H9" s="2">
        <f>[1]English!$M$31+[1]English!$N$31+[1]English!$O$31+[1]English!$S$31</f>
        <v>0</v>
      </c>
      <c r="I9" s="9">
        <v>0</v>
      </c>
      <c r="J9" s="6">
        <f>[1]English!$L$31</f>
        <v>0</v>
      </c>
      <c r="K9" s="13">
        <f>[1]English!$L$33</f>
        <v>0</v>
      </c>
      <c r="L9" s="6">
        <f>[1]English!$I$31</f>
        <v>0</v>
      </c>
      <c r="M9" s="13">
        <f>[1]English!$I$33</f>
        <v>0</v>
      </c>
      <c r="N9" s="6">
        <f>[1]English!$Y$31</f>
        <v>0</v>
      </c>
      <c r="O9" s="9">
        <v>0</v>
      </c>
      <c r="P9" s="6">
        <f>[1]English!$T$31</f>
        <v>0</v>
      </c>
      <c r="Q9" s="2">
        <v>0</v>
      </c>
      <c r="R9" s="6">
        <f>[1]English!$W$31</f>
        <v>0</v>
      </c>
      <c r="S9" s="13">
        <f>[1]English!$W$33</f>
        <v>0</v>
      </c>
      <c r="T9" s="6">
        <f>[1]English!$K$31</f>
        <v>0</v>
      </c>
      <c r="U9" s="13">
        <f>[1]English!$K$33</f>
        <v>0</v>
      </c>
      <c r="V9" s="6">
        <f>[1]English!$J$31</f>
        <v>0</v>
      </c>
      <c r="W9" s="13">
        <f>[1]English!$J$33</f>
        <v>0</v>
      </c>
      <c r="X9" s="6">
        <f>[1]English!$E$31</f>
        <v>0</v>
      </c>
      <c r="Y9" s="13">
        <f>[1]English!$E$33</f>
        <v>0</v>
      </c>
      <c r="Z9" s="6">
        <f>[1]English!$D$31</f>
        <v>0</v>
      </c>
      <c r="AA9" s="13">
        <f>[1]English!$D$33</f>
        <v>0</v>
      </c>
      <c r="AB9" s="6">
        <v>0</v>
      </c>
      <c r="AC9" s="2">
        <v>0</v>
      </c>
      <c r="AD9" s="6">
        <f>[1]English!$H$31</f>
        <v>0</v>
      </c>
      <c r="AE9" s="13">
        <f>[1]English!$H$33</f>
        <v>0</v>
      </c>
      <c r="AF9" s="6">
        <f>[1]English!$G$31</f>
        <v>0</v>
      </c>
      <c r="AG9" s="13">
        <f>[1]English!$G$33</f>
        <v>0</v>
      </c>
    </row>
    <row r="10" spans="1:33">
      <c r="A10" t="s">
        <v>20</v>
      </c>
      <c r="B10" s="12">
        <v>9</v>
      </c>
      <c r="C10" s="12">
        <v>2023</v>
      </c>
      <c r="D10" s="6">
        <f>[1]English!$R$34+[1]English!$Q$34</f>
        <v>0</v>
      </c>
      <c r="E10" s="13">
        <f>[1]English!$Q$36+[1]English!$R$36</f>
        <v>0</v>
      </c>
      <c r="F10" s="6">
        <f>[1]English!$P$34</f>
        <v>0</v>
      </c>
      <c r="G10" s="9">
        <v>0</v>
      </c>
      <c r="H10" s="2">
        <f>[1]English!$M$34+[1]English!$N$34+[1]English!$O$34+[1]English!$S$34</f>
        <v>0</v>
      </c>
      <c r="I10" s="9">
        <v>0</v>
      </c>
      <c r="J10" s="6">
        <f>[1]English!$L$34</f>
        <v>0</v>
      </c>
      <c r="K10" s="13">
        <f>[1]English!$L$36</f>
        <v>0</v>
      </c>
      <c r="L10" s="6">
        <f>[1]English!$I$34</f>
        <v>0</v>
      </c>
      <c r="M10" s="13">
        <f>[1]English!$I$36</f>
        <v>0</v>
      </c>
      <c r="N10" s="6">
        <f>[1]English!$Y$34</f>
        <v>0</v>
      </c>
      <c r="O10" s="9">
        <v>0</v>
      </c>
      <c r="P10" s="6">
        <f>[1]English!$T$34</f>
        <v>0</v>
      </c>
      <c r="Q10" s="2">
        <v>0</v>
      </c>
      <c r="R10" s="6">
        <f>[1]English!$W$34</f>
        <v>0</v>
      </c>
      <c r="S10" s="13">
        <f>[1]English!$W$36</f>
        <v>0</v>
      </c>
      <c r="T10" s="6">
        <f>[1]English!$K$34</f>
        <v>0</v>
      </c>
      <c r="U10" s="13">
        <f>[1]English!$K$36</f>
        <v>0</v>
      </c>
      <c r="V10" s="6">
        <f>[1]English!$J$34</f>
        <v>0</v>
      </c>
      <c r="W10" s="13">
        <f>[1]English!$J$36</f>
        <v>0</v>
      </c>
      <c r="X10" s="6">
        <f>[1]English!$E$34</f>
        <v>0</v>
      </c>
      <c r="Y10" s="13">
        <f>[1]English!$E$36</f>
        <v>0</v>
      </c>
      <c r="Z10" s="6">
        <f>[1]English!$D$34</f>
        <v>0</v>
      </c>
      <c r="AA10" s="13">
        <f>[1]English!$D$36</f>
        <v>0</v>
      </c>
      <c r="AB10" s="6">
        <v>0</v>
      </c>
      <c r="AC10" s="2">
        <v>0</v>
      </c>
      <c r="AD10" s="6">
        <f>[1]English!$H$34</f>
        <v>0</v>
      </c>
      <c r="AE10" s="13">
        <f>[1]English!$H$36</f>
        <v>0</v>
      </c>
      <c r="AF10" s="6">
        <f>[1]English!$G$34</f>
        <v>0</v>
      </c>
      <c r="AG10" s="13">
        <f>[1]English!$G$36</f>
        <v>0</v>
      </c>
    </row>
    <row r="11" spans="1:33" s="2" customFormat="1">
      <c r="A11" s="2" t="s">
        <v>20</v>
      </c>
      <c r="B11" s="12">
        <v>10</v>
      </c>
      <c r="C11" s="12">
        <v>2023</v>
      </c>
      <c r="D11" s="6">
        <f>[1]English!$R$37+[1]English!$Q$37</f>
        <v>0</v>
      </c>
      <c r="E11" s="13">
        <f>[1]English!$Q$39+[1]English!$R$39</f>
        <v>0</v>
      </c>
      <c r="F11" s="6">
        <f>[1]English!$P$37</f>
        <v>0</v>
      </c>
      <c r="G11" s="9">
        <v>0</v>
      </c>
      <c r="H11" s="2">
        <f>[1]English!$M$37+[1]English!$N$37+[1]English!$O$37+[1]English!$S$37</f>
        <v>0</v>
      </c>
      <c r="I11" s="9">
        <v>0</v>
      </c>
      <c r="J11" s="6">
        <f>[1]English!$L$37</f>
        <v>0</v>
      </c>
      <c r="K11" s="13">
        <f>[1]English!$L$39</f>
        <v>0</v>
      </c>
      <c r="L11" s="6">
        <f>[1]English!$I$37</f>
        <v>0</v>
      </c>
      <c r="M11" s="13">
        <f>[1]English!$I$39</f>
        <v>0</v>
      </c>
      <c r="N11" s="6">
        <f>[1]English!$Y$37</f>
        <v>0</v>
      </c>
      <c r="O11" s="9">
        <v>0</v>
      </c>
      <c r="P11" s="6">
        <f>[1]English!$T$37</f>
        <v>0</v>
      </c>
      <c r="Q11" s="2">
        <v>0</v>
      </c>
      <c r="R11" s="6">
        <f>[1]English!$W$37</f>
        <v>0</v>
      </c>
      <c r="S11" s="13">
        <f>[1]English!$W$39</f>
        <v>0</v>
      </c>
      <c r="T11" s="6">
        <f>[1]English!$K$37</f>
        <v>0</v>
      </c>
      <c r="U11" s="13">
        <f>[1]English!$K$39</f>
        <v>0</v>
      </c>
      <c r="V11" s="6">
        <f>[1]English!$J$37</f>
        <v>0</v>
      </c>
      <c r="W11" s="13">
        <f>[1]English!$J$39</f>
        <v>0</v>
      </c>
      <c r="X11" s="6">
        <f>[1]English!$E$37</f>
        <v>0</v>
      </c>
      <c r="Y11" s="13">
        <f>[1]English!$E$39</f>
        <v>0</v>
      </c>
      <c r="Z11" s="6">
        <f>[1]English!$D$37</f>
        <v>0</v>
      </c>
      <c r="AA11" s="13">
        <f>[1]English!$D$39</f>
        <v>0</v>
      </c>
      <c r="AB11" s="6">
        <v>0</v>
      </c>
      <c r="AC11" s="2">
        <v>0</v>
      </c>
      <c r="AD11" s="6">
        <f>[1]English!$H$37</f>
        <v>0</v>
      </c>
      <c r="AE11" s="13">
        <f>[1]English!$H$39</f>
        <v>0</v>
      </c>
      <c r="AF11" s="6">
        <f>[1]English!$G$37</f>
        <v>0</v>
      </c>
      <c r="AG11" s="13">
        <f>[1]English!$G$39</f>
        <v>0</v>
      </c>
    </row>
    <row r="12" spans="1:33" s="2" customFormat="1">
      <c r="A12" s="2" t="s">
        <v>20</v>
      </c>
      <c r="B12" s="12">
        <v>11</v>
      </c>
      <c r="C12" s="12">
        <v>2023</v>
      </c>
      <c r="D12" s="6">
        <f>[1]English!$R$40+[1]English!$Q$40</f>
        <v>0</v>
      </c>
      <c r="E12" s="13">
        <f>[1]English!$Q$42+[1]English!$R$42</f>
        <v>0</v>
      </c>
      <c r="F12" s="6">
        <f>[1]English!$P$40</f>
        <v>0</v>
      </c>
      <c r="G12" s="9">
        <v>0</v>
      </c>
      <c r="H12" s="2">
        <f>[1]English!$M$40+[1]English!$N$40+[1]English!$O$40+[1]English!$S$40</f>
        <v>0</v>
      </c>
      <c r="I12" s="9">
        <v>0</v>
      </c>
      <c r="J12" s="6">
        <f>[1]English!$L$40</f>
        <v>0</v>
      </c>
      <c r="K12" s="13">
        <f>[1]English!$L$42</f>
        <v>0</v>
      </c>
      <c r="L12" s="6">
        <f>[1]English!$I$40</f>
        <v>0</v>
      </c>
      <c r="M12" s="13">
        <f>[1]English!$I$42</f>
        <v>0</v>
      </c>
      <c r="N12" s="6">
        <f>[1]English!$Y$40</f>
        <v>0</v>
      </c>
      <c r="O12" s="9">
        <v>0</v>
      </c>
      <c r="P12" s="6">
        <f>[1]English!$T$40</f>
        <v>0</v>
      </c>
      <c r="Q12" s="2">
        <v>0</v>
      </c>
      <c r="R12" s="6">
        <f>[1]English!$W$40</f>
        <v>0</v>
      </c>
      <c r="S12" s="13">
        <f>[1]English!$W$42</f>
        <v>0</v>
      </c>
      <c r="T12" s="6">
        <f>[1]English!$K$40</f>
        <v>0</v>
      </c>
      <c r="U12" s="13">
        <f>[1]English!$K$42</f>
        <v>0</v>
      </c>
      <c r="V12" s="6">
        <f>[1]English!$J$40</f>
        <v>0</v>
      </c>
      <c r="W12" s="13">
        <f>[1]English!$J$42</f>
        <v>0</v>
      </c>
      <c r="X12" s="6">
        <f>[1]English!$E$40</f>
        <v>0</v>
      </c>
      <c r="Y12" s="13">
        <f>[1]English!$E$42</f>
        <v>0</v>
      </c>
      <c r="Z12" s="6">
        <f>[1]English!$D$40</f>
        <v>0</v>
      </c>
      <c r="AA12" s="13">
        <f>[1]English!$D$42</f>
        <v>0</v>
      </c>
      <c r="AB12" s="6">
        <v>0</v>
      </c>
      <c r="AC12" s="2">
        <v>0</v>
      </c>
      <c r="AD12" s="6">
        <f>[1]English!$H$40</f>
        <v>0</v>
      </c>
      <c r="AE12" s="13">
        <f>[1]English!$H$42</f>
        <v>0</v>
      </c>
      <c r="AF12" s="6">
        <f>[1]English!$G$40</f>
        <v>0</v>
      </c>
      <c r="AG12" s="13">
        <f>[1]English!$G$42</f>
        <v>0</v>
      </c>
    </row>
    <row r="13" spans="1:33" s="2" customFormat="1">
      <c r="A13" s="2" t="s">
        <v>20</v>
      </c>
      <c r="B13" s="12">
        <v>12</v>
      </c>
      <c r="C13" s="12">
        <v>2023</v>
      </c>
      <c r="D13" s="6">
        <f>[1]English!$R$43+[1]English!$Q$43</f>
        <v>0</v>
      </c>
      <c r="E13" s="13">
        <f>[1]English!$Q$45+[1]English!$R$45</f>
        <v>0</v>
      </c>
      <c r="F13" s="6">
        <f>[1]English!$P$43</f>
        <v>0</v>
      </c>
      <c r="G13" s="9">
        <v>0</v>
      </c>
      <c r="H13" s="2">
        <f>[1]English!$M$43+[1]English!$N$43+[1]English!$O$43+[1]English!$S$43</f>
        <v>0</v>
      </c>
      <c r="I13" s="9">
        <v>0</v>
      </c>
      <c r="J13" s="6">
        <f>[1]English!$L$43</f>
        <v>0</v>
      </c>
      <c r="K13" s="13">
        <f>[1]English!$L$45</f>
        <v>0</v>
      </c>
      <c r="L13" s="6">
        <f>[1]English!$I$43</f>
        <v>0</v>
      </c>
      <c r="M13" s="13">
        <f>[1]English!$I$45</f>
        <v>0</v>
      </c>
      <c r="N13" s="6">
        <f>[1]English!$Y$43</f>
        <v>0</v>
      </c>
      <c r="O13" s="9">
        <v>0</v>
      </c>
      <c r="P13" s="6">
        <f>[1]English!$T$43</f>
        <v>0</v>
      </c>
      <c r="Q13" s="2">
        <v>0</v>
      </c>
      <c r="R13" s="6">
        <f>[1]English!$W$43</f>
        <v>0</v>
      </c>
      <c r="S13" s="13">
        <f>[1]English!$W$45</f>
        <v>0</v>
      </c>
      <c r="T13" s="6">
        <f>[1]English!$K$43</f>
        <v>0</v>
      </c>
      <c r="U13" s="13">
        <f>[1]English!$K$45</f>
        <v>0</v>
      </c>
      <c r="V13" s="6">
        <f>[1]English!$J$43</f>
        <v>0</v>
      </c>
      <c r="W13" s="13">
        <f>[1]English!$J$45</f>
        <v>0</v>
      </c>
      <c r="X13" s="6">
        <f>[1]English!$E$43</f>
        <v>0</v>
      </c>
      <c r="Y13" s="13">
        <f>[1]English!$E$45</f>
        <v>0</v>
      </c>
      <c r="Z13" s="6">
        <f>[1]English!$D$43</f>
        <v>0</v>
      </c>
      <c r="AA13" s="13">
        <f>[1]English!$D$45</f>
        <v>0</v>
      </c>
      <c r="AB13" s="6">
        <v>0</v>
      </c>
      <c r="AC13" s="2">
        <v>0</v>
      </c>
      <c r="AD13" s="6">
        <f>[1]English!$H$43</f>
        <v>0</v>
      </c>
      <c r="AE13" s="13">
        <f>[1]English!$H$45</f>
        <v>0</v>
      </c>
      <c r="AF13" s="6">
        <f>[1]English!$G$43</f>
        <v>0</v>
      </c>
      <c r="AG13" s="13">
        <f>[1]English!$G$45</f>
        <v>0</v>
      </c>
    </row>
    <row r="14" spans="1:33">
      <c r="B14" s="1"/>
    </row>
  </sheetData>
  <phoneticPr fontId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Mitsuyoshi Yuki</cp:lastModifiedBy>
  <dcterms:created xsi:type="dcterms:W3CDTF">2022-01-28T13:49:17Z</dcterms:created>
  <dcterms:modified xsi:type="dcterms:W3CDTF">2023-02-09T06:43:21Z</dcterms:modified>
</cp:coreProperties>
</file>