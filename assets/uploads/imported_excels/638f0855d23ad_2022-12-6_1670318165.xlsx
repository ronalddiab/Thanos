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2184CEE0-7779-44B5-B3B0-EB2A2D06435C}" xr6:coauthVersionLast="47" xr6:coauthVersionMax="47" xr10:uidLastSave="{00000000-0000-0000-0000-000000000000}"/>
  <bookViews>
    <workbookView xWindow="-108" yWindow="-108" windowWidth="23256" windowHeight="12456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6" l="1"/>
  <c r="C38" i="6"/>
  <c r="I38" i="6"/>
  <c r="G38" i="6"/>
  <c r="E38" i="6"/>
  <c r="V18" i="2" l="1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G18" i="6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C18" i="6"/>
  <c r="K18" i="6"/>
  <c r="I18" i="6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E18" i="6"/>
  <c r="V17" i="2" l="1"/>
  <c r="M18" i="2"/>
  <c r="K17" i="6"/>
  <c r="I17" i="6"/>
  <c r="G17" i="6"/>
  <c r="E17" i="6"/>
  <c r="C17" i="6"/>
  <c r="M17" i="2"/>
  <c r="K16" i="6"/>
  <c r="I16" i="6"/>
  <c r="G16" i="6"/>
  <c r="E16" i="6"/>
  <c r="C16" i="6"/>
  <c r="V14" i="2"/>
  <c r="V15" i="2"/>
  <c r="M14" i="2"/>
  <c r="M15" i="2"/>
  <c r="M16" i="2"/>
  <c r="K13" i="6"/>
  <c r="I13" i="6"/>
  <c r="G13" i="6"/>
  <c r="E13" i="6"/>
  <c r="C13" i="6"/>
  <c r="V12" i="2"/>
  <c r="K12" i="6"/>
  <c r="I12" i="6"/>
  <c r="G12" i="6"/>
  <c r="E12" i="6"/>
  <c r="C12" i="6"/>
  <c r="V11" i="2"/>
  <c r="K11" i="6"/>
  <c r="I11" i="6"/>
  <c r="G11" i="6"/>
  <c r="E11" i="6"/>
  <c r="C11" i="6"/>
  <c r="C10" i="6"/>
  <c r="V10" i="2"/>
  <c r="N11" i="2"/>
  <c r="N12" i="2"/>
  <c r="L12" i="2"/>
  <c r="M11" i="2"/>
  <c r="M12" i="2"/>
  <c r="L11" i="2"/>
  <c r="F11" i="2"/>
  <c r="F12" i="2"/>
  <c r="F10" i="2"/>
  <c r="K10" i="6"/>
  <c r="I10" i="6"/>
  <c r="G10" i="6"/>
  <c r="E10" i="6"/>
  <c r="N10" i="2"/>
  <c r="M10" i="2"/>
  <c r="L10" i="2"/>
  <c r="L31" i="22"/>
  <c r="K31" i="22"/>
  <c r="I31" i="21"/>
  <c r="H31" i="21"/>
  <c r="X11" i="2"/>
  <c r="X12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N39" i="2"/>
  <c r="G31" i="21" s="1"/>
  <c r="M39" i="2"/>
  <c r="M40" i="2" s="1"/>
  <c r="I44" i="2" s="1"/>
  <c r="L44" i="2" s="1"/>
  <c r="L39" i="2"/>
  <c r="E31" i="21" s="1"/>
  <c r="F39" i="2"/>
  <c r="I31" i="22" s="1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E33" i="6"/>
  <c r="K33" i="6"/>
  <c r="I33" i="6"/>
  <c r="G33" i="6"/>
  <c r="C33" i="6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F19" i="2"/>
  <c r="N18" i="2"/>
  <c r="L18" i="2"/>
  <c r="F18" i="2"/>
  <c r="N17" i="2"/>
  <c r="L17" i="2"/>
  <c r="F17" i="2"/>
  <c r="K15" i="6"/>
  <c r="N16" i="2" s="1"/>
  <c r="I15" i="6"/>
  <c r="G15" i="6"/>
  <c r="L16" i="2" s="1"/>
  <c r="E15" i="6"/>
  <c r="F16" i="2" s="1"/>
  <c r="C15" i="6"/>
  <c r="C14" i="6"/>
  <c r="N13" i="2"/>
  <c r="N14" i="2"/>
  <c r="K14" i="6"/>
  <c r="N15" i="2" s="1"/>
  <c r="M13" i="2"/>
  <c r="I14" i="6"/>
  <c r="L13" i="2"/>
  <c r="L14" i="2"/>
  <c r="G14" i="6"/>
  <c r="L15" i="2" s="1"/>
  <c r="F13" i="2"/>
  <c r="F14" i="2"/>
  <c r="E14" i="6"/>
  <c r="F15" i="2" s="1"/>
  <c r="P37" i="4"/>
  <c r="P38" i="4"/>
  <c r="P39" i="4"/>
  <c r="P40" i="4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8" i="21"/>
  <c r="E28" i="22" s="1"/>
  <c r="I28" i="22"/>
  <c r="G26" i="21"/>
  <c r="F26" i="21"/>
  <c r="E26" i="21"/>
  <c r="G25" i="21"/>
  <c r="F25" i="21"/>
  <c r="E25" i="21"/>
  <c r="G24" i="21"/>
  <c r="F24" i="21"/>
  <c r="J24" i="21" s="1"/>
  <c r="E24" i="21"/>
  <c r="G23" i="21"/>
  <c r="F23" i="21"/>
  <c r="E23" i="21"/>
  <c r="E23" i="22" s="1"/>
  <c r="F22" i="21"/>
  <c r="E22" i="21"/>
  <c r="E21" i="21"/>
  <c r="E20" i="21"/>
  <c r="E20" i="22" s="1"/>
  <c r="E19" i="21"/>
  <c r="E18" i="21"/>
  <c r="E17" i="21"/>
  <c r="E16" i="21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J18" i="21" s="1"/>
  <c r="F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 s="1"/>
  <c r="L12" i="4" s="1"/>
  <c r="N12" i="4" s="1"/>
  <c r="O12" i="4" s="1"/>
  <c r="P12" i="4" s="1"/>
  <c r="J31" i="4"/>
  <c r="K31" i="4" s="1"/>
  <c r="AC29" i="4"/>
  <c r="G8" i="20"/>
  <c r="B13" i="20"/>
  <c r="F13" i="20"/>
  <c r="B20" i="20"/>
  <c r="F20" i="20"/>
  <c r="J5" i="4"/>
  <c r="K5" i="4"/>
  <c r="J34" i="4"/>
  <c r="K34" i="4" s="1"/>
  <c r="L33" i="4" s="1"/>
  <c r="N33" i="4" s="1"/>
  <c r="O33" i="4" s="1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 s="1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I24" i="4" s="1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 s="1"/>
  <c r="AC14" i="4"/>
  <c r="J15" i="4"/>
  <c r="K15" i="4" s="1"/>
  <c r="AC15" i="4"/>
  <c r="I15" i="4" s="1"/>
  <c r="J16" i="4"/>
  <c r="K16" i="4" s="1"/>
  <c r="J17" i="4"/>
  <c r="K17" i="4" s="1"/>
  <c r="J18" i="4"/>
  <c r="K18" i="4" s="1"/>
  <c r="AC18" i="4"/>
  <c r="I18" i="4"/>
  <c r="J19" i="4"/>
  <c r="K19" i="4" s="1"/>
  <c r="AC19" i="4"/>
  <c r="AC20" i="4"/>
  <c r="J21" i="4"/>
  <c r="K21" i="4" s="1"/>
  <c r="J22" i="4"/>
  <c r="K22" i="4" s="1"/>
  <c r="J23" i="4"/>
  <c r="K23" i="4" s="1"/>
  <c r="J24" i="4"/>
  <c r="K24" i="4" s="1"/>
  <c r="J25" i="4"/>
  <c r="K25" i="4" s="1"/>
  <c r="AD25" i="4"/>
  <c r="J26" i="4"/>
  <c r="K26" i="4" s="1"/>
  <c r="AC26" i="4"/>
  <c r="I26" i="4"/>
  <c r="AD26" i="4"/>
  <c r="J27" i="4"/>
  <c r="K27" i="4" s="1"/>
  <c r="AC27" i="4"/>
  <c r="AD27" i="4"/>
  <c r="J28" i="4"/>
  <c r="K28" i="4" s="1"/>
  <c r="L27" i="4" s="1"/>
  <c r="N27" i="4" s="1"/>
  <c r="O27" i="4" s="1"/>
  <c r="P27" i="4" s="1"/>
  <c r="AC28" i="4"/>
  <c r="I28" i="4"/>
  <c r="AD28" i="4"/>
  <c r="J29" i="4"/>
  <c r="K29" i="4"/>
  <c r="I29" i="4"/>
  <c r="AD29" i="4"/>
  <c r="J30" i="4"/>
  <c r="K30" i="4" s="1"/>
  <c r="L29" i="4" s="1"/>
  <c r="N29" i="4" s="1"/>
  <c r="O29" i="4" s="1"/>
  <c r="P29" i="4" s="1"/>
  <c r="AD30" i="4"/>
  <c r="AE30" i="4"/>
  <c r="AC31" i="4"/>
  <c r="I31" i="4"/>
  <c r="AD31" i="4"/>
  <c r="AE31" i="4"/>
  <c r="J32" i="4"/>
  <c r="K32" i="4" s="1"/>
  <c r="AD32" i="4"/>
  <c r="AE32" i="4"/>
  <c r="J33" i="4"/>
  <c r="K33" i="4" s="1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10" i="4"/>
  <c r="N10" i="4"/>
  <c r="O10" i="4"/>
  <c r="L34" i="4"/>
  <c r="N34" i="4" s="1"/>
  <c r="O34" i="4" s="1"/>
  <c r="P34" i="4" s="1"/>
  <c r="L11" i="4"/>
  <c r="N11" i="4"/>
  <c r="O11" i="4"/>
  <c r="P11" i="4" s="1"/>
  <c r="Q26" i="2"/>
  <c r="J23" i="21"/>
  <c r="Q27" i="2"/>
  <c r="O27" i="2"/>
  <c r="J25" i="21"/>
  <c r="O33" i="2"/>
  <c r="E2" i="21"/>
  <c r="J2" i="21"/>
  <c r="Q11" i="2"/>
  <c r="F6" i="21"/>
  <c r="E3" i="22"/>
  <c r="J3" i="21"/>
  <c r="J22" i="21"/>
  <c r="J17" i="21"/>
  <c r="J9" i="21"/>
  <c r="F4" i="21"/>
  <c r="J10" i="21"/>
  <c r="H10" i="2"/>
  <c r="E2" i="22"/>
  <c r="J19" i="21"/>
  <c r="N40" i="2"/>
  <c r="I45" i="2" s="1"/>
  <c r="L45" i="2" s="1"/>
  <c r="Q16" i="2"/>
  <c r="J8" i="21"/>
  <c r="L9" i="4"/>
  <c r="N9" i="4"/>
  <c r="I9" i="4"/>
  <c r="O9" i="4"/>
  <c r="P9" i="4" s="1"/>
  <c r="L7" i="4" l="1"/>
  <c r="N7" i="4" s="1"/>
  <c r="O7" i="4" s="1"/>
  <c r="P7" i="4" s="1"/>
  <c r="Q39" i="2"/>
  <c r="H39" i="2"/>
  <c r="F31" i="21"/>
  <c r="E31" i="22" s="1"/>
  <c r="O39" i="2"/>
  <c r="P33" i="4"/>
  <c r="V39" i="2"/>
  <c r="Q44" i="4"/>
  <c r="AC44" i="4" s="1"/>
  <c r="K48" i="4" s="1"/>
  <c r="L48" i="4" s="1"/>
  <c r="M48" i="4" s="1"/>
  <c r="AC43" i="4"/>
  <c r="V13" i="2"/>
  <c r="L25" i="4"/>
  <c r="N25" i="4" s="1"/>
  <c r="O25" i="4" s="1"/>
  <c r="P25" i="4" s="1"/>
  <c r="L24" i="4"/>
  <c r="N24" i="4" s="1"/>
  <c r="O24" i="4" s="1"/>
  <c r="P24" i="4" s="1"/>
  <c r="L23" i="4"/>
  <c r="N23" i="4" s="1"/>
  <c r="O23" i="4" s="1"/>
  <c r="P23" i="4" s="1"/>
  <c r="L21" i="4"/>
  <c r="N21" i="4" s="1"/>
  <c r="O21" i="4" s="1"/>
  <c r="P21" i="4" s="1"/>
  <c r="L14" i="4"/>
  <c r="N14" i="4" s="1"/>
  <c r="O14" i="4" s="1"/>
  <c r="P14" i="4" s="1"/>
  <c r="L26" i="4"/>
  <c r="N26" i="4" s="1"/>
  <c r="O26" i="4" s="1"/>
  <c r="P26" i="4" s="1"/>
  <c r="L16" i="4"/>
  <c r="N16" i="4" s="1"/>
  <c r="O16" i="4" s="1"/>
  <c r="P16" i="4" s="1"/>
  <c r="L32" i="4"/>
  <c r="N32" i="4" s="1"/>
  <c r="O32" i="4" s="1"/>
  <c r="P32" i="4" s="1"/>
  <c r="L31" i="4"/>
  <c r="N31" i="4" s="1"/>
  <c r="O31" i="4" s="1"/>
  <c r="P31" i="4" s="1"/>
  <c r="L18" i="4"/>
  <c r="N18" i="4" s="1"/>
  <c r="O18" i="4" s="1"/>
  <c r="P18" i="4" s="1"/>
  <c r="L30" i="4"/>
  <c r="N30" i="4" s="1"/>
  <c r="O30" i="4" s="1"/>
  <c r="P30" i="4" s="1"/>
  <c r="L13" i="4"/>
  <c r="N13" i="4" s="1"/>
  <c r="O13" i="4" s="1"/>
  <c r="P13" i="4" s="1"/>
  <c r="L28" i="4"/>
  <c r="N28" i="4" s="1"/>
  <c r="O28" i="4" s="1"/>
  <c r="P28" i="4" s="1"/>
  <c r="L22" i="4"/>
  <c r="N22" i="4" s="1"/>
  <c r="O22" i="4" s="1"/>
  <c r="P22" i="4" s="1"/>
  <c r="L17" i="4"/>
  <c r="N17" i="4" s="1"/>
  <c r="O17" i="4" s="1"/>
  <c r="P17" i="4" s="1"/>
  <c r="L19" i="4"/>
  <c r="N19" i="4" s="1"/>
  <c r="O19" i="4" s="1"/>
  <c r="P19" i="4" s="1"/>
  <c r="L20" i="4"/>
  <c r="N20" i="4" s="1"/>
  <c r="O20" i="4" s="1"/>
  <c r="P20" i="4" s="1"/>
  <c r="L15" i="4"/>
  <c r="N15" i="4" s="1"/>
  <c r="O15" i="4" s="1"/>
  <c r="P15" i="4" s="1"/>
  <c r="E22" i="22"/>
  <c r="E25" i="22"/>
  <c r="E16" i="22"/>
  <c r="E18" i="22"/>
  <c r="E21" i="22"/>
  <c r="E12" i="22"/>
  <c r="E27" i="22"/>
  <c r="E17" i="22"/>
  <c r="E26" i="22"/>
  <c r="E14" i="22"/>
  <c r="E19" i="22"/>
  <c r="E24" i="22"/>
  <c r="J11" i="21"/>
  <c r="J15" i="21"/>
  <c r="J20" i="21"/>
  <c r="E13" i="21"/>
  <c r="J13" i="21" s="1"/>
  <c r="Q21" i="2"/>
  <c r="O21" i="2"/>
  <c r="J12" i="21"/>
  <c r="P10" i="4"/>
  <c r="V16" i="2"/>
  <c r="G4" i="4"/>
  <c r="E4" i="4"/>
  <c r="C4" i="4"/>
  <c r="C31" i="4"/>
  <c r="G31" i="4"/>
  <c r="E31" i="4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G31" i="22" l="1"/>
  <c r="X39" i="2"/>
  <c r="G5" i="22"/>
  <c r="X13" i="2"/>
  <c r="E13" i="22"/>
  <c r="M13" i="22" s="1"/>
  <c r="X16" i="2"/>
  <c r="G8" i="22"/>
  <c r="G21" i="22"/>
  <c r="G14" i="22"/>
  <c r="M14" i="22" s="1"/>
  <c r="G24" i="22"/>
  <c r="M24" i="22" s="1"/>
  <c r="G23" i="22"/>
  <c r="F40" i="2"/>
  <c r="Q40" i="2"/>
  <c r="M19" i="22"/>
  <c r="M20" i="22"/>
  <c r="M10" i="22"/>
  <c r="M25" i="22"/>
  <c r="M11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<sst xmlns="http://schemas.openxmlformats.org/spreadsheetml/2006/main" count="482" uniqueCount="186">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</sst>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/>
    <xf numFmtId="0" fontId="29" fillId="0" borderId="45" xfId="0" applyFont="1" applyBorder="1"/>
    <xf numFmtId="0" fontId="29" fillId="0" borderId="46" xfId="0" applyFont="1" applyBorder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93</c:v>
                </c:pt>
                <c:pt idx="15">
                  <c:v>121.79999999998836</c:v>
                </c:pt>
                <c:pt idx="16">
                  <c:v>168</c:v>
                </c:pt>
                <c:pt idx="17">
                  <c:v>125.20000000001164</c:v>
                </c:pt>
                <c:pt idx="18">
                  <c:v>117</c:v>
                </c:pt>
                <c:pt idx="19">
                  <c:v>121</c:v>
                </c:pt>
                <c:pt idx="20">
                  <c:v>126</c:v>
                </c:pt>
                <c:pt idx="21">
                  <c:v>126.39999999999418</c:v>
                </c:pt>
                <c:pt idx="22">
                  <c:v>122.89999999999418</c:v>
                </c:pt>
                <c:pt idx="23">
                  <c:v>124.60000000000582</c:v>
                </c:pt>
                <c:pt idx="24">
                  <c:v>129</c:v>
                </c:pt>
                <c:pt idx="25">
                  <c:v>113</c:v>
                </c:pt>
                <c:pt idx="26">
                  <c:v>119</c:v>
                </c:pt>
                <c:pt idx="27">
                  <c:v>121</c:v>
                </c:pt>
                <c:pt idx="28">
                  <c:v>124</c:v>
                </c:pt>
                <c:pt idx="29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4641</c:v>
                </c:pt>
                <c:pt idx="15">
                  <c:v>4875</c:v>
                </c:pt>
                <c:pt idx="16">
                  <c:v>4454</c:v>
                </c:pt>
                <c:pt idx="17">
                  <c:v>4934</c:v>
                </c:pt>
                <c:pt idx="18">
                  <c:v>4119</c:v>
                </c:pt>
                <c:pt idx="19">
                  <c:v>4178</c:v>
                </c:pt>
                <c:pt idx="20">
                  <c:v>4127</c:v>
                </c:pt>
                <c:pt idx="21">
                  <c:v>4074</c:v>
                </c:pt>
                <c:pt idx="22">
                  <c:v>4814</c:v>
                </c:pt>
                <c:pt idx="23">
                  <c:v>4523</c:v>
                </c:pt>
                <c:pt idx="24">
                  <c:v>6626</c:v>
                </c:pt>
                <c:pt idx="25">
                  <c:v>2609</c:v>
                </c:pt>
                <c:pt idx="26">
                  <c:v>3949</c:v>
                </c:pt>
                <c:pt idx="27">
                  <c:v>4183</c:v>
                </c:pt>
                <c:pt idx="28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7396</c:v>
                </c:pt>
                <c:pt idx="15">
                  <c:v>7472</c:v>
                </c:pt>
                <c:pt idx="16">
                  <c:v>7545</c:v>
                </c:pt>
                <c:pt idx="17">
                  <c:v>8279</c:v>
                </c:pt>
                <c:pt idx="18">
                  <c:v>6682</c:v>
                </c:pt>
                <c:pt idx="19">
                  <c:v>6415</c:v>
                </c:pt>
                <c:pt idx="20">
                  <c:v>6220</c:v>
                </c:pt>
                <c:pt idx="21">
                  <c:v>6436</c:v>
                </c:pt>
                <c:pt idx="22">
                  <c:v>6761</c:v>
                </c:pt>
                <c:pt idx="23">
                  <c:v>6806</c:v>
                </c:pt>
                <c:pt idx="24">
                  <c:v>6614</c:v>
                </c:pt>
                <c:pt idx="25">
                  <c:v>6840</c:v>
                </c:pt>
                <c:pt idx="26">
                  <c:v>6425</c:v>
                </c:pt>
                <c:pt idx="27">
                  <c:v>6064</c:v>
                </c:pt>
                <c:pt idx="28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3491</c:v>
                </c:pt>
                <c:pt idx="15">
                  <c:v>3530</c:v>
                </c:pt>
                <c:pt idx="16">
                  <c:v>3716</c:v>
                </c:pt>
                <c:pt idx="17">
                  <c:v>3346</c:v>
                </c:pt>
                <c:pt idx="18">
                  <c:v>3103</c:v>
                </c:pt>
                <c:pt idx="19">
                  <c:v>2921</c:v>
                </c:pt>
                <c:pt idx="20">
                  <c:v>2931</c:v>
                </c:pt>
                <c:pt idx="21">
                  <c:v>3119</c:v>
                </c:pt>
                <c:pt idx="22">
                  <c:v>3349</c:v>
                </c:pt>
                <c:pt idx="23">
                  <c:v>3439</c:v>
                </c:pt>
                <c:pt idx="24">
                  <c:v>3225</c:v>
                </c:pt>
                <c:pt idx="25">
                  <c:v>3353</c:v>
                </c:pt>
                <c:pt idx="26">
                  <c:v>3005</c:v>
                </c:pt>
                <c:pt idx="27">
                  <c:v>2983</c:v>
                </c:pt>
                <c:pt idx="28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479.98815000000002</c:v>
                </c:pt>
                <c:pt idx="16">
                  <c:v>479.98815000000002</c:v>
                </c:pt>
                <c:pt idx="17">
                  <c:v>383.99052</c:v>
                </c:pt>
                <c:pt idx="18">
                  <c:v>415.98973000000001</c:v>
                </c:pt>
                <c:pt idx="19">
                  <c:v>575.98577999999998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287.99288999999999</c:v>
                </c:pt>
                <c:pt idx="23">
                  <c:v>415.98973000000001</c:v>
                </c:pt>
                <c:pt idx="24">
                  <c:v>415.98973000000001</c:v>
                </c:pt>
                <c:pt idx="25">
                  <c:v>831.97946000000002</c:v>
                </c:pt>
                <c:pt idx="26">
                  <c:v>703.98262</c:v>
                </c:pt>
                <c:pt idx="27">
                  <c:v>287.99288999999999</c:v>
                </c:pt>
                <c:pt idx="28">
                  <c:v>767.98104000000001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K43" sqref="K43"/>
    </sheetView>
  </sheetViews>
  <sheetFormatPr defaultColWidth="8.88671875" defaultRowHeight="13.2" x14ac:dyDescent="0.25"/>
  <cols>
    <col min="1" max="1" width="12.44140625" style="47" customWidth="1"/>
    <col min="2" max="3" width="8.88671875" style="140" customWidth="1"/>
    <col min="4" max="4" width="13.44140625" style="141" customWidth="1"/>
    <col min="5" max="5" width="12.5546875" style="137" customWidth="1"/>
    <col min="6" max="6" width="12.5546875" style="47" customWidth="1"/>
    <col min="7" max="10" width="8.88671875" style="47" customWidth="1"/>
    <col min="11" max="12" width="8.88671875" style="137" customWidth="1"/>
    <col min="13" max="13" width="0" hidden="1" customWidth="1"/>
  </cols>
  <sheetData>
    <row r="1" spans="1:13" s="100" customFormat="1" ht="72.599999999999994" thickBot="1" x14ac:dyDescent="0.35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5">
      <c r="A2" s="136" t="s">
        <v>13</v>
      </c>
      <c r="B2" s="140">
        <v>1</v>
      </c>
      <c r="C2" s="140">
        <v>11</v>
      </c>
      <c r="D2" s="141">
        <v>2022</v>
      </c>
      <c r="E2" s="137">
        <f>submetering!E2+submetering!F2+submetering!G2</f>
        <v>17055</v>
      </c>
      <c r="F2" s="134">
        <v>1.05</v>
      </c>
      <c r="G2" s="134">
        <f>'Consommation mensuel énergie'!V10</f>
        <v>671.98341000000005</v>
      </c>
      <c r="H2" s="134">
        <v>12.24</v>
      </c>
      <c r="I2" s="134">
        <f>'Consommation mensuel énergie'!F10</f>
        <v>180</v>
      </c>
      <c r="J2" s="134">
        <v>11.4</v>
      </c>
      <c r="K2" s="137">
        <f>'Consommation mensuel énergie'!D10</f>
        <v>119</v>
      </c>
      <c r="L2" s="137">
        <f>'Consommation mensuel énergie'!E10</f>
        <v>174</v>
      </c>
      <c r="M2" s="133" t="e">
        <f>E2*F2+G2*H2+#REF!*#REF!+I2*J2</f>
        <v>#REF!</v>
      </c>
    </row>
    <row r="3" spans="1:13" x14ac:dyDescent="0.25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submetering!E3+submetering!F3+submetering!G3</f>
        <v>16159</v>
      </c>
      <c r="F3" s="134">
        <v>1.05</v>
      </c>
      <c r="G3" s="134">
        <f>'Consommation mensuel énergie'!V11</f>
        <v>223.99447000000001</v>
      </c>
      <c r="H3" s="134">
        <v>12.24</v>
      </c>
      <c r="I3" s="134">
        <f>'Consommation mensuel énergie'!F11</f>
        <v>144</v>
      </c>
      <c r="J3" s="134">
        <v>11.4</v>
      </c>
      <c r="K3" s="137">
        <f>'Consommation mensuel énergie'!D11</f>
        <v>135</v>
      </c>
      <c r="L3" s="137">
        <f>'Consommation mensuel énergie'!E11</f>
        <v>199</v>
      </c>
      <c r="M3" s="133" t="e">
        <f>E3*F3+G3*H3+#REF!*#REF!+I3*J3</f>
        <v>#REF!</v>
      </c>
    </row>
    <row r="4" spans="1:13" x14ac:dyDescent="0.25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submetering!E4+submetering!F4+submetering!G4</f>
        <v>15448</v>
      </c>
      <c r="F4" s="134">
        <v>1.05</v>
      </c>
      <c r="G4" s="134">
        <f>'Consommation mensuel énergie'!V12</f>
        <v>223.99447000000001</v>
      </c>
      <c r="H4" s="134">
        <v>12.24</v>
      </c>
      <c r="I4" s="134">
        <f>'Consommation mensuel énergie'!F12</f>
        <v>127</v>
      </c>
      <c r="J4" s="134">
        <v>11.4</v>
      </c>
      <c r="K4" s="137">
        <f>'Consommation mensuel énergie'!D12</f>
        <v>143</v>
      </c>
      <c r="L4" s="137">
        <f>'Consommation mensuel énergie'!E12</f>
        <v>208</v>
      </c>
      <c r="M4" s="133" t="e">
        <f>E4*F4+G4*H4+#REF!*#REF!+I4*J4</f>
        <v>#REF!</v>
      </c>
    </row>
    <row r="5" spans="1:13" x14ac:dyDescent="0.25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submetering!E5+submetering!F5+submetering!G5</f>
        <v>17280</v>
      </c>
      <c r="F5" s="134">
        <v>1.05</v>
      </c>
      <c r="G5" s="134">
        <f>'Consommation mensuel énergie'!V13</f>
        <v>224.4179</v>
      </c>
      <c r="H5" s="134">
        <v>12.24</v>
      </c>
      <c r="I5" s="134">
        <f>'Consommation mensuel énergie'!F13</f>
        <v>130.10000000000582</v>
      </c>
      <c r="J5" s="134">
        <v>11.4</v>
      </c>
      <c r="K5" s="137">
        <f>'Consommation mensuel énergie'!D13</f>
        <v>105</v>
      </c>
      <c r="L5" s="137">
        <f>'Consommation mensuel énergie'!E13</f>
        <v>159</v>
      </c>
      <c r="M5" s="133" t="e">
        <f>E5*F5+G5*H5+#REF!*#REF!+I5*J5</f>
        <v>#REF!</v>
      </c>
    </row>
    <row r="6" spans="1:13" x14ac:dyDescent="0.25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submetering!E6+submetering!F6+submetering!G6</f>
        <v>18063</v>
      </c>
      <c r="F6" s="134">
        <v>1.05</v>
      </c>
      <c r="G6" s="134">
        <f>'Consommation mensuel énergie'!V14</f>
        <v>671.98341000000005</v>
      </c>
      <c r="H6" s="134">
        <v>12.24</v>
      </c>
      <c r="I6" s="134">
        <f>'Consommation mensuel énergie'!F14</f>
        <v>132.60000000000582</v>
      </c>
      <c r="J6" s="134">
        <v>11.4</v>
      </c>
      <c r="K6" s="137">
        <f>'Consommation mensuel énergie'!D14</f>
        <v>112</v>
      </c>
      <c r="L6" s="137">
        <f>'Consommation mensuel énergie'!E14</f>
        <v>171</v>
      </c>
      <c r="M6" s="133" t="e">
        <f>E6*F6+G6*H6+#REF!*#REF!+I6*J6</f>
        <v>#REF!</v>
      </c>
    </row>
    <row r="7" spans="1:13" x14ac:dyDescent="0.25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submetering!E7+submetering!F7+submetering!G7</f>
        <v>15138</v>
      </c>
      <c r="F7" s="134">
        <v>1.05</v>
      </c>
      <c r="G7" s="134">
        <f>'Consommation mensuel énergie'!V15</f>
        <v>383.99052</v>
      </c>
      <c r="H7" s="134">
        <v>12.24</v>
      </c>
      <c r="I7" s="134">
        <f>'Consommation mensuel énergie'!F15</f>
        <v>141.29999999998836</v>
      </c>
      <c r="J7" s="134">
        <v>11.4</v>
      </c>
      <c r="K7" s="137">
        <f>'Consommation mensuel énergie'!D15</f>
        <v>135</v>
      </c>
      <c r="L7" s="137">
        <f>'Consommation mensuel énergie'!E15</f>
        <v>184</v>
      </c>
      <c r="M7" s="133" t="e">
        <f>E7*F7+G7*H7+#REF!*#REF!+I7*J7</f>
        <v>#REF!</v>
      </c>
    </row>
    <row r="8" spans="1:13" x14ac:dyDescent="0.25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submetering!E8+submetering!F8+submetering!G8</f>
        <v>15765</v>
      </c>
      <c r="F8" s="134">
        <v>1.05</v>
      </c>
      <c r="G8" s="134">
        <f>'Consommation mensuel énergie'!V16</f>
        <v>351.99131</v>
      </c>
      <c r="H8" s="134">
        <v>12.24</v>
      </c>
      <c r="I8" s="134">
        <f>'Consommation mensuel énergie'!F16</f>
        <v>144</v>
      </c>
      <c r="J8" s="134">
        <v>11.4</v>
      </c>
      <c r="K8" s="137">
        <f>'Consommation mensuel énergie'!D16</f>
        <v>123</v>
      </c>
      <c r="L8" s="137">
        <f>'Consommation mensuel énergie'!E16</f>
        <v>168</v>
      </c>
      <c r="M8" s="133" t="e">
        <f>E8*F8+G8*H8+#REF!*#REF!+I8*J8</f>
        <v>#REF!</v>
      </c>
    </row>
    <row r="9" spans="1:13" x14ac:dyDescent="0.25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submetering!E9+submetering!F9+submetering!G9</f>
        <v>16427</v>
      </c>
      <c r="F9" s="134">
        <v>1.05</v>
      </c>
      <c r="G9" s="134">
        <f>'Consommation mensuel énergie'!V17</f>
        <v>255.99368000000001</v>
      </c>
      <c r="H9" s="134">
        <v>12.24</v>
      </c>
      <c r="I9" s="134">
        <f>'Consommation mensuel énergie'!F17</f>
        <v>139</v>
      </c>
      <c r="J9" s="134">
        <v>11.4</v>
      </c>
      <c r="K9" s="137">
        <f>'Consommation mensuel énergie'!D17</f>
        <v>108</v>
      </c>
      <c r="L9" s="137">
        <f>'Consommation mensuel énergie'!E17</f>
        <v>138</v>
      </c>
      <c r="M9" s="133" t="e">
        <f>E9*F9+G9*H9+#REF!*#REF!+I9*J9</f>
        <v>#REF!</v>
      </c>
    </row>
    <row r="10" spans="1:13" x14ac:dyDescent="0.25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submetering!E10+submetering!F10+submetering!G10</f>
        <v>15636</v>
      </c>
      <c r="F10" s="134">
        <v>1.05</v>
      </c>
      <c r="G10" s="134">
        <f>'Consommation mensuel énergie'!V18</f>
        <v>543.98657000000003</v>
      </c>
      <c r="H10" s="134">
        <v>12.24</v>
      </c>
      <c r="I10" s="134">
        <f>'Consommation mensuel énergie'!F18</f>
        <v>116</v>
      </c>
      <c r="J10" s="134">
        <v>11.4</v>
      </c>
      <c r="K10" s="137">
        <f>'Consommation mensuel énergie'!D18</f>
        <v>108</v>
      </c>
      <c r="L10" s="137">
        <f>'Consommation mensuel énergie'!E18</f>
        <v>138</v>
      </c>
      <c r="M10" s="133" t="e">
        <f>E10*F10+G10*H10+#REF!*#REF!+I10*J10</f>
        <v>#REF!</v>
      </c>
    </row>
    <row r="11" spans="1:13" x14ac:dyDescent="0.25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submetering!E11+submetering!F11+submetering!G11</f>
        <v>15297</v>
      </c>
      <c r="F11" s="134">
        <v>1.05</v>
      </c>
      <c r="G11" s="134">
        <f>'Consommation mensuel énergie'!V19</f>
        <v>447.98894000000001</v>
      </c>
      <c r="H11" s="134">
        <v>12.24</v>
      </c>
      <c r="I11" s="134">
        <f>'Consommation mensuel énergie'!F19</f>
        <v>119.29999999998836</v>
      </c>
      <c r="J11" s="134">
        <v>11.4</v>
      </c>
      <c r="K11" s="137">
        <f>'Consommation mensuel énergie'!D19</f>
        <v>107</v>
      </c>
      <c r="L11" s="137">
        <f>'Consommation mensuel énergie'!E19</f>
        <v>144</v>
      </c>
      <c r="M11" s="133" t="e">
        <f>E11*F11+G11*H11+#REF!*#REF!+I11*J11</f>
        <v>#REF!</v>
      </c>
    </row>
    <row r="12" spans="1:13" x14ac:dyDescent="0.25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submetering!E12+submetering!F12+submetering!G12</f>
        <v>15441</v>
      </c>
      <c r="F12" s="134">
        <v>1.05</v>
      </c>
      <c r="G12" s="134">
        <f>'Consommation mensuel énergie'!V20</f>
        <v>415.98973000000001</v>
      </c>
      <c r="H12" s="134">
        <v>12.24</v>
      </c>
      <c r="I12" s="134">
        <f>'Consommation mensuel énergie'!F20</f>
        <v>137.30000000001746</v>
      </c>
      <c r="J12" s="134">
        <v>11.4</v>
      </c>
      <c r="K12" s="137">
        <f>'Consommation mensuel énergie'!D20</f>
        <v>115</v>
      </c>
      <c r="L12" s="137">
        <f>'Consommation mensuel énergie'!E20</f>
        <v>168</v>
      </c>
      <c r="M12" s="133" t="e">
        <f>E12*F12+G12*H12+#REF!*#REF!+I12*J12</f>
        <v>#REF!</v>
      </c>
    </row>
    <row r="13" spans="1:13" x14ac:dyDescent="0.25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submetering!E13+submetering!F13+submetering!G13</f>
        <v>16278</v>
      </c>
      <c r="F13" s="134">
        <v>1.05</v>
      </c>
      <c r="G13" s="134">
        <f>'Consommation mensuel énergie'!V21</f>
        <v>767.98104000000001</v>
      </c>
      <c r="H13" s="134">
        <v>12.24</v>
      </c>
      <c r="I13" s="134">
        <f>'Consommation mensuel énergie'!F21</f>
        <v>130.10000000000582</v>
      </c>
      <c r="J13" s="134">
        <v>11.4</v>
      </c>
      <c r="K13" s="137">
        <f>'Consommation mensuel énergie'!D21</f>
        <v>96</v>
      </c>
      <c r="L13" s="137">
        <f>'Consommation mensuel énergie'!E21</f>
        <v>148</v>
      </c>
      <c r="M13" s="133" t="e">
        <f>E13*F13+G13*H13+#REF!*#REF!+I13*J13</f>
        <v>#REF!</v>
      </c>
    </row>
    <row r="14" spans="1:13" x14ac:dyDescent="0.25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submetering!E14+submetering!F14+submetering!G14</f>
        <v>15552</v>
      </c>
      <c r="F14" s="134">
        <v>1.05</v>
      </c>
      <c r="G14" s="134">
        <f>'Consommation mensuel énergie'!V22</f>
        <v>607.98499000000004</v>
      </c>
      <c r="H14" s="134">
        <v>12.24</v>
      </c>
      <c r="I14" s="134">
        <f>'Consommation mensuel énergie'!F22</f>
        <v>151.29999999998836</v>
      </c>
      <c r="J14" s="134">
        <v>11.4</v>
      </c>
      <c r="K14" s="137">
        <f>'Consommation mensuel énergie'!D22</f>
        <v>104</v>
      </c>
      <c r="L14" s="137">
        <f>'Consommation mensuel énergie'!E22</f>
        <v>175</v>
      </c>
      <c r="M14" s="133" t="e">
        <f>E14*F14+G14*H14+#REF!*#REF!+I14*J14</f>
        <v>#REF!</v>
      </c>
    </row>
    <row r="15" spans="1:13" x14ac:dyDescent="0.25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submetering!E15+submetering!F15+submetering!G15</f>
        <v>14668</v>
      </c>
      <c r="F15" s="134">
        <v>1.05</v>
      </c>
      <c r="G15" s="134">
        <f>'Consommation mensuel énergie'!V23</f>
        <v>383.99052</v>
      </c>
      <c r="H15" s="134">
        <v>12.24</v>
      </c>
      <c r="I15" s="134">
        <f>'Consommation mensuel énergie'!F23</f>
        <v>145</v>
      </c>
      <c r="J15" s="134">
        <v>11.4</v>
      </c>
      <c r="K15" s="137">
        <f>'Consommation mensuel énergie'!D23</f>
        <v>90</v>
      </c>
      <c r="L15" s="137">
        <f>'Consommation mensuel énergie'!E23</f>
        <v>142</v>
      </c>
      <c r="M15" s="133" t="e">
        <f>E15*F15+G15*H15+#REF!*#REF!+I15*J15</f>
        <v>#REF!</v>
      </c>
    </row>
    <row r="16" spans="1:13" x14ac:dyDescent="0.25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submetering!E16+submetering!F16+submetering!G16</f>
        <v>15528</v>
      </c>
      <c r="F16" s="134">
        <v>1.05</v>
      </c>
      <c r="G16" s="134">
        <f>'Consommation mensuel énergie'!V24</f>
        <v>543.98657000000003</v>
      </c>
      <c r="H16" s="134">
        <v>12.24</v>
      </c>
      <c r="I16" s="134">
        <f>'Consommation mensuel énergie'!F24</f>
        <v>93</v>
      </c>
      <c r="J16" s="134">
        <v>11.4</v>
      </c>
      <c r="K16" s="137">
        <f>'Consommation mensuel énergie'!D24</f>
        <v>129</v>
      </c>
      <c r="L16" s="137">
        <f>'Consommation mensuel énergie'!E24</f>
        <v>197</v>
      </c>
      <c r="M16" s="133" t="e">
        <f>E16*F16+G16*H16+#REF!*#REF!+I16*J16</f>
        <v>#REF!</v>
      </c>
    </row>
    <row r="17" spans="1:13" x14ac:dyDescent="0.25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submetering!E17+submetering!F17+submetering!G17</f>
        <v>15877</v>
      </c>
      <c r="F17" s="134">
        <v>1.05</v>
      </c>
      <c r="G17" s="134">
        <f>'Consommation mensuel énergie'!V25</f>
        <v>479.98815000000002</v>
      </c>
      <c r="H17" s="134">
        <v>12.24</v>
      </c>
      <c r="I17" s="134">
        <f>'Consommation mensuel énergie'!F25</f>
        <v>121.79999999998836</v>
      </c>
      <c r="J17" s="134">
        <v>11.4</v>
      </c>
      <c r="K17" s="137">
        <f>'Consommation mensuel énergie'!D25</f>
        <v>151</v>
      </c>
      <c r="L17" s="137">
        <f>'Consommation mensuel énergie'!E25</f>
        <v>233</v>
      </c>
      <c r="M17" s="133" t="e">
        <f>E17*F17+G17*H17+#REF!*#REF!+I17*J17</f>
        <v>#REF!</v>
      </c>
    </row>
    <row r="18" spans="1:13" x14ac:dyDescent="0.25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submetering!E18+submetering!F18+submetering!G18</f>
        <v>15715</v>
      </c>
      <c r="F18" s="134">
        <v>1.05</v>
      </c>
      <c r="G18" s="134">
        <f>'Consommation mensuel énergie'!V26</f>
        <v>479.98815000000002</v>
      </c>
      <c r="H18" s="134">
        <v>12.24</v>
      </c>
      <c r="I18" s="134">
        <f>'Consommation mensuel énergie'!F26</f>
        <v>168</v>
      </c>
      <c r="J18" s="134">
        <v>11.4</v>
      </c>
      <c r="K18" s="137">
        <f>'Consommation mensuel énergie'!D26</f>
        <v>107</v>
      </c>
      <c r="L18" s="137">
        <f>'Consommation mensuel énergie'!E26</f>
        <v>154</v>
      </c>
      <c r="M18" s="133" t="e">
        <f>E18*F18+G18*H18+#REF!*#REF!+I18*J18</f>
        <v>#REF!</v>
      </c>
    </row>
    <row r="19" spans="1:13" x14ac:dyDescent="0.25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submetering!E19+submetering!F19+submetering!G19</f>
        <v>16559</v>
      </c>
      <c r="F19" s="134">
        <v>1.05</v>
      </c>
      <c r="G19" s="134">
        <f>'Consommation mensuel énergie'!V27</f>
        <v>383.99052</v>
      </c>
      <c r="H19" s="134">
        <v>12.24</v>
      </c>
      <c r="I19" s="134">
        <f>'Consommation mensuel énergie'!F27</f>
        <v>125.20000000001164</v>
      </c>
      <c r="J19" s="134">
        <v>11.4</v>
      </c>
      <c r="K19" s="137">
        <f>'Consommation mensuel énergie'!D27</f>
        <v>94</v>
      </c>
      <c r="L19" s="137">
        <f>'Consommation mensuel énergie'!E27</f>
        <v>149</v>
      </c>
      <c r="M19" s="133" t="e">
        <f>E19*F19+G19*H19+#REF!*#REF!+I19*J19</f>
        <v>#REF!</v>
      </c>
    </row>
    <row r="20" spans="1:13" x14ac:dyDescent="0.25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submetering!E20+submetering!F20+submetering!G20</f>
        <v>13904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117</v>
      </c>
      <c r="J20" s="134">
        <v>11.4</v>
      </c>
      <c r="K20" s="137">
        <f>'Consommation mensuel énergie'!D28</f>
        <v>91</v>
      </c>
      <c r="L20" s="137">
        <f>'Consommation mensuel énergie'!E28</f>
        <v>156</v>
      </c>
      <c r="M20" s="133" t="e">
        <f>E20*F20+G20*H20+#REF!*#REF!+I20*J20</f>
        <v>#REF!</v>
      </c>
    </row>
    <row r="21" spans="1:13" x14ac:dyDescent="0.25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submetering!E21+submetering!F21+submetering!G21</f>
        <v>13514</v>
      </c>
      <c r="F21" s="134">
        <v>1.05</v>
      </c>
      <c r="G21" s="134">
        <f>'Consommation mensuel énergie'!V29</f>
        <v>575.98577999999998</v>
      </c>
      <c r="H21" s="134">
        <v>12.24</v>
      </c>
      <c r="I21" s="134">
        <f>'Consommation mensuel énergie'!F29</f>
        <v>121</v>
      </c>
      <c r="J21" s="134">
        <v>11.4</v>
      </c>
      <c r="K21" s="137">
        <f>'Consommation mensuel énergie'!D29</f>
        <v>115</v>
      </c>
      <c r="L21" s="137">
        <f>'Consommation mensuel énergie'!E29</f>
        <v>199</v>
      </c>
      <c r="M21" s="133" t="e">
        <f>E21*F21+G21*H21+#REF!*#REF!+I21*J21</f>
        <v>#REF!</v>
      </c>
    </row>
    <row r="22" spans="1:13" x14ac:dyDescent="0.25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submetering!E22+submetering!F22+submetering!G22</f>
        <v>13278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126</v>
      </c>
      <c r="J22" s="134">
        <v>11.4</v>
      </c>
      <c r="K22" s="137">
        <f>'Consommation mensuel énergie'!D30</f>
        <v>119</v>
      </c>
      <c r="L22" s="137">
        <f>'Consommation mensuel énergie'!E30</f>
        <v>179</v>
      </c>
      <c r="M22" s="133" t="e">
        <f>E22*F22+G22*H22+#REF!*#REF!+I22*J22</f>
        <v>#REF!</v>
      </c>
    </row>
    <row r="23" spans="1:13" x14ac:dyDescent="0.25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submetering!E23+submetering!F23+submetering!G23</f>
        <v>13629</v>
      </c>
      <c r="F23" s="134">
        <v>1.05</v>
      </c>
      <c r="G23" s="134">
        <f>'Consommation mensuel énergie'!V31</f>
        <v>319.99209999999999</v>
      </c>
      <c r="H23" s="134">
        <v>12.24</v>
      </c>
      <c r="I23" s="134">
        <f>'Consommation mensuel énergie'!F31</f>
        <v>126.39999999999418</v>
      </c>
      <c r="J23" s="134">
        <v>11.4</v>
      </c>
      <c r="K23" s="137">
        <f>'Consommation mensuel énergie'!D31</f>
        <v>118</v>
      </c>
      <c r="L23" s="137">
        <f>'Consommation mensuel énergie'!E31</f>
        <v>164</v>
      </c>
      <c r="M23" s="133" t="e">
        <f>E23*F23+G23*H23+#REF!*#REF!+I23*J23</f>
        <v>#REF!</v>
      </c>
    </row>
    <row r="24" spans="1:13" x14ac:dyDescent="0.25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submetering!E24+submetering!F24+submetering!G24</f>
        <v>14924</v>
      </c>
      <c r="F24" s="134">
        <v>1.05</v>
      </c>
      <c r="G24" s="134">
        <f>'Consommation mensuel énergie'!V32</f>
        <v>287.99288999999999</v>
      </c>
      <c r="H24" s="134">
        <v>12.24</v>
      </c>
      <c r="I24" s="134">
        <f>'Consommation mensuel énergie'!F32</f>
        <v>122.89999999999418</v>
      </c>
      <c r="J24" s="134">
        <v>11.4</v>
      </c>
      <c r="K24" s="137">
        <f>'Consommation mensuel énergie'!D32</f>
        <v>120</v>
      </c>
      <c r="L24" s="137">
        <f>'Consommation mensuel énergie'!E32</f>
        <v>159</v>
      </c>
      <c r="M24" s="133" t="e">
        <f>E24*F24+G24*H24+#REF!*#REF!+I24*J24</f>
        <v>#REF!</v>
      </c>
    </row>
    <row r="25" spans="1:13" x14ac:dyDescent="0.25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submetering!E25+submetering!F25+submetering!G25</f>
        <v>14768</v>
      </c>
      <c r="F25" s="134">
        <v>1.05</v>
      </c>
      <c r="G25" s="134">
        <f>'Consommation mensuel énergie'!V33</f>
        <v>415.98973000000001</v>
      </c>
      <c r="H25" s="134">
        <v>12.24</v>
      </c>
      <c r="I25" s="134">
        <f>'Consommation mensuel énergie'!F33</f>
        <v>124.60000000000582</v>
      </c>
      <c r="J25" s="134">
        <v>11.4</v>
      </c>
      <c r="K25" s="137">
        <f>'Consommation mensuel énergie'!D33</f>
        <v>131</v>
      </c>
      <c r="L25" s="137">
        <f>'Consommation mensuel énergie'!E33</f>
        <v>183</v>
      </c>
      <c r="M25" s="133" t="e">
        <f>E25*F25+G25*H25+#REF!*#REF!+I25*J25</f>
        <v>#REF!</v>
      </c>
    </row>
    <row r="26" spans="1:13" x14ac:dyDescent="0.25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submetering!E26+submetering!F26+submetering!G26</f>
        <v>16465</v>
      </c>
      <c r="F26" s="134">
        <v>1.05</v>
      </c>
      <c r="G26" s="134">
        <f>'Consommation mensuel énergie'!V34</f>
        <v>415.98973000000001</v>
      </c>
      <c r="H26" s="134">
        <v>12.24</v>
      </c>
      <c r="I26" s="134">
        <f>'Consommation mensuel énergie'!F34</f>
        <v>129</v>
      </c>
      <c r="J26" s="134">
        <v>11.4</v>
      </c>
      <c r="K26" s="137">
        <f>'Consommation mensuel énergie'!D34</f>
        <v>106</v>
      </c>
      <c r="L26" s="137">
        <f>'Consommation mensuel énergie'!E34</f>
        <v>165</v>
      </c>
      <c r="M26" s="133" t="e">
        <f>E26*F26+G26*H26+#REF!*#REF!+I26*J26</f>
        <v>#REF!</v>
      </c>
    </row>
    <row r="27" spans="1:13" x14ac:dyDescent="0.25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submetering!E27+submetering!F27+submetering!G27</f>
        <v>12802</v>
      </c>
      <c r="F27" s="134">
        <v>1.05</v>
      </c>
      <c r="G27" s="134">
        <f>'Consommation mensuel énergie'!V35</f>
        <v>831.97946000000002</v>
      </c>
      <c r="H27" s="134">
        <v>12.24</v>
      </c>
      <c r="I27" s="134">
        <f>'Consommation mensuel énergie'!F35</f>
        <v>113</v>
      </c>
      <c r="J27" s="134">
        <v>11.4</v>
      </c>
      <c r="K27" s="137">
        <f>'Consommation mensuel énergie'!D35</f>
        <v>81</v>
      </c>
      <c r="L27" s="137">
        <f>'Consommation mensuel énergie'!E35</f>
        <v>147</v>
      </c>
      <c r="M27" s="133"/>
    </row>
    <row r="28" spans="1:13" x14ac:dyDescent="0.25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submetering!E28+submetering!F28+submetering!G28</f>
        <v>13379</v>
      </c>
      <c r="F28" s="134">
        <v>1.05</v>
      </c>
      <c r="G28" s="134">
        <f>'Consommation mensuel énergie'!V36</f>
        <v>703.98262</v>
      </c>
      <c r="H28" s="134">
        <v>12.24</v>
      </c>
      <c r="I28" s="134">
        <f>'Consommation mensuel énergie'!F36</f>
        <v>119</v>
      </c>
      <c r="J28" s="134">
        <v>11.4</v>
      </c>
      <c r="K28" s="137">
        <f>'Consommation mensuel énergie'!D36</f>
        <v>58</v>
      </c>
      <c r="L28" s="137">
        <f>'Consommation mensuel énergie'!E36</f>
        <v>98</v>
      </c>
      <c r="M28" s="133"/>
    </row>
    <row r="29" spans="1:13" x14ac:dyDescent="0.25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submetering!E29+submetering!F29+submetering!G29</f>
        <v>13230</v>
      </c>
      <c r="F29" s="134">
        <v>1.05</v>
      </c>
      <c r="G29" s="134">
        <f>'Consommation mensuel énergie'!V37</f>
        <v>287.99288999999999</v>
      </c>
      <c r="H29" s="134">
        <v>12.24</v>
      </c>
      <c r="I29" s="134">
        <f>'Consommation mensuel énergie'!F37</f>
        <v>121</v>
      </c>
      <c r="J29" s="134">
        <v>11.4</v>
      </c>
      <c r="K29" s="137">
        <f>'Consommation mensuel énergie'!D37</f>
        <v>60</v>
      </c>
      <c r="L29" s="137">
        <f>'Consommation mensuel énergie'!E37</f>
        <v>82</v>
      </c>
      <c r="M29" s="133"/>
    </row>
    <row r="30" spans="1:13" x14ac:dyDescent="0.25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submetering!E30+submetering!F30+submetering!G30</f>
        <v>13297</v>
      </c>
      <c r="F30" s="134">
        <v>1.05</v>
      </c>
      <c r="G30" s="134">
        <f>'Consommation mensuel énergie'!V38</f>
        <v>767.98104000000001</v>
      </c>
      <c r="H30" s="134">
        <v>12.24</v>
      </c>
      <c r="I30" s="134">
        <f>'Consommation mensuel énergie'!F38</f>
        <v>124</v>
      </c>
      <c r="J30" s="134">
        <v>11.4</v>
      </c>
      <c r="K30" s="137">
        <f>'Consommation mensuel énergie'!D38</f>
        <v>77</v>
      </c>
      <c r="L30" s="137">
        <f>'Consommation mensuel énergie'!E38</f>
        <v>109</v>
      </c>
      <c r="M30" s="133"/>
    </row>
    <row r="31" spans="1:13" x14ac:dyDescent="0.25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submetering!E31+submetering!F31+submetering!G31</f>
        <v>12820</v>
      </c>
      <c r="F31" s="134">
        <v>1.05</v>
      </c>
      <c r="G31" s="134">
        <f>'Consommation mensuel énergie'!V39</f>
        <v>447.98894000000001</v>
      </c>
      <c r="H31" s="134">
        <v>12.24</v>
      </c>
      <c r="I31" s="134">
        <f>'Consommation mensuel énergie'!F39</f>
        <v>136</v>
      </c>
      <c r="J31" s="134">
        <v>11.4</v>
      </c>
      <c r="K31" s="137">
        <f>'Consommation mensuel énergie'!D39</f>
        <v>74</v>
      </c>
      <c r="L31" s="137">
        <f>'Consommation mensuel énergie'!E39</f>
        <v>101</v>
      </c>
      <c r="M31" s="133"/>
    </row>
    <row r="32" spans="1:13" x14ac:dyDescent="0.25">
      <c r="A32" s="136"/>
      <c r="F32" s="134"/>
      <c r="G32" s="134"/>
      <c r="H32" s="134"/>
      <c r="I32" s="134"/>
      <c r="J32" s="134"/>
      <c r="M32" s="133"/>
    </row>
    <row r="33" spans="1:13" x14ac:dyDescent="0.25">
      <c r="A33" s="136"/>
      <c r="F33" s="134"/>
      <c r="G33" s="134"/>
      <c r="H33" s="134"/>
      <c r="I33" s="134"/>
      <c r="J33" s="134"/>
      <c r="M33" s="133"/>
    </row>
    <row r="34" spans="1:13" x14ac:dyDescent="0.25">
      <c r="F34" s="134"/>
      <c r="G34" s="134"/>
      <c r="H34" s="134"/>
      <c r="I34" s="134"/>
      <c r="J34" s="134"/>
    </row>
    <row r="35" spans="1:13" x14ac:dyDescent="0.25">
      <c r="F35" s="134"/>
      <c r="G35" s="134"/>
      <c r="H35" s="134"/>
      <c r="I35" s="134"/>
      <c r="J35" s="134"/>
    </row>
    <row r="36" spans="1:13" x14ac:dyDescent="0.25">
      <c r="F36" s="134"/>
      <c r="G36" s="134"/>
      <c r="H36" s="134"/>
      <c r="I36" s="134"/>
      <c r="J36" s="134"/>
    </row>
    <row r="37" spans="1:13" x14ac:dyDescent="0.25">
      <c r="F37" s="134"/>
      <c r="G37" s="134"/>
      <c r="H37" s="134"/>
      <c r="I37" s="134"/>
      <c r="J37" s="134"/>
    </row>
    <row r="38" spans="1:13" x14ac:dyDescent="0.25">
      <c r="F38" s="134"/>
      <c r="G38" s="134"/>
      <c r="H38" s="134"/>
      <c r="I38" s="134"/>
      <c r="J38" s="134"/>
    </row>
    <row r="39" spans="1:13" x14ac:dyDescent="0.25">
      <c r="F39" s="134"/>
      <c r="G39" s="134"/>
      <c r="H39" s="134"/>
      <c r="I39" s="134"/>
      <c r="J39" s="134"/>
    </row>
    <row r="40" spans="1:13" x14ac:dyDescent="0.25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4" workbookViewId="0">
      <selection activeCell="A2" sqref="A2"/>
    </sheetView>
  </sheetViews>
  <sheetFormatPr defaultColWidth="8.88671875" defaultRowHeight="13.2" x14ac:dyDescent="0.25"/>
  <cols>
    <col min="1" max="1" width="12.44140625" style="47" customWidth="1"/>
    <col min="2" max="3" width="8.88671875" style="140" customWidth="1"/>
    <col min="4" max="4" width="13.44140625" style="141" customWidth="1"/>
    <col min="5" max="6" width="12.5546875" style="47" customWidth="1"/>
    <col min="7" max="7" width="8.88671875" style="47" customWidth="1"/>
    <col min="8" max="9" width="8.88671875" customWidth="1"/>
    <col min="10" max="10" width="0" hidden="1" customWidth="1"/>
  </cols>
  <sheetData>
    <row r="1" spans="1:10" s="100" customFormat="1" ht="43.8" thickBot="1" x14ac:dyDescent="0.35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5">
      <c r="A2" s="136" t="s">
        <v>13</v>
      </c>
      <c r="B2" s="140">
        <v>1</v>
      </c>
      <c r="C2" s="140">
        <v>11</v>
      </c>
      <c r="D2" s="141">
        <v>2022</v>
      </c>
      <c r="E2" s="137">
        <f>'Consommation mensuel énergie'!L10</f>
        <v>4848</v>
      </c>
      <c r="F2" s="137">
        <f>'Consommation mensuel énergie'!M10</f>
        <v>8006</v>
      </c>
      <c r="G2" s="137">
        <f>'Consommation mensuel énergie'!N10</f>
        <v>4201</v>
      </c>
      <c r="H2" s="137">
        <f>'Consommation mensuel énergie'!D10</f>
        <v>119</v>
      </c>
      <c r="I2" s="137">
        <f>'Consommation mensuel énergie'!E10</f>
        <v>174</v>
      </c>
      <c r="J2" s="133" t="e">
        <f>E2*F2+G2*#REF!+#REF!*#REF!+#REF!*#REF!</f>
        <v>#REF!</v>
      </c>
    </row>
    <row r="3" spans="1:10" x14ac:dyDescent="0.25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'Consommation mensuel énergie'!L11</f>
        <v>4678</v>
      </c>
      <c r="F3" s="137">
        <f>'Consommation mensuel énergie'!M11</f>
        <v>7492</v>
      </c>
      <c r="G3" s="137">
        <f>'Consommation mensuel énergie'!N14</f>
        <v>3989</v>
      </c>
      <c r="H3" s="137">
        <f>'Consommation mensuel énergie'!D11</f>
        <v>135</v>
      </c>
      <c r="I3" s="137">
        <f>'Consommation mensuel énergie'!E11</f>
        <v>199</v>
      </c>
      <c r="J3" s="133" t="e">
        <f>E3*F3+G3*#REF!+#REF!*#REF!+#REF!*#REF!</f>
        <v>#REF!</v>
      </c>
    </row>
    <row r="4" spans="1:10" x14ac:dyDescent="0.25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'Consommation mensuel énergie'!L12</f>
        <v>4725</v>
      </c>
      <c r="F4" s="137">
        <f>'Consommation mensuel énergie'!M12</f>
        <v>7168</v>
      </c>
      <c r="G4" s="137">
        <f>'Consommation mensuel énergie'!N12</f>
        <v>3555</v>
      </c>
      <c r="H4" s="137">
        <f>'Consommation mensuel énergie'!D12</f>
        <v>143</v>
      </c>
      <c r="I4" s="137">
        <f>'Consommation mensuel énergie'!E12</f>
        <v>208</v>
      </c>
      <c r="J4" s="133" t="e">
        <f>E4*F4+G4*#REF!+#REF!*#REF!+#REF!*#REF!</f>
        <v>#REF!</v>
      </c>
    </row>
    <row r="5" spans="1:10" x14ac:dyDescent="0.25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'Consommation mensuel énergie'!L13</f>
        <v>5622</v>
      </c>
      <c r="F5" s="137">
        <f>'Consommation mensuel énergie'!M13</f>
        <v>7780</v>
      </c>
      <c r="G5" s="137">
        <f>'Consommation mensuel énergie'!N13</f>
        <v>3878</v>
      </c>
      <c r="H5" s="137">
        <f>'Consommation mensuel énergie'!D13</f>
        <v>105</v>
      </c>
      <c r="I5" s="137">
        <f>'Consommation mensuel énergie'!E13</f>
        <v>159</v>
      </c>
      <c r="J5" s="133" t="e">
        <f>E5*F5+G5*#REF!+#REF!*#REF!+#REF!*#REF!</f>
        <v>#REF!</v>
      </c>
    </row>
    <row r="6" spans="1:10" x14ac:dyDescent="0.25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'Consommation mensuel énergie'!L14</f>
        <v>6396</v>
      </c>
      <c r="F6" s="137">
        <f>'Consommation mensuel énergie'!M14</f>
        <v>7678</v>
      </c>
      <c r="G6" s="137">
        <f>'Consommation mensuel énergie'!N14</f>
        <v>3989</v>
      </c>
      <c r="H6" s="137">
        <f>'Consommation mensuel énergie'!D14</f>
        <v>112</v>
      </c>
      <c r="I6" s="137">
        <f>'Consommation mensuel énergie'!E14</f>
        <v>171</v>
      </c>
      <c r="J6" s="133" t="e">
        <f>E6*F6+G6*#REF!+#REF!*#REF!+#REF!*#REF!</f>
        <v>#REF!</v>
      </c>
    </row>
    <row r="7" spans="1:10" x14ac:dyDescent="0.25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'Consommation mensuel énergie'!L15</f>
        <v>3969</v>
      </c>
      <c r="F7" s="137">
        <f>'Consommation mensuel énergie'!M15</f>
        <v>7526</v>
      </c>
      <c r="G7" s="137">
        <f>'Consommation mensuel énergie'!N15</f>
        <v>3643</v>
      </c>
      <c r="H7" s="137">
        <f>'Consommation mensuel énergie'!D15</f>
        <v>135</v>
      </c>
      <c r="I7" s="137">
        <f>'Consommation mensuel énergie'!E15</f>
        <v>184</v>
      </c>
      <c r="J7" s="133" t="e">
        <f>E7*F7+G7*#REF!+#REF!*#REF!+#REF!*#REF!</f>
        <v>#REF!</v>
      </c>
    </row>
    <row r="8" spans="1:10" x14ac:dyDescent="0.25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'Consommation mensuel énergie'!L16</f>
        <v>4922</v>
      </c>
      <c r="F8" s="137">
        <f>'Consommation mensuel énergie'!M16</f>
        <v>7333</v>
      </c>
      <c r="G8" s="137">
        <f>'Consommation mensuel énergie'!N16</f>
        <v>3510</v>
      </c>
      <c r="H8" s="137">
        <f>'Consommation mensuel énergie'!D16</f>
        <v>123</v>
      </c>
      <c r="I8" s="137">
        <f>'Consommation mensuel énergie'!E16</f>
        <v>168</v>
      </c>
      <c r="J8" s="133" t="e">
        <f>E8*F8+G8*#REF!+#REF!*#REF!+#REF!*#REF!</f>
        <v>#REF!</v>
      </c>
    </row>
    <row r="9" spans="1:10" x14ac:dyDescent="0.25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'Consommation mensuel énergie'!L17</f>
        <v>4606</v>
      </c>
      <c r="F9" s="137">
        <f>'Consommation mensuel énergie'!M17</f>
        <v>7868</v>
      </c>
      <c r="G9" s="137">
        <f>'Consommation mensuel énergie'!N17</f>
        <v>3953</v>
      </c>
      <c r="H9" s="137">
        <f>'Consommation mensuel énergie'!D17</f>
        <v>108</v>
      </c>
      <c r="I9" s="137">
        <f>'Consommation mensuel énergie'!E17</f>
        <v>138</v>
      </c>
      <c r="J9" s="133" t="e">
        <f>E9*F9+G9*#REF!+#REF!*#REF!+#REF!*#REF!</f>
        <v>#REF!</v>
      </c>
    </row>
    <row r="10" spans="1:10" x14ac:dyDescent="0.25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'Consommation mensuel énergie'!L18</f>
        <v>4956</v>
      </c>
      <c r="F10" s="137">
        <f>'Consommation mensuel énergie'!M18</f>
        <v>7526</v>
      </c>
      <c r="G10" s="137">
        <f>'Consommation mensuel énergie'!N18</f>
        <v>3154</v>
      </c>
      <c r="H10" s="137">
        <f>'Consommation mensuel énergie'!D18</f>
        <v>108</v>
      </c>
      <c r="I10" s="137">
        <f>'Consommation mensuel énergie'!E18</f>
        <v>138</v>
      </c>
      <c r="J10" s="133" t="e">
        <f>E10*F10+G10*#REF!+#REF!*#REF!+#REF!*#REF!</f>
        <v>#REF!</v>
      </c>
    </row>
    <row r="11" spans="1:10" x14ac:dyDescent="0.25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'Consommation mensuel énergie'!L19</f>
        <v>4280</v>
      </c>
      <c r="F11" s="137">
        <f>'Consommation mensuel énergie'!M19</f>
        <v>7515</v>
      </c>
      <c r="G11" s="137">
        <f>'Consommation mensuel énergie'!N19</f>
        <v>3502</v>
      </c>
      <c r="H11" s="137">
        <f>'Consommation mensuel énergie'!D19</f>
        <v>107</v>
      </c>
      <c r="I11" s="137">
        <f>'Consommation mensuel énergie'!E19</f>
        <v>144</v>
      </c>
      <c r="J11" s="133" t="e">
        <f>E11*F11+G11*#REF!+#REF!*#REF!+#REF!*#REF!</f>
        <v>#REF!</v>
      </c>
    </row>
    <row r="12" spans="1:10" x14ac:dyDescent="0.25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'Consommation mensuel énergie'!L20</f>
        <v>4982</v>
      </c>
      <c r="F12" s="137">
        <f>'Consommation mensuel énergie'!M20</f>
        <v>6856</v>
      </c>
      <c r="G12" s="137">
        <f>'Consommation mensuel énergie'!N20</f>
        <v>3603</v>
      </c>
      <c r="H12" s="137">
        <f>'Consommation mensuel énergie'!D20</f>
        <v>115</v>
      </c>
      <c r="I12" s="137">
        <f>'Consommation mensuel énergie'!E20</f>
        <v>168</v>
      </c>
      <c r="J12" s="133" t="e">
        <f>E12*F12+G12*#REF!+#REF!*#REF!+#REF!*#REF!</f>
        <v>#REF!</v>
      </c>
    </row>
    <row r="13" spans="1:10" x14ac:dyDescent="0.25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'Consommation mensuel énergie'!L21</f>
        <v>4629</v>
      </c>
      <c r="F13" s="137">
        <f>'Consommation mensuel énergie'!M21</f>
        <v>8007</v>
      </c>
      <c r="G13" s="137">
        <f>'Consommation mensuel énergie'!N21</f>
        <v>3642</v>
      </c>
      <c r="H13" s="137">
        <f>'Consommation mensuel énergie'!D21</f>
        <v>96</v>
      </c>
      <c r="I13" s="137">
        <f>'Consommation mensuel énergie'!E21</f>
        <v>148</v>
      </c>
      <c r="J13" s="133" t="e">
        <f>E13*F13+G13*#REF!+#REF!*#REF!+#REF!*#REF!</f>
        <v>#REF!</v>
      </c>
    </row>
    <row r="14" spans="1:10" x14ac:dyDescent="0.25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'Consommation mensuel énergie'!L22</f>
        <v>4953</v>
      </c>
      <c r="F14" s="137">
        <f>'Consommation mensuel énergie'!M22</f>
        <v>7149</v>
      </c>
      <c r="G14" s="137">
        <f>'Consommation mensuel énergie'!N22</f>
        <v>3450</v>
      </c>
      <c r="H14" s="137">
        <f>'Consommation mensuel énergie'!D22</f>
        <v>104</v>
      </c>
      <c r="I14" s="137">
        <f>'Consommation mensuel énergie'!E22</f>
        <v>175</v>
      </c>
      <c r="J14" s="133" t="e">
        <f>E14*F14+G14*#REF!+#REF!*#REF!+#REF!*#REF!</f>
        <v>#REF!</v>
      </c>
    </row>
    <row r="15" spans="1:10" x14ac:dyDescent="0.25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'Consommation mensuel énergie'!L23</f>
        <v>4378</v>
      </c>
      <c r="F15" s="137">
        <f>'Consommation mensuel énergie'!M23</f>
        <v>6780</v>
      </c>
      <c r="G15" s="137">
        <f>'Consommation mensuel énergie'!N23</f>
        <v>3510</v>
      </c>
      <c r="H15" s="137">
        <f>'Consommation mensuel énergie'!D23</f>
        <v>90</v>
      </c>
      <c r="I15" s="137">
        <f>'Consommation mensuel énergie'!E23</f>
        <v>142</v>
      </c>
      <c r="J15" s="133" t="e">
        <f>E15*F15+G15*#REF!+#REF!*#REF!+#REF!*#REF!</f>
        <v>#REF!</v>
      </c>
    </row>
    <row r="16" spans="1:10" x14ac:dyDescent="0.25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'Consommation mensuel énergie'!L24</f>
        <v>4641</v>
      </c>
      <c r="F16" s="137">
        <f>'Consommation mensuel énergie'!M24</f>
        <v>7396</v>
      </c>
      <c r="G16" s="137">
        <f>'Consommation mensuel énergie'!N24</f>
        <v>3491</v>
      </c>
      <c r="H16" s="137">
        <f>'Consommation mensuel énergie'!D24</f>
        <v>129</v>
      </c>
      <c r="I16" s="137">
        <f>'Consommation mensuel énergie'!E24</f>
        <v>197</v>
      </c>
      <c r="J16" s="133" t="e">
        <f>E16*F16+G16*#REF!+#REF!*#REF!+#REF!*#REF!</f>
        <v>#REF!</v>
      </c>
    </row>
    <row r="17" spans="1:10" x14ac:dyDescent="0.25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'Consommation mensuel énergie'!L25</f>
        <v>4875</v>
      </c>
      <c r="F17" s="137">
        <f>'Consommation mensuel énergie'!M25</f>
        <v>7472</v>
      </c>
      <c r="G17" s="137">
        <f>'Consommation mensuel énergie'!N25</f>
        <v>3530</v>
      </c>
      <c r="H17" s="137">
        <f>'Consommation mensuel énergie'!D25</f>
        <v>151</v>
      </c>
      <c r="I17" s="137">
        <f>'Consommation mensuel énergie'!E25</f>
        <v>233</v>
      </c>
      <c r="J17" s="133" t="e">
        <f>E17*F17+G17*#REF!+#REF!*#REF!+#REF!*#REF!</f>
        <v>#REF!</v>
      </c>
    </row>
    <row r="18" spans="1:10" x14ac:dyDescent="0.25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'Consommation mensuel énergie'!L26</f>
        <v>4454</v>
      </c>
      <c r="F18" s="137">
        <f>'Consommation mensuel énergie'!M26</f>
        <v>7545</v>
      </c>
      <c r="G18" s="137">
        <f>'Consommation mensuel énergie'!N26</f>
        <v>3716</v>
      </c>
      <c r="H18" s="137">
        <f>'Consommation mensuel énergie'!D26</f>
        <v>107</v>
      </c>
      <c r="I18" s="137">
        <f>'Consommation mensuel énergie'!E26</f>
        <v>154</v>
      </c>
      <c r="J18" s="133" t="e">
        <f>E18*F18+G18*#REF!+#REF!*#REF!+#REF!*#REF!</f>
        <v>#REF!</v>
      </c>
    </row>
    <row r="19" spans="1:10" x14ac:dyDescent="0.25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'Consommation mensuel énergie'!L27</f>
        <v>4934</v>
      </c>
      <c r="F19" s="137">
        <f>'Consommation mensuel énergie'!M27</f>
        <v>8279</v>
      </c>
      <c r="G19" s="137">
        <f>'Consommation mensuel énergie'!N27</f>
        <v>3346</v>
      </c>
      <c r="H19" s="137">
        <f>'Consommation mensuel énergie'!D27</f>
        <v>94</v>
      </c>
      <c r="I19" s="137">
        <f>'Consommation mensuel énergie'!E27</f>
        <v>149</v>
      </c>
      <c r="J19" s="133" t="e">
        <f>E19*F19+G19*#REF!+#REF!*#REF!+#REF!*#REF!</f>
        <v>#REF!</v>
      </c>
    </row>
    <row r="20" spans="1:10" x14ac:dyDescent="0.25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'Consommation mensuel énergie'!L28</f>
        <v>4119</v>
      </c>
      <c r="F20" s="137">
        <f>'Consommation mensuel énergie'!M28</f>
        <v>6682</v>
      </c>
      <c r="G20" s="137">
        <f>'Consommation mensuel énergie'!N28</f>
        <v>3103</v>
      </c>
      <c r="H20" s="137">
        <f>'Consommation mensuel énergie'!D28</f>
        <v>91</v>
      </c>
      <c r="I20" s="137">
        <f>'Consommation mensuel énergie'!E28</f>
        <v>156</v>
      </c>
      <c r="J20" s="133" t="e">
        <f>E20*F20+G20*#REF!+#REF!*#REF!+#REF!*#REF!</f>
        <v>#REF!</v>
      </c>
    </row>
    <row r="21" spans="1:10" x14ac:dyDescent="0.25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'Consommation mensuel énergie'!L29</f>
        <v>4178</v>
      </c>
      <c r="F21" s="137">
        <f>'Consommation mensuel énergie'!M29</f>
        <v>6415</v>
      </c>
      <c r="G21" s="137">
        <f>'Consommation mensuel énergie'!N29</f>
        <v>2921</v>
      </c>
      <c r="H21" s="137">
        <f>'Consommation mensuel énergie'!D29</f>
        <v>115</v>
      </c>
      <c r="I21" s="137">
        <f>'Consommation mensuel énergie'!E29</f>
        <v>199</v>
      </c>
      <c r="J21" s="133" t="e">
        <f>E21*F21+G21*#REF!+#REF!*#REF!+#REF!*#REF!</f>
        <v>#REF!</v>
      </c>
    </row>
    <row r="22" spans="1:10" x14ac:dyDescent="0.25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'Consommation mensuel énergie'!L30</f>
        <v>4127</v>
      </c>
      <c r="F22" s="137">
        <f>'Consommation mensuel énergie'!M30</f>
        <v>6220</v>
      </c>
      <c r="G22" s="137">
        <f>'Consommation mensuel énergie'!N30</f>
        <v>2931</v>
      </c>
      <c r="H22" s="137">
        <f>'Consommation mensuel énergie'!D30</f>
        <v>119</v>
      </c>
      <c r="I22" s="137">
        <f>'Consommation mensuel énergie'!E30</f>
        <v>179</v>
      </c>
      <c r="J22" s="133" t="e">
        <f>E22*F22+G22*#REF!+#REF!*#REF!+#REF!*#REF!</f>
        <v>#REF!</v>
      </c>
    </row>
    <row r="23" spans="1:10" x14ac:dyDescent="0.25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'Consommation mensuel énergie'!L31</f>
        <v>4074</v>
      </c>
      <c r="F23" s="137">
        <f>'Consommation mensuel énergie'!M31</f>
        <v>6436</v>
      </c>
      <c r="G23" s="137">
        <f>'Consommation mensuel énergie'!N31</f>
        <v>3119</v>
      </c>
      <c r="H23" s="137">
        <f>'Consommation mensuel énergie'!D31</f>
        <v>118</v>
      </c>
      <c r="I23" s="137">
        <f>'Consommation mensuel énergie'!E31</f>
        <v>164</v>
      </c>
      <c r="J23" s="133" t="e">
        <f>E23*F23+G23*#REF!+#REF!*#REF!+#REF!*#REF!</f>
        <v>#REF!</v>
      </c>
    </row>
    <row r="24" spans="1:10" x14ac:dyDescent="0.25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'Consommation mensuel énergie'!L32</f>
        <v>4814</v>
      </c>
      <c r="F24" s="137">
        <f>'Consommation mensuel énergie'!M32</f>
        <v>6761</v>
      </c>
      <c r="G24" s="137">
        <f>'Consommation mensuel énergie'!N32</f>
        <v>3349</v>
      </c>
      <c r="H24" s="137">
        <f>'Consommation mensuel énergie'!D32</f>
        <v>120</v>
      </c>
      <c r="I24" s="137">
        <f>'Consommation mensuel énergie'!E32</f>
        <v>159</v>
      </c>
      <c r="J24" s="133" t="e">
        <f>E24*F24+G24*#REF!+#REF!*#REF!+#REF!*#REF!</f>
        <v>#REF!</v>
      </c>
    </row>
    <row r="25" spans="1:10" x14ac:dyDescent="0.25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'Consommation mensuel énergie'!L33</f>
        <v>4523</v>
      </c>
      <c r="F25" s="137">
        <f>'Consommation mensuel énergie'!M33</f>
        <v>6806</v>
      </c>
      <c r="G25" s="137">
        <f>'Consommation mensuel énergie'!N33</f>
        <v>3439</v>
      </c>
      <c r="H25" s="137">
        <f>'Consommation mensuel énergie'!D33</f>
        <v>131</v>
      </c>
      <c r="I25" s="137">
        <f>'Consommation mensuel énergie'!E33</f>
        <v>183</v>
      </c>
      <c r="J25" s="133" t="e">
        <f>E25*F25+G25*#REF!+#REF!*#REF!+#REF!*#REF!</f>
        <v>#REF!</v>
      </c>
    </row>
    <row r="26" spans="1:10" x14ac:dyDescent="0.25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'Consommation mensuel énergie'!L34</f>
        <v>6626</v>
      </c>
      <c r="F26" s="137">
        <f>'Consommation mensuel énergie'!M34</f>
        <v>6614</v>
      </c>
      <c r="G26" s="137">
        <f>'Consommation mensuel énergie'!N34</f>
        <v>3225</v>
      </c>
      <c r="H26" s="137">
        <f>'Consommation mensuel énergie'!D34</f>
        <v>106</v>
      </c>
      <c r="I26" s="137">
        <f>'Consommation mensuel énergie'!E34</f>
        <v>165</v>
      </c>
      <c r="J26" s="133" t="e">
        <f>E26*F26+G26*#REF!+#REF!*#REF!+#REF!*#REF!</f>
        <v>#REF!</v>
      </c>
    </row>
    <row r="27" spans="1:10" x14ac:dyDescent="0.25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'Consommation mensuel énergie'!L35</f>
        <v>2609</v>
      </c>
      <c r="F27" s="137">
        <f>'Consommation mensuel énergie'!M35</f>
        <v>6840</v>
      </c>
      <c r="G27" s="137">
        <f>'Consommation mensuel énergie'!N35</f>
        <v>3353</v>
      </c>
      <c r="H27" s="137">
        <f>'Consommation mensuel énergie'!D35</f>
        <v>81</v>
      </c>
      <c r="I27" s="137">
        <f>'Consommation mensuel énergie'!E35</f>
        <v>147</v>
      </c>
      <c r="J27" s="133"/>
    </row>
    <row r="28" spans="1:10" x14ac:dyDescent="0.25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'Consommation mensuel énergie'!L36</f>
        <v>3949</v>
      </c>
      <c r="F28" s="137">
        <f>'Consommation mensuel énergie'!M36</f>
        <v>6425</v>
      </c>
      <c r="G28" s="137">
        <f>'Consommation mensuel énergie'!N36</f>
        <v>3005</v>
      </c>
      <c r="H28" s="137">
        <f>'Consommation mensuel énergie'!D36</f>
        <v>58</v>
      </c>
      <c r="I28" s="137">
        <f>'Consommation mensuel énergie'!E36</f>
        <v>98</v>
      </c>
      <c r="J28" s="133"/>
    </row>
    <row r="29" spans="1:10" x14ac:dyDescent="0.25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'Consommation mensuel énergie'!L37</f>
        <v>4183</v>
      </c>
      <c r="F29" s="137">
        <f>'Consommation mensuel énergie'!M37</f>
        <v>6064</v>
      </c>
      <c r="G29" s="137">
        <f>'Consommation mensuel énergie'!N37</f>
        <v>2983</v>
      </c>
      <c r="H29" s="137">
        <f>'Consommation mensuel énergie'!D37</f>
        <v>60</v>
      </c>
      <c r="I29" s="137">
        <f>'Consommation mensuel énergie'!E37</f>
        <v>82</v>
      </c>
      <c r="J29" s="133"/>
    </row>
    <row r="30" spans="1:10" x14ac:dyDescent="0.25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'Consommation mensuel énergie'!L38</f>
        <v>3986</v>
      </c>
      <c r="F30" s="137">
        <f>'Consommation mensuel énergie'!M38</f>
        <v>6327</v>
      </c>
      <c r="G30" s="137">
        <f>'Consommation mensuel énergie'!N38</f>
        <v>2984</v>
      </c>
      <c r="H30" s="137">
        <f>'Consommation mensuel énergie'!D38</f>
        <v>77</v>
      </c>
      <c r="I30" s="137">
        <f>'Consommation mensuel énergie'!E38</f>
        <v>109</v>
      </c>
      <c r="J30" s="133"/>
    </row>
    <row r="31" spans="1:10" x14ac:dyDescent="0.25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'Consommation mensuel énergie'!L39</f>
        <v>4154</v>
      </c>
      <c r="F31" s="137">
        <f>'Consommation mensuel énergie'!M39</f>
        <v>5838</v>
      </c>
      <c r="G31" s="137">
        <f>'Consommation mensuel énergie'!N39</f>
        <v>2828</v>
      </c>
      <c r="H31" s="137">
        <f>'Consommation mensuel énergie'!D39</f>
        <v>74</v>
      </c>
      <c r="I31" s="137">
        <f>'Consommation mensuel énergie'!E39</f>
        <v>101</v>
      </c>
      <c r="J31" s="133"/>
    </row>
    <row r="32" spans="1:10" x14ac:dyDescent="0.25">
      <c r="E32" s="134"/>
      <c r="F32" s="134"/>
      <c r="G32" s="134"/>
      <c r="H32" s="133"/>
      <c r="I32" s="133"/>
    </row>
    <row r="33" spans="5:9" x14ac:dyDescent="0.25">
      <c r="E33" s="134"/>
      <c r="F33" s="134"/>
      <c r="G33" s="134"/>
      <c r="H33" s="133"/>
      <c r="I33" s="133"/>
    </row>
    <row r="34" spans="5:9" x14ac:dyDescent="0.25">
      <c r="E34" s="134"/>
      <c r="F34" s="134"/>
      <c r="G34" s="134"/>
      <c r="H34" s="133"/>
      <c r="I34" s="133"/>
    </row>
    <row r="35" spans="5:9" x14ac:dyDescent="0.25">
      <c r="E35" s="134"/>
      <c r="F35" s="134"/>
      <c r="G35" s="134"/>
      <c r="H35" s="133"/>
      <c r="I35" s="133"/>
    </row>
    <row r="36" spans="5:9" x14ac:dyDescent="0.25">
      <c r="E36" s="134"/>
      <c r="F36" s="134"/>
      <c r="G36" s="134"/>
      <c r="H36" s="133"/>
      <c r="I36" s="133"/>
    </row>
    <row r="37" spans="5:9" x14ac:dyDescent="0.25">
      <c r="E37" s="134"/>
      <c r="F37" s="134"/>
      <c r="G37" s="134"/>
      <c r="H37" s="133"/>
      <c r="I37" s="133"/>
    </row>
    <row r="38" spans="5:9" x14ac:dyDescent="0.25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C33" sqref="AC33"/>
    </sheetView>
  </sheetViews>
  <sheetFormatPr defaultColWidth="11.44140625" defaultRowHeight="17.399999999999999" x14ac:dyDescent="0.25"/>
  <cols>
    <col min="1" max="1" width="9" style="9" customWidth="1"/>
    <col min="2" max="2" width="24.88671875" style="9" customWidth="1"/>
    <col min="3" max="3" width="2.88671875" style="9" hidden="1" customWidth="1"/>
    <col min="4" max="6" width="24.6640625" style="9" customWidth="1"/>
    <col min="7" max="7" width="1.6640625" style="9" customWidth="1"/>
    <col min="8" max="8" width="16.88671875" style="9" customWidth="1"/>
    <col min="9" max="9" width="1.6640625" style="9" customWidth="1"/>
    <col min="10" max="10" width="11.6640625" style="9" customWidth="1"/>
    <col min="11" max="11" width="0.109375" style="9" customWidth="1"/>
    <col min="12" max="12" width="24.44140625" style="9" customWidth="1"/>
    <col min="13" max="13" width="26.6640625" style="9" customWidth="1"/>
    <col min="14" max="14" width="22.44140625" style="9" customWidth="1"/>
    <col min="15" max="15" width="24.88671875" style="9" customWidth="1"/>
    <col min="16" max="16" width="1.5546875" style="9" customWidth="1"/>
    <col min="17" max="17" width="26.5546875" style="9" customWidth="1"/>
    <col min="18" max="18" width="1.5546875" style="9" customWidth="1"/>
    <col min="19" max="19" width="0.33203125" style="9" hidden="1" customWidth="1"/>
    <col min="20" max="20" width="0.5546875" style="9" hidden="1" customWidth="1"/>
    <col min="21" max="21" width="0.44140625" style="9" customWidth="1"/>
    <col min="22" max="22" width="27.44140625" style="9" customWidth="1"/>
    <col min="23" max="23" width="1.33203125" style="9" customWidth="1"/>
    <col min="24" max="24" width="25.109375" style="9" customWidth="1"/>
    <col min="25" max="16384" width="11.44140625" style="9"/>
  </cols>
  <sheetData>
    <row r="1" spans="1:24" ht="18" thickBot="1" x14ac:dyDescent="0.3"/>
    <row r="2" spans="1:24" ht="100.5" customHeight="1" thickBot="1" x14ac:dyDescent="0.3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3"/>
    <row r="4" spans="1:24" ht="39" hidden="1" customHeight="1" thickBot="1" x14ac:dyDescent="0.3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3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3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3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3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3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5">
      <c r="A10" s="2"/>
      <c r="B10" s="6">
        <v>44866</v>
      </c>
      <c r="C10" s="7"/>
      <c r="D10" s="143">
        <v>119</v>
      </c>
      <c r="E10" s="143">
        <v>174</v>
      </c>
      <c r="F10" s="13">
        <f>'Suivi EAU-ELEC'!E9</f>
        <v>180</v>
      </c>
      <c r="G10" s="11"/>
      <c r="H10" s="168">
        <f>F10*8.79</f>
        <v>1582.1999999999998</v>
      </c>
      <c r="I10" s="169"/>
      <c r="J10" s="169"/>
      <c r="K10" s="60">
        <v>42278</v>
      </c>
      <c r="L10" s="90">
        <f>'Suivi EAU-ELEC'!G9</f>
        <v>4848</v>
      </c>
      <c r="M10" s="91">
        <f>'Suivi EAU-ELEC'!I9</f>
        <v>8006</v>
      </c>
      <c r="N10" s="91">
        <f>'Suivi EAU-ELEC'!K9</f>
        <v>4201</v>
      </c>
      <c r="O10" s="91">
        <f>L10+M10+N10</f>
        <v>17055</v>
      </c>
      <c r="P10" s="11"/>
      <c r="Q10" s="34">
        <f>L10*0.6985+M10*0.9514+N10*1.3304</f>
        <v>16592.246800000001</v>
      </c>
      <c r="R10" s="11"/>
      <c r="S10" s="28"/>
      <c r="T10" s="11"/>
      <c r="U10" s="28"/>
      <c r="V10" s="146">
        <f>'Suvi Gaz'!O4</f>
        <v>671.98341000000005</v>
      </c>
      <c r="W10" s="11"/>
      <c r="X10" s="34">
        <f>V10*12.24</f>
        <v>8225.0769384000014</v>
      </c>
    </row>
    <row r="11" spans="1:24" ht="32.25" customHeight="1" x14ac:dyDescent="0.25">
      <c r="A11" s="2"/>
      <c r="B11" s="6">
        <v>44867</v>
      </c>
      <c r="C11" s="7"/>
      <c r="D11" s="143">
        <v>135</v>
      </c>
      <c r="E11" s="143">
        <v>199</v>
      </c>
      <c r="F11" s="13">
        <f>'Suivi EAU-ELEC'!E10</f>
        <v>144</v>
      </c>
      <c r="G11" s="11"/>
      <c r="H11" s="168">
        <f t="shared" ref="H11:H21" si="0">F11*8.79</f>
        <v>1265.7599999999998</v>
      </c>
      <c r="I11" s="169"/>
      <c r="J11" s="169"/>
      <c r="K11" s="60">
        <v>42279</v>
      </c>
      <c r="L11" s="90">
        <f>'Suivi EAU-ELEC'!G10</f>
        <v>4678</v>
      </c>
      <c r="M11" s="91">
        <f>'Suivi EAU-ELEC'!I10</f>
        <v>7492</v>
      </c>
      <c r="N11" s="91">
        <f>'Suivi EAU-ELEC'!K10</f>
        <v>3457</v>
      </c>
      <c r="O11" s="91">
        <f>L11+M11+N11</f>
        <v>15627</v>
      </c>
      <c r="P11" s="11"/>
      <c r="Q11" s="34">
        <f>L11*0.6985+M11*0.9514+N14*1.3304</f>
        <v>15702.437400000003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9" si="1">V11*12.24</f>
        <v>2741.6923128000003</v>
      </c>
    </row>
    <row r="12" spans="1:24" ht="32.25" customHeight="1" x14ac:dyDescent="0.25">
      <c r="A12" s="2"/>
      <c r="B12" s="6">
        <v>44868</v>
      </c>
      <c r="C12" s="7"/>
      <c r="D12" s="143">
        <v>143</v>
      </c>
      <c r="E12" s="143">
        <v>208</v>
      </c>
      <c r="F12" s="13">
        <f>'Suivi EAU-ELEC'!E11</f>
        <v>127</v>
      </c>
      <c r="G12" s="11"/>
      <c r="H12" s="168">
        <f t="shared" si="0"/>
        <v>1116.33</v>
      </c>
      <c r="I12" s="169"/>
      <c r="J12" s="169"/>
      <c r="K12" s="60">
        <v>42280</v>
      </c>
      <c r="L12" s="90">
        <f>'Suivi EAU-ELEC'!G11</f>
        <v>4725</v>
      </c>
      <c r="M12" s="91">
        <f>'Suivi EAU-ELEC'!I11</f>
        <v>7168</v>
      </c>
      <c r="N12" s="91">
        <f>'Suivi EAU-ELEC'!K11</f>
        <v>3555</v>
      </c>
      <c r="O12" s="91">
        <f>L12+M12+N12</f>
        <v>15448</v>
      </c>
      <c r="P12" s="11"/>
      <c r="Q12" s="34">
        <f>L12*0.6985+M12*0.9514+N12*1.3304</f>
        <v>14849.619700000001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2741.6923128000003</v>
      </c>
    </row>
    <row r="13" spans="1:24" ht="32.25" customHeight="1" x14ac:dyDescent="0.25">
      <c r="A13" s="2"/>
      <c r="B13" s="6">
        <v>44869</v>
      </c>
      <c r="C13" s="7"/>
      <c r="D13" s="143">
        <v>105</v>
      </c>
      <c r="E13" s="143">
        <v>159</v>
      </c>
      <c r="F13" s="13">
        <f>'Suivi EAU-ELEC'!E12</f>
        <v>130.10000000000582</v>
      </c>
      <c r="G13" s="11"/>
      <c r="H13" s="168">
        <f t="shared" si="0"/>
        <v>1143.5790000000511</v>
      </c>
      <c r="I13" s="169"/>
      <c r="J13" s="169"/>
      <c r="K13" s="60">
        <v>42281</v>
      </c>
      <c r="L13" s="90">
        <f>'Suivi EAU-ELEC'!G12</f>
        <v>5622</v>
      </c>
      <c r="M13" s="91">
        <f>'Suivi EAU-ELEC'!I12</f>
        <v>7780</v>
      </c>
      <c r="N13" s="91">
        <f>'Suivi EAU-ELEC'!K12</f>
        <v>3878</v>
      </c>
      <c r="O13" s="91">
        <f t="shared" ref="O13:O36" si="2">L13+M13+N13</f>
        <v>17280</v>
      </c>
      <c r="P13" s="11"/>
      <c r="Q13" s="34">
        <f t="shared" ref="Q13:Q36" si="3">L13*0.6985+M13*0.9514+N13*1.3304</f>
        <v>16488.1502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2746.8750960000002</v>
      </c>
    </row>
    <row r="14" spans="1:24" ht="32.25" customHeight="1" x14ac:dyDescent="0.25">
      <c r="A14" s="2"/>
      <c r="B14" s="6">
        <v>44870</v>
      </c>
      <c r="C14" s="7"/>
      <c r="D14" s="143">
        <v>112</v>
      </c>
      <c r="E14" s="143">
        <v>171</v>
      </c>
      <c r="F14" s="13">
        <f>'Suivi EAU-ELEC'!E13</f>
        <v>132.60000000000582</v>
      </c>
      <c r="G14" s="12"/>
      <c r="H14" s="168">
        <f t="shared" si="0"/>
        <v>1165.554000000051</v>
      </c>
      <c r="I14" s="169"/>
      <c r="J14" s="169"/>
      <c r="K14" s="60">
        <v>42282</v>
      </c>
      <c r="L14" s="90">
        <f>'Suivi EAU-ELEC'!G13</f>
        <v>6396</v>
      </c>
      <c r="M14" s="91">
        <f>'Suivi EAU-ELEC'!I13</f>
        <v>7678</v>
      </c>
      <c r="N14" s="91">
        <f>'Suivi EAU-ELEC'!K13</f>
        <v>3989</v>
      </c>
      <c r="O14" s="91">
        <f t="shared" si="2"/>
        <v>18063</v>
      </c>
      <c r="P14" s="12"/>
      <c r="Q14" s="34">
        <f t="shared" si="3"/>
        <v>17079.4208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8225.0769384000014</v>
      </c>
    </row>
    <row r="15" spans="1:24" ht="32.25" customHeight="1" x14ac:dyDescent="0.25">
      <c r="A15" s="5"/>
      <c r="B15" s="6">
        <v>44871</v>
      </c>
      <c r="C15" s="7"/>
      <c r="D15" s="143">
        <v>135</v>
      </c>
      <c r="E15" s="143">
        <v>184</v>
      </c>
      <c r="F15" s="13">
        <f>'Suivi EAU-ELEC'!E14</f>
        <v>141.29999999998836</v>
      </c>
      <c r="G15" s="11"/>
      <c r="H15" s="168">
        <f t="shared" si="0"/>
        <v>1242.0269999998975</v>
      </c>
      <c r="I15" s="169"/>
      <c r="J15" s="169"/>
      <c r="K15" s="60">
        <v>42283</v>
      </c>
      <c r="L15" s="90">
        <f>'Suivi EAU-ELEC'!G14</f>
        <v>3969</v>
      </c>
      <c r="M15" s="91">
        <f>'Suivi EAU-ELEC'!I14</f>
        <v>7526</v>
      </c>
      <c r="N15" s="91">
        <f>'Suivi EAU-ELEC'!K14</f>
        <v>3643</v>
      </c>
      <c r="O15" s="91">
        <f t="shared" si="2"/>
        <v>15138</v>
      </c>
      <c r="P15" s="12"/>
      <c r="Q15" s="34">
        <f>L15*0.6985+M15*0.9514+N15*1.3304</f>
        <v>14779.230100000001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1"/>
        <v>4700.0439648000001</v>
      </c>
    </row>
    <row r="16" spans="1:24" ht="32.25" customHeight="1" x14ac:dyDescent="0.25">
      <c r="A16" s="5"/>
      <c r="B16" s="6">
        <v>44872</v>
      </c>
      <c r="C16" s="7"/>
      <c r="D16" s="143">
        <v>123</v>
      </c>
      <c r="E16" s="143">
        <v>168</v>
      </c>
      <c r="F16" s="13">
        <f>'Suivi EAU-ELEC'!E15</f>
        <v>144</v>
      </c>
      <c r="G16" s="11"/>
      <c r="H16" s="168">
        <f t="shared" si="0"/>
        <v>1265.7599999999998</v>
      </c>
      <c r="I16" s="169"/>
      <c r="J16" s="169"/>
      <c r="K16" s="60">
        <v>42284</v>
      </c>
      <c r="L16" s="90">
        <f>'Suivi EAU-ELEC'!G15</f>
        <v>4922</v>
      </c>
      <c r="M16" s="91">
        <f>'Suivi EAU-ELEC'!I15</f>
        <v>7333</v>
      </c>
      <c r="N16" s="91">
        <f>'Suivi EAU-ELEC'!K15</f>
        <v>3510</v>
      </c>
      <c r="O16" s="91">
        <f t="shared" si="2"/>
        <v>15765</v>
      </c>
      <c r="P16" s="11"/>
      <c r="Q16" s="34">
        <f t="shared" si="3"/>
        <v>15084.3372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4308.3736343999999</v>
      </c>
    </row>
    <row r="17" spans="1:24" s="5" customFormat="1" ht="32.25" customHeight="1" x14ac:dyDescent="0.25">
      <c r="A17" s="2"/>
      <c r="B17" s="6">
        <v>44873</v>
      </c>
      <c r="C17" s="7"/>
      <c r="D17" s="143">
        <v>108</v>
      </c>
      <c r="E17" s="143">
        <v>138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4606</v>
      </c>
      <c r="M17" s="91">
        <f>'Suivi EAU-ELEC'!I16</f>
        <v>7868</v>
      </c>
      <c r="N17" s="91">
        <f>'Suivi EAU-ELEC'!K16</f>
        <v>3953</v>
      </c>
      <c r="O17" s="91">
        <f t="shared" si="2"/>
        <v>16427</v>
      </c>
      <c r="P17" s="12"/>
      <c r="Q17" s="34">
        <f t="shared" si="3"/>
        <v>15961.977400000002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1"/>
        <v>3133.3626432000001</v>
      </c>
    </row>
    <row r="18" spans="1:24" ht="32.25" customHeight="1" x14ac:dyDescent="0.25">
      <c r="A18" s="2"/>
      <c r="B18" s="6">
        <v>44874</v>
      </c>
      <c r="C18" s="7"/>
      <c r="D18" s="143">
        <v>108</v>
      </c>
      <c r="E18" s="143">
        <v>138</v>
      </c>
      <c r="F18" s="13">
        <f>'Suivi EAU-ELEC'!E17</f>
        <v>116</v>
      </c>
      <c r="G18" s="11"/>
      <c r="H18" s="168">
        <f t="shared" si="0"/>
        <v>1019.6399999999999</v>
      </c>
      <c r="I18" s="169"/>
      <c r="J18" s="169"/>
      <c r="K18" s="60">
        <v>42286</v>
      </c>
      <c r="L18" s="90">
        <f>'Suivi EAU-ELEC'!G17</f>
        <v>4956</v>
      </c>
      <c r="M18" s="91">
        <f>'Suivi EAU-ELEC'!I17</f>
        <v>7526</v>
      </c>
      <c r="N18" s="91">
        <f>'Suivi EAU-ELEC'!K17</f>
        <v>3154</v>
      </c>
      <c r="O18" s="91">
        <f t="shared" si="2"/>
        <v>15636</v>
      </c>
      <c r="P18" s="12"/>
      <c r="Q18" s="34">
        <f t="shared" si="3"/>
        <v>14818.083999999999</v>
      </c>
      <c r="R18" s="12"/>
      <c r="S18" s="28"/>
      <c r="T18" s="12"/>
      <c r="U18" s="28"/>
      <c r="V18" s="146">
        <f>'Suvi Gaz'!O12</f>
        <v>543.98657000000003</v>
      </c>
      <c r="W18" s="11"/>
      <c r="X18" s="34">
        <f t="shared" si="1"/>
        <v>6658.3956168000004</v>
      </c>
    </row>
    <row r="19" spans="1:24" ht="32.25" customHeight="1" x14ac:dyDescent="0.25">
      <c r="A19" s="2"/>
      <c r="B19" s="6">
        <v>44875</v>
      </c>
      <c r="C19" s="7"/>
      <c r="D19" s="143">
        <v>107</v>
      </c>
      <c r="E19" s="143">
        <v>144</v>
      </c>
      <c r="F19" s="13">
        <f>'Suivi EAU-ELEC'!E18</f>
        <v>119.29999999998836</v>
      </c>
      <c r="G19" s="12"/>
      <c r="H19" s="168">
        <f t="shared" si="0"/>
        <v>1048.6469999998976</v>
      </c>
      <c r="I19" s="169"/>
      <c r="J19" s="169"/>
      <c r="K19" s="60">
        <v>42287</v>
      </c>
      <c r="L19" s="90">
        <f>'Suivi EAU-ELEC'!G18</f>
        <v>4280</v>
      </c>
      <c r="M19" s="91">
        <f>'Suivi EAU-ELEC'!I18</f>
        <v>7515</v>
      </c>
      <c r="N19" s="91">
        <f>'Suivi EAU-ELEC'!K18</f>
        <v>3502</v>
      </c>
      <c r="O19" s="91">
        <f t="shared" si="2"/>
        <v>15297</v>
      </c>
      <c r="P19" s="12"/>
      <c r="Q19" s="34">
        <f t="shared" si="3"/>
        <v>14798.411799999998</v>
      </c>
      <c r="R19" s="12"/>
      <c r="S19" s="28"/>
      <c r="T19" s="12"/>
      <c r="U19" s="28"/>
      <c r="V19" s="146">
        <f>'Suvi Gaz'!O13</f>
        <v>447.98894000000001</v>
      </c>
      <c r="W19" s="11"/>
      <c r="X19" s="34">
        <f t="shared" si="1"/>
        <v>5483.3846256000006</v>
      </c>
    </row>
    <row r="20" spans="1:24" ht="32.25" customHeight="1" x14ac:dyDescent="0.25">
      <c r="A20" s="2"/>
      <c r="B20" s="6">
        <v>44876</v>
      </c>
      <c r="C20" s="7"/>
      <c r="D20" s="143">
        <v>115</v>
      </c>
      <c r="E20" s="143">
        <v>168</v>
      </c>
      <c r="F20" s="13">
        <f>'Suivi EAU-ELEC'!E19</f>
        <v>137.30000000001746</v>
      </c>
      <c r="G20" s="12"/>
      <c r="H20" s="168">
        <f t="shared" si="0"/>
        <v>1206.8670000001534</v>
      </c>
      <c r="I20" s="169"/>
      <c r="J20" s="169"/>
      <c r="K20" s="60">
        <v>42288</v>
      </c>
      <c r="L20" s="90">
        <f>'Suivi EAU-ELEC'!G19</f>
        <v>4982</v>
      </c>
      <c r="M20" s="91">
        <f>'Suivi EAU-ELEC'!I19</f>
        <v>6856</v>
      </c>
      <c r="N20" s="91">
        <f>'Suivi EAU-ELEC'!K19</f>
        <v>3603</v>
      </c>
      <c r="O20" s="91">
        <f t="shared" si="2"/>
        <v>15441</v>
      </c>
      <c r="P20" s="12"/>
      <c r="Q20" s="34">
        <f t="shared" si="3"/>
        <v>14796.156600000002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5091.7142952000004</v>
      </c>
    </row>
    <row r="21" spans="1:24" ht="32.25" customHeight="1" x14ac:dyDescent="0.25">
      <c r="A21" s="2"/>
      <c r="B21" s="6">
        <v>44877</v>
      </c>
      <c r="C21" s="7"/>
      <c r="D21" s="143">
        <v>96</v>
      </c>
      <c r="E21" s="143">
        <v>148</v>
      </c>
      <c r="F21" s="13">
        <f>'Suivi EAU-ELEC'!E20</f>
        <v>130.10000000000582</v>
      </c>
      <c r="G21" s="12"/>
      <c r="H21" s="168">
        <f t="shared" si="0"/>
        <v>1143.5790000000511</v>
      </c>
      <c r="I21" s="169"/>
      <c r="J21" s="169"/>
      <c r="K21" s="60">
        <v>42289</v>
      </c>
      <c r="L21" s="90">
        <f>'Suivi EAU-ELEC'!G20</f>
        <v>4629</v>
      </c>
      <c r="M21" s="91">
        <f>'Suivi EAU-ELEC'!I20</f>
        <v>8007</v>
      </c>
      <c r="N21" s="91">
        <f>'Suivi EAU-ELEC'!K20</f>
        <v>3642</v>
      </c>
      <c r="O21" s="91">
        <f>L21+M21+N21</f>
        <v>16278</v>
      </c>
      <c r="P21" s="12"/>
      <c r="Q21" s="34">
        <f t="shared" si="3"/>
        <v>15696.533100000001</v>
      </c>
      <c r="R21" s="12"/>
      <c r="S21" s="28"/>
      <c r="T21" s="12"/>
      <c r="U21" s="28"/>
      <c r="V21" s="146">
        <f>'Suvi Gaz'!O15</f>
        <v>767.98104000000001</v>
      </c>
      <c r="W21" s="11"/>
      <c r="X21" s="34">
        <f t="shared" si="1"/>
        <v>9400.0879296000003</v>
      </c>
    </row>
    <row r="22" spans="1:24" ht="32.25" customHeight="1" x14ac:dyDescent="0.25">
      <c r="A22" s="2"/>
      <c r="B22" s="6">
        <v>44878</v>
      </c>
      <c r="C22" s="7"/>
      <c r="D22" s="143">
        <v>104</v>
      </c>
      <c r="E22" s="143">
        <v>175</v>
      </c>
      <c r="F22" s="13">
        <f>'Suivi EAU-ELEC'!E21</f>
        <v>151.29999999998836</v>
      </c>
      <c r="G22" s="12"/>
      <c r="H22" s="168">
        <f t="shared" ref="H22:H35" si="4">F22*8.79</f>
        <v>1329.9269999998976</v>
      </c>
      <c r="I22" s="169"/>
      <c r="J22" s="169"/>
      <c r="K22" s="60">
        <v>42290</v>
      </c>
      <c r="L22" s="90">
        <f>'Suivi EAU-ELEC'!G21</f>
        <v>4953</v>
      </c>
      <c r="M22" s="91">
        <f>'Suivi EAU-ELEC'!I21</f>
        <v>7149</v>
      </c>
      <c r="N22" s="91">
        <f>'Suivi EAU-ELEC'!K21</f>
        <v>3450</v>
      </c>
      <c r="O22" s="91">
        <f t="shared" si="2"/>
        <v>15552</v>
      </c>
      <c r="P22" s="12"/>
      <c r="Q22" s="34">
        <f t="shared" si="3"/>
        <v>14851.109100000001</v>
      </c>
      <c r="R22" s="12"/>
      <c r="S22" s="28"/>
      <c r="T22" s="12"/>
      <c r="U22" s="28"/>
      <c r="V22" s="146">
        <f>'Suvi Gaz'!O16</f>
        <v>607.98499000000004</v>
      </c>
      <c r="W22" s="11"/>
      <c r="X22" s="34">
        <f t="shared" si="1"/>
        <v>7441.7362776000009</v>
      </c>
    </row>
    <row r="23" spans="1:24" ht="32.25" customHeight="1" x14ac:dyDescent="0.25">
      <c r="A23" s="2"/>
      <c r="B23" s="6">
        <v>44879</v>
      </c>
      <c r="C23" s="7"/>
      <c r="D23" s="143">
        <v>90</v>
      </c>
      <c r="E23" s="143">
        <v>142</v>
      </c>
      <c r="F23" s="13">
        <f>'Suivi EAU-ELEC'!E22</f>
        <v>145</v>
      </c>
      <c r="G23" s="14"/>
      <c r="H23" s="168">
        <f t="shared" si="4"/>
        <v>1274.55</v>
      </c>
      <c r="I23" s="169"/>
      <c r="J23" s="169"/>
      <c r="K23" s="60">
        <v>42291</v>
      </c>
      <c r="L23" s="90">
        <f>'Suivi EAU-ELEC'!G22</f>
        <v>4378</v>
      </c>
      <c r="M23" s="91">
        <f>'Suivi EAU-ELEC'!I22</f>
        <v>6780</v>
      </c>
      <c r="N23" s="91">
        <f>'Suivi EAU-ELEC'!K22</f>
        <v>3510</v>
      </c>
      <c r="O23" s="91">
        <f>L23+M23+N23</f>
        <v>14668</v>
      </c>
      <c r="P23" s="12"/>
      <c r="Q23" s="34">
        <f>L23*0.6985+M23*0.9514+N23*1.3304</f>
        <v>14178.228999999999</v>
      </c>
      <c r="R23" s="12"/>
      <c r="S23" s="28"/>
      <c r="T23" s="14"/>
      <c r="U23" s="28"/>
      <c r="V23" s="146">
        <f>'Suvi Gaz'!O17</f>
        <v>383.99052</v>
      </c>
      <c r="W23" s="11"/>
      <c r="X23" s="34">
        <f t="shared" si="1"/>
        <v>4700.0439648000001</v>
      </c>
    </row>
    <row r="24" spans="1:24" ht="32.25" customHeight="1" x14ac:dyDescent="0.25">
      <c r="A24" s="2"/>
      <c r="B24" s="6">
        <v>44880</v>
      </c>
      <c r="C24" s="7"/>
      <c r="D24" s="143">
        <v>129</v>
      </c>
      <c r="E24" s="143">
        <v>197</v>
      </c>
      <c r="F24" s="13">
        <f>'Suivi EAU-ELEC'!E23</f>
        <v>93</v>
      </c>
      <c r="G24" s="14"/>
      <c r="H24" s="168">
        <f t="shared" si="4"/>
        <v>817.46999999999991</v>
      </c>
      <c r="I24" s="169"/>
      <c r="J24" s="169"/>
      <c r="K24" s="60">
        <v>42292</v>
      </c>
      <c r="L24" s="90">
        <f>'Suivi EAU-ELEC'!G23</f>
        <v>4641</v>
      </c>
      <c r="M24" s="91">
        <f>'Suivi EAU-ELEC'!I23</f>
        <v>7396</v>
      </c>
      <c r="N24" s="91">
        <f>'Suivi EAU-ELEC'!K23</f>
        <v>3491</v>
      </c>
      <c r="O24" s="91">
        <f>L24+M24+N24</f>
        <v>15528</v>
      </c>
      <c r="P24" s="12"/>
      <c r="Q24" s="34">
        <f>L24*0.6985+M24*0.9514+N24*1.3304</f>
        <v>14922.719300000001</v>
      </c>
      <c r="R24" s="12"/>
      <c r="S24" s="28"/>
      <c r="T24" s="14"/>
      <c r="U24" s="28"/>
      <c r="V24" s="146">
        <f>'Suvi Gaz'!O18</f>
        <v>543.98657000000003</v>
      </c>
      <c r="W24" s="11"/>
      <c r="X24" s="34">
        <f t="shared" si="1"/>
        <v>6658.3956168000004</v>
      </c>
    </row>
    <row r="25" spans="1:24" ht="32.25" customHeight="1" x14ac:dyDescent="0.25">
      <c r="A25" s="2"/>
      <c r="B25" s="6">
        <v>44881</v>
      </c>
      <c r="C25" s="7"/>
      <c r="D25" s="143">
        <v>151</v>
      </c>
      <c r="E25" s="143">
        <v>233</v>
      </c>
      <c r="F25" s="13">
        <f>'Suivi EAU-ELEC'!E24</f>
        <v>121.79999999998836</v>
      </c>
      <c r="G25" s="14"/>
      <c r="H25" s="168">
        <f t="shared" si="4"/>
        <v>1070.6219999998975</v>
      </c>
      <c r="I25" s="169"/>
      <c r="J25" s="169"/>
      <c r="K25" s="60">
        <v>42293</v>
      </c>
      <c r="L25" s="90">
        <f>'Suivi EAU-ELEC'!G24</f>
        <v>4875</v>
      </c>
      <c r="M25" s="91">
        <f>'Suivi EAU-ELEC'!I24</f>
        <v>7472</v>
      </c>
      <c r="N25" s="91">
        <f>'Suivi EAU-ELEC'!K24</f>
        <v>3530</v>
      </c>
      <c r="O25" s="91">
        <f>L25+M25+N25</f>
        <v>15877</v>
      </c>
      <c r="P25" s="12"/>
      <c r="Q25" s="34">
        <f>L25*0.6985+M25*0.9514+N25*1.3304</f>
        <v>15210.3603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5875.0549559999999</v>
      </c>
    </row>
    <row r="26" spans="1:24" ht="32.25" customHeight="1" x14ac:dyDescent="0.25">
      <c r="A26" s="2"/>
      <c r="B26" s="6">
        <v>44882</v>
      </c>
      <c r="C26" s="7"/>
      <c r="D26" s="143">
        <v>107</v>
      </c>
      <c r="E26" s="143">
        <v>154</v>
      </c>
      <c r="F26" s="13">
        <f>'Suivi EAU-ELEC'!E25</f>
        <v>168</v>
      </c>
      <c r="G26" s="14"/>
      <c r="H26" s="168">
        <f t="shared" si="4"/>
        <v>1476.7199999999998</v>
      </c>
      <c r="I26" s="169"/>
      <c r="J26" s="169"/>
      <c r="K26" s="60">
        <v>42294</v>
      </c>
      <c r="L26" s="90">
        <f>'Suivi EAU-ELEC'!G25</f>
        <v>4454</v>
      </c>
      <c r="M26" s="91">
        <f>'Suivi EAU-ELEC'!I25</f>
        <v>7545</v>
      </c>
      <c r="N26" s="91">
        <f>'Suivi EAU-ELEC'!K25</f>
        <v>3716</v>
      </c>
      <c r="O26" s="91">
        <f>L26+M26+N26</f>
        <v>15715</v>
      </c>
      <c r="P26" s="14"/>
      <c r="Q26" s="34">
        <f>L26*0.6985+M26*0.9514+N26*1.3304</f>
        <v>15233.198400000001</v>
      </c>
      <c r="R26" s="14"/>
      <c r="S26" s="28"/>
      <c r="T26" s="14"/>
      <c r="U26" s="28"/>
      <c r="V26" s="146">
        <f>'Suvi Gaz'!O20</f>
        <v>479.98815000000002</v>
      </c>
      <c r="W26" s="11"/>
      <c r="X26" s="34">
        <f t="shared" si="1"/>
        <v>5875.0549559999999</v>
      </c>
    </row>
    <row r="27" spans="1:24" ht="32.25" customHeight="1" x14ac:dyDescent="0.25">
      <c r="A27" s="2"/>
      <c r="B27" s="6">
        <v>44883</v>
      </c>
      <c r="C27" s="7"/>
      <c r="D27" s="143">
        <v>94</v>
      </c>
      <c r="E27" s="143">
        <v>149</v>
      </c>
      <c r="F27" s="13">
        <f>'Suivi EAU-ELEC'!E26</f>
        <v>125.20000000001164</v>
      </c>
      <c r="G27" s="14"/>
      <c r="H27" s="168">
        <f t="shared" si="4"/>
        <v>1100.5080000001021</v>
      </c>
      <c r="I27" s="169"/>
      <c r="J27" s="169"/>
      <c r="K27" s="60">
        <v>42295</v>
      </c>
      <c r="L27" s="90">
        <f>'Suivi EAU-ELEC'!G26</f>
        <v>4934</v>
      </c>
      <c r="M27" s="91">
        <f>'Suivi EAU-ELEC'!I26</f>
        <v>8279</v>
      </c>
      <c r="N27" s="91">
        <f>'Suivi EAU-ELEC'!K26</f>
        <v>3346</v>
      </c>
      <c r="O27" s="91">
        <f t="shared" si="2"/>
        <v>16559</v>
      </c>
      <c r="P27" s="14"/>
      <c r="Q27" s="34">
        <f t="shared" si="3"/>
        <v>15774.558000000001</v>
      </c>
      <c r="R27" s="14"/>
      <c r="S27" s="28"/>
      <c r="T27" s="14"/>
      <c r="U27" s="28"/>
      <c r="V27" s="146">
        <f>'Suvi Gaz'!O21</f>
        <v>383.99052</v>
      </c>
      <c r="W27" s="11"/>
      <c r="X27" s="34">
        <f t="shared" si="1"/>
        <v>4700.0439648000001</v>
      </c>
    </row>
    <row r="28" spans="1:24" ht="32.25" customHeight="1" x14ac:dyDescent="0.25">
      <c r="A28" s="2"/>
      <c r="B28" s="6">
        <v>44884</v>
      </c>
      <c r="C28" s="7"/>
      <c r="D28" s="143">
        <v>91</v>
      </c>
      <c r="E28" s="143">
        <v>156</v>
      </c>
      <c r="F28" s="13">
        <f>'Suivi EAU-ELEC'!E27</f>
        <v>117</v>
      </c>
      <c r="G28" s="11"/>
      <c r="H28" s="168">
        <f t="shared" si="4"/>
        <v>1028.4299999999998</v>
      </c>
      <c r="I28" s="169"/>
      <c r="J28" s="169"/>
      <c r="K28" s="60">
        <v>42296</v>
      </c>
      <c r="L28" s="90">
        <f>'Suivi EAU-ELEC'!G27</f>
        <v>4119</v>
      </c>
      <c r="M28" s="91">
        <f>'Suivi EAU-ELEC'!I27</f>
        <v>6682</v>
      </c>
      <c r="N28" s="91">
        <f>'Suivi EAU-ELEC'!K27</f>
        <v>3103</v>
      </c>
      <c r="O28" s="91">
        <f t="shared" si="2"/>
        <v>13904</v>
      </c>
      <c r="P28" s="11"/>
      <c r="Q28" s="34">
        <f>L28*0.6985+M28*0.9514+N28*1.3304</f>
        <v>13362.6075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5091.7142952000004</v>
      </c>
    </row>
    <row r="29" spans="1:24" ht="32.25" customHeight="1" x14ac:dyDescent="0.25">
      <c r="A29" s="2"/>
      <c r="B29" s="6">
        <v>44885</v>
      </c>
      <c r="C29" s="7"/>
      <c r="D29" s="143">
        <v>115</v>
      </c>
      <c r="E29" s="143">
        <v>199</v>
      </c>
      <c r="F29" s="13">
        <f>'Suivi EAU-ELEC'!E28</f>
        <v>121</v>
      </c>
      <c r="G29" s="11"/>
      <c r="H29" s="168">
        <f t="shared" si="4"/>
        <v>1063.5899999999999</v>
      </c>
      <c r="I29" s="169"/>
      <c r="J29" s="169"/>
      <c r="K29" s="60">
        <v>42297</v>
      </c>
      <c r="L29" s="90">
        <f>'Suivi EAU-ELEC'!G28</f>
        <v>4178</v>
      </c>
      <c r="M29" s="91">
        <f>'Suivi EAU-ELEC'!I28</f>
        <v>6415</v>
      </c>
      <c r="N29" s="91">
        <f>'Suivi EAU-ELEC'!K28</f>
        <v>2921</v>
      </c>
      <c r="O29" s="91">
        <f>L29+M29+N29</f>
        <v>13514</v>
      </c>
      <c r="P29" s="11"/>
      <c r="Q29" s="34">
        <f t="shared" si="3"/>
        <v>12907.662400000001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7050.0659471999998</v>
      </c>
    </row>
    <row r="30" spans="1:24" ht="32.25" customHeight="1" x14ac:dyDescent="0.25">
      <c r="A30" s="2"/>
      <c r="B30" s="6">
        <v>44886</v>
      </c>
      <c r="C30" s="7"/>
      <c r="D30" s="143">
        <v>119</v>
      </c>
      <c r="E30" s="143">
        <v>179</v>
      </c>
      <c r="F30" s="13">
        <f>'Suivi EAU-ELEC'!E29</f>
        <v>126</v>
      </c>
      <c r="G30" s="11"/>
      <c r="H30" s="168">
        <f t="shared" si="4"/>
        <v>1107.54</v>
      </c>
      <c r="I30" s="169"/>
      <c r="J30" s="169"/>
      <c r="K30" s="60">
        <v>42298</v>
      </c>
      <c r="L30" s="90">
        <f>'Suivi EAU-ELEC'!G29</f>
        <v>4127</v>
      </c>
      <c r="M30" s="91">
        <f>'Suivi EAU-ELEC'!I29</f>
        <v>6220</v>
      </c>
      <c r="N30" s="91">
        <f>'Suivi EAU-ELEC'!K29</f>
        <v>2931</v>
      </c>
      <c r="O30" s="91">
        <f>L30+M30+N30</f>
        <v>13278</v>
      </c>
      <c r="P30" s="11"/>
      <c r="Q30" s="34">
        <f>L30*0.6985+M30*0.9514+N30*1.3304</f>
        <v>12699.819899999999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2741.6923128000003</v>
      </c>
    </row>
    <row r="31" spans="1:24" ht="27.75" customHeight="1" x14ac:dyDescent="0.25">
      <c r="A31" s="2"/>
      <c r="B31" s="6">
        <v>44887</v>
      </c>
      <c r="C31" s="7"/>
      <c r="D31" s="143">
        <v>118</v>
      </c>
      <c r="E31" s="143">
        <v>164</v>
      </c>
      <c r="F31" s="13">
        <f>'Suivi EAU-ELEC'!E30</f>
        <v>126.39999999999418</v>
      </c>
      <c r="G31" s="11"/>
      <c r="H31" s="168">
        <f t="shared" si="4"/>
        <v>1111.0559999999487</v>
      </c>
      <c r="I31" s="169"/>
      <c r="J31" s="169"/>
      <c r="K31" s="60">
        <v>42299</v>
      </c>
      <c r="L31" s="90">
        <f>'Suivi EAU-ELEC'!G30</f>
        <v>4074</v>
      </c>
      <c r="M31" s="91">
        <f>'Suivi EAU-ELEC'!I30</f>
        <v>6436</v>
      </c>
      <c r="N31" s="91">
        <f>'Suivi EAU-ELEC'!K30</f>
        <v>3119</v>
      </c>
      <c r="O31" s="91">
        <f>L31+M31+N31</f>
        <v>13629</v>
      </c>
      <c r="P31" s="11"/>
      <c r="Q31" s="34">
        <f>L31*0.6985+M31*0.9514+N31*1.3304</f>
        <v>13118.417000000001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3916.7033040000001</v>
      </c>
    </row>
    <row r="32" spans="1:24" ht="37.5" customHeight="1" x14ac:dyDescent="0.25">
      <c r="A32" s="2"/>
      <c r="B32" s="6">
        <v>44888</v>
      </c>
      <c r="C32" s="7"/>
      <c r="D32" s="143">
        <v>120</v>
      </c>
      <c r="E32" s="143">
        <v>159</v>
      </c>
      <c r="F32" s="13">
        <f>'Suivi EAU-ELEC'!E31</f>
        <v>122.89999999999418</v>
      </c>
      <c r="G32" s="11"/>
      <c r="H32" s="168">
        <f t="shared" si="4"/>
        <v>1080.2909999999488</v>
      </c>
      <c r="I32" s="169"/>
      <c r="J32" s="169"/>
      <c r="K32" s="60">
        <v>42300</v>
      </c>
      <c r="L32" s="90">
        <f>'Suivi EAU-ELEC'!G31</f>
        <v>4814</v>
      </c>
      <c r="M32" s="91">
        <f>'Suivi EAU-ELEC'!I31</f>
        <v>6761</v>
      </c>
      <c r="N32" s="91">
        <f>'Suivi EAU-ELEC'!K31</f>
        <v>3349</v>
      </c>
      <c r="O32" s="91">
        <f t="shared" si="2"/>
        <v>14924</v>
      </c>
      <c r="P32" s="11"/>
      <c r="Q32" s="34">
        <f t="shared" si="3"/>
        <v>14250.504000000001</v>
      </c>
      <c r="R32" s="11"/>
      <c r="S32" s="28"/>
      <c r="T32" s="11"/>
      <c r="U32" s="28"/>
      <c r="V32" s="146">
        <f>'Suvi Gaz'!O26</f>
        <v>287.99288999999999</v>
      </c>
      <c r="W32" s="11"/>
      <c r="X32" s="34">
        <f t="shared" si="1"/>
        <v>3525.0329735999999</v>
      </c>
    </row>
    <row r="33" spans="1:24" ht="37.5" customHeight="1" x14ac:dyDescent="0.25">
      <c r="A33" s="2"/>
      <c r="B33" s="6">
        <v>44889</v>
      </c>
      <c r="C33" s="7"/>
      <c r="D33" s="143">
        <v>131</v>
      </c>
      <c r="E33" s="143">
        <v>183</v>
      </c>
      <c r="F33" s="13">
        <f>'Suivi EAU-ELEC'!E32</f>
        <v>124.60000000000582</v>
      </c>
      <c r="G33" s="11"/>
      <c r="H33" s="168">
        <f t="shared" si="4"/>
        <v>1095.2340000000511</v>
      </c>
      <c r="I33" s="169"/>
      <c r="J33" s="169"/>
      <c r="K33" s="60">
        <v>42301</v>
      </c>
      <c r="L33" s="90">
        <f>'Suivi EAU-ELEC'!G32</f>
        <v>4523</v>
      </c>
      <c r="M33" s="91">
        <f>'Suivi EAU-ELEC'!I32</f>
        <v>6806</v>
      </c>
      <c r="N33" s="91">
        <f>'Suivi EAU-ELEC'!K32</f>
        <v>3439</v>
      </c>
      <c r="O33" s="91">
        <f t="shared" si="2"/>
        <v>14768</v>
      </c>
      <c r="P33" s="11"/>
      <c r="Q33" s="34">
        <f t="shared" si="3"/>
        <v>14209.789500000001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1"/>
        <v>5091.7142952000004</v>
      </c>
    </row>
    <row r="34" spans="1:24" ht="37.5" customHeight="1" x14ac:dyDescent="0.25">
      <c r="A34" s="2"/>
      <c r="B34" s="6">
        <v>44890</v>
      </c>
      <c r="C34" s="7"/>
      <c r="D34" s="143">
        <v>106</v>
      </c>
      <c r="E34" s="143">
        <v>165</v>
      </c>
      <c r="F34" s="13">
        <f>'Suivi EAU-ELEC'!E33</f>
        <v>129</v>
      </c>
      <c r="G34" s="11"/>
      <c r="H34" s="168">
        <f t="shared" si="4"/>
        <v>1133.9099999999999</v>
      </c>
      <c r="I34" s="169"/>
      <c r="J34" s="169"/>
      <c r="K34" s="60">
        <v>42302</v>
      </c>
      <c r="L34" s="90">
        <f>'Suivi EAU-ELEC'!G33</f>
        <v>6626</v>
      </c>
      <c r="M34" s="91">
        <f>'Suivi EAU-ELEC'!I33</f>
        <v>6614</v>
      </c>
      <c r="N34" s="91">
        <f>'Suivi EAU-ELEC'!K33</f>
        <v>3225</v>
      </c>
      <c r="O34" s="91">
        <f t="shared" si="2"/>
        <v>16465</v>
      </c>
      <c r="P34" s="11"/>
      <c r="Q34" s="34">
        <f t="shared" si="3"/>
        <v>15211.3606</v>
      </c>
      <c r="R34" s="11"/>
      <c r="S34" s="28"/>
      <c r="T34" s="11"/>
      <c r="U34" s="28"/>
      <c r="V34" s="146">
        <f>'Suvi Gaz'!O28</f>
        <v>415.98973000000001</v>
      </c>
      <c r="W34" s="11"/>
      <c r="X34" s="34">
        <f t="shared" si="1"/>
        <v>5091.7142952000004</v>
      </c>
    </row>
    <row r="35" spans="1:24" ht="33.75" customHeight="1" x14ac:dyDescent="0.25">
      <c r="A35" s="2"/>
      <c r="B35" s="6">
        <v>44891</v>
      </c>
      <c r="C35" s="7"/>
      <c r="D35" s="143">
        <v>81</v>
      </c>
      <c r="E35" s="143">
        <v>147</v>
      </c>
      <c r="F35" s="13">
        <f>'Suivi EAU-ELEC'!E34</f>
        <v>113</v>
      </c>
      <c r="G35" s="11"/>
      <c r="H35" s="168">
        <f t="shared" si="4"/>
        <v>993.26999999999987</v>
      </c>
      <c r="I35" s="169"/>
      <c r="J35" s="169"/>
      <c r="K35" s="60">
        <v>42303</v>
      </c>
      <c r="L35" s="90">
        <f>'Suivi EAU-ELEC'!G34</f>
        <v>2609</v>
      </c>
      <c r="M35" s="91">
        <f>'Suivi EAU-ELEC'!I34</f>
        <v>6840</v>
      </c>
      <c r="N35" s="91">
        <f>'Suivi EAU-ELEC'!K34</f>
        <v>3353</v>
      </c>
      <c r="O35" s="91">
        <f t="shared" si="2"/>
        <v>12802</v>
      </c>
      <c r="P35" s="11"/>
      <c r="Q35" s="34">
        <f t="shared" si="3"/>
        <v>12790.7937</v>
      </c>
      <c r="R35" s="11"/>
      <c r="S35" s="28"/>
      <c r="T35" s="11"/>
      <c r="U35" s="28"/>
      <c r="V35" s="146">
        <f>'Suvi Gaz'!O29</f>
        <v>831.97946000000002</v>
      </c>
      <c r="W35" s="11"/>
      <c r="X35" s="34">
        <f t="shared" si="1"/>
        <v>10183.428590400001</v>
      </c>
    </row>
    <row r="36" spans="1:24" ht="33.75" customHeight="1" x14ac:dyDescent="0.25">
      <c r="A36" s="2"/>
      <c r="B36" s="6">
        <v>44892</v>
      </c>
      <c r="C36" s="7"/>
      <c r="D36" s="143">
        <v>58</v>
      </c>
      <c r="E36" s="143">
        <v>98</v>
      </c>
      <c r="F36" s="13">
        <f>'Suivi EAU-ELEC'!E35</f>
        <v>119</v>
      </c>
      <c r="G36" s="11"/>
      <c r="H36" s="168">
        <f t="shared" ref="H36:H37" si="5">F36*8.79</f>
        <v>1046.01</v>
      </c>
      <c r="I36" s="169"/>
      <c r="J36" s="169"/>
      <c r="K36" s="60"/>
      <c r="L36" s="90">
        <f>'Suivi EAU-ELEC'!G35</f>
        <v>3949</v>
      </c>
      <c r="M36" s="91">
        <f>'Suivi EAU-ELEC'!I35</f>
        <v>6425</v>
      </c>
      <c r="N36" s="91">
        <f>'Suivi EAU-ELEC'!K35</f>
        <v>3005</v>
      </c>
      <c r="O36" s="91">
        <f t="shared" si="2"/>
        <v>13379</v>
      </c>
      <c r="P36" s="11"/>
      <c r="Q36" s="34">
        <f t="shared" si="3"/>
        <v>12868.9735</v>
      </c>
      <c r="R36" s="11"/>
      <c r="S36" s="28"/>
      <c r="T36" s="11"/>
      <c r="U36" s="28"/>
      <c r="V36" s="146">
        <f>'Suvi Gaz'!O30</f>
        <v>703.98262</v>
      </c>
      <c r="W36" s="11"/>
      <c r="X36" s="34">
        <f t="shared" si="1"/>
        <v>8616.7472687999998</v>
      </c>
    </row>
    <row r="37" spans="1:24" ht="33.75" customHeight="1" x14ac:dyDescent="0.25">
      <c r="A37" s="2"/>
      <c r="B37" s="6">
        <v>44893</v>
      </c>
      <c r="C37" s="7"/>
      <c r="D37" s="143">
        <v>60</v>
      </c>
      <c r="E37" s="143">
        <v>82</v>
      </c>
      <c r="F37" s="13">
        <f>'Suivi EAU-ELEC'!E36</f>
        <v>121</v>
      </c>
      <c r="G37" s="11"/>
      <c r="H37" s="168">
        <f t="shared" si="5"/>
        <v>1063.5899999999999</v>
      </c>
      <c r="I37" s="169"/>
      <c r="J37" s="169"/>
      <c r="K37" s="60"/>
      <c r="L37" s="90">
        <f>'Suivi EAU-ELEC'!G36</f>
        <v>4183</v>
      </c>
      <c r="M37" s="91">
        <f>'Suivi EAU-ELEC'!I36</f>
        <v>6064</v>
      </c>
      <c r="N37" s="91">
        <f>'Suivi EAU-ELEC'!K36</f>
        <v>2983</v>
      </c>
      <c r="O37" s="91">
        <f>L37+M37+N37</f>
        <v>13230</v>
      </c>
      <c r="P37" s="11"/>
      <c r="Q37" s="34">
        <f>L37*0.6985+M37*0.9514+N37*1.3304</f>
        <v>12659.6983</v>
      </c>
      <c r="R37" s="11"/>
      <c r="S37" s="28"/>
      <c r="T37" s="11"/>
      <c r="U37" s="28"/>
      <c r="V37" s="146">
        <f>'Suvi Gaz'!O31</f>
        <v>287.99288999999999</v>
      </c>
      <c r="W37" s="11"/>
      <c r="X37" s="34">
        <f t="shared" si="1"/>
        <v>3525.0329735999999</v>
      </c>
    </row>
    <row r="38" spans="1:24" ht="33.75" customHeight="1" x14ac:dyDescent="0.25">
      <c r="A38" s="2"/>
      <c r="B38" s="6">
        <v>44894</v>
      </c>
      <c r="C38" s="7"/>
      <c r="D38" s="143">
        <v>77</v>
      </c>
      <c r="E38" s="143">
        <v>109</v>
      </c>
      <c r="F38" s="13">
        <f>'Suivi EAU-ELEC'!E37</f>
        <v>124</v>
      </c>
      <c r="G38" s="11"/>
      <c r="H38" s="168">
        <f>F38*8.79</f>
        <v>1089.9599999999998</v>
      </c>
      <c r="I38" s="169"/>
      <c r="J38" s="169"/>
      <c r="K38" s="60">
        <v>42304</v>
      </c>
      <c r="L38" s="90">
        <f>'Suivi EAU-ELEC'!G37</f>
        <v>3986</v>
      </c>
      <c r="M38" s="91">
        <f>'Suivi EAU-ELEC'!I37</f>
        <v>6327</v>
      </c>
      <c r="N38" s="91">
        <f>'Suivi EAU-ELEC'!K37</f>
        <v>2984</v>
      </c>
      <c r="O38" s="91">
        <f>L38+M38+N38</f>
        <v>13297</v>
      </c>
      <c r="P38" s="11"/>
      <c r="Q38" s="34">
        <f>L38*0.6985+M38*0.9514+N38*1.3304</f>
        <v>12773.642400000001</v>
      </c>
      <c r="R38" s="11"/>
      <c r="S38" s="28"/>
      <c r="T38" s="11"/>
      <c r="U38" s="28"/>
      <c r="V38" s="146">
        <f>'Suvi Gaz'!O32</f>
        <v>767.98104000000001</v>
      </c>
      <c r="W38" s="11"/>
      <c r="X38" s="34">
        <f t="shared" si="1"/>
        <v>9400.0879296000003</v>
      </c>
    </row>
    <row r="39" spans="1:24" ht="33.75" customHeight="1" x14ac:dyDescent="0.25">
      <c r="A39" s="2"/>
      <c r="B39" s="6">
        <v>44895</v>
      </c>
      <c r="C39" s="7"/>
      <c r="D39" s="143">
        <v>74</v>
      </c>
      <c r="E39" s="143">
        <v>101</v>
      </c>
      <c r="F39" s="13">
        <f>'Suivi EAU-ELEC'!E38</f>
        <v>136</v>
      </c>
      <c r="G39" s="11"/>
      <c r="H39" s="168">
        <f>F39*8.79</f>
        <v>1195.4399999999998</v>
      </c>
      <c r="I39" s="169"/>
      <c r="J39" s="169"/>
      <c r="K39" s="60"/>
      <c r="L39" s="90">
        <f>'Suivi EAU-ELEC'!G38</f>
        <v>4154</v>
      </c>
      <c r="M39" s="91">
        <f>'Suivi EAU-ELEC'!I38</f>
        <v>5838</v>
      </c>
      <c r="N39" s="91">
        <f>'Suivi EAU-ELEC'!K38</f>
        <v>2828</v>
      </c>
      <c r="O39" s="91">
        <f>L39+M39+N39</f>
        <v>12820</v>
      </c>
      <c r="P39" s="11"/>
      <c r="Q39" s="34">
        <f>L39*0.6985+M39*0.9514+N39*1.3304</f>
        <v>12218.213400000001</v>
      </c>
      <c r="R39" s="11"/>
      <c r="S39" s="28"/>
      <c r="T39" s="11"/>
      <c r="U39" s="28"/>
      <c r="V39" s="146">
        <f>'Suvi Gaz'!O33</f>
        <v>447.98894000000001</v>
      </c>
      <c r="W39" s="11"/>
      <c r="X39" s="34">
        <f t="shared" si="1"/>
        <v>5483.3846256000006</v>
      </c>
    </row>
    <row r="40" spans="1:24" ht="42.75" customHeight="1" x14ac:dyDescent="0.25">
      <c r="A40" s="2"/>
      <c r="B40" s="10"/>
      <c r="C40" s="10"/>
      <c r="D40" s="8">
        <f>SUM(D10:D39)</f>
        <v>3231</v>
      </c>
      <c r="E40" s="8">
        <f>SUM(E10:E39)</f>
        <v>4791</v>
      </c>
      <c r="F40" s="152">
        <f>SUM(F10:F39)</f>
        <v>3924.8999999999942</v>
      </c>
      <c r="G40" s="1"/>
      <c r="H40" s="206">
        <f>SUM(H10:H39)</f>
        <v>34499.870999999956</v>
      </c>
      <c r="I40" s="207"/>
      <c r="J40" s="208"/>
      <c r="K40" s="1"/>
      <c r="L40" s="53">
        <f>SUM(L10:L39)</f>
        <v>138190</v>
      </c>
      <c r="M40" s="53">
        <f>SUM(M10:M39)</f>
        <v>212804</v>
      </c>
      <c r="N40" s="54">
        <f>SUM(N10:N39)</f>
        <v>102370</v>
      </c>
      <c r="O40" s="55">
        <f>SUM(O10:O39)</f>
        <v>453364</v>
      </c>
      <c r="P40" s="31"/>
      <c r="Q40" s="34">
        <f t="shared" ref="Q40" si="6">L40*0.6985+M40*0.9514+N40*1.3304</f>
        <v>435180.48859999998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13760.083729999998</v>
      </c>
      <c r="W40" s="31"/>
      <c r="X40" s="32">
        <f>SUM(X10:X39)</f>
        <v>168423.42485520005</v>
      </c>
    </row>
    <row r="41" spans="1:24" s="5" customFormat="1" ht="12.75" customHeight="1" x14ac:dyDescent="0.25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3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 x14ac:dyDescent="0.3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138190</v>
      </c>
      <c r="J43" s="221"/>
      <c r="K43" s="222"/>
      <c r="L43" s="204">
        <f>I43*H43</f>
        <v>96525.714999999997</v>
      </c>
      <c r="M43" s="205"/>
      <c r="N43" s="177">
        <f>L43+L44+L45</f>
        <v>435180.48859999998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 x14ac:dyDescent="0.3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212804</v>
      </c>
      <c r="J44" s="221"/>
      <c r="K44" s="222"/>
      <c r="L44" s="204">
        <f>I44*H44</f>
        <v>202461.72560000001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 x14ac:dyDescent="0.3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102370</v>
      </c>
      <c r="J45" s="196"/>
      <c r="K45" s="197"/>
      <c r="L45" s="204">
        <f>I45*H45</f>
        <v>136193.04800000001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 x14ac:dyDescent="0.3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565734.63517999998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 x14ac:dyDescent="0.3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3924.8999999999942</v>
      </c>
      <c r="J47" s="216"/>
      <c r="K47" s="217"/>
      <c r="L47" s="218">
        <f>I47*H47</f>
        <v>34499.870999999948</v>
      </c>
      <c r="M47" s="219"/>
      <c r="N47" s="174">
        <f>L47</f>
        <v>34499.870999999948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 x14ac:dyDescent="0.25">
      <c r="A48" s="189" t="s">
        <v>40</v>
      </c>
      <c r="B48" s="190"/>
      <c r="C48" s="190"/>
      <c r="D48" s="190"/>
      <c r="E48" s="190"/>
      <c r="F48" s="191"/>
      <c r="G48" s="24"/>
      <c r="H48" s="25">
        <v>12.24</v>
      </c>
      <c r="I48" s="192">
        <f>V40</f>
        <v>13760.083729999998</v>
      </c>
      <c r="J48" s="193"/>
      <c r="K48" s="194"/>
      <c r="L48" s="192">
        <f>I48*H48</f>
        <v>168423.42485519999</v>
      </c>
      <c r="M48" s="194"/>
      <c r="N48" s="171">
        <f>L48</f>
        <v>168423.42485519999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 x14ac:dyDescent="0.25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5"/>
    <row r="54" spans="1:24" ht="39" customHeight="1" x14ac:dyDescent="0.25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38" sqref="B38"/>
    </sheetView>
  </sheetViews>
  <sheetFormatPr defaultColWidth="11.44140625" defaultRowHeight="17.399999999999999" x14ac:dyDescent="0.3"/>
  <cols>
    <col min="1" max="1" width="18.5546875" style="47" customWidth="1"/>
    <col min="2" max="3" width="19.109375" style="47" customWidth="1"/>
    <col min="4" max="4" width="16.6640625" customWidth="1"/>
    <col min="5" max="5" width="19.5546875" style="144" customWidth="1"/>
    <col min="6" max="11" width="16.6640625" customWidth="1"/>
    <col min="12" max="12" width="24.33203125" customWidth="1"/>
  </cols>
  <sheetData>
    <row r="1" spans="1:12" ht="12.75" customHeight="1" x14ac:dyDescent="0.25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5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5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3"/>
    <row r="7" spans="1:12" ht="16.5" customHeight="1" x14ac:dyDescent="0.25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5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2" x14ac:dyDescent="0.35">
      <c r="A9" s="59">
        <v>44866</v>
      </c>
      <c r="B9" s="116">
        <v>2569</v>
      </c>
      <c r="C9" s="115">
        <v>0</v>
      </c>
      <c r="D9" s="57">
        <v>172580</v>
      </c>
      <c r="E9" s="50">
        <v>180</v>
      </c>
      <c r="F9" s="51">
        <v>12634618</v>
      </c>
      <c r="G9" s="50">
        <v>4848</v>
      </c>
      <c r="H9" s="51">
        <v>21612801</v>
      </c>
      <c r="I9" s="50">
        <v>8006</v>
      </c>
      <c r="J9" s="51">
        <v>9466063</v>
      </c>
      <c r="K9" s="50">
        <v>4201</v>
      </c>
    </row>
    <row r="10" spans="1:12" ht="19.2" x14ac:dyDescent="0.35">
      <c r="A10" s="59">
        <v>44867</v>
      </c>
      <c r="B10" s="116">
        <v>2569</v>
      </c>
      <c r="C10" s="115">
        <f>B10-B9</f>
        <v>0</v>
      </c>
      <c r="D10" s="57">
        <v>172724</v>
      </c>
      <c r="E10" s="50">
        <f>D10-D9</f>
        <v>144</v>
      </c>
      <c r="F10" s="51">
        <v>12639296</v>
      </c>
      <c r="G10" s="50">
        <f>F10-F9</f>
        <v>4678</v>
      </c>
      <c r="H10" s="51">
        <v>21620293</v>
      </c>
      <c r="I10" s="50">
        <f>H10-H9</f>
        <v>7492</v>
      </c>
      <c r="J10" s="51">
        <v>9469520</v>
      </c>
      <c r="K10" s="50">
        <f>J10-J9</f>
        <v>3457</v>
      </c>
    </row>
    <row r="11" spans="1:12" ht="19.2" x14ac:dyDescent="0.35">
      <c r="A11" s="59">
        <v>44868</v>
      </c>
      <c r="B11" s="116">
        <v>2569</v>
      </c>
      <c r="C11" s="115">
        <f>B11-B10</f>
        <v>0</v>
      </c>
      <c r="D11" s="57">
        <v>172851</v>
      </c>
      <c r="E11" s="50">
        <f>D11-D10</f>
        <v>127</v>
      </c>
      <c r="F11" s="51">
        <v>12644021</v>
      </c>
      <c r="G11" s="50">
        <f>F11-F10</f>
        <v>4725</v>
      </c>
      <c r="H11" s="51">
        <v>21627461</v>
      </c>
      <c r="I11" s="50">
        <f>H11-H10</f>
        <v>7168</v>
      </c>
      <c r="J11" s="51">
        <v>9473075</v>
      </c>
      <c r="K11" s="50">
        <f>J11-J10</f>
        <v>3555</v>
      </c>
    </row>
    <row r="12" spans="1:12" ht="19.2" x14ac:dyDescent="0.35">
      <c r="A12" s="59">
        <v>44869</v>
      </c>
      <c r="B12" s="116">
        <v>2569</v>
      </c>
      <c r="C12" s="115">
        <f>B12-B11</f>
        <v>0</v>
      </c>
      <c r="D12" s="57">
        <v>172981.1</v>
      </c>
      <c r="E12" s="50">
        <f>D12-D11</f>
        <v>130.10000000000582</v>
      </c>
      <c r="F12" s="51">
        <v>12649643</v>
      </c>
      <c r="G12" s="50">
        <f>F12-F11</f>
        <v>5622</v>
      </c>
      <c r="H12" s="51">
        <v>21635241</v>
      </c>
      <c r="I12" s="50">
        <f>H12-H11</f>
        <v>7780</v>
      </c>
      <c r="J12" s="51">
        <v>9476953</v>
      </c>
      <c r="K12" s="50">
        <f>J12-J11</f>
        <v>3878</v>
      </c>
    </row>
    <row r="13" spans="1:12" ht="19.2" x14ac:dyDescent="0.35">
      <c r="A13" s="59">
        <v>44870</v>
      </c>
      <c r="B13" s="116">
        <v>2569</v>
      </c>
      <c r="C13" s="115">
        <f>B13-B12</f>
        <v>0</v>
      </c>
      <c r="D13" s="57">
        <v>173113.7</v>
      </c>
      <c r="E13" s="50">
        <f>D13-D12</f>
        <v>132.60000000000582</v>
      </c>
      <c r="F13" s="51">
        <v>12656039</v>
      </c>
      <c r="G13" s="50">
        <f>F13-F12</f>
        <v>6396</v>
      </c>
      <c r="H13" s="51">
        <v>21642919</v>
      </c>
      <c r="I13" s="50">
        <f>H13-H12</f>
        <v>7678</v>
      </c>
      <c r="J13" s="51">
        <v>9480942</v>
      </c>
      <c r="K13" s="50">
        <f>J13-J12</f>
        <v>3989</v>
      </c>
    </row>
    <row r="14" spans="1:12" ht="19.2" x14ac:dyDescent="0.35">
      <c r="A14" s="59">
        <v>44871</v>
      </c>
      <c r="B14" s="116">
        <v>2569</v>
      </c>
      <c r="C14" s="115">
        <f t="shared" ref="C14:C38" si="0">B14-B13</f>
        <v>0</v>
      </c>
      <c r="D14" s="57">
        <v>173255</v>
      </c>
      <c r="E14" s="50">
        <f t="shared" ref="E14:E38" si="1">D14-D13</f>
        <v>141.29999999998836</v>
      </c>
      <c r="F14" s="51">
        <v>12660008</v>
      </c>
      <c r="G14" s="50">
        <f t="shared" ref="G14:G30" si="2">F14-F13</f>
        <v>3969</v>
      </c>
      <c r="H14" s="51">
        <v>21650445</v>
      </c>
      <c r="I14" s="50">
        <f t="shared" ref="I14:I38" si="3">H14-H13</f>
        <v>7526</v>
      </c>
      <c r="J14" s="51">
        <v>9484585</v>
      </c>
      <c r="K14" s="50">
        <f t="shared" ref="K14:K30" si="4">J14-J13</f>
        <v>3643</v>
      </c>
    </row>
    <row r="15" spans="1:12" ht="19.2" x14ac:dyDescent="0.35">
      <c r="A15" s="59">
        <v>44872</v>
      </c>
      <c r="B15" s="116">
        <v>2569</v>
      </c>
      <c r="C15" s="115">
        <f t="shared" si="0"/>
        <v>0</v>
      </c>
      <c r="D15" s="57">
        <v>173399</v>
      </c>
      <c r="E15" s="50">
        <f t="shared" si="1"/>
        <v>144</v>
      </c>
      <c r="F15" s="51">
        <v>12664930</v>
      </c>
      <c r="G15" s="50">
        <f t="shared" si="2"/>
        <v>4922</v>
      </c>
      <c r="H15" s="51">
        <v>21657778</v>
      </c>
      <c r="I15" s="50">
        <f t="shared" si="3"/>
        <v>7333</v>
      </c>
      <c r="J15" s="51">
        <v>9488095</v>
      </c>
      <c r="K15" s="50">
        <f t="shared" si="4"/>
        <v>3510</v>
      </c>
    </row>
    <row r="16" spans="1:12" ht="19.2" x14ac:dyDescent="0.35">
      <c r="A16" s="59">
        <v>44873</v>
      </c>
      <c r="B16" s="116">
        <v>2569</v>
      </c>
      <c r="C16" s="115">
        <f t="shared" si="0"/>
        <v>0</v>
      </c>
      <c r="D16" s="57">
        <v>173538</v>
      </c>
      <c r="E16" s="50">
        <f t="shared" si="1"/>
        <v>139</v>
      </c>
      <c r="F16" s="51">
        <v>12669536</v>
      </c>
      <c r="G16" s="50">
        <f t="shared" si="2"/>
        <v>4606</v>
      </c>
      <c r="H16" s="51">
        <v>21665646</v>
      </c>
      <c r="I16" s="50">
        <f t="shared" si="3"/>
        <v>7868</v>
      </c>
      <c r="J16" s="51">
        <v>9492048</v>
      </c>
      <c r="K16" s="50">
        <f t="shared" si="4"/>
        <v>3953</v>
      </c>
    </row>
    <row r="17" spans="1:29" ht="19.2" x14ac:dyDescent="0.35">
      <c r="A17" s="59">
        <v>44874</v>
      </c>
      <c r="B17" s="116">
        <v>2569</v>
      </c>
      <c r="C17" s="115">
        <f t="shared" si="0"/>
        <v>0</v>
      </c>
      <c r="D17" s="57">
        <v>173654</v>
      </c>
      <c r="E17" s="50">
        <f t="shared" si="1"/>
        <v>116</v>
      </c>
      <c r="F17" s="51">
        <v>12674492</v>
      </c>
      <c r="G17" s="50">
        <f t="shared" si="2"/>
        <v>4956</v>
      </c>
      <c r="H17" s="51">
        <v>21673172</v>
      </c>
      <c r="I17" s="50">
        <f t="shared" si="3"/>
        <v>7526</v>
      </c>
      <c r="J17" s="51">
        <v>9495202</v>
      </c>
      <c r="K17" s="50">
        <f t="shared" si="4"/>
        <v>3154</v>
      </c>
    </row>
    <row r="18" spans="1:29" ht="19.2" x14ac:dyDescent="0.35">
      <c r="A18" s="59">
        <v>44875</v>
      </c>
      <c r="B18" s="116">
        <v>2569</v>
      </c>
      <c r="C18" s="115">
        <f t="shared" si="0"/>
        <v>0</v>
      </c>
      <c r="D18" s="57">
        <v>173773.3</v>
      </c>
      <c r="E18" s="50">
        <f t="shared" si="1"/>
        <v>119.29999999998836</v>
      </c>
      <c r="F18" s="51">
        <v>12678772</v>
      </c>
      <c r="G18" s="50">
        <f t="shared" si="2"/>
        <v>4280</v>
      </c>
      <c r="H18" s="51">
        <v>21680687</v>
      </c>
      <c r="I18" s="50">
        <f t="shared" si="3"/>
        <v>7515</v>
      </c>
      <c r="J18" s="51">
        <v>9498704</v>
      </c>
      <c r="K18" s="50">
        <f t="shared" si="4"/>
        <v>3502</v>
      </c>
    </row>
    <row r="19" spans="1:29" ht="19.2" x14ac:dyDescent="0.35">
      <c r="A19" s="59">
        <v>44876</v>
      </c>
      <c r="B19" s="116">
        <v>2569</v>
      </c>
      <c r="C19" s="115">
        <f t="shared" si="0"/>
        <v>0</v>
      </c>
      <c r="D19" s="57">
        <v>173910.6</v>
      </c>
      <c r="E19" s="50">
        <f t="shared" si="1"/>
        <v>137.30000000001746</v>
      </c>
      <c r="F19" s="51">
        <v>12683754</v>
      </c>
      <c r="G19" s="50">
        <f t="shared" si="2"/>
        <v>4982</v>
      </c>
      <c r="H19" s="51">
        <v>21687543</v>
      </c>
      <c r="I19" s="50">
        <f t="shared" si="3"/>
        <v>6856</v>
      </c>
      <c r="J19" s="51">
        <v>9502307</v>
      </c>
      <c r="K19" s="50">
        <f t="shared" si="4"/>
        <v>3603</v>
      </c>
    </row>
    <row r="20" spans="1:29" ht="18.75" customHeight="1" x14ac:dyDescent="0.4">
      <c r="A20" s="59">
        <v>44877</v>
      </c>
      <c r="B20" s="116">
        <v>2569</v>
      </c>
      <c r="C20" s="115">
        <f t="shared" si="0"/>
        <v>0</v>
      </c>
      <c r="D20" s="57">
        <v>174040.7</v>
      </c>
      <c r="E20" s="50">
        <f t="shared" si="1"/>
        <v>130.10000000000582</v>
      </c>
      <c r="F20" s="51">
        <v>12688383</v>
      </c>
      <c r="G20" s="50">
        <f t="shared" si="2"/>
        <v>4629</v>
      </c>
      <c r="H20" s="51">
        <v>21695550</v>
      </c>
      <c r="I20" s="50">
        <f t="shared" si="3"/>
        <v>8007</v>
      </c>
      <c r="J20" s="51">
        <v>9505949</v>
      </c>
      <c r="K20" s="50">
        <f t="shared" si="4"/>
        <v>3642</v>
      </c>
      <c r="L20" s="117" t="s">
        <v>18</v>
      </c>
      <c r="AC20" t="s">
        <v>56</v>
      </c>
    </row>
    <row r="21" spans="1:29" ht="19.2" x14ac:dyDescent="0.35">
      <c r="A21" s="59">
        <v>44878</v>
      </c>
      <c r="B21" s="116">
        <v>2569</v>
      </c>
      <c r="C21" s="115">
        <f t="shared" si="0"/>
        <v>0</v>
      </c>
      <c r="D21" s="57">
        <v>174192</v>
      </c>
      <c r="E21" s="50">
        <f t="shared" si="1"/>
        <v>151.29999999998836</v>
      </c>
      <c r="F21" s="51">
        <v>12693336</v>
      </c>
      <c r="G21" s="50">
        <f t="shared" si="2"/>
        <v>4953</v>
      </c>
      <c r="H21" s="51">
        <v>21702699</v>
      </c>
      <c r="I21" s="50">
        <f t="shared" si="3"/>
        <v>7149</v>
      </c>
      <c r="J21" s="51">
        <v>9509399</v>
      </c>
      <c r="K21" s="50">
        <f t="shared" si="4"/>
        <v>3450</v>
      </c>
    </row>
    <row r="22" spans="1:29" ht="19.2" x14ac:dyDescent="0.35">
      <c r="A22" s="59">
        <v>44879</v>
      </c>
      <c r="B22" s="116">
        <v>2569</v>
      </c>
      <c r="C22" s="115">
        <f t="shared" si="0"/>
        <v>0</v>
      </c>
      <c r="D22" s="57">
        <v>174337</v>
      </c>
      <c r="E22" s="50">
        <f t="shared" si="1"/>
        <v>145</v>
      </c>
      <c r="F22" s="51">
        <v>12697714</v>
      </c>
      <c r="G22" s="50">
        <f t="shared" si="2"/>
        <v>4378</v>
      </c>
      <c r="H22" s="51">
        <v>21709479</v>
      </c>
      <c r="I22" s="50">
        <f t="shared" si="3"/>
        <v>6780</v>
      </c>
      <c r="J22" s="51">
        <v>9512909</v>
      </c>
      <c r="K22" s="50">
        <f t="shared" si="4"/>
        <v>3510</v>
      </c>
    </row>
    <row r="23" spans="1:29" ht="19.2" x14ac:dyDescent="0.35">
      <c r="A23" s="59">
        <v>44880</v>
      </c>
      <c r="B23" s="116">
        <v>2569</v>
      </c>
      <c r="C23" s="115">
        <f t="shared" si="0"/>
        <v>0</v>
      </c>
      <c r="D23" s="57">
        <v>174430</v>
      </c>
      <c r="E23" s="50">
        <f t="shared" si="1"/>
        <v>93</v>
      </c>
      <c r="F23" s="51">
        <v>12702355</v>
      </c>
      <c r="G23" s="50">
        <f t="shared" si="2"/>
        <v>4641</v>
      </c>
      <c r="H23" s="51">
        <v>21716875</v>
      </c>
      <c r="I23" s="50">
        <f t="shared" si="3"/>
        <v>7396</v>
      </c>
      <c r="J23" s="51">
        <v>9516400</v>
      </c>
      <c r="K23" s="50">
        <f t="shared" si="4"/>
        <v>3491</v>
      </c>
    </row>
    <row r="24" spans="1:29" ht="19.2" x14ac:dyDescent="0.35">
      <c r="A24" s="59">
        <v>44881</v>
      </c>
      <c r="B24" s="116">
        <v>2569</v>
      </c>
      <c r="C24" s="115">
        <f t="shared" si="0"/>
        <v>0</v>
      </c>
      <c r="D24" s="57">
        <v>174551.8</v>
      </c>
      <c r="E24" s="50">
        <f t="shared" si="1"/>
        <v>121.79999999998836</v>
      </c>
      <c r="F24" s="51">
        <v>12707230</v>
      </c>
      <c r="G24" s="50">
        <f t="shared" si="2"/>
        <v>4875</v>
      </c>
      <c r="H24" s="51">
        <v>21724347</v>
      </c>
      <c r="I24" s="50">
        <f t="shared" si="3"/>
        <v>7472</v>
      </c>
      <c r="J24" s="51">
        <v>9519930</v>
      </c>
      <c r="K24" s="50">
        <f t="shared" si="4"/>
        <v>3530</v>
      </c>
    </row>
    <row r="25" spans="1:29" ht="19.2" x14ac:dyDescent="0.35">
      <c r="A25" s="59">
        <v>44882</v>
      </c>
      <c r="B25" s="116">
        <v>2569</v>
      </c>
      <c r="C25" s="115">
        <f t="shared" si="0"/>
        <v>0</v>
      </c>
      <c r="D25" s="57">
        <v>174719.8</v>
      </c>
      <c r="E25" s="50">
        <f t="shared" si="1"/>
        <v>168</v>
      </c>
      <c r="F25" s="51">
        <v>12711684</v>
      </c>
      <c r="G25" s="50">
        <f t="shared" si="2"/>
        <v>4454</v>
      </c>
      <c r="H25" s="51">
        <v>21731892</v>
      </c>
      <c r="I25" s="50">
        <f t="shared" si="3"/>
        <v>7545</v>
      </c>
      <c r="J25" s="51">
        <v>9523646</v>
      </c>
      <c r="K25" s="50">
        <f t="shared" si="4"/>
        <v>3716</v>
      </c>
    </row>
    <row r="26" spans="1:29" ht="19.2" x14ac:dyDescent="0.35">
      <c r="A26" s="59">
        <v>44883</v>
      </c>
      <c r="B26" s="116">
        <v>2594</v>
      </c>
      <c r="C26" s="115">
        <f t="shared" si="0"/>
        <v>25</v>
      </c>
      <c r="D26" s="57">
        <v>174845</v>
      </c>
      <c r="E26" s="50">
        <f t="shared" si="1"/>
        <v>125.20000000001164</v>
      </c>
      <c r="F26" s="51">
        <v>12716618</v>
      </c>
      <c r="G26" s="50">
        <f t="shared" si="2"/>
        <v>4934</v>
      </c>
      <c r="H26" s="51">
        <v>21740171</v>
      </c>
      <c r="I26" s="50">
        <f t="shared" si="3"/>
        <v>8279</v>
      </c>
      <c r="J26" s="51">
        <v>9526992</v>
      </c>
      <c r="K26" s="50">
        <f t="shared" si="4"/>
        <v>3346</v>
      </c>
    </row>
    <row r="27" spans="1:29" ht="19.2" x14ac:dyDescent="0.35">
      <c r="A27" s="59">
        <v>44884</v>
      </c>
      <c r="B27" s="116">
        <v>2594</v>
      </c>
      <c r="C27" s="115">
        <f t="shared" si="0"/>
        <v>0</v>
      </c>
      <c r="D27" s="57">
        <v>174962</v>
      </c>
      <c r="E27" s="50">
        <f t="shared" si="1"/>
        <v>117</v>
      </c>
      <c r="F27" s="51">
        <v>12720737</v>
      </c>
      <c r="G27" s="50">
        <f t="shared" si="2"/>
        <v>4119</v>
      </c>
      <c r="H27" s="51">
        <v>21746853</v>
      </c>
      <c r="I27" s="50">
        <f t="shared" si="3"/>
        <v>6682</v>
      </c>
      <c r="J27" s="51">
        <v>9530095</v>
      </c>
      <c r="K27" s="50">
        <f t="shared" si="4"/>
        <v>3103</v>
      </c>
    </row>
    <row r="28" spans="1:29" ht="19.2" x14ac:dyDescent="0.35">
      <c r="A28" s="59">
        <v>44885</v>
      </c>
      <c r="B28" s="116">
        <v>2594</v>
      </c>
      <c r="C28" s="115">
        <f t="shared" si="0"/>
        <v>0</v>
      </c>
      <c r="D28" s="57">
        <v>175083</v>
      </c>
      <c r="E28" s="50">
        <f t="shared" si="1"/>
        <v>121</v>
      </c>
      <c r="F28" s="51">
        <v>12724915</v>
      </c>
      <c r="G28" s="50">
        <f t="shared" si="2"/>
        <v>4178</v>
      </c>
      <c r="H28" s="51">
        <v>21753268</v>
      </c>
      <c r="I28" s="50">
        <f t="shared" si="3"/>
        <v>6415</v>
      </c>
      <c r="J28" s="51">
        <v>9533016</v>
      </c>
      <c r="K28" s="50">
        <f t="shared" si="4"/>
        <v>2921</v>
      </c>
    </row>
    <row r="29" spans="1:29" ht="19.2" x14ac:dyDescent="0.35">
      <c r="A29" s="59">
        <v>44886</v>
      </c>
      <c r="B29" s="116">
        <v>2594</v>
      </c>
      <c r="C29" s="115">
        <f t="shared" si="0"/>
        <v>0</v>
      </c>
      <c r="D29" s="57">
        <v>175209</v>
      </c>
      <c r="E29" s="50">
        <f t="shared" si="1"/>
        <v>126</v>
      </c>
      <c r="F29" s="51">
        <v>12729042</v>
      </c>
      <c r="G29" s="50">
        <f t="shared" si="2"/>
        <v>4127</v>
      </c>
      <c r="H29" s="51">
        <v>21759488</v>
      </c>
      <c r="I29" s="50">
        <f t="shared" si="3"/>
        <v>6220</v>
      </c>
      <c r="J29" s="51">
        <v>9535947</v>
      </c>
      <c r="K29" s="50">
        <f t="shared" si="4"/>
        <v>2931</v>
      </c>
    </row>
    <row r="30" spans="1:29" ht="19.2" x14ac:dyDescent="0.35">
      <c r="A30" s="59">
        <v>44887</v>
      </c>
      <c r="B30" s="116">
        <v>2594</v>
      </c>
      <c r="C30" s="115">
        <f t="shared" si="0"/>
        <v>0</v>
      </c>
      <c r="D30" s="57">
        <v>175335.4</v>
      </c>
      <c r="E30" s="50">
        <f t="shared" si="1"/>
        <v>126.39999999999418</v>
      </c>
      <c r="F30" s="51">
        <v>12733116</v>
      </c>
      <c r="G30" s="50">
        <f t="shared" si="2"/>
        <v>4074</v>
      </c>
      <c r="H30" s="51">
        <v>21765924</v>
      </c>
      <c r="I30" s="50">
        <f t="shared" si="3"/>
        <v>6436</v>
      </c>
      <c r="J30" s="51">
        <v>9539066</v>
      </c>
      <c r="K30" s="50">
        <f t="shared" si="4"/>
        <v>3119</v>
      </c>
    </row>
    <row r="31" spans="1:29" ht="19.2" x14ac:dyDescent="0.35">
      <c r="A31" s="59">
        <v>44888</v>
      </c>
      <c r="B31" s="116">
        <v>2594</v>
      </c>
      <c r="C31" s="115">
        <f t="shared" si="0"/>
        <v>0</v>
      </c>
      <c r="D31" s="57">
        <v>175458.3</v>
      </c>
      <c r="E31" s="50">
        <f t="shared" si="1"/>
        <v>122.89999999999418</v>
      </c>
      <c r="F31" s="51">
        <v>12737930</v>
      </c>
      <c r="G31" s="50">
        <f t="shared" ref="G31:G38" si="5">F31-F30</f>
        <v>4814</v>
      </c>
      <c r="H31" s="51">
        <v>21772685</v>
      </c>
      <c r="I31" s="50">
        <f t="shared" si="3"/>
        <v>6761</v>
      </c>
      <c r="J31" s="51">
        <v>9542415</v>
      </c>
      <c r="K31" s="50">
        <f t="shared" ref="K31:K38" si="6">J31-J30</f>
        <v>3349</v>
      </c>
    </row>
    <row r="32" spans="1:29" ht="19.2" x14ac:dyDescent="0.35">
      <c r="A32" s="59">
        <v>44889</v>
      </c>
      <c r="B32" s="116">
        <v>2594</v>
      </c>
      <c r="C32" s="115">
        <f t="shared" si="0"/>
        <v>0</v>
      </c>
      <c r="D32" s="57">
        <v>175582.9</v>
      </c>
      <c r="E32" s="50">
        <f t="shared" si="1"/>
        <v>124.60000000000582</v>
      </c>
      <c r="F32" s="51">
        <v>12742453</v>
      </c>
      <c r="G32" s="50">
        <f t="shared" si="5"/>
        <v>4523</v>
      </c>
      <c r="H32" s="51">
        <v>21779491</v>
      </c>
      <c r="I32" s="50">
        <f t="shared" si="3"/>
        <v>6806</v>
      </c>
      <c r="J32" s="51">
        <v>9545854</v>
      </c>
      <c r="K32" s="50">
        <f t="shared" si="6"/>
        <v>3439</v>
      </c>
    </row>
    <row r="33" spans="1:11" ht="19.2" x14ac:dyDescent="0.35">
      <c r="A33" s="59">
        <v>44890</v>
      </c>
      <c r="B33" s="116">
        <v>2594</v>
      </c>
      <c r="C33" s="115">
        <f t="shared" si="0"/>
        <v>0</v>
      </c>
      <c r="D33" s="57">
        <v>175711.9</v>
      </c>
      <c r="E33" s="50">
        <f t="shared" si="1"/>
        <v>129</v>
      </c>
      <c r="F33" s="51">
        <v>12749079</v>
      </c>
      <c r="G33" s="50">
        <f t="shared" si="5"/>
        <v>6626</v>
      </c>
      <c r="H33" s="51">
        <v>21786105</v>
      </c>
      <c r="I33" s="50">
        <f t="shared" si="3"/>
        <v>6614</v>
      </c>
      <c r="J33" s="51">
        <v>9549079</v>
      </c>
      <c r="K33" s="50">
        <f t="shared" si="6"/>
        <v>3225</v>
      </c>
    </row>
    <row r="34" spans="1:11" ht="19.2" x14ac:dyDescent="0.35">
      <c r="A34" s="59">
        <v>44891</v>
      </c>
      <c r="B34" s="116">
        <v>2594</v>
      </c>
      <c r="C34" s="115">
        <f t="shared" si="0"/>
        <v>0</v>
      </c>
      <c r="D34" s="57">
        <v>175824.9</v>
      </c>
      <c r="E34" s="50">
        <f t="shared" si="1"/>
        <v>113</v>
      </c>
      <c r="F34" s="51">
        <v>12751688</v>
      </c>
      <c r="G34" s="50">
        <f t="shared" si="5"/>
        <v>2609</v>
      </c>
      <c r="H34" s="51">
        <v>21792945</v>
      </c>
      <c r="I34" s="50">
        <f t="shared" si="3"/>
        <v>6840</v>
      </c>
      <c r="J34" s="51">
        <v>9552432</v>
      </c>
      <c r="K34" s="50">
        <f t="shared" si="6"/>
        <v>3353</v>
      </c>
    </row>
    <row r="35" spans="1:11" ht="19.2" x14ac:dyDescent="0.35">
      <c r="A35" s="59">
        <v>44892</v>
      </c>
      <c r="B35" s="116">
        <v>2594</v>
      </c>
      <c r="C35" s="115">
        <f t="shared" si="0"/>
        <v>0</v>
      </c>
      <c r="D35" s="57">
        <v>175943.9</v>
      </c>
      <c r="E35" s="50">
        <f t="shared" si="1"/>
        <v>119</v>
      </c>
      <c r="F35" s="51">
        <v>12755637</v>
      </c>
      <c r="G35" s="50">
        <f t="shared" si="5"/>
        <v>3949</v>
      </c>
      <c r="H35" s="51">
        <v>21799370</v>
      </c>
      <c r="I35" s="50">
        <f t="shared" si="3"/>
        <v>6425</v>
      </c>
      <c r="J35" s="51">
        <v>9555437</v>
      </c>
      <c r="K35" s="50">
        <f t="shared" si="6"/>
        <v>3005</v>
      </c>
    </row>
    <row r="36" spans="1:11" ht="19.2" x14ac:dyDescent="0.35">
      <c r="A36" s="59">
        <v>44893</v>
      </c>
      <c r="B36" s="116">
        <v>2594</v>
      </c>
      <c r="C36" s="115">
        <f t="shared" si="0"/>
        <v>0</v>
      </c>
      <c r="D36" s="57">
        <v>176064.9</v>
      </c>
      <c r="E36" s="50">
        <f t="shared" si="1"/>
        <v>121</v>
      </c>
      <c r="F36" s="51">
        <v>12759820</v>
      </c>
      <c r="G36" s="50">
        <f t="shared" si="5"/>
        <v>4183</v>
      </c>
      <c r="H36" s="51">
        <v>21805434</v>
      </c>
      <c r="I36" s="50">
        <f t="shared" si="3"/>
        <v>6064</v>
      </c>
      <c r="J36" s="51">
        <v>9558420</v>
      </c>
      <c r="K36" s="50">
        <f t="shared" si="6"/>
        <v>2983</v>
      </c>
    </row>
    <row r="37" spans="1:11" ht="19.2" x14ac:dyDescent="0.35">
      <c r="A37" s="59">
        <v>44894</v>
      </c>
      <c r="B37" s="116">
        <v>2594</v>
      </c>
      <c r="C37" s="115">
        <f t="shared" si="0"/>
        <v>0</v>
      </c>
      <c r="D37" s="57">
        <v>176188.9</v>
      </c>
      <c r="E37" s="50">
        <f t="shared" si="1"/>
        <v>124</v>
      </c>
      <c r="F37" s="51">
        <v>12763806</v>
      </c>
      <c r="G37" s="50">
        <f t="shared" si="5"/>
        <v>3986</v>
      </c>
      <c r="H37" s="51">
        <v>21811761</v>
      </c>
      <c r="I37" s="50">
        <f t="shared" si="3"/>
        <v>6327</v>
      </c>
      <c r="J37" s="51">
        <v>9561404</v>
      </c>
      <c r="K37" s="50">
        <f t="shared" si="6"/>
        <v>2984</v>
      </c>
    </row>
    <row r="38" spans="1:11" ht="19.2" x14ac:dyDescent="0.35">
      <c r="A38" s="59">
        <v>44895</v>
      </c>
      <c r="B38" s="116">
        <v>2594</v>
      </c>
      <c r="C38" s="115">
        <f t="shared" si="0"/>
        <v>0</v>
      </c>
      <c r="D38" s="57">
        <v>176324.9</v>
      </c>
      <c r="E38" s="50">
        <f t="shared" si="1"/>
        <v>136</v>
      </c>
      <c r="F38" s="51">
        <v>12767960</v>
      </c>
      <c r="G38" s="50">
        <f t="shared" si="5"/>
        <v>4154</v>
      </c>
      <c r="H38" s="51">
        <v>21817599</v>
      </c>
      <c r="I38" s="50">
        <f t="shared" si="3"/>
        <v>5838</v>
      </c>
      <c r="J38" s="51">
        <v>9564232</v>
      </c>
      <c r="K38" s="50">
        <f t="shared" si="6"/>
        <v>2828</v>
      </c>
    </row>
    <row r="39" spans="1:11" ht="19.2" x14ac:dyDescent="0.35">
      <c r="A39" s="59">
        <v>44896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 x14ac:dyDescent="0.35">
      <c r="A40" s="52"/>
      <c r="B40" s="52"/>
      <c r="C40" s="52"/>
    </row>
    <row r="41" spans="1:11" x14ac:dyDescent="0.3">
      <c r="A41" s="48"/>
      <c r="B41" s="48"/>
      <c r="C41" s="48"/>
    </row>
    <row r="42" spans="1:11" x14ac:dyDescent="0.3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AJ8" sqref="AJ8"/>
    </sheetView>
  </sheetViews>
  <sheetFormatPr defaultColWidth="11.44140625" defaultRowHeight="16.2" x14ac:dyDescent="0.4"/>
  <cols>
    <col min="1" max="1" width="18.6640625" style="35" customWidth="1"/>
    <col min="2" max="3" width="9.5546875" style="36" customWidth="1"/>
    <col min="4" max="4" width="9.88671875" style="36" customWidth="1"/>
    <col min="5" max="5" width="8.88671875" style="36" customWidth="1"/>
    <col min="6" max="6" width="11.44140625" style="36" customWidth="1"/>
    <col min="7" max="7" width="8.88671875" style="36" customWidth="1"/>
    <col min="8" max="8" width="9.88671875" style="36" customWidth="1"/>
    <col min="9" max="9" width="12.109375" style="36" customWidth="1"/>
    <col min="10" max="10" width="16.109375" style="36" customWidth="1"/>
    <col min="11" max="11" width="17.33203125" style="36" customWidth="1"/>
    <col min="12" max="12" width="14.33203125" style="36" customWidth="1"/>
    <col min="13" max="13" width="16.33203125" style="36" customWidth="1"/>
    <col min="14" max="14" width="14.109375" style="36" customWidth="1"/>
    <col min="15" max="15" width="14.44140625" style="36" customWidth="1"/>
    <col min="16" max="16" width="15.88671875" style="36" customWidth="1"/>
    <col min="17" max="17" width="11.88671875" style="36" customWidth="1"/>
    <col min="18" max="18" width="8.44140625" style="36" customWidth="1"/>
    <col min="19" max="19" width="9.88671875" style="36" customWidth="1"/>
    <col min="20" max="20" width="11.33203125" style="36" customWidth="1"/>
    <col min="21" max="21" width="8.44140625" style="36" customWidth="1"/>
    <col min="22" max="22" width="9.88671875" style="36" customWidth="1"/>
    <col min="23" max="23" width="11.33203125" style="36" customWidth="1"/>
    <col min="24" max="24" width="8.44140625" style="36" customWidth="1"/>
    <col min="25" max="25" width="9.88671875" style="36" customWidth="1"/>
    <col min="26" max="26" width="11.33203125" style="36" customWidth="1"/>
    <col min="27" max="27" width="8.44140625" style="36" customWidth="1"/>
    <col min="28" max="28" width="9.88671875" style="36" customWidth="1"/>
    <col min="29" max="29" width="15.33203125" style="37" customWidth="1"/>
    <col min="30" max="30" width="20.109375" style="36" customWidth="1"/>
    <col min="31" max="31" width="24.5546875" style="36" customWidth="1"/>
    <col min="32" max="16384" width="11.44140625" style="36"/>
  </cols>
  <sheetData>
    <row r="1" spans="1:31" ht="62.25" customHeight="1" thickBot="1" x14ac:dyDescent="0.4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5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4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4">
      <c r="A4" s="40">
        <v>44866</v>
      </c>
      <c r="B4" s="41">
        <v>53</v>
      </c>
      <c r="C4" s="39">
        <f t="shared" ref="C4" si="0">IF(AC4&gt;0,((B4-R4)+(S4-B5)),IF(B5=0, ,(B4-B5)))</f>
        <v>3</v>
      </c>
      <c r="D4" s="41">
        <v>56</v>
      </c>
      <c r="E4" s="39">
        <f t="shared" ref="E4" si="1">IF(AC4&gt;0,((D4-U4)+(V4-D5)),IF(D5=0, ,(D4-D5)))</f>
        <v>7</v>
      </c>
      <c r="F4" s="41">
        <v>50</v>
      </c>
      <c r="G4" s="39">
        <f t="shared" ref="G4" si="2">IF(AC4&gt;0,((F4-X4)+(Y4-F5)),IF(F5=0, ,(F4-F5)))</f>
        <v>5</v>
      </c>
      <c r="H4" s="41">
        <v>51</v>
      </c>
      <c r="I4" s="39">
        <f>IF(AC4&gt;0,((H4-AA4)+(AB4-H5)),IF(H5=0, ,(H4-H5)))</f>
        <v>6</v>
      </c>
      <c r="J4" s="39">
        <f>B4+D4+F4+H4</f>
        <v>210</v>
      </c>
      <c r="K4" s="39">
        <f>J4/4</f>
        <v>52.5</v>
      </c>
      <c r="L4" s="39">
        <f>IF(AC4&gt;0,((K4-AD4)+(AE4-K5)),IF(K5=0, ,(K4-K5)))</f>
        <v>5.25</v>
      </c>
      <c r="M4" s="149">
        <f t="shared" ref="M4:M7" si="3">6049*4</f>
        <v>24196</v>
      </c>
      <c r="N4" s="39">
        <f>L4*M4/100</f>
        <v>1270.29</v>
      </c>
      <c r="O4" s="167">
        <f>N4*0.529</f>
        <v>671.98341000000005</v>
      </c>
      <c r="P4" s="42">
        <f>O4*12.24</f>
        <v>8225.0769384000014</v>
      </c>
      <c r="Q4" s="39">
        <v>2467</v>
      </c>
      <c r="R4" s="39">
        <v>50</v>
      </c>
      <c r="S4" s="39">
        <v>85</v>
      </c>
      <c r="T4" s="39">
        <v>2544</v>
      </c>
      <c r="U4" s="39">
        <v>50</v>
      </c>
      <c r="V4" s="39">
        <v>85</v>
      </c>
      <c r="W4" s="39">
        <v>3115</v>
      </c>
      <c r="X4" s="39">
        <v>45</v>
      </c>
      <c r="Y4" s="39">
        <v>85</v>
      </c>
      <c r="Z4" s="39">
        <v>3292</v>
      </c>
      <c r="AA4" s="39">
        <v>45</v>
      </c>
      <c r="AB4" s="39">
        <v>85</v>
      </c>
      <c r="AC4" s="39">
        <f t="shared" ref="AC4:AC25" si="4">Q4+T4+W4+Z4</f>
        <v>11418</v>
      </c>
      <c r="AD4" s="38">
        <f t="shared" ref="AD4:AD24" si="5">(R4+U4+X4+AA4)/4</f>
        <v>47.5</v>
      </c>
      <c r="AE4" s="38">
        <f t="shared" ref="AE4:AE24" si="6">(S4+V4+Y4+AB4)/4</f>
        <v>85</v>
      </c>
    </row>
    <row r="5" spans="1:31" ht="32.25" customHeight="1" x14ac:dyDescent="0.4">
      <c r="A5" s="40">
        <v>44867</v>
      </c>
      <c r="B5" s="41">
        <v>85</v>
      </c>
      <c r="C5" s="39">
        <f t="shared" ref="C5:C35" si="7">IF(AC5&gt;0,((B5-R5)+(S5-B6)),IF(B6=0, ,(B5-B6)))</f>
        <v>3</v>
      </c>
      <c r="D5" s="41">
        <v>84</v>
      </c>
      <c r="E5" s="39">
        <f t="shared" ref="E5:E35" si="8">IF(AC5&gt;0,((D5-U5)+(V5-D6)),IF(D6=0, ,(D5-D6)))</f>
        <v>2</v>
      </c>
      <c r="F5" s="41">
        <v>85</v>
      </c>
      <c r="G5" s="39">
        <f t="shared" ref="G5:G35" si="9">IF(AC5&gt;0,((F5-X5)+(Y5-F6)),IF(F6=0, ,(F5-F6)))</f>
        <v>1</v>
      </c>
      <c r="H5" s="41">
        <v>85</v>
      </c>
      <c r="I5" s="39">
        <f>IF(AC5&gt;0,((H5-AA5)+(AB5-H6)),IF(H6=0, ,(H5-H6)))</f>
        <v>1</v>
      </c>
      <c r="J5" s="39">
        <f>B5+D5+F5+H5</f>
        <v>339</v>
      </c>
      <c r="K5" s="39">
        <f>J5/4</f>
        <v>84.75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O5*12.24</f>
        <v>2741.6923128000003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4">
      <c r="A6" s="40">
        <v>44868</v>
      </c>
      <c r="B6" s="41">
        <v>82</v>
      </c>
      <c r="C6" s="39">
        <f t="shared" si="7"/>
        <v>1</v>
      </c>
      <c r="D6" s="41">
        <v>82</v>
      </c>
      <c r="E6" s="39">
        <f t="shared" si="8"/>
        <v>2</v>
      </c>
      <c r="F6" s="41">
        <v>84</v>
      </c>
      <c r="G6" s="39">
        <f t="shared" si="9"/>
        <v>2</v>
      </c>
      <c r="H6" s="41">
        <v>84</v>
      </c>
      <c r="I6" s="39">
        <f t="shared" ref="I6:I36" si="11">IF(AC6&gt;0,((H6-AA6)+(AB6-H7)),IF(H7=0, ,(H6-H7)))</f>
        <v>2</v>
      </c>
      <c r="J6" s="39">
        <f t="shared" ref="J6:J42" si="12">B6+D6+F6+H6</f>
        <v>332</v>
      </c>
      <c r="K6" s="39">
        <f t="shared" ref="K6:K42" si="13">J6/4</f>
        <v>83</v>
      </c>
      <c r="L6" s="39">
        <f t="shared" ref="L6:L19" si="14">IF(AC6&gt;0,((K6-AD6)+(AE6-K7)),IF(K7=0, ,(K6-K7)))</f>
        <v>1.75</v>
      </c>
      <c r="M6" s="149">
        <f t="shared" si="3"/>
        <v>24196</v>
      </c>
      <c r="N6" s="39">
        <f t="shared" ref="N6:N42" si="15">L6*M6/100</f>
        <v>423.43</v>
      </c>
      <c r="O6" s="39">
        <f>N6*0.529</f>
        <v>223.99447000000001</v>
      </c>
      <c r="P6" s="42">
        <f t="shared" si="10"/>
        <v>2741.6923128000003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4">
      <c r="A7" s="40">
        <v>44869</v>
      </c>
      <c r="B7" s="41">
        <v>81</v>
      </c>
      <c r="C7" s="39">
        <f t="shared" si="7"/>
        <v>2</v>
      </c>
      <c r="D7" s="41">
        <v>80</v>
      </c>
      <c r="E7" s="39">
        <f t="shared" si="8"/>
        <v>1</v>
      </c>
      <c r="F7" s="41">
        <v>82</v>
      </c>
      <c r="G7" s="39">
        <f t="shared" si="9"/>
        <v>2</v>
      </c>
      <c r="H7" s="41">
        <v>82</v>
      </c>
      <c r="I7" s="39">
        <f t="shared" si="11"/>
        <v>2</v>
      </c>
      <c r="J7" s="39">
        <f t="shared" si="12"/>
        <v>325</v>
      </c>
      <c r="K7" s="39">
        <f t="shared" si="13"/>
        <v>81.25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2746.8750960000002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8">
        <f t="shared" si="5"/>
        <v>0</v>
      </c>
      <c r="AE7" s="38">
        <f t="shared" si="6"/>
        <v>0</v>
      </c>
    </row>
    <row r="8" spans="1:31" ht="32.25" customHeight="1" x14ac:dyDescent="0.4">
      <c r="A8" s="40">
        <v>44870</v>
      </c>
      <c r="B8" s="41">
        <v>79</v>
      </c>
      <c r="C8" s="39">
        <f t="shared" si="7"/>
        <v>4</v>
      </c>
      <c r="D8" s="41">
        <v>79</v>
      </c>
      <c r="E8" s="39">
        <f t="shared" si="8"/>
        <v>7</v>
      </c>
      <c r="F8" s="41">
        <v>80</v>
      </c>
      <c r="G8" s="39">
        <f t="shared" si="9"/>
        <v>5</v>
      </c>
      <c r="H8" s="41">
        <v>80</v>
      </c>
      <c r="I8" s="39">
        <f t="shared" si="11"/>
        <v>5</v>
      </c>
      <c r="J8" s="39">
        <f t="shared" si="12"/>
        <v>318</v>
      </c>
      <c r="K8" s="39">
        <f t="shared" si="13"/>
        <v>79.5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8225.0769384000014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4">
      <c r="A9" s="40">
        <v>44871</v>
      </c>
      <c r="B9" s="41">
        <v>75</v>
      </c>
      <c r="C9" s="39">
        <f t="shared" si="7"/>
        <v>3</v>
      </c>
      <c r="D9" s="41">
        <v>72</v>
      </c>
      <c r="E9" s="39">
        <f t="shared" si="8"/>
        <v>2</v>
      </c>
      <c r="F9" s="41">
        <v>75</v>
      </c>
      <c r="G9" s="39">
        <f t="shared" si="9"/>
        <v>2</v>
      </c>
      <c r="H9" s="41">
        <v>75</v>
      </c>
      <c r="I9" s="39">
        <f t="shared" si="11"/>
        <v>5</v>
      </c>
      <c r="J9" s="39">
        <f t="shared" si="12"/>
        <v>297</v>
      </c>
      <c r="K9" s="39">
        <f t="shared" si="13"/>
        <v>74.25</v>
      </c>
      <c r="L9" s="39">
        <f t="shared" si="14"/>
        <v>3</v>
      </c>
      <c r="M9" s="149">
        <f t="shared" ref="M9:M42" si="17">6049*4</f>
        <v>24196</v>
      </c>
      <c r="N9" s="39">
        <f t="shared" si="15"/>
        <v>725.88</v>
      </c>
      <c r="O9" s="39">
        <f t="shared" si="16"/>
        <v>383.99052</v>
      </c>
      <c r="P9" s="42">
        <f t="shared" si="10"/>
        <v>4700.0439648000001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4">
      <c r="A10" s="40">
        <v>44872</v>
      </c>
      <c r="B10" s="41">
        <v>72</v>
      </c>
      <c r="C10" s="39">
        <f t="shared" si="7"/>
        <v>2</v>
      </c>
      <c r="D10" s="41">
        <v>70</v>
      </c>
      <c r="E10" s="39">
        <f t="shared" si="8"/>
        <v>5</v>
      </c>
      <c r="F10" s="41">
        <v>73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285</v>
      </c>
      <c r="K10" s="39">
        <f t="shared" si="13"/>
        <v>71.25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4308.3736343999999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4">
      <c r="A11" s="40">
        <v>44873</v>
      </c>
      <c r="B11" s="41">
        <v>70</v>
      </c>
      <c r="C11" s="39">
        <f t="shared" si="7"/>
        <v>2</v>
      </c>
      <c r="D11" s="41">
        <v>65</v>
      </c>
      <c r="E11" s="39">
        <f t="shared" si="8"/>
        <v>3</v>
      </c>
      <c r="F11" s="41">
        <v>70</v>
      </c>
      <c r="G11" s="39">
        <f t="shared" si="9"/>
        <v>2</v>
      </c>
      <c r="H11" s="41">
        <v>69</v>
      </c>
      <c r="I11" s="39">
        <f t="shared" si="11"/>
        <v>1</v>
      </c>
      <c r="J11" s="39">
        <f t="shared" si="12"/>
        <v>274</v>
      </c>
      <c r="K11" s="39">
        <f t="shared" si="13"/>
        <v>68.5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3133.3626432000001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4">
      <c r="A12" s="40">
        <v>44874</v>
      </c>
      <c r="B12" s="41">
        <v>68</v>
      </c>
      <c r="C12" s="39">
        <f t="shared" si="7"/>
        <v>5</v>
      </c>
      <c r="D12" s="41">
        <v>62</v>
      </c>
      <c r="E12" s="39">
        <f t="shared" si="8"/>
        <v>1</v>
      </c>
      <c r="F12" s="41">
        <v>68</v>
      </c>
      <c r="G12" s="39">
        <f t="shared" si="9"/>
        <v>5</v>
      </c>
      <c r="H12" s="41">
        <v>68</v>
      </c>
      <c r="I12" s="39">
        <f t="shared" si="11"/>
        <v>6</v>
      </c>
      <c r="J12" s="39">
        <f t="shared" si="12"/>
        <v>266</v>
      </c>
      <c r="K12" s="39">
        <f t="shared" si="13"/>
        <v>66.5</v>
      </c>
      <c r="L12" s="39">
        <f t="shared" si="14"/>
        <v>4.25</v>
      </c>
      <c r="M12" s="149">
        <f t="shared" si="17"/>
        <v>24196</v>
      </c>
      <c r="N12" s="39">
        <f t="shared" si="15"/>
        <v>1028.33</v>
      </c>
      <c r="O12" s="39">
        <f t="shared" si="16"/>
        <v>543.98657000000003</v>
      </c>
      <c r="P12" s="42">
        <f t="shared" si="10"/>
        <v>6658.3956168000004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4">
      <c r="A13" s="40">
        <v>44875</v>
      </c>
      <c r="B13" s="41">
        <v>63</v>
      </c>
      <c r="C13" s="39">
        <f t="shared" si="7"/>
        <v>3</v>
      </c>
      <c r="D13" s="41">
        <v>61</v>
      </c>
      <c r="E13" s="39">
        <f t="shared" si="8"/>
        <v>4</v>
      </c>
      <c r="F13" s="41">
        <v>63</v>
      </c>
      <c r="G13" s="39">
        <f t="shared" si="9"/>
        <v>4</v>
      </c>
      <c r="H13" s="41">
        <v>62</v>
      </c>
      <c r="I13" s="39">
        <f t="shared" si="11"/>
        <v>3</v>
      </c>
      <c r="J13" s="39">
        <f t="shared" si="12"/>
        <v>249</v>
      </c>
      <c r="K13" s="39">
        <f t="shared" si="13"/>
        <v>62.25</v>
      </c>
      <c r="L13" s="39">
        <f t="shared" si="14"/>
        <v>3.5</v>
      </c>
      <c r="M13" s="149">
        <f t="shared" si="17"/>
        <v>24196</v>
      </c>
      <c r="N13" s="39">
        <f t="shared" si="15"/>
        <v>846.86</v>
      </c>
      <c r="O13" s="39">
        <f t="shared" si="16"/>
        <v>447.98894000000001</v>
      </c>
      <c r="P13" s="42">
        <f t="shared" si="10"/>
        <v>5483.3846256000006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4">
      <c r="A14" s="40">
        <v>44876</v>
      </c>
      <c r="B14" s="41">
        <v>60</v>
      </c>
      <c r="C14" s="39">
        <f t="shared" si="7"/>
        <v>3</v>
      </c>
      <c r="D14" s="41">
        <v>57</v>
      </c>
      <c r="E14" s="39">
        <f t="shared" si="8"/>
        <v>4</v>
      </c>
      <c r="F14" s="41">
        <v>59</v>
      </c>
      <c r="G14" s="39">
        <f t="shared" si="9"/>
        <v>3</v>
      </c>
      <c r="H14" s="41">
        <v>59</v>
      </c>
      <c r="I14" s="39">
        <f>IF(AC14&gt;0,((H14-AA14)+(AB14-H15)),IF(H15=0, ,(H14-H15)))</f>
        <v>3</v>
      </c>
      <c r="J14" s="39">
        <f t="shared" si="12"/>
        <v>235</v>
      </c>
      <c r="K14" s="39">
        <f t="shared" si="13"/>
        <v>58.75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5091.7142952000004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4">
      <c r="A15" s="40">
        <v>44877</v>
      </c>
      <c r="B15" s="41">
        <v>57</v>
      </c>
      <c r="C15" s="39">
        <f t="shared" si="7"/>
        <v>7</v>
      </c>
      <c r="D15" s="41">
        <v>53</v>
      </c>
      <c r="E15" s="39">
        <f t="shared" si="8"/>
        <v>5</v>
      </c>
      <c r="F15" s="41">
        <v>56</v>
      </c>
      <c r="G15" s="39">
        <f t="shared" si="9"/>
        <v>6</v>
      </c>
      <c r="H15" s="41">
        <v>56</v>
      </c>
      <c r="I15" s="39">
        <f>IF(AC15&gt;0,((H15-AA15)+(AB15-H16)),IF(H16=0, ,(H15-H16)))</f>
        <v>6</v>
      </c>
      <c r="J15" s="39">
        <f t="shared" si="12"/>
        <v>222</v>
      </c>
      <c r="K15" s="39">
        <f t="shared" si="13"/>
        <v>55.5</v>
      </c>
      <c r="L15" s="39">
        <f t="shared" si="14"/>
        <v>6</v>
      </c>
      <c r="M15" s="149">
        <f t="shared" si="17"/>
        <v>24196</v>
      </c>
      <c r="N15" s="39">
        <f t="shared" si="15"/>
        <v>1451.76</v>
      </c>
      <c r="O15" s="39">
        <f t="shared" si="16"/>
        <v>767.98104000000001</v>
      </c>
      <c r="P15" s="42">
        <f t="shared" si="10"/>
        <v>9400.0879296000003</v>
      </c>
      <c r="Q15" s="39">
        <v>2070</v>
      </c>
      <c r="R15" s="39">
        <v>50</v>
      </c>
      <c r="S15" s="39">
        <v>80</v>
      </c>
      <c r="T15" s="39">
        <v>2042</v>
      </c>
      <c r="U15" s="39">
        <v>50</v>
      </c>
      <c r="V15" s="39">
        <v>80</v>
      </c>
      <c r="W15" s="39">
        <v>2025</v>
      </c>
      <c r="X15" s="39">
        <v>50</v>
      </c>
      <c r="Y15" s="39">
        <v>80</v>
      </c>
      <c r="Z15" s="39">
        <v>2015</v>
      </c>
      <c r="AA15" s="39">
        <v>50</v>
      </c>
      <c r="AB15" s="39">
        <v>80</v>
      </c>
      <c r="AC15" s="39">
        <f>Q15+T15+W15+Z15</f>
        <v>8152</v>
      </c>
      <c r="AD15" s="38">
        <f>(R15+U15+X15+AA15)/4</f>
        <v>50</v>
      </c>
      <c r="AE15" s="38">
        <f>(S15+V15+Y15+AB15)/4</f>
        <v>80</v>
      </c>
    </row>
    <row r="16" spans="1:31" ht="32.25" customHeight="1" x14ac:dyDescent="0.4">
      <c r="A16" s="40">
        <v>44878</v>
      </c>
      <c r="B16" s="41">
        <v>80</v>
      </c>
      <c r="C16" s="39">
        <f t="shared" si="7"/>
        <v>5</v>
      </c>
      <c r="D16" s="41">
        <v>78</v>
      </c>
      <c r="E16" s="39">
        <f t="shared" si="8"/>
        <v>4</v>
      </c>
      <c r="F16" s="41">
        <v>80</v>
      </c>
      <c r="G16" s="39">
        <f t="shared" si="9"/>
        <v>5</v>
      </c>
      <c r="H16" s="41">
        <v>80</v>
      </c>
      <c r="I16" s="39">
        <f t="shared" si="11"/>
        <v>5</v>
      </c>
      <c r="J16" s="39">
        <f t="shared" si="12"/>
        <v>318</v>
      </c>
      <c r="K16" s="39">
        <f t="shared" si="13"/>
        <v>79.5</v>
      </c>
      <c r="L16" s="39">
        <f t="shared" si="14"/>
        <v>4.75</v>
      </c>
      <c r="M16" s="149">
        <f t="shared" si="17"/>
        <v>24196</v>
      </c>
      <c r="N16" s="39">
        <f t="shared" si="15"/>
        <v>1149.31</v>
      </c>
      <c r="O16" s="39">
        <f t="shared" si="16"/>
        <v>607.98499000000004</v>
      </c>
      <c r="P16" s="42">
        <f t="shared" si="10"/>
        <v>7441.7362776000009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4">
      <c r="A17" s="40">
        <v>44879</v>
      </c>
      <c r="B17" s="41">
        <v>75</v>
      </c>
      <c r="C17" s="39">
        <f t="shared" si="7"/>
        <v>2</v>
      </c>
      <c r="D17" s="41">
        <v>74</v>
      </c>
      <c r="E17" s="39">
        <f t="shared" si="8"/>
        <v>4</v>
      </c>
      <c r="F17" s="41">
        <v>75</v>
      </c>
      <c r="G17" s="39">
        <f t="shared" si="9"/>
        <v>3</v>
      </c>
      <c r="H17" s="41">
        <v>75</v>
      </c>
      <c r="I17" s="39">
        <f t="shared" si="11"/>
        <v>3</v>
      </c>
      <c r="J17" s="39">
        <f t="shared" si="12"/>
        <v>299</v>
      </c>
      <c r="K17" s="39">
        <f t="shared" si="13"/>
        <v>74.75</v>
      </c>
      <c r="L17" s="39">
        <f t="shared" si="14"/>
        <v>3</v>
      </c>
      <c r="M17" s="149">
        <f t="shared" si="17"/>
        <v>24196</v>
      </c>
      <c r="N17" s="39">
        <f t="shared" si="15"/>
        <v>725.88</v>
      </c>
      <c r="O17" s="39">
        <f t="shared" si="16"/>
        <v>383.99052</v>
      </c>
      <c r="P17" s="42">
        <f t="shared" si="10"/>
        <v>4700.0439648000001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4">
      <c r="A18" s="40">
        <v>44880</v>
      </c>
      <c r="B18" s="41">
        <v>73</v>
      </c>
      <c r="C18" s="39">
        <f t="shared" si="7"/>
        <v>3</v>
      </c>
      <c r="D18" s="41">
        <v>70</v>
      </c>
      <c r="E18" s="39">
        <f t="shared" si="8"/>
        <v>5</v>
      </c>
      <c r="F18" s="41">
        <v>72</v>
      </c>
      <c r="G18" s="39">
        <f t="shared" si="9"/>
        <v>6</v>
      </c>
      <c r="H18" s="41">
        <v>72</v>
      </c>
      <c r="I18" s="39">
        <f t="shared" si="11"/>
        <v>3</v>
      </c>
      <c r="J18" s="39">
        <f t="shared" si="12"/>
        <v>287</v>
      </c>
      <c r="K18" s="39">
        <f t="shared" si="13"/>
        <v>71.75</v>
      </c>
      <c r="L18" s="39">
        <f t="shared" si="14"/>
        <v>4.25</v>
      </c>
      <c r="M18" s="149">
        <f t="shared" si="17"/>
        <v>24196</v>
      </c>
      <c r="N18" s="39">
        <f t="shared" si="15"/>
        <v>1028.33</v>
      </c>
      <c r="O18" s="39">
        <f t="shared" si="16"/>
        <v>543.98657000000003</v>
      </c>
      <c r="P18" s="42">
        <f t="shared" si="10"/>
        <v>6658.3956168000004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4">
      <c r="A19" s="40">
        <v>44881</v>
      </c>
      <c r="B19" s="41">
        <v>70</v>
      </c>
      <c r="C19" s="39">
        <f t="shared" si="7"/>
        <v>4</v>
      </c>
      <c r="D19" s="41">
        <v>65</v>
      </c>
      <c r="E19" s="39">
        <f t="shared" si="8"/>
        <v>5</v>
      </c>
      <c r="F19" s="41">
        <v>66</v>
      </c>
      <c r="G19" s="39">
        <f t="shared" si="9"/>
        <v>2</v>
      </c>
      <c r="H19" s="41">
        <v>69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3.75</v>
      </c>
      <c r="M19" s="149">
        <f t="shared" si="17"/>
        <v>24196</v>
      </c>
      <c r="N19" s="39">
        <f t="shared" si="15"/>
        <v>907.35</v>
      </c>
      <c r="O19" s="39">
        <f t="shared" si="16"/>
        <v>479.98815000000002</v>
      </c>
      <c r="P19" s="42">
        <f t="shared" si="10"/>
        <v>5875.0549559999999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4">
      <c r="A20" s="40">
        <v>44882</v>
      </c>
      <c r="B20" s="41">
        <v>66</v>
      </c>
      <c r="C20" s="39">
        <f t="shared" si="7"/>
        <v>6</v>
      </c>
      <c r="D20" s="41">
        <v>60</v>
      </c>
      <c r="E20" s="39">
        <f t="shared" si="8"/>
        <v>0</v>
      </c>
      <c r="F20" s="41">
        <v>64</v>
      </c>
      <c r="G20" s="39">
        <f t="shared" si="9"/>
        <v>4</v>
      </c>
      <c r="H20" s="41">
        <v>65</v>
      </c>
      <c r="I20" s="39">
        <f t="shared" si="11"/>
        <v>5</v>
      </c>
      <c r="J20" s="39">
        <f t="shared" si="12"/>
        <v>255</v>
      </c>
      <c r="K20" s="39">
        <f t="shared" si="13"/>
        <v>63.75</v>
      </c>
      <c r="L20" s="39">
        <f t="shared" ref="L20:L42" si="18">IF(AC20&gt;0,((K20-AD20)+(AE20-K21)),IF(K21=0, ,(K20-K21)))</f>
        <v>3.75</v>
      </c>
      <c r="M20" s="149">
        <f t="shared" si="17"/>
        <v>24196</v>
      </c>
      <c r="N20" s="39">
        <f t="shared" si="15"/>
        <v>907.35</v>
      </c>
      <c r="O20" s="39">
        <f t="shared" si="16"/>
        <v>479.98815000000002</v>
      </c>
      <c r="P20" s="42">
        <f t="shared" si="10"/>
        <v>5875.0549559999999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4">
      <c r="A21" s="40">
        <v>44883</v>
      </c>
      <c r="B21" s="41">
        <v>60</v>
      </c>
      <c r="C21" s="39">
        <f t="shared" si="7"/>
        <v>4</v>
      </c>
      <c r="D21" s="41">
        <v>60</v>
      </c>
      <c r="E21" s="39">
        <f t="shared" si="8"/>
        <v>5</v>
      </c>
      <c r="F21" s="41">
        <v>60</v>
      </c>
      <c r="G21" s="39">
        <f t="shared" si="9"/>
        <v>2</v>
      </c>
      <c r="H21" s="41">
        <v>60</v>
      </c>
      <c r="I21" s="39">
        <f t="shared" si="11"/>
        <v>1</v>
      </c>
      <c r="J21" s="39">
        <f t="shared" si="12"/>
        <v>240</v>
      </c>
      <c r="K21" s="39">
        <f t="shared" si="13"/>
        <v>60</v>
      </c>
      <c r="L21" s="39">
        <f>IF(AC21&gt;0,((K21-AD21)+(AE21-K22)),IF(K22=0, ,(K21-K22)))</f>
        <v>3</v>
      </c>
      <c r="M21" s="149">
        <f t="shared" si="17"/>
        <v>24196</v>
      </c>
      <c r="N21" s="39">
        <f t="shared" si="15"/>
        <v>725.88</v>
      </c>
      <c r="O21" s="39">
        <f t="shared" si="16"/>
        <v>383.99052</v>
      </c>
      <c r="P21" s="42">
        <f t="shared" si="10"/>
        <v>4700.0439648000001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4">
      <c r="A22" s="40">
        <v>44884</v>
      </c>
      <c r="B22" s="41">
        <v>56</v>
      </c>
      <c r="C22" s="39">
        <f t="shared" si="7"/>
        <v>3</v>
      </c>
      <c r="D22" s="41">
        <v>55</v>
      </c>
      <c r="E22" s="39">
        <f t="shared" si="8"/>
        <v>3</v>
      </c>
      <c r="F22" s="41">
        <v>58</v>
      </c>
      <c r="G22" s="39">
        <f t="shared" si="9"/>
        <v>3</v>
      </c>
      <c r="H22" s="41">
        <v>59</v>
      </c>
      <c r="I22" s="39">
        <f t="shared" si="11"/>
        <v>4</v>
      </c>
      <c r="J22" s="39">
        <f t="shared" si="12"/>
        <v>228</v>
      </c>
      <c r="K22" s="39">
        <f t="shared" si="13"/>
        <v>57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4">
      <c r="A23" s="40">
        <v>44885</v>
      </c>
      <c r="B23" s="41">
        <v>53</v>
      </c>
      <c r="C23" s="39">
        <f t="shared" si="7"/>
        <v>4</v>
      </c>
      <c r="D23" s="41">
        <v>52</v>
      </c>
      <c r="E23" s="39">
        <f t="shared" si="8"/>
        <v>4</v>
      </c>
      <c r="F23" s="41">
        <v>55</v>
      </c>
      <c r="G23" s="39">
        <f t="shared" si="9"/>
        <v>5</v>
      </c>
      <c r="H23" s="41">
        <v>55</v>
      </c>
      <c r="I23" s="39">
        <f t="shared" si="11"/>
        <v>5</v>
      </c>
      <c r="J23" s="39">
        <f t="shared" si="12"/>
        <v>215</v>
      </c>
      <c r="K23" s="39">
        <f t="shared" si="13"/>
        <v>53.75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7050.0659471999998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4">
      <c r="A24" s="40">
        <v>44886</v>
      </c>
      <c r="B24" s="41">
        <v>49</v>
      </c>
      <c r="C24" s="39">
        <f t="shared" si="7"/>
        <v>2</v>
      </c>
      <c r="D24" s="41">
        <v>48</v>
      </c>
      <c r="E24" s="39">
        <f t="shared" si="8"/>
        <v>5</v>
      </c>
      <c r="F24" s="41">
        <v>50</v>
      </c>
      <c r="G24" s="39">
        <f t="shared" si="9"/>
        <v>0</v>
      </c>
      <c r="H24" s="41">
        <v>50</v>
      </c>
      <c r="I24" s="39">
        <f t="shared" si="11"/>
        <v>0</v>
      </c>
      <c r="J24" s="39">
        <f t="shared" si="12"/>
        <v>197</v>
      </c>
      <c r="K24" s="39">
        <f t="shared" si="13"/>
        <v>49.25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>
        <v>2772</v>
      </c>
      <c r="R24" s="39">
        <v>49</v>
      </c>
      <c r="S24" s="39">
        <v>85</v>
      </c>
      <c r="T24" s="39">
        <v>2518</v>
      </c>
      <c r="U24" s="39">
        <v>48</v>
      </c>
      <c r="V24" s="39">
        <v>85</v>
      </c>
      <c r="W24" s="39">
        <v>2868</v>
      </c>
      <c r="X24" s="39">
        <v>50</v>
      </c>
      <c r="Y24" s="39">
        <v>85</v>
      </c>
      <c r="Z24" s="39">
        <v>2762</v>
      </c>
      <c r="AA24" s="39">
        <v>50</v>
      </c>
      <c r="AB24" s="39">
        <v>85</v>
      </c>
      <c r="AC24" s="39">
        <f t="shared" si="4"/>
        <v>10920</v>
      </c>
      <c r="AD24" s="38">
        <f t="shared" si="5"/>
        <v>49.25</v>
      </c>
      <c r="AE24" s="38">
        <f t="shared" si="6"/>
        <v>85</v>
      </c>
    </row>
    <row r="25" spans="1:31" ht="32.25" customHeight="1" x14ac:dyDescent="0.4">
      <c r="A25" s="40">
        <v>44887</v>
      </c>
      <c r="B25" s="41">
        <v>83</v>
      </c>
      <c r="C25" s="39">
        <f t="shared" si="7"/>
        <v>3</v>
      </c>
      <c r="D25" s="41">
        <v>80</v>
      </c>
      <c r="E25" s="39">
        <f t="shared" si="8"/>
        <v>1</v>
      </c>
      <c r="F25" s="41">
        <v>85</v>
      </c>
      <c r="G25" s="39">
        <f t="shared" si="9"/>
        <v>3</v>
      </c>
      <c r="H25" s="41">
        <v>85</v>
      </c>
      <c r="I25" s="39">
        <f t="shared" si="11"/>
        <v>3</v>
      </c>
      <c r="J25" s="39">
        <f t="shared" si="12"/>
        <v>333</v>
      </c>
      <c r="K25" s="39">
        <f t="shared" si="13"/>
        <v>83.25</v>
      </c>
      <c r="L25" s="39">
        <f t="shared" si="18"/>
        <v>2.5</v>
      </c>
      <c r="M25" s="149">
        <f t="shared" si="17"/>
        <v>24196</v>
      </c>
      <c r="N25" s="39">
        <f t="shared" si="15"/>
        <v>604.9</v>
      </c>
      <c r="O25" s="167">
        <f t="shared" si="16"/>
        <v>319.99209999999999</v>
      </c>
      <c r="P25" s="42">
        <f t="shared" si="10"/>
        <v>3916.7033040000001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4">
      <c r="A26" s="40">
        <v>44888</v>
      </c>
      <c r="B26" s="41">
        <v>80</v>
      </c>
      <c r="C26" s="39">
        <f t="shared" si="7"/>
        <v>2</v>
      </c>
      <c r="D26" s="41">
        <v>79</v>
      </c>
      <c r="E26" s="39">
        <f t="shared" si="8"/>
        <v>2</v>
      </c>
      <c r="F26" s="41">
        <v>82</v>
      </c>
      <c r="G26" s="39">
        <f t="shared" si="9"/>
        <v>3</v>
      </c>
      <c r="H26" s="41">
        <v>82</v>
      </c>
      <c r="I26" s="39">
        <f t="shared" si="11"/>
        <v>2</v>
      </c>
      <c r="J26" s="39">
        <f t="shared" si="12"/>
        <v>323</v>
      </c>
      <c r="K26" s="39">
        <f t="shared" si="13"/>
        <v>80.75</v>
      </c>
      <c r="L26" s="39">
        <f t="shared" si="18"/>
        <v>2.25</v>
      </c>
      <c r="M26" s="149">
        <f t="shared" si="17"/>
        <v>24196</v>
      </c>
      <c r="N26" s="39">
        <f t="shared" si="15"/>
        <v>544.41</v>
      </c>
      <c r="O26" s="39">
        <f t="shared" si="16"/>
        <v>287.99288999999999</v>
      </c>
      <c r="P26" s="42">
        <f t="shared" si="10"/>
        <v>3525.0329735999999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4">
      <c r="A27" s="40">
        <v>44889</v>
      </c>
      <c r="B27" s="41">
        <v>78</v>
      </c>
      <c r="C27" s="39">
        <f t="shared" ref="C27" si="21">IF(AC27&gt;0,((B27-R27)+(S27-B28)),IF(B28=0, ,(B27-B28)))</f>
        <v>3</v>
      </c>
      <c r="D27" s="41">
        <v>77</v>
      </c>
      <c r="E27" s="39">
        <f t="shared" ref="E27" si="22">IF(AC27&gt;0,((D27-U27)+(V27-D28)),IF(D28=0, ,(D27-D28)))</f>
        <v>3</v>
      </c>
      <c r="F27" s="41">
        <v>79</v>
      </c>
      <c r="G27" s="39">
        <f t="shared" ref="G27" si="23">IF(AC27&gt;0,((F27-X27)+(Y27-F28)),IF(F28=0, ,(F27-F28)))</f>
        <v>3</v>
      </c>
      <c r="H27" s="41">
        <v>80</v>
      </c>
      <c r="I27" s="39">
        <f t="shared" si="11"/>
        <v>4</v>
      </c>
      <c r="J27" s="39">
        <f t="shared" si="12"/>
        <v>314</v>
      </c>
      <c r="K27" s="39">
        <f t="shared" si="13"/>
        <v>78.5</v>
      </c>
      <c r="L27" s="39">
        <f t="shared" si="18"/>
        <v>3.25</v>
      </c>
      <c r="M27" s="149">
        <f t="shared" si="17"/>
        <v>24196</v>
      </c>
      <c r="N27" s="39">
        <f t="shared" si="15"/>
        <v>786.37</v>
      </c>
      <c r="O27" s="39">
        <f t="shared" si="16"/>
        <v>415.98973000000001</v>
      </c>
      <c r="P27" s="42">
        <f t="shared" si="10"/>
        <v>5091.7142952000004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4">
      <c r="A28" s="40">
        <v>44890</v>
      </c>
      <c r="B28" s="41">
        <v>75</v>
      </c>
      <c r="C28" s="39">
        <f t="shared" si="7"/>
        <v>3</v>
      </c>
      <c r="D28" s="41">
        <v>74</v>
      </c>
      <c r="E28" s="39">
        <f t="shared" si="8"/>
        <v>3</v>
      </c>
      <c r="F28" s="41">
        <v>76</v>
      </c>
      <c r="G28" s="39">
        <f t="shared" si="9"/>
        <v>3</v>
      </c>
      <c r="H28" s="41">
        <v>76</v>
      </c>
      <c r="I28" s="39">
        <f>IF(AC28&gt;0,((H28-AA28)+(AB28-H29)),IF(H29=0, ,(H28-H29)))</f>
        <v>4</v>
      </c>
      <c r="J28" s="39">
        <f t="shared" si="12"/>
        <v>301</v>
      </c>
      <c r="K28" s="39">
        <f t="shared" si="13"/>
        <v>75.25</v>
      </c>
      <c r="L28" s="39">
        <f t="shared" si="18"/>
        <v>3.25</v>
      </c>
      <c r="M28" s="149">
        <f t="shared" si="17"/>
        <v>24196</v>
      </c>
      <c r="N28" s="39">
        <f t="shared" si="15"/>
        <v>786.37</v>
      </c>
      <c r="O28" s="39">
        <f t="shared" si="16"/>
        <v>415.98973000000001</v>
      </c>
      <c r="P28" s="42">
        <f t="shared" si="10"/>
        <v>5091.7142952000004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4">
      <c r="A29" s="40">
        <v>44891</v>
      </c>
      <c r="B29" s="41">
        <v>72</v>
      </c>
      <c r="C29" s="39">
        <f t="shared" si="7"/>
        <v>6</v>
      </c>
      <c r="D29" s="41">
        <v>71</v>
      </c>
      <c r="E29" s="39">
        <f t="shared" si="8"/>
        <v>6</v>
      </c>
      <c r="F29" s="41">
        <v>73</v>
      </c>
      <c r="G29" s="39">
        <f t="shared" si="9"/>
        <v>7</v>
      </c>
      <c r="H29" s="41">
        <v>72</v>
      </c>
      <c r="I29" s="39">
        <f t="shared" si="11"/>
        <v>7</v>
      </c>
      <c r="J29" s="39">
        <f t="shared" si="12"/>
        <v>288</v>
      </c>
      <c r="K29" s="39">
        <f t="shared" si="13"/>
        <v>72</v>
      </c>
      <c r="L29" s="39">
        <f t="shared" si="18"/>
        <v>6.5</v>
      </c>
      <c r="M29" s="149">
        <f t="shared" si="17"/>
        <v>24196</v>
      </c>
      <c r="N29" s="39">
        <f t="shared" si="15"/>
        <v>1572.74</v>
      </c>
      <c r="O29" s="39">
        <f t="shared" si="16"/>
        <v>831.97946000000002</v>
      </c>
      <c r="P29" s="42">
        <f t="shared" si="10"/>
        <v>10183.428590400001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4">
      <c r="A30" s="40">
        <v>44892</v>
      </c>
      <c r="B30" s="41">
        <v>66</v>
      </c>
      <c r="C30" s="39">
        <f t="shared" si="7"/>
        <v>4</v>
      </c>
      <c r="D30" s="41">
        <v>65</v>
      </c>
      <c r="E30" s="39">
        <f t="shared" si="8"/>
        <v>9</v>
      </c>
      <c r="F30" s="41">
        <v>66</v>
      </c>
      <c r="G30" s="39">
        <f t="shared" si="9"/>
        <v>4</v>
      </c>
      <c r="H30" s="41">
        <v>65</v>
      </c>
      <c r="I30" s="39">
        <f t="shared" si="11"/>
        <v>5</v>
      </c>
      <c r="J30" s="39">
        <f t="shared" si="12"/>
        <v>262</v>
      </c>
      <c r="K30" s="39">
        <f t="shared" si="13"/>
        <v>65.5</v>
      </c>
      <c r="L30" s="39">
        <f t="shared" si="18"/>
        <v>5.5</v>
      </c>
      <c r="M30" s="149">
        <f t="shared" si="17"/>
        <v>24196</v>
      </c>
      <c r="N30" s="39">
        <f t="shared" si="15"/>
        <v>1330.78</v>
      </c>
      <c r="O30" s="39">
        <f t="shared" si="16"/>
        <v>703.98262</v>
      </c>
      <c r="P30" s="42">
        <f t="shared" si="10"/>
        <v>8616.7472687999998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4">
      <c r="A31" s="40">
        <v>44893</v>
      </c>
      <c r="B31" s="41">
        <v>62</v>
      </c>
      <c r="C31" s="39">
        <f t="shared" si="7"/>
        <v>2</v>
      </c>
      <c r="D31" s="41">
        <v>56</v>
      </c>
      <c r="E31" s="39">
        <f t="shared" si="8"/>
        <v>2</v>
      </c>
      <c r="F31" s="41">
        <v>62</v>
      </c>
      <c r="G31" s="39">
        <f t="shared" si="9"/>
        <v>2</v>
      </c>
      <c r="H31" s="41">
        <v>60</v>
      </c>
      <c r="I31" s="39">
        <f t="shared" si="11"/>
        <v>3</v>
      </c>
      <c r="J31" s="39">
        <f t="shared" si="12"/>
        <v>240</v>
      </c>
      <c r="K31" s="39">
        <f t="shared" si="13"/>
        <v>60</v>
      </c>
      <c r="L31" s="39">
        <f t="shared" si="18"/>
        <v>2.25</v>
      </c>
      <c r="M31" s="149">
        <f t="shared" si="17"/>
        <v>24196</v>
      </c>
      <c r="N31" s="39">
        <f t="shared" si="15"/>
        <v>544.41</v>
      </c>
      <c r="O31" s="39">
        <f t="shared" si="16"/>
        <v>287.99288999999999</v>
      </c>
      <c r="P31" s="42">
        <f t="shared" si="10"/>
        <v>3525.0329735999999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4">
      <c r="A32" s="40">
        <v>44894</v>
      </c>
      <c r="B32" s="41">
        <v>60</v>
      </c>
      <c r="C32" s="39">
        <f t="shared" si="7"/>
        <v>8</v>
      </c>
      <c r="D32" s="41">
        <v>54</v>
      </c>
      <c r="E32" s="39">
        <f t="shared" si="8"/>
        <v>5</v>
      </c>
      <c r="F32" s="41">
        <v>60</v>
      </c>
      <c r="G32" s="39">
        <f t="shared" si="9"/>
        <v>5</v>
      </c>
      <c r="H32" s="41">
        <v>57</v>
      </c>
      <c r="I32" s="39">
        <f t="shared" si="11"/>
        <v>6</v>
      </c>
      <c r="J32" s="39">
        <f t="shared" si="12"/>
        <v>231</v>
      </c>
      <c r="K32" s="39">
        <f t="shared" si="13"/>
        <v>57.75</v>
      </c>
      <c r="L32" s="39">
        <f t="shared" si="18"/>
        <v>6</v>
      </c>
      <c r="M32" s="149">
        <f t="shared" si="17"/>
        <v>24196</v>
      </c>
      <c r="N32" s="39">
        <f t="shared" si="15"/>
        <v>1451.76</v>
      </c>
      <c r="O32" s="149">
        <f t="shared" si="16"/>
        <v>767.98104000000001</v>
      </c>
      <c r="P32" s="42">
        <f t="shared" si="10"/>
        <v>9400.0879296000003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4">
      <c r="A33" s="40">
        <v>44895</v>
      </c>
      <c r="B33" s="41">
        <v>52</v>
      </c>
      <c r="C33" s="39">
        <f t="shared" si="7"/>
        <v>4</v>
      </c>
      <c r="D33" s="41">
        <v>49</v>
      </c>
      <c r="E33" s="39">
        <f t="shared" si="8"/>
        <v>4</v>
      </c>
      <c r="F33" s="41">
        <v>55</v>
      </c>
      <c r="G33" s="39">
        <f t="shared" si="9"/>
        <v>3</v>
      </c>
      <c r="H33" s="41">
        <v>51</v>
      </c>
      <c r="I33" s="39">
        <f t="shared" si="11"/>
        <v>3</v>
      </c>
      <c r="J33" s="39">
        <f t="shared" si="12"/>
        <v>207</v>
      </c>
      <c r="K33" s="39">
        <f t="shared" si="13"/>
        <v>51.75</v>
      </c>
      <c r="L33" s="39">
        <f t="shared" si="18"/>
        <v>3.5</v>
      </c>
      <c r="M33" s="149">
        <f t="shared" si="17"/>
        <v>24196</v>
      </c>
      <c r="N33" s="39">
        <f t="shared" si="15"/>
        <v>846.86</v>
      </c>
      <c r="O33" s="39">
        <f t="shared" si="16"/>
        <v>447.98894000000001</v>
      </c>
      <c r="P33" s="42">
        <f t="shared" si="10"/>
        <v>5483.3846256000006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4">
      <c r="A34" s="40">
        <v>44896</v>
      </c>
      <c r="B34" s="41">
        <v>48</v>
      </c>
      <c r="C34" s="39">
        <f t="shared" si="7"/>
        <v>0</v>
      </c>
      <c r="D34" s="41">
        <v>45</v>
      </c>
      <c r="E34" s="39">
        <f t="shared" si="8"/>
        <v>0</v>
      </c>
      <c r="F34" s="41">
        <v>52</v>
      </c>
      <c r="G34" s="39">
        <f t="shared" si="9"/>
        <v>0</v>
      </c>
      <c r="H34" s="41">
        <v>48</v>
      </c>
      <c r="I34" s="39">
        <f t="shared" si="11"/>
        <v>0</v>
      </c>
      <c r="J34" s="39">
        <f>B34+D34+F34+H34</f>
        <v>193</v>
      </c>
      <c r="K34" s="39">
        <f>J34/4</f>
        <v>48.25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4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4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4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4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4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4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4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4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4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26010.7</v>
      </c>
      <c r="O43" s="39">
        <f>N43*0.529</f>
        <v>13759.660300000001</v>
      </c>
      <c r="P43" s="42">
        <f>O43*12.24</f>
        <v>168418.24207200002</v>
      </c>
      <c r="Q43" s="286">
        <f>SUM(Q4:Q42)</f>
        <v>7309</v>
      </c>
      <c r="R43" s="287"/>
      <c r="S43" s="288"/>
      <c r="T43" s="289">
        <f>SUM(T4:T42)</f>
        <v>7104</v>
      </c>
      <c r="U43" s="287"/>
      <c r="V43" s="288"/>
      <c r="W43" s="289">
        <f>SUM(W4:W42)</f>
        <v>8008</v>
      </c>
      <c r="X43" s="287"/>
      <c r="Y43" s="288"/>
      <c r="Z43" s="289">
        <f>SUM(Z4:Z42)</f>
        <v>8069</v>
      </c>
      <c r="AA43" s="287"/>
      <c r="AB43" s="288"/>
      <c r="AC43" s="39">
        <f t="shared" si="20"/>
        <v>30490</v>
      </c>
    </row>
    <row r="44" spans="1:31" ht="35.25" customHeight="1" thickBot="1" x14ac:dyDescent="0.4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30490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30490</v>
      </c>
    </row>
    <row r="45" spans="1:31" ht="7.5" customHeight="1" thickBot="1" x14ac:dyDescent="0.45">
      <c r="D45" s="36" t="s">
        <v>18</v>
      </c>
    </row>
    <row r="46" spans="1:31" ht="51" customHeight="1" thickBot="1" x14ac:dyDescent="0.4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45">
      <c r="H47" s="282" t="s">
        <v>85</v>
      </c>
      <c r="I47" s="283"/>
      <c r="J47" s="284"/>
      <c r="K47" s="45">
        <f>N43</f>
        <v>26010.7</v>
      </c>
      <c r="L47" s="46">
        <f>O43</f>
        <v>13759.660300000001</v>
      </c>
      <c r="M47" s="46">
        <f>P43</f>
        <v>168418.24207200002</v>
      </c>
    </row>
    <row r="48" spans="1:31" ht="54.75" customHeight="1" thickBot="1" x14ac:dyDescent="0.45">
      <c r="H48" s="282" t="s">
        <v>86</v>
      </c>
      <c r="I48" s="283"/>
      <c r="J48" s="284"/>
      <c r="K48" s="43">
        <f>AC44</f>
        <v>30490</v>
      </c>
      <c r="L48" s="44">
        <f>K48*0.529</f>
        <v>16129.210000000001</v>
      </c>
      <c r="M48" s="44">
        <f>L48*12.24</f>
        <v>197421.53040000002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E20" sqref="E20"/>
    </sheetView>
  </sheetViews>
  <sheetFormatPr defaultColWidth="11.44140625" defaultRowHeight="13.2" x14ac:dyDescent="0.25"/>
  <cols>
    <col min="2" max="2" width="5.5546875" customWidth="1"/>
    <col min="3" max="3" width="9.88671875" customWidth="1"/>
    <col min="4" max="4" width="9.6640625" customWidth="1"/>
    <col min="5" max="5" width="10.5546875" customWidth="1"/>
    <col min="6" max="6" width="16" customWidth="1"/>
    <col min="7" max="7" width="7" customWidth="1"/>
    <col min="8" max="8" width="10" customWidth="1"/>
    <col min="9" max="9" width="18.44140625" customWidth="1"/>
    <col min="10" max="10" width="2.6640625" customWidth="1"/>
  </cols>
  <sheetData>
    <row r="1" spans="1:10" ht="15" customHeight="1" x14ac:dyDescent="0.25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3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5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3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3"/>
    <row r="7" spans="1:10" ht="24.6" thickTop="1" x14ac:dyDescent="0.25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5">
      <c r="A8" s="326">
        <v>95670781</v>
      </c>
      <c r="B8" s="326"/>
      <c r="C8" s="327">
        <v>44572</v>
      </c>
      <c r="D8" s="328"/>
      <c r="E8" s="113">
        <v>44603</v>
      </c>
      <c r="F8" s="163" t="s">
        <v>97</v>
      </c>
      <c r="G8" s="62"/>
      <c r="H8" s="62"/>
      <c r="I8" s="329"/>
      <c r="J8" s="330"/>
    </row>
    <row r="10" spans="1:10" ht="23.25" customHeight="1" thickBot="1" x14ac:dyDescent="0.3"/>
    <row r="11" spans="1:10" ht="24.75" customHeight="1" thickTop="1" x14ac:dyDescent="0.25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5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1319</v>
      </c>
      <c r="H12" s="335"/>
      <c r="I12" s="336"/>
      <c r="J12" s="336"/>
    </row>
    <row r="13" spans="1:10" x14ac:dyDescent="0.25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8" thickBot="1" x14ac:dyDescent="0.3"/>
    <row r="16" spans="1:10" ht="28.2" thickTop="1" x14ac:dyDescent="0.3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5">
      <c r="A17" s="340" t="s">
        <v>110</v>
      </c>
      <c r="B17" s="341"/>
      <c r="C17" s="66">
        <v>21620293</v>
      </c>
      <c r="D17" s="66">
        <v>21612801</v>
      </c>
      <c r="E17" s="67">
        <f>MIN(C17-D17)</f>
        <v>7492</v>
      </c>
      <c r="F17" s="67">
        <f>+E17</f>
        <v>7492</v>
      </c>
      <c r="G17" s="342"/>
      <c r="H17" s="343"/>
      <c r="I17" s="342">
        <f>+E17</f>
        <v>7492</v>
      </c>
      <c r="J17" s="343"/>
    </row>
    <row r="18" spans="1:10" x14ac:dyDescent="0.25">
      <c r="A18" s="340" t="s">
        <v>111</v>
      </c>
      <c r="B18" s="341"/>
      <c r="C18" s="66">
        <v>12639296</v>
      </c>
      <c r="D18" s="66">
        <v>12634618</v>
      </c>
      <c r="E18" s="67">
        <f>MIN(C18-D18)</f>
        <v>4678</v>
      </c>
      <c r="F18" s="67">
        <f>+E18</f>
        <v>4678</v>
      </c>
      <c r="G18" s="342"/>
      <c r="H18" s="343"/>
      <c r="I18" s="342">
        <f>+E18</f>
        <v>4678</v>
      </c>
      <c r="J18" s="343"/>
    </row>
    <row r="19" spans="1:10" x14ac:dyDescent="0.25">
      <c r="A19" s="340" t="s">
        <v>112</v>
      </c>
      <c r="B19" s="341"/>
      <c r="C19" s="66">
        <v>9469520</v>
      </c>
      <c r="D19" s="66">
        <v>9466063</v>
      </c>
      <c r="E19" s="67">
        <f>AVERAGE(C19-D19)</f>
        <v>3457</v>
      </c>
      <c r="F19" s="67">
        <f>+E19</f>
        <v>3457</v>
      </c>
      <c r="G19" s="342"/>
      <c r="H19" s="343"/>
      <c r="I19" s="342">
        <f>+E19</f>
        <v>3457</v>
      </c>
      <c r="J19" s="343"/>
    </row>
    <row r="20" spans="1:10" ht="14.4" x14ac:dyDescent="0.3">
      <c r="A20" s="362" t="s">
        <v>113</v>
      </c>
      <c r="B20" s="363"/>
      <c r="C20" s="68"/>
      <c r="D20" s="69"/>
      <c r="E20" s="68">
        <f>SUM(E17:E19)</f>
        <v>15627</v>
      </c>
      <c r="F20" s="70"/>
      <c r="G20" s="364"/>
      <c r="H20" s="365"/>
      <c r="I20" s="364"/>
      <c r="J20" s="365"/>
    </row>
    <row r="21" spans="1:10" x14ac:dyDescent="0.25">
      <c r="C21" s="110" t="s">
        <v>18</v>
      </c>
      <c r="D21" t="s">
        <v>114</v>
      </c>
      <c r="G21" s="366"/>
      <c r="H21" s="366"/>
    </row>
    <row r="22" spans="1:10" ht="13.8" thickBot="1" x14ac:dyDescent="0.3">
      <c r="G22" s="367"/>
      <c r="H22" s="367"/>
    </row>
    <row r="23" spans="1:10" ht="14.4" thickTop="1" x14ac:dyDescent="0.3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ht="13.8" x14ac:dyDescent="0.3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4.4" x14ac:dyDescent="0.3">
      <c r="A25" s="344" t="s">
        <v>123</v>
      </c>
      <c r="B25" s="345"/>
      <c r="C25" s="346"/>
      <c r="D25" s="67">
        <f>+E17</f>
        <v>7492</v>
      </c>
      <c r="E25" s="72">
        <v>0.95140000000000002</v>
      </c>
      <c r="F25" s="73">
        <f>PRODUCT(D25*E25)</f>
        <v>7127.8888000000006</v>
      </c>
      <c r="G25" s="151">
        <v>14</v>
      </c>
      <c r="H25" s="65">
        <f>PRODUCT(0.14,F25)</f>
        <v>997.90443200000016</v>
      </c>
      <c r="I25" s="347">
        <f>SUM(H25,F25)</f>
        <v>8125.7932320000009</v>
      </c>
      <c r="J25" s="348"/>
    </row>
    <row r="26" spans="1:10" ht="14.4" x14ac:dyDescent="0.3">
      <c r="A26" s="349" t="s">
        <v>124</v>
      </c>
      <c r="B26" s="350"/>
      <c r="C26" s="351"/>
      <c r="D26" s="67">
        <f>+E18</f>
        <v>4678</v>
      </c>
      <c r="E26" s="74">
        <v>0.69850000000000001</v>
      </c>
      <c r="F26" s="73">
        <f>PRODUCT(D26*E26)</f>
        <v>3267.5830000000001</v>
      </c>
      <c r="G26">
        <v>14</v>
      </c>
      <c r="H26" s="67">
        <f>PRODUCT(0.14,F26)</f>
        <v>457.46162000000004</v>
      </c>
      <c r="I26" s="347">
        <f t="shared" ref="I26:I31" si="0">SUM(H26,F26)</f>
        <v>3725.0446200000001</v>
      </c>
      <c r="J26" s="348"/>
    </row>
    <row r="27" spans="1:10" ht="14.4" x14ac:dyDescent="0.3">
      <c r="A27" s="349" t="s">
        <v>125</v>
      </c>
      <c r="B27" s="350"/>
      <c r="C27" s="351"/>
      <c r="D27" s="67">
        <f>+E19</f>
        <v>3457</v>
      </c>
      <c r="E27" s="74">
        <v>1.3304</v>
      </c>
      <c r="F27" s="73">
        <f>PRODUCT(D27*E27)</f>
        <v>4599.1927999999998</v>
      </c>
      <c r="G27">
        <v>14</v>
      </c>
      <c r="H27" s="67">
        <f>PRODUCT(0.14,F27)</f>
        <v>643.88699200000008</v>
      </c>
      <c r="I27" s="347">
        <f>SUM(H27,F27)</f>
        <v>5243.0797919999995</v>
      </c>
      <c r="J27" s="348"/>
    </row>
    <row r="28" spans="1:10" ht="14.4" x14ac:dyDescent="0.3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4.4" x14ac:dyDescent="0.3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4.4" x14ac:dyDescent="0.3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" thickBot="1" x14ac:dyDescent="0.35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5">
      <c r="A32" s="372" t="s">
        <v>130</v>
      </c>
      <c r="B32" s="373"/>
      <c r="C32" s="373"/>
      <c r="D32" s="373"/>
      <c r="E32" s="373"/>
      <c r="F32" s="84">
        <f>SUM(F25:F31)</f>
        <v>61209.334600000002</v>
      </c>
      <c r="G32" s="85"/>
      <c r="H32" s="86"/>
      <c r="I32" s="376">
        <f>SUM(I25:J31)</f>
        <v>69724.661443999998</v>
      </c>
      <c r="J32" s="376"/>
    </row>
    <row r="33" spans="1:10" ht="21.6" thickBot="1" x14ac:dyDescent="0.3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D29" sqref="D29"/>
    </sheetView>
  </sheetViews>
  <sheetFormatPr defaultColWidth="11.44140625" defaultRowHeight="13.2" x14ac:dyDescent="0.25"/>
  <cols>
    <col min="2" max="2" width="5.5546875" customWidth="1"/>
    <col min="3" max="3" width="9.88671875" customWidth="1"/>
    <col min="4" max="4" width="10" customWidth="1"/>
    <col min="5" max="5" width="10.5546875" customWidth="1"/>
    <col min="6" max="6" width="16" customWidth="1"/>
    <col min="7" max="7" width="7" customWidth="1"/>
    <col min="8" max="8" width="10" customWidth="1"/>
    <col min="9" max="9" width="18.44140625" customWidth="1"/>
    <col min="10" max="10" width="2.6640625" customWidth="1"/>
    <col min="12" max="12" width="11.109375" customWidth="1"/>
  </cols>
  <sheetData>
    <row r="1" spans="1:10" ht="15" customHeight="1" x14ac:dyDescent="0.25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3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5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3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3"/>
    <row r="7" spans="1:10" ht="24.6" thickTop="1" x14ac:dyDescent="0.25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5">
      <c r="A8" s="326">
        <v>95670781</v>
      </c>
      <c r="B8" s="326"/>
      <c r="C8" s="327">
        <v>44467</v>
      </c>
      <c r="D8" s="328"/>
      <c r="E8" s="113">
        <v>44862</v>
      </c>
      <c r="F8" s="163" t="s">
        <v>131</v>
      </c>
      <c r="G8" s="62"/>
      <c r="H8" s="62"/>
      <c r="I8" s="329"/>
      <c r="J8" s="330"/>
    </row>
    <row r="10" spans="1:10" ht="23.25" customHeight="1" thickBot="1" x14ac:dyDescent="0.3"/>
    <row r="11" spans="1:10" ht="24.75" customHeight="1" thickTop="1" x14ac:dyDescent="0.25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5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1069</v>
      </c>
      <c r="H12" s="335"/>
      <c r="I12" s="336"/>
      <c r="J12" s="336"/>
    </row>
    <row r="13" spans="1:10" x14ac:dyDescent="0.25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8" thickBot="1" x14ac:dyDescent="0.3"/>
    <row r="16" spans="1:10" ht="28.2" thickTop="1" x14ac:dyDescent="0.3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5">
      <c r="A17" s="340" t="s">
        <v>110</v>
      </c>
      <c r="B17" s="341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2"/>
      <c r="H17" s="343"/>
      <c r="I17" s="342">
        <f>+E17</f>
        <v>244745</v>
      </c>
      <c r="J17" s="343"/>
    </row>
    <row r="18" spans="1:10" x14ac:dyDescent="0.25">
      <c r="A18" s="340" t="s">
        <v>111</v>
      </c>
      <c r="B18" s="341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2"/>
      <c r="H18" s="343"/>
      <c r="I18" s="342">
        <f>+E18</f>
        <v>159595</v>
      </c>
      <c r="J18" s="343"/>
    </row>
    <row r="19" spans="1:10" x14ac:dyDescent="0.25">
      <c r="A19" s="340" t="s">
        <v>112</v>
      </c>
      <c r="B19" s="341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2"/>
      <c r="H19" s="343"/>
      <c r="I19" s="342">
        <f>+E19</f>
        <v>118312</v>
      </c>
      <c r="J19" s="343"/>
    </row>
    <row r="20" spans="1:10" ht="14.4" x14ac:dyDescent="0.3">
      <c r="A20" s="362" t="s">
        <v>113</v>
      </c>
      <c r="B20" s="363"/>
      <c r="C20" s="68"/>
      <c r="D20" s="69"/>
      <c r="E20" s="68">
        <f>SUM(E17:E19)</f>
        <v>522652</v>
      </c>
      <c r="F20" s="70"/>
      <c r="G20" s="364"/>
      <c r="H20" s="365"/>
      <c r="I20" s="364"/>
      <c r="J20" s="365"/>
    </row>
    <row r="21" spans="1:10" x14ac:dyDescent="0.25">
      <c r="C21" s="110" t="s">
        <v>18</v>
      </c>
      <c r="D21" t="s">
        <v>114</v>
      </c>
      <c r="G21" s="366"/>
      <c r="H21" s="366"/>
    </row>
    <row r="22" spans="1:10" ht="13.8" thickBot="1" x14ac:dyDescent="0.3">
      <c r="G22" s="367"/>
      <c r="H22" s="367"/>
    </row>
    <row r="23" spans="1:10" ht="14.4" thickTop="1" x14ac:dyDescent="0.3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ht="13.8" x14ac:dyDescent="0.3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4.4" x14ac:dyDescent="0.3">
      <c r="A25" s="344" t="s">
        <v>123</v>
      </c>
      <c r="B25" s="345"/>
      <c r="C25" s="34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7">
        <f>SUM(H25,F25)</f>
        <v>265449.44802000001</v>
      </c>
      <c r="J25" s="348"/>
    </row>
    <row r="26" spans="1:10" ht="14.4" x14ac:dyDescent="0.3">
      <c r="A26" s="349" t="s">
        <v>124</v>
      </c>
      <c r="B26" s="350"/>
      <c r="C26" s="351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7">
        <f t="shared" ref="I26:I31" si="0">SUM(H26,F26)</f>
        <v>127083.90255</v>
      </c>
      <c r="J26" s="348"/>
    </row>
    <row r="27" spans="1:10" ht="14.4" x14ac:dyDescent="0.3">
      <c r="A27" s="349" t="s">
        <v>125</v>
      </c>
      <c r="B27" s="350"/>
      <c r="C27" s="351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7">
        <f>SUM(H27,F27)</f>
        <v>179438.60467199999</v>
      </c>
      <c r="J27" s="348"/>
    </row>
    <row r="28" spans="1:10" ht="14.4" x14ac:dyDescent="0.3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4.4" x14ac:dyDescent="0.3">
      <c r="A29" s="377" t="s">
        <v>127</v>
      </c>
      <c r="B29" s="378"/>
      <c r="C29" s="379"/>
      <c r="D29" s="75">
        <f>G12-D28</f>
        <v>69</v>
      </c>
      <c r="E29" s="76">
        <f>E28*1.5</f>
        <v>65.822505000000007</v>
      </c>
      <c r="F29" s="77">
        <f>PRODUCT(D29,E29)</f>
        <v>4541.7528450000009</v>
      </c>
      <c r="G29" s="78">
        <v>14</v>
      </c>
      <c r="H29" s="75">
        <f>PRODUCT(0.14,F29)</f>
        <v>635.84539830000017</v>
      </c>
      <c r="I29" s="380">
        <f t="shared" si="0"/>
        <v>5177.5982433000008</v>
      </c>
      <c r="J29" s="381"/>
    </row>
    <row r="30" spans="1:10" ht="14.4" x14ac:dyDescent="0.3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" thickBot="1" x14ac:dyDescent="0.35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5">
      <c r="A32" s="372" t="s">
        <v>130</v>
      </c>
      <c r="B32" s="373"/>
      <c r="C32" s="373"/>
      <c r="D32" s="373"/>
      <c r="E32" s="373"/>
      <c r="F32" s="84">
        <f>SUM(F25:F31)</f>
        <v>552486.20814500004</v>
      </c>
      <c r="G32" s="85"/>
      <c r="H32" s="86"/>
      <c r="I32" s="376">
        <f>SUM(I25:J31)</f>
        <v>629780.29728529998</v>
      </c>
      <c r="J32" s="376"/>
    </row>
    <row r="33" spans="1:10" ht="21.6" thickBot="1" x14ac:dyDescent="0.3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D13" sqref="D13:E13"/>
    </sheetView>
  </sheetViews>
  <sheetFormatPr defaultColWidth="11.44140625" defaultRowHeight="13.2" x14ac:dyDescent="0.25"/>
  <cols>
    <col min="1" max="1" width="14.88671875" bestFit="1" customWidth="1"/>
    <col min="3" max="5" width="11.5546875" bestFit="1" customWidth="1"/>
    <col min="6" max="6" width="10.5546875" customWidth="1"/>
    <col min="7" max="7" width="13.44140625" customWidth="1"/>
    <col min="8" max="8" width="9" hidden="1" customWidth="1"/>
  </cols>
  <sheetData>
    <row r="1" spans="1:8" ht="15" customHeight="1" x14ac:dyDescent="0.25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3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5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3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5"/>
    <row r="7" spans="1:8" ht="42.75" customHeight="1" x14ac:dyDescent="0.25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4.4" x14ac:dyDescent="0.3">
      <c r="A8" s="165"/>
      <c r="B8" s="95" t="s">
        <v>137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3">
      <c r="A9" s="100"/>
      <c r="B9" s="100"/>
      <c r="C9" s="100"/>
      <c r="D9" s="100"/>
      <c r="E9" s="100"/>
      <c r="F9" s="100"/>
      <c r="G9" s="100"/>
      <c r="H9" s="100"/>
    </row>
    <row r="10" spans="1:8" ht="14.4" x14ac:dyDescent="0.3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4.4" x14ac:dyDescent="0.3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4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4.4" x14ac:dyDescent="0.3">
      <c r="A13" s="102" t="s">
        <v>142</v>
      </c>
      <c r="B13" s="397">
        <f>G8</f>
        <v>3767.6000000000058</v>
      </c>
      <c r="C13" s="397"/>
      <c r="D13" s="397">
        <v>8.7899999999999991</v>
      </c>
      <c r="E13" s="397"/>
      <c r="F13" s="404">
        <f>PRODUCT(D13,B13)</f>
        <v>33117.204000000049</v>
      </c>
      <c r="G13" s="404"/>
      <c r="H13" s="404"/>
    </row>
    <row r="14" spans="1:8" ht="45" customHeight="1" x14ac:dyDescent="0.25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5">
      <c r="A15" s="402"/>
      <c r="B15" s="402"/>
      <c r="C15" s="402"/>
      <c r="D15" s="402"/>
      <c r="E15" s="402"/>
      <c r="F15" s="402"/>
      <c r="G15" s="402"/>
      <c r="H15" s="402"/>
    </row>
    <row r="16" spans="1:8" ht="14.4" x14ac:dyDescent="0.3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4.4" x14ac:dyDescent="0.3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4.4" x14ac:dyDescent="0.3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4.4" x14ac:dyDescent="0.3">
      <c r="A19" s="103" t="s">
        <v>147</v>
      </c>
      <c r="B19" s="397">
        <f>G8</f>
        <v>3767.6000000000058</v>
      </c>
      <c r="C19" s="397"/>
      <c r="D19" s="397">
        <v>2.61</v>
      </c>
      <c r="E19" s="397"/>
      <c r="F19" s="397">
        <f>PRODUCT(D19,B19)</f>
        <v>9833.4360000000142</v>
      </c>
      <c r="G19" s="397"/>
      <c r="H19" s="397"/>
    </row>
    <row r="20" spans="1:8" ht="18" x14ac:dyDescent="0.35">
      <c r="A20" s="393" t="s">
        <v>148</v>
      </c>
      <c r="B20" s="394"/>
      <c r="C20" s="394"/>
      <c r="D20" s="394"/>
      <c r="E20" s="395"/>
      <c r="F20" s="396">
        <f>SUM(F11+F13+F16+F17+F18+F19)</f>
        <v>42973.640000000065</v>
      </c>
      <c r="G20" s="396"/>
      <c r="H20" s="396"/>
    </row>
    <row r="21" spans="1:8" ht="14.4" x14ac:dyDescent="0.3">
      <c r="A21" s="382" t="s">
        <v>149</v>
      </c>
      <c r="B21" s="383"/>
      <c r="C21" s="383"/>
      <c r="D21" s="383"/>
      <c r="E21" s="384"/>
      <c r="F21" s="397">
        <f>PRODUCT(F20,0.07)</f>
        <v>3008.1548000000048</v>
      </c>
      <c r="G21" s="397"/>
      <c r="H21" s="397"/>
    </row>
    <row r="22" spans="1:8" ht="14.4" x14ac:dyDescent="0.3">
      <c r="A22" s="398" t="s">
        <v>150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6" x14ac:dyDescent="0.3">
      <c r="A23" s="382" t="s">
        <v>151</v>
      </c>
      <c r="B23" s="383"/>
      <c r="C23" s="383"/>
      <c r="D23" s="383"/>
      <c r="E23" s="384"/>
      <c r="F23" s="385">
        <f>SUM(F21:H22)</f>
        <v>3216.414800000005</v>
      </c>
      <c r="G23" s="385"/>
      <c r="H23" s="385"/>
    </row>
    <row r="24" spans="1:8" x14ac:dyDescent="0.25">
      <c r="A24" s="386" t="s">
        <v>152</v>
      </c>
      <c r="B24" s="387"/>
      <c r="C24" s="387"/>
      <c r="D24" s="387"/>
      <c r="E24" s="388"/>
      <c r="F24" s="392">
        <f>SUM(F20,F23)</f>
        <v>46190.054800000071</v>
      </c>
      <c r="G24" s="392"/>
      <c r="H24" s="392"/>
    </row>
    <row r="25" spans="1:8" x14ac:dyDescent="0.25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4140625" defaultRowHeight="13.2" x14ac:dyDescent="0.25"/>
  <cols>
    <col min="1" max="1" width="14.88671875" bestFit="1" customWidth="1"/>
    <col min="3" max="5" width="11.5546875" bestFit="1" customWidth="1"/>
    <col min="6" max="6" width="10.5546875" customWidth="1"/>
    <col min="7" max="7" width="13.44140625" customWidth="1"/>
    <col min="8" max="8" width="9" hidden="1" customWidth="1"/>
  </cols>
  <sheetData>
    <row r="1" spans="1:8" ht="15" customHeight="1" x14ac:dyDescent="0.25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3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5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3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5"/>
    <row r="7" spans="1:8" ht="42.75" customHeight="1" x14ac:dyDescent="0.25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4.4" x14ac:dyDescent="0.3">
      <c r="A8" s="165"/>
      <c r="B8" s="95" t="s">
        <v>137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3">
      <c r="A9" s="100"/>
      <c r="B9" s="100"/>
      <c r="C9" s="100"/>
      <c r="D9" s="100"/>
      <c r="E9" s="100"/>
      <c r="F9" s="100"/>
      <c r="G9" s="100"/>
      <c r="H9" s="100"/>
    </row>
    <row r="10" spans="1:8" ht="14.4" x14ac:dyDescent="0.3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4.4" x14ac:dyDescent="0.3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4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4.4" x14ac:dyDescent="0.3">
      <c r="A13" s="102" t="s">
        <v>142</v>
      </c>
      <c r="B13" s="397">
        <f>G8</f>
        <v>180</v>
      </c>
      <c r="C13" s="397"/>
      <c r="D13" s="397">
        <v>8.5</v>
      </c>
      <c r="E13" s="397"/>
      <c r="F13" s="404">
        <f>PRODUCT(D13,B13)</f>
        <v>1530</v>
      </c>
      <c r="G13" s="404"/>
      <c r="H13" s="404"/>
    </row>
    <row r="14" spans="1:8" ht="45" customHeight="1" x14ac:dyDescent="0.25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5">
      <c r="A15" s="402"/>
      <c r="B15" s="402"/>
      <c r="C15" s="402"/>
      <c r="D15" s="402"/>
      <c r="E15" s="402"/>
      <c r="F15" s="402"/>
      <c r="G15" s="402"/>
      <c r="H15" s="402"/>
    </row>
    <row r="16" spans="1:8" ht="14.4" x14ac:dyDescent="0.3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4.4" x14ac:dyDescent="0.3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4.4" x14ac:dyDescent="0.3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4.4" x14ac:dyDescent="0.3">
      <c r="A19" s="103" t="s">
        <v>147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4.4" x14ac:dyDescent="0.3">
      <c r="A20" s="103" t="s">
        <v>153</v>
      </c>
      <c r="B20" s="397">
        <f>G8</f>
        <v>180</v>
      </c>
      <c r="C20" s="397"/>
      <c r="D20" s="397">
        <v>2.54</v>
      </c>
      <c r="E20" s="397"/>
      <c r="F20" s="397">
        <f>PRODUCT(D20,B20)</f>
        <v>457.2</v>
      </c>
      <c r="G20" s="397"/>
      <c r="H20" s="397"/>
    </row>
    <row r="21" spans="1:8" ht="18" x14ac:dyDescent="0.35">
      <c r="A21" s="393" t="s">
        <v>148</v>
      </c>
      <c r="B21" s="394"/>
      <c r="C21" s="394"/>
      <c r="D21" s="394"/>
      <c r="E21" s="395"/>
      <c r="F21" s="396">
        <f>SUM(F11+F13+F16+F17+F18+F20)</f>
        <v>2010.2</v>
      </c>
      <c r="G21" s="396"/>
      <c r="H21" s="396"/>
    </row>
    <row r="22" spans="1:8" ht="14.4" x14ac:dyDescent="0.3">
      <c r="A22" s="382" t="s">
        <v>149</v>
      </c>
      <c r="B22" s="383"/>
      <c r="C22" s="383"/>
      <c r="D22" s="383"/>
      <c r="E22" s="384"/>
      <c r="F22" s="397">
        <f>PRODUCT(F21,0.07)</f>
        <v>140.71400000000003</v>
      </c>
      <c r="G22" s="397"/>
      <c r="H22" s="397"/>
    </row>
    <row r="23" spans="1:8" ht="14.4" x14ac:dyDescent="0.3">
      <c r="A23" s="398" t="s">
        <v>150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6" x14ac:dyDescent="0.3">
      <c r="A24" s="382" t="s">
        <v>151</v>
      </c>
      <c r="B24" s="383"/>
      <c r="C24" s="383"/>
      <c r="D24" s="383"/>
      <c r="E24" s="384"/>
      <c r="F24" s="385">
        <f>SUM(F22:H23)</f>
        <v>348.97400000000005</v>
      </c>
      <c r="G24" s="385"/>
      <c r="H24" s="385"/>
    </row>
    <row r="25" spans="1:8" x14ac:dyDescent="0.25">
      <c r="A25" s="386" t="s">
        <v>152</v>
      </c>
      <c r="B25" s="387"/>
      <c r="C25" s="387"/>
      <c r="D25" s="387"/>
      <c r="E25" s="388"/>
      <c r="F25" s="392">
        <f>SUM(F21,F24)</f>
        <v>2359.174</v>
      </c>
      <c r="G25" s="392"/>
      <c r="H25" s="392"/>
    </row>
    <row r="26" spans="1:8" x14ac:dyDescent="0.25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4140625" defaultRowHeight="13.2" x14ac:dyDescent="0.25"/>
  <cols>
    <col min="1" max="1" width="13.6640625" bestFit="1" customWidth="1"/>
    <col min="3" max="5" width="11.5546875" bestFit="1" customWidth="1"/>
    <col min="6" max="6" width="10.5546875" customWidth="1"/>
    <col min="7" max="7" width="13.44140625" customWidth="1"/>
    <col min="8" max="8" width="9" hidden="1" customWidth="1"/>
  </cols>
  <sheetData>
    <row r="1" spans="1:8" ht="15" customHeight="1" x14ac:dyDescent="0.25">
      <c r="A1" s="405"/>
      <c r="B1" s="301" t="s">
        <v>154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3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5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3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5"/>
    <row r="7" spans="1:8" ht="42.75" customHeight="1" x14ac:dyDescent="0.25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4.4" x14ac:dyDescent="0.3">
      <c r="A8" s="165"/>
      <c r="B8" s="95" t="s">
        <v>137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3">
      <c r="A9" s="100"/>
      <c r="B9" s="100"/>
      <c r="C9" s="100"/>
      <c r="D9" s="100"/>
      <c r="E9" s="100"/>
      <c r="F9" s="100"/>
      <c r="G9" s="100"/>
      <c r="H9" s="100"/>
    </row>
    <row r="10" spans="1:8" ht="14.4" x14ac:dyDescent="0.3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4.4" x14ac:dyDescent="0.3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4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4.4" x14ac:dyDescent="0.3">
      <c r="A13" s="102" t="s">
        <v>155</v>
      </c>
      <c r="B13" s="397">
        <f>G8</f>
        <v>9</v>
      </c>
      <c r="C13" s="397"/>
      <c r="D13" s="397">
        <v>16.48</v>
      </c>
      <c r="E13" s="397"/>
      <c r="F13" s="404">
        <f>PRODUCT(D13,B13)</f>
        <v>148.32</v>
      </c>
      <c r="G13" s="404"/>
      <c r="H13" s="404"/>
    </row>
    <row r="14" spans="1:8" ht="14.4" x14ac:dyDescent="0.3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4.4" x14ac:dyDescent="0.3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4.4" x14ac:dyDescent="0.3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4.4" x14ac:dyDescent="0.3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5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5">
      <c r="A19" s="402"/>
      <c r="B19" s="402"/>
      <c r="C19" s="402"/>
      <c r="D19" s="402"/>
      <c r="E19" s="402"/>
      <c r="F19" s="402"/>
      <c r="G19" s="402"/>
      <c r="H19" s="402"/>
    </row>
    <row r="20" spans="1:8" ht="14.4" x14ac:dyDescent="0.3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4.4" x14ac:dyDescent="0.3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4.4" x14ac:dyDescent="0.3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4.4" x14ac:dyDescent="0.3">
      <c r="A23" s="103" t="s">
        <v>147</v>
      </c>
      <c r="B23" s="397">
        <f>G8</f>
        <v>9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4.4" x14ac:dyDescent="0.3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" x14ac:dyDescent="0.35">
      <c r="A25" s="393" t="s">
        <v>148</v>
      </c>
      <c r="B25" s="394"/>
      <c r="C25" s="394"/>
      <c r="D25" s="394"/>
      <c r="E25" s="395"/>
      <c r="F25" s="423">
        <f>SUM(F11+F13+F20+F21+F22+F23)</f>
        <v>163.32</v>
      </c>
      <c r="G25" s="396"/>
      <c r="H25" s="396"/>
    </row>
    <row r="26" spans="1:8" ht="14.4" x14ac:dyDescent="0.3">
      <c r="A26" s="382" t="s">
        <v>149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4.4" x14ac:dyDescent="0.3">
      <c r="A27" s="398" t="s">
        <v>150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6" x14ac:dyDescent="0.3">
      <c r="A28" s="382" t="s">
        <v>151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5">
      <c r="A29" s="386" t="s">
        <v>152</v>
      </c>
      <c r="B29" s="387"/>
      <c r="C29" s="387"/>
      <c r="D29" s="387"/>
      <c r="E29" s="388"/>
      <c r="F29" s="392">
        <f>SUM(F25,F28)</f>
        <v>229.38</v>
      </c>
      <c r="G29" s="392"/>
      <c r="H29" s="392"/>
    </row>
    <row r="30" spans="1:8" x14ac:dyDescent="0.25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defaultColWidth="14.109375" defaultRowHeight="13.2" x14ac:dyDescent="0.25"/>
  <cols>
    <col min="1" max="1" width="8" customWidth="1"/>
    <col min="2" max="2" width="23.6640625" customWidth="1"/>
    <col min="4" max="4" width="15.6640625" customWidth="1"/>
    <col min="6" max="6" width="16.33203125" customWidth="1"/>
    <col min="7" max="7" width="15.5546875" customWidth="1"/>
    <col min="8" max="8" width="17.33203125" customWidth="1"/>
    <col min="10" max="11" width="16" customWidth="1"/>
    <col min="12" max="13" width="15.88671875" customWidth="1"/>
    <col min="14" max="14" width="16.33203125" customWidth="1"/>
  </cols>
  <sheetData>
    <row r="4" spans="2:14" ht="13.8" thickBot="1" x14ac:dyDescent="0.3"/>
    <row r="5" spans="2:14" ht="21" thickBot="1" x14ac:dyDescent="0.4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5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5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5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5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5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5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5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5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5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4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5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5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5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5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5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5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5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5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5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5"/>
    <row r="33" ht="15.75" customHeight="1" x14ac:dyDescent="0.25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defaultColWidth="14.109375" defaultRowHeight="13.2" x14ac:dyDescent="0.25"/>
  <cols>
    <col min="1" max="1" width="8" customWidth="1"/>
    <col min="2" max="2" width="20.33203125" customWidth="1"/>
  </cols>
  <sheetData>
    <row r="4" spans="2:14" ht="13.8" thickBot="1" x14ac:dyDescent="0.3"/>
    <row r="5" spans="2:14" ht="21" thickBot="1" x14ac:dyDescent="0.4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5"/>
    <row r="7" spans="2:14" x14ac:dyDescent="0.25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5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5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5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5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5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5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5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5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4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5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5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5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5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5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5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5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5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5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5">
      <c r="O31" t="s">
        <v>18</v>
      </c>
    </row>
    <row r="32" spans="2:15" ht="15.75" customHeight="1" x14ac:dyDescent="0.25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defaultColWidth="14.109375" defaultRowHeight="13.2" x14ac:dyDescent="0.25"/>
  <cols>
    <col min="1" max="1" width="8" customWidth="1"/>
    <col min="2" max="2" width="20.33203125" customWidth="1"/>
  </cols>
  <sheetData>
    <row r="4" spans="2:14" ht="13.8" thickBot="1" x14ac:dyDescent="0.3"/>
    <row r="5" spans="2:14" ht="21" thickBot="1" x14ac:dyDescent="0.4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5"/>
    <row r="7" spans="2:14" x14ac:dyDescent="0.25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5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5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5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5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5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5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5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5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4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5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5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5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5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5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5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5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5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5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5"/>
    <row r="32" spans="2:14" ht="15.75" customHeight="1" x14ac:dyDescent="0.25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4140625" defaultRowHeight="13.2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énergie'!Print_Area</vt:lpstr>
      <vt:lpstr>'facture électricité'!Print_Area</vt:lpstr>
      <vt:lpstr>'Suivi EAU-ELEC'!Print_Area</vt:lpstr>
      <vt:lpstr>'Suvi Gaz'!Print_Area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Joe Khoury</cp:lastModifiedBy>
  <cp:revision/>
  <dcterms:created xsi:type="dcterms:W3CDTF">1996-10-21T11:03:58Z</dcterms:created>
  <dcterms:modified xsi:type="dcterms:W3CDTF">2022-12-06T09:15:24Z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