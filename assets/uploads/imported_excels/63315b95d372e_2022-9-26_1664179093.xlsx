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6D57A7D3-4875-4A44-8C89-B8ED05F07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<sst xmlns="http://schemas.openxmlformats.org/spreadsheetml/2006/main" count="647" uniqueCount="76">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</sst>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G11" sqref="G11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5" customWidth="1"/>
    <col min="7" max="7" width="11.109375" customWidth="1"/>
    <col min="8" max="8" width="11" style="125" customWidth="1"/>
    <col min="9" max="9" width="11.5546875" customWidth="1"/>
    <col min="10" max="10" width="13.109375" style="125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>
        <v>4.1100000000000003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>
        <v>4.1100000000000003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>
        <v>4.1100000000000003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>
        <v>4.1100000000000003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>
        <v>4.1100000000000003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>
        <v>4.1100000000000003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>
        <v>4.1100000000000003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>
        <v>4.1100000000000003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>
        <v>4.1100000000000003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>
        <v>4.1100000000000003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>
        <v>4.1100000000000003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>
        <v>4.1100000000000003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>
        <v>4.1100000000000003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>
        <v>4.1100000000000003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>
        <v>4.1100000000000003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>
        <v>4.1100000000000003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>
        <v>4.1100000000000003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>
        <v>4.1100000000000003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>
        <v>4.1100000000000003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>
        <v>4.1100000000000003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>
        <v>4.1100000000000003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>
        <v>4.1100000000000003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24">
        <v>4.1100000000000003</v>
      </c>
      <c r="G267" s="4" t="str">
        <f>'Gas Water'!M270</f>
        <v/>
      </c>
      <c r="H267" s="124">
        <v>20</v>
      </c>
      <c r="I267" s="2" t="str">
        <f>'Gas Water'!L270</f>
        <v/>
      </c>
      <c r="J267" s="124">
        <v>31.44</v>
      </c>
      <c r="K267" s="5"/>
      <c r="L267" s="5"/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24">
        <v>4.1100000000000003</v>
      </c>
      <c r="G268" s="4" t="str">
        <f>'Gas Water'!M271</f>
        <v/>
      </c>
      <c r="H268" s="124">
        <v>20</v>
      </c>
      <c r="I268" s="2" t="str">
        <f>'Gas Water'!L271</f>
        <v/>
      </c>
      <c r="J268" s="124">
        <v>31.44</v>
      </c>
      <c r="K268" s="5"/>
      <c r="L268" s="5"/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24">
        <v>4.1100000000000003</v>
      </c>
      <c r="G269" s="4" t="str">
        <f>'Gas Water'!M272</f>
        <v/>
      </c>
      <c r="H269" s="124">
        <v>20</v>
      </c>
      <c r="I269" s="2" t="str">
        <f>'Gas Water'!L272</f>
        <v/>
      </c>
      <c r="J269" s="124">
        <v>31.44</v>
      </c>
      <c r="K269" s="5"/>
      <c r="L269" s="5"/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24">
        <v>4.1100000000000003</v>
      </c>
      <c r="G270" s="4" t="str">
        <f>'Gas Water'!M273</f>
        <v/>
      </c>
      <c r="H270" s="124">
        <v>20</v>
      </c>
      <c r="I270" s="2" t="str">
        <f>'Gas Water'!L273</f>
        <v/>
      </c>
      <c r="J270" s="124">
        <v>31.44</v>
      </c>
      <c r="K270" s="5"/>
      <c r="L270" s="5"/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24">
        <v>4.1100000000000003</v>
      </c>
      <c r="G271" s="4" t="str">
        <f>'Gas Water'!M274</f>
        <v/>
      </c>
      <c r="H271" s="124">
        <v>20</v>
      </c>
      <c r="I271" s="2" t="str">
        <f>'Gas Water'!L274</f>
        <v/>
      </c>
      <c r="J271" s="124">
        <v>31.44</v>
      </c>
      <c r="K271" s="5"/>
      <c r="L271" s="5"/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24">
        <v>4.1100000000000003</v>
      </c>
      <c r="G272" s="4" t="str">
        <f>'Gas Water'!M275</f>
        <v/>
      </c>
      <c r="H272" s="124">
        <v>20</v>
      </c>
      <c r="I272" s="2" t="str">
        <f>'Gas Water'!L275</f>
        <v/>
      </c>
      <c r="J272" s="124">
        <v>31.44</v>
      </c>
      <c r="K272" s="5"/>
      <c r="L272" s="5"/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24">
        <v>4.1100000000000003</v>
      </c>
      <c r="G273" s="4" t="str">
        <f>'Gas Water'!M276</f>
        <v/>
      </c>
      <c r="H273" s="124">
        <v>20</v>
      </c>
      <c r="I273" s="2" t="str">
        <f>'Gas Water'!L276</f>
        <v/>
      </c>
      <c r="J273" s="124">
        <v>31.44</v>
      </c>
      <c r="K273" s="5"/>
      <c r="L273" s="5"/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24">
        <v>4.1100000000000003</v>
      </c>
      <c r="G274" s="4" t="str">
        <f>'Gas Water'!M277</f>
        <v/>
      </c>
      <c r="H274" s="124">
        <v>20</v>
      </c>
      <c r="I274" s="2" t="str">
        <f>'Gas Water'!L277</f>
        <v/>
      </c>
      <c r="J274" s="124">
        <v>31.44</v>
      </c>
      <c r="K274" s="5"/>
      <c r="L274" s="5"/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24">
        <v>4.1100000000000003</v>
      </c>
      <c r="G275" s="4" t="str">
        <f>'Gas Water'!M278</f>
        <v/>
      </c>
      <c r="H275" s="124">
        <v>20</v>
      </c>
      <c r="I275" s="2" t="str">
        <f>'Gas Water'!L278</f>
        <v/>
      </c>
      <c r="J275" s="124">
        <v>31.44</v>
      </c>
      <c r="K275" s="5"/>
      <c r="L275" s="5"/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24">
        <v>4.1100000000000003</v>
      </c>
      <c r="G276" s="4" t="str">
        <f>'Gas Water'!M279</f>
        <v/>
      </c>
      <c r="H276" s="124">
        <v>20</v>
      </c>
      <c r="I276" s="2" t="str">
        <f>'Gas Water'!L279</f>
        <v/>
      </c>
      <c r="J276" s="124">
        <v>31.44</v>
      </c>
      <c r="K276" s="5"/>
      <c r="L276" s="5"/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24">
        <v>4.1100000000000003</v>
      </c>
      <c r="G277" s="4" t="str">
        <f>'Gas Water'!M280</f>
        <v/>
      </c>
      <c r="H277" s="124">
        <v>20</v>
      </c>
      <c r="I277" s="2" t="str">
        <f>'Gas Water'!L280</f>
        <v/>
      </c>
      <c r="J277" s="124">
        <v>31.44</v>
      </c>
      <c r="K277" s="5"/>
      <c r="L277" s="5"/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24">
        <v>4.1100000000000003</v>
      </c>
      <c r="G278" s="4" t="str">
        <f>'Gas Water'!M281</f>
        <v/>
      </c>
      <c r="H278" s="124">
        <v>20</v>
      </c>
      <c r="I278" s="2" t="str">
        <f>'Gas Water'!L281</f>
        <v/>
      </c>
      <c r="J278" s="124">
        <v>31.44</v>
      </c>
      <c r="K278" s="5"/>
      <c r="L278" s="5"/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24">
        <v>4.1100000000000003</v>
      </c>
      <c r="G279" s="4" t="str">
        <f>'Gas Water'!M282</f>
        <v/>
      </c>
      <c r="H279" s="124">
        <v>20</v>
      </c>
      <c r="I279" s="2" t="str">
        <f>'Gas Water'!L282</f>
        <v/>
      </c>
      <c r="J279" s="124">
        <v>31.44</v>
      </c>
      <c r="K279" s="5"/>
      <c r="L279" s="5"/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24">
        <v>4.1100000000000003</v>
      </c>
      <c r="G280" s="4" t="str">
        <f>'Gas Water'!M283</f>
        <v/>
      </c>
      <c r="H280" s="124">
        <v>20</v>
      </c>
      <c r="I280" s="2" t="str">
        <f>'Gas Water'!L283</f>
        <v/>
      </c>
      <c r="J280" s="124">
        <v>31.44</v>
      </c>
      <c r="K280" s="5"/>
      <c r="L280" s="5"/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24">
        <v>4.1100000000000003</v>
      </c>
      <c r="G281" s="4" t="str">
        <f>'Gas Water'!M284</f>
        <v/>
      </c>
      <c r="H281" s="124">
        <v>20</v>
      </c>
      <c r="I281" s="2" t="str">
        <f>'Gas Water'!L284</f>
        <v/>
      </c>
      <c r="J281" s="124">
        <v>31.44</v>
      </c>
      <c r="K281" s="5"/>
      <c r="L281" s="5"/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24">
        <v>4.1100000000000003</v>
      </c>
      <c r="G282" s="4" t="str">
        <f>'Gas Water'!M285</f>
        <v/>
      </c>
      <c r="H282" s="124">
        <v>20</v>
      </c>
      <c r="I282" s="2" t="str">
        <f>'Gas Water'!L285</f>
        <v/>
      </c>
      <c r="J282" s="124">
        <v>31.44</v>
      </c>
      <c r="K282" s="5"/>
      <c r="L282" s="5"/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24">
        <v>4.1100000000000003</v>
      </c>
      <c r="G283" s="4" t="str">
        <f>'Gas Water'!M286</f>
        <v/>
      </c>
      <c r="H283" s="124">
        <v>20</v>
      </c>
      <c r="I283" s="2" t="str">
        <f>'Gas Water'!L286</f>
        <v/>
      </c>
      <c r="J283" s="124">
        <v>31.44</v>
      </c>
      <c r="K283" s="5"/>
      <c r="L283" s="5"/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24">
        <v>4.1100000000000003</v>
      </c>
      <c r="G284" s="4" t="str">
        <f>'Gas Water'!M287</f>
        <v/>
      </c>
      <c r="H284" s="124">
        <v>20</v>
      </c>
      <c r="I284" s="2" t="str">
        <f>'Gas Water'!L287</f>
        <v/>
      </c>
      <c r="J284" s="124">
        <v>31.44</v>
      </c>
      <c r="K284" s="5"/>
      <c r="L284" s="5"/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>
        <v>4.1100000000000003</v>
      </c>
      <c r="G285" s="4" t="str">
        <f>'Gas Water'!M288</f>
        <v/>
      </c>
      <c r="H285" s="124">
        <v>20</v>
      </c>
      <c r="I285" s="2" t="str">
        <f>'Gas Water'!L288</f>
        <v/>
      </c>
      <c r="J285" s="124">
        <v>31.44</v>
      </c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>
        <v>4.1100000000000003</v>
      </c>
      <c r="G286" s="4" t="str">
        <f>'Gas Water'!M289</f>
        <v/>
      </c>
      <c r="H286" s="124">
        <v>20</v>
      </c>
      <c r="I286" s="2" t="str">
        <f>'Gas Water'!L289</f>
        <v/>
      </c>
      <c r="J286" s="124">
        <v>31.44</v>
      </c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>
        <v>4.1100000000000003</v>
      </c>
      <c r="G287" s="4" t="str">
        <f>'Gas Water'!M290</f>
        <v/>
      </c>
      <c r="H287" s="124">
        <v>20</v>
      </c>
      <c r="I287" s="2" t="str">
        <f>'Gas Water'!L290</f>
        <v/>
      </c>
      <c r="J287" s="124">
        <v>31.44</v>
      </c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>
        <v>4.1100000000000003</v>
      </c>
      <c r="G288" s="4" t="str">
        <f>'Gas Water'!M291</f>
        <v/>
      </c>
      <c r="H288" s="124">
        <v>20</v>
      </c>
      <c r="I288" s="2" t="str">
        <f>'Gas Water'!L291</f>
        <v/>
      </c>
      <c r="J288" s="124">
        <v>31.44</v>
      </c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>
        <v>4.1100000000000003</v>
      </c>
      <c r="G289" s="4" t="str">
        <f>'Gas Water'!M292</f>
        <v/>
      </c>
      <c r="H289" s="124">
        <v>20</v>
      </c>
      <c r="I289" s="2" t="str">
        <f>'Gas Water'!L292</f>
        <v/>
      </c>
      <c r="J289" s="124">
        <v>31.44</v>
      </c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>
        <v>4.1100000000000003</v>
      </c>
      <c r="G290" s="4" t="str">
        <f>'Gas Water'!M293</f>
        <v/>
      </c>
      <c r="H290" s="124">
        <v>20</v>
      </c>
      <c r="I290" s="2" t="str">
        <f>'Gas Water'!L293</f>
        <v/>
      </c>
      <c r="J290" s="124">
        <v>31.44</v>
      </c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>
        <v>4.1100000000000003</v>
      </c>
      <c r="G291" s="4" t="str">
        <f>'Gas Water'!M294</f>
        <v/>
      </c>
      <c r="H291" s="124">
        <v>20</v>
      </c>
      <c r="I291" s="2" t="str">
        <f>'Gas Water'!L294</f>
        <v/>
      </c>
      <c r="J291" s="124">
        <v>31.44</v>
      </c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>
        <v>4.1100000000000003</v>
      </c>
      <c r="G292" s="4" t="str">
        <f>'Gas Water'!M295</f>
        <v/>
      </c>
      <c r="H292" s="124">
        <v>20</v>
      </c>
      <c r="I292" s="2" t="str">
        <f>'Gas Water'!L295</f>
        <v/>
      </c>
      <c r="J292" s="124">
        <v>31.44</v>
      </c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>
        <v>4.1100000000000003</v>
      </c>
      <c r="G293" s="4" t="str">
        <f>'Gas Water'!M296</f>
        <v/>
      </c>
      <c r="H293" s="124">
        <v>20</v>
      </c>
      <c r="I293" s="2" t="str">
        <f>'Gas Water'!L296</f>
        <v/>
      </c>
      <c r="J293" s="124">
        <v>31.44</v>
      </c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>
        <v>4.1100000000000003</v>
      </c>
      <c r="G294" s="4" t="str">
        <f>'Gas Water'!M297</f>
        <v/>
      </c>
      <c r="H294" s="124">
        <v>20</v>
      </c>
      <c r="I294" s="2" t="str">
        <f>'Gas Water'!L297</f>
        <v/>
      </c>
      <c r="J294" s="124">
        <v>31.44</v>
      </c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>
        <v>4.1100000000000003</v>
      </c>
      <c r="G295" s="4" t="str">
        <f>'Gas Water'!M298</f>
        <v/>
      </c>
      <c r="H295" s="124">
        <v>20</v>
      </c>
      <c r="I295" s="2" t="str">
        <f>'Gas Water'!L298</f>
        <v/>
      </c>
      <c r="J295" s="124">
        <v>31.44</v>
      </c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>
        <v>4.1100000000000003</v>
      </c>
      <c r="G296" s="4" t="str">
        <f>'Gas Water'!M299</f>
        <v/>
      </c>
      <c r="H296" s="124">
        <v>20</v>
      </c>
      <c r="I296" s="2" t="str">
        <f>'Gas Water'!L299</f>
        <v/>
      </c>
      <c r="J296" s="124">
        <v>31.44</v>
      </c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>
        <v>4.1100000000000003</v>
      </c>
      <c r="G297" s="4" t="str">
        <f>'Gas Water'!M300</f>
        <v/>
      </c>
      <c r="H297" s="124">
        <v>20</v>
      </c>
      <c r="I297" s="2" t="str">
        <f>'Gas Water'!L300</f>
        <v/>
      </c>
      <c r="J297" s="124">
        <v>31.44</v>
      </c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>
        <v>4.1100000000000003</v>
      </c>
      <c r="G298" s="4" t="str">
        <f>'Gas Water'!M301</f>
        <v/>
      </c>
      <c r="H298" s="124">
        <v>20</v>
      </c>
      <c r="I298" s="2" t="str">
        <f>'Gas Water'!L301</f>
        <v/>
      </c>
      <c r="J298" s="124">
        <v>31.44</v>
      </c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>
        <v>4.1100000000000003</v>
      </c>
      <c r="G299" s="4" t="str">
        <f>'Gas Water'!M302</f>
        <v/>
      </c>
      <c r="H299" s="124">
        <v>20</v>
      </c>
      <c r="I299" s="2" t="str">
        <f>'Gas Water'!L302</f>
        <v/>
      </c>
      <c r="J299" s="124">
        <v>31.44</v>
      </c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>
        <v>4.1100000000000003</v>
      </c>
      <c r="G300" s="4" t="str">
        <f>'Gas Water'!M303</f>
        <v/>
      </c>
      <c r="H300" s="124">
        <v>20</v>
      </c>
      <c r="I300" s="2" t="str">
        <f>'Gas Water'!L303</f>
        <v/>
      </c>
      <c r="J300" s="124">
        <v>31.44</v>
      </c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>
        <v>4.1100000000000003</v>
      </c>
      <c r="G301" s="4" t="str">
        <f>'Gas Water'!M304</f>
        <v/>
      </c>
      <c r="H301" s="124">
        <v>20</v>
      </c>
      <c r="I301" s="2" t="str">
        <f>'Gas Water'!L304</f>
        <v/>
      </c>
      <c r="J301" s="124">
        <v>31.44</v>
      </c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>
        <v>4.1100000000000003</v>
      </c>
      <c r="G302" s="4" t="str">
        <f>'Gas Water'!M305</f>
        <v/>
      </c>
      <c r="H302" s="124">
        <v>20</v>
      </c>
      <c r="I302" s="2" t="str">
        <f>'Gas Water'!L305</f>
        <v/>
      </c>
      <c r="J302" s="124">
        <v>31.44</v>
      </c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>
        <v>4.1100000000000003</v>
      </c>
      <c r="G303" s="4" t="str">
        <f>'Gas Water'!M306</f>
        <v/>
      </c>
      <c r="H303" s="124">
        <v>20</v>
      </c>
      <c r="I303" s="2" t="str">
        <f>'Gas Water'!L306</f>
        <v/>
      </c>
      <c r="J303" s="124">
        <v>31.44</v>
      </c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>
        <v>4.1100000000000003</v>
      </c>
      <c r="G304" s="4" t="str">
        <f>'Gas Water'!M307</f>
        <v/>
      </c>
      <c r="H304" s="124">
        <v>20</v>
      </c>
      <c r="I304" s="2" t="str">
        <f>'Gas Water'!L307</f>
        <v/>
      </c>
      <c r="J304" s="124">
        <v>31.44</v>
      </c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>
        <v>4.1100000000000003</v>
      </c>
      <c r="G305" s="4" t="str">
        <f>'Gas Water'!M308</f>
        <v/>
      </c>
      <c r="H305" s="124">
        <v>20</v>
      </c>
      <c r="I305" s="2" t="str">
        <f>'Gas Water'!L308</f>
        <v/>
      </c>
      <c r="J305" s="124">
        <v>31.44</v>
      </c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>
        <v>4.1100000000000003</v>
      </c>
      <c r="G306" s="4" t="str">
        <f>'Gas Water'!M309</f>
        <v/>
      </c>
      <c r="H306" s="124">
        <v>20</v>
      </c>
      <c r="I306" s="2" t="str">
        <f>'Gas Water'!L309</f>
        <v/>
      </c>
      <c r="J306" s="124">
        <v>31.44</v>
      </c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>
        <v>4.1100000000000003</v>
      </c>
      <c r="G307" s="4" t="str">
        <f>'Gas Water'!M310</f>
        <v/>
      </c>
      <c r="H307" s="124">
        <v>20</v>
      </c>
      <c r="I307" s="2" t="str">
        <f>'Gas Water'!L310</f>
        <v/>
      </c>
      <c r="J307" s="124">
        <v>31.44</v>
      </c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>
        <v>4.1100000000000003</v>
      </c>
      <c r="G308" s="4" t="str">
        <f>'Gas Water'!M311</f>
        <v/>
      </c>
      <c r="H308" s="124">
        <v>20</v>
      </c>
      <c r="I308" s="2" t="str">
        <f>'Gas Water'!L311</f>
        <v/>
      </c>
      <c r="J308" s="124">
        <v>31.44</v>
      </c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>
        <v>4.1100000000000003</v>
      </c>
      <c r="G309" s="4" t="str">
        <f>'Gas Water'!M312</f>
        <v/>
      </c>
      <c r="H309" s="124">
        <v>20</v>
      </c>
      <c r="I309" s="2" t="str">
        <f>'Gas Water'!L312</f>
        <v/>
      </c>
      <c r="J309" s="124">
        <v>31.44</v>
      </c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>
        <v>4.1100000000000003</v>
      </c>
      <c r="G310" s="4" t="str">
        <f>'Gas Water'!M313</f>
        <v/>
      </c>
      <c r="H310" s="124">
        <v>20</v>
      </c>
      <c r="I310" s="2" t="str">
        <f>'Gas Water'!L313</f>
        <v/>
      </c>
      <c r="J310" s="124">
        <v>31.44</v>
      </c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>
        <v>4.1100000000000003</v>
      </c>
      <c r="G311" s="4" t="str">
        <f>'Gas Water'!M314</f>
        <v/>
      </c>
      <c r="H311" s="124">
        <v>20</v>
      </c>
      <c r="I311" s="2" t="str">
        <f>'Gas Water'!L314</f>
        <v/>
      </c>
      <c r="J311" s="124">
        <v>31.44</v>
      </c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>
        <v>4.1100000000000003</v>
      </c>
      <c r="G312" s="4" t="str">
        <f>'Gas Water'!M315</f>
        <v/>
      </c>
      <c r="H312" s="124">
        <v>20</v>
      </c>
      <c r="I312" s="2" t="str">
        <f>'Gas Water'!L315</f>
        <v/>
      </c>
      <c r="J312" s="124">
        <v>31.44</v>
      </c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>
        <v>4.1100000000000003</v>
      </c>
      <c r="G313" s="4" t="str">
        <f>'Gas Water'!M316</f>
        <v/>
      </c>
      <c r="H313" s="124">
        <v>20</v>
      </c>
      <c r="I313" s="2" t="str">
        <f>'Gas Water'!L316</f>
        <v/>
      </c>
      <c r="J313" s="124">
        <v>31.44</v>
      </c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>
        <v>4.1100000000000003</v>
      </c>
      <c r="G314" s="4" t="str">
        <f>'Gas Water'!M317</f>
        <v/>
      </c>
      <c r="H314" s="124">
        <v>20</v>
      </c>
      <c r="I314" s="2" t="str">
        <f>'Gas Water'!L317</f>
        <v/>
      </c>
      <c r="J314" s="124">
        <v>31.44</v>
      </c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>
        <v>4.1100000000000003</v>
      </c>
      <c r="G315" s="4" t="str">
        <f>'Gas Water'!M318</f>
        <v/>
      </c>
      <c r="H315" s="124">
        <v>20</v>
      </c>
      <c r="I315" s="2" t="str">
        <f>'Gas Water'!L318</f>
        <v/>
      </c>
      <c r="J315" s="124">
        <v>31.44</v>
      </c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>
        <v>4.1100000000000003</v>
      </c>
      <c r="G316" s="4" t="str">
        <f>'Gas Water'!M319</f>
        <v/>
      </c>
      <c r="H316" s="124">
        <v>20</v>
      </c>
      <c r="I316" s="2" t="str">
        <f>'Gas Water'!L319</f>
        <v/>
      </c>
      <c r="J316" s="124">
        <v>31.44</v>
      </c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>
        <v>4.1100000000000003</v>
      </c>
      <c r="G317" s="4" t="str">
        <f>'Gas Water'!M320</f>
        <v/>
      </c>
      <c r="H317" s="124">
        <v>20</v>
      </c>
      <c r="I317" s="2" t="str">
        <f>'Gas Water'!L320</f>
        <v/>
      </c>
      <c r="J317" s="124">
        <v>31.44</v>
      </c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>
        <v>4.1100000000000003</v>
      </c>
      <c r="G318" s="4" t="str">
        <f>'Gas Water'!M321</f>
        <v/>
      </c>
      <c r="H318" s="124">
        <v>20</v>
      </c>
      <c r="I318" s="2" t="str">
        <f>'Gas Water'!L321</f>
        <v/>
      </c>
      <c r="J318" s="124">
        <v>31.44</v>
      </c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>
        <v>4.1100000000000003</v>
      </c>
      <c r="G319" s="4" t="str">
        <f>'Gas Water'!M322</f>
        <v/>
      </c>
      <c r="H319" s="124">
        <v>20</v>
      </c>
      <c r="I319" s="2" t="str">
        <f>'Gas Water'!L322</f>
        <v/>
      </c>
      <c r="J319" s="124">
        <v>31.44</v>
      </c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>
        <v>4.1100000000000003</v>
      </c>
      <c r="G320" s="4" t="str">
        <f>'Gas Water'!M323</f>
        <v/>
      </c>
      <c r="H320" s="124">
        <v>20</v>
      </c>
      <c r="I320" s="2" t="str">
        <f>'Gas Water'!L323</f>
        <v/>
      </c>
      <c r="J320" s="124">
        <v>31.44</v>
      </c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>
        <v>4.1100000000000003</v>
      </c>
      <c r="G321" s="4" t="str">
        <f>'Gas Water'!M324</f>
        <v/>
      </c>
      <c r="H321" s="124">
        <v>20</v>
      </c>
      <c r="I321" s="2" t="str">
        <f>'Gas Water'!L324</f>
        <v/>
      </c>
      <c r="J321" s="124">
        <v>31.44</v>
      </c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>
        <v>4.1100000000000003</v>
      </c>
      <c r="G322" s="4" t="str">
        <f>'Gas Water'!M325</f>
        <v/>
      </c>
      <c r="H322" s="124">
        <v>20</v>
      </c>
      <c r="I322" s="2" t="str">
        <f>'Gas Water'!L325</f>
        <v/>
      </c>
      <c r="J322" s="124">
        <v>31.44</v>
      </c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>
        <v>4.1100000000000003</v>
      </c>
      <c r="G323" s="4" t="str">
        <f>'Gas Water'!M326</f>
        <v/>
      </c>
      <c r="H323" s="124">
        <v>20</v>
      </c>
      <c r="I323" s="2" t="str">
        <f>'Gas Water'!L326</f>
        <v/>
      </c>
      <c r="J323" s="124">
        <v>31.44</v>
      </c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>
        <v>4.1100000000000003</v>
      </c>
      <c r="G324" s="4" t="str">
        <f>'Gas Water'!M327</f>
        <v/>
      </c>
      <c r="H324" s="124">
        <v>20</v>
      </c>
      <c r="I324" s="2" t="str">
        <f>'Gas Water'!L327</f>
        <v/>
      </c>
      <c r="J324" s="124">
        <v>31.44</v>
      </c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>
        <v>4.1100000000000003</v>
      </c>
      <c r="G325" s="4" t="str">
        <f>'Gas Water'!M328</f>
        <v/>
      </c>
      <c r="H325" s="124">
        <v>20</v>
      </c>
      <c r="I325" s="2" t="str">
        <f>'Gas Water'!L328</f>
        <v/>
      </c>
      <c r="J325" s="124">
        <v>31.44</v>
      </c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>
        <v>4.1100000000000003</v>
      </c>
      <c r="G326" s="4" t="str">
        <f>'Gas Water'!M329</f>
        <v/>
      </c>
      <c r="H326" s="124">
        <v>20</v>
      </c>
      <c r="I326" s="2" t="str">
        <f>'Gas Water'!L329</f>
        <v/>
      </c>
      <c r="J326" s="124">
        <v>31.44</v>
      </c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>
        <v>4.1100000000000003</v>
      </c>
      <c r="G327" s="4" t="str">
        <f>'Gas Water'!M330</f>
        <v/>
      </c>
      <c r="H327" s="124">
        <v>20</v>
      </c>
      <c r="I327" s="2" t="str">
        <f>'Gas Water'!L330</f>
        <v/>
      </c>
      <c r="J327" s="124">
        <v>31.44</v>
      </c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>
        <v>4.1100000000000003</v>
      </c>
      <c r="G328" s="4" t="str">
        <f>'Gas Water'!M331</f>
        <v/>
      </c>
      <c r="H328" s="124">
        <v>20</v>
      </c>
      <c r="I328" s="2" t="str">
        <f>'Gas Water'!L331</f>
        <v/>
      </c>
      <c r="J328" s="124">
        <v>31.44</v>
      </c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>
        <v>4.1100000000000003</v>
      </c>
      <c r="G329" s="4" t="str">
        <f>'Gas Water'!M332</f>
        <v/>
      </c>
      <c r="H329" s="124">
        <v>20</v>
      </c>
      <c r="I329" s="2" t="str">
        <f>'Gas Water'!L332</f>
        <v/>
      </c>
      <c r="J329" s="124">
        <v>31.44</v>
      </c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>
        <v>4.1100000000000003</v>
      </c>
      <c r="G330" s="4" t="str">
        <f>'Gas Water'!M333</f>
        <v/>
      </c>
      <c r="H330" s="124">
        <v>20</v>
      </c>
      <c r="I330" s="2" t="str">
        <f>'Gas Water'!L333</f>
        <v/>
      </c>
      <c r="J330" s="124">
        <v>31.44</v>
      </c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>
        <v>4.1100000000000003</v>
      </c>
      <c r="G331" s="4" t="str">
        <f>'Gas Water'!M334</f>
        <v/>
      </c>
      <c r="H331" s="124">
        <v>20</v>
      </c>
      <c r="I331" s="2" t="str">
        <f>'Gas Water'!L334</f>
        <v/>
      </c>
      <c r="J331" s="124">
        <v>31.44</v>
      </c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>
        <v>4.1100000000000003</v>
      </c>
      <c r="G332" s="4" t="str">
        <f>'Gas Water'!M335</f>
        <v/>
      </c>
      <c r="H332" s="124">
        <v>20</v>
      </c>
      <c r="I332" s="2" t="str">
        <f>'Gas Water'!L335</f>
        <v/>
      </c>
      <c r="J332" s="124">
        <v>31.44</v>
      </c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>
        <v>4.1100000000000003</v>
      </c>
      <c r="G333" s="4" t="str">
        <f>'Gas Water'!M336</f>
        <v/>
      </c>
      <c r="H333" s="124">
        <v>20</v>
      </c>
      <c r="I333" s="2" t="str">
        <f>'Gas Water'!L336</f>
        <v/>
      </c>
      <c r="J333" s="124">
        <v>31.44</v>
      </c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>
        <v>4.1100000000000003</v>
      </c>
      <c r="G334" s="4" t="str">
        <f>'Gas Water'!M337</f>
        <v/>
      </c>
      <c r="H334" s="124">
        <v>20</v>
      </c>
      <c r="I334" s="2" t="str">
        <f>'Gas Water'!L337</f>
        <v/>
      </c>
      <c r="J334" s="124">
        <v>31.44</v>
      </c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>
        <v>4.1100000000000003</v>
      </c>
      <c r="G335" s="4" t="str">
        <f>'Gas Water'!M338</f>
        <v/>
      </c>
      <c r="H335" s="124">
        <v>20</v>
      </c>
      <c r="I335" s="2" t="str">
        <f>'Gas Water'!L338</f>
        <v/>
      </c>
      <c r="J335" s="124">
        <v>31.44</v>
      </c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>
        <v>4.1100000000000003</v>
      </c>
      <c r="G336" s="4" t="str">
        <f>'Gas Water'!M339</f>
        <v/>
      </c>
      <c r="H336" s="124">
        <v>20</v>
      </c>
      <c r="I336" s="2" t="str">
        <f>'Gas Water'!L339</f>
        <v/>
      </c>
      <c r="J336" s="124">
        <v>31.44</v>
      </c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>
        <v>4.1100000000000003</v>
      </c>
      <c r="G337" s="4" t="str">
        <f>'Gas Water'!M340</f>
        <v/>
      </c>
      <c r="H337" s="124">
        <v>20</v>
      </c>
      <c r="I337" s="2" t="str">
        <f>'Gas Water'!L340</f>
        <v/>
      </c>
      <c r="J337" s="124">
        <v>31.44</v>
      </c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>
        <v>4.1100000000000003</v>
      </c>
      <c r="G338" s="4" t="str">
        <f>'Gas Water'!M341</f>
        <v/>
      </c>
      <c r="H338" s="124">
        <v>20</v>
      </c>
      <c r="I338" s="2" t="str">
        <f>'Gas Water'!L341</f>
        <v/>
      </c>
      <c r="J338" s="124">
        <v>31.44</v>
      </c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>
        <v>4.1100000000000003</v>
      </c>
      <c r="G339" s="4" t="str">
        <f>'Gas Water'!M342</f>
        <v/>
      </c>
      <c r="H339" s="124">
        <v>20</v>
      </c>
      <c r="I339" s="2" t="str">
        <f>'Gas Water'!L342</f>
        <v/>
      </c>
      <c r="J339" s="124">
        <v>31.44</v>
      </c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>
        <v>4.1100000000000003</v>
      </c>
      <c r="G340" s="4" t="str">
        <f>'Gas Water'!M343</f>
        <v/>
      </c>
      <c r="H340" s="124">
        <v>20</v>
      </c>
      <c r="I340" s="2" t="str">
        <f>'Gas Water'!L343</f>
        <v/>
      </c>
      <c r="J340" s="124">
        <v>31.44</v>
      </c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>
        <v>4.1100000000000003</v>
      </c>
      <c r="G341" s="4" t="str">
        <f>'Gas Water'!M344</f>
        <v/>
      </c>
      <c r="H341" s="124">
        <v>20</v>
      </c>
      <c r="I341" s="2" t="str">
        <f>'Gas Water'!L344</f>
        <v/>
      </c>
      <c r="J341" s="124">
        <v>31.44</v>
      </c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>
        <v>4.1100000000000003</v>
      </c>
      <c r="G342" s="4" t="str">
        <f>'Gas Water'!M345</f>
        <v/>
      </c>
      <c r="H342" s="124">
        <v>20</v>
      </c>
      <c r="I342" s="2" t="str">
        <f>'Gas Water'!L345</f>
        <v/>
      </c>
      <c r="J342" s="124">
        <v>31.44</v>
      </c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>
        <v>4.1100000000000003</v>
      </c>
      <c r="G343" s="4" t="str">
        <f>'Gas Water'!M346</f>
        <v/>
      </c>
      <c r="H343" s="124">
        <v>20</v>
      </c>
      <c r="I343" s="2" t="str">
        <f>'Gas Water'!L346</f>
        <v/>
      </c>
      <c r="J343" s="124">
        <v>31.44</v>
      </c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>
        <v>4.1100000000000003</v>
      </c>
      <c r="G344" s="4" t="str">
        <f>'Gas Water'!M347</f>
        <v/>
      </c>
      <c r="H344" s="124">
        <v>20</v>
      </c>
      <c r="I344" s="2" t="str">
        <f>'Gas Water'!L347</f>
        <v/>
      </c>
      <c r="J344" s="124">
        <v>31.44</v>
      </c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>
        <v>4.1100000000000003</v>
      </c>
      <c r="G345" s="4" t="str">
        <f>'Gas Water'!M348</f>
        <v/>
      </c>
      <c r="H345" s="124">
        <v>20</v>
      </c>
      <c r="I345" s="2" t="str">
        <f>'Gas Water'!L348</f>
        <v/>
      </c>
      <c r="J345" s="124">
        <v>31.44</v>
      </c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>
        <v>4.1100000000000003</v>
      </c>
      <c r="G346" s="4" t="str">
        <f>'Gas Water'!M349</f>
        <v/>
      </c>
      <c r="H346" s="124">
        <v>20</v>
      </c>
      <c r="I346" s="2" t="str">
        <f>'Gas Water'!L349</f>
        <v/>
      </c>
      <c r="J346" s="124">
        <v>31.44</v>
      </c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>
        <v>4.1100000000000003</v>
      </c>
      <c r="G347" s="4" t="str">
        <f>'Gas Water'!M350</f>
        <v/>
      </c>
      <c r="H347" s="124">
        <v>20</v>
      </c>
      <c r="I347" s="2" t="str">
        <f>'Gas Water'!L350</f>
        <v/>
      </c>
      <c r="J347" s="124">
        <v>31.44</v>
      </c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>
        <v>4.1100000000000003</v>
      </c>
      <c r="G348" s="4" t="str">
        <f>'Gas Water'!M351</f>
        <v/>
      </c>
      <c r="H348" s="124">
        <v>20</v>
      </c>
      <c r="I348" s="2" t="str">
        <f>'Gas Water'!L351</f>
        <v/>
      </c>
      <c r="J348" s="124">
        <v>31.44</v>
      </c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>
        <v>4.1100000000000003</v>
      </c>
      <c r="G349" s="4" t="str">
        <f>'Gas Water'!M352</f>
        <v/>
      </c>
      <c r="H349" s="124">
        <v>20</v>
      </c>
      <c r="I349" s="2" t="str">
        <f>'Gas Water'!L352</f>
        <v/>
      </c>
      <c r="J349" s="124">
        <v>31.44</v>
      </c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>
        <v>4.1100000000000003</v>
      </c>
      <c r="G350" s="4" t="str">
        <f>'Gas Water'!M353</f>
        <v/>
      </c>
      <c r="H350" s="124">
        <v>20</v>
      </c>
      <c r="I350" s="2" t="str">
        <f>'Gas Water'!L353</f>
        <v/>
      </c>
      <c r="J350" s="124">
        <v>31.44</v>
      </c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>
        <v>4.1100000000000003</v>
      </c>
      <c r="G351" s="4" t="str">
        <f>'Gas Water'!M354</f>
        <v/>
      </c>
      <c r="H351" s="124">
        <v>20</v>
      </c>
      <c r="I351" s="2" t="str">
        <f>'Gas Water'!L354</f>
        <v/>
      </c>
      <c r="J351" s="124">
        <v>31.44</v>
      </c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>
        <v>4.1100000000000003</v>
      </c>
      <c r="G352" s="4" t="str">
        <f>'Gas Water'!M355</f>
        <v/>
      </c>
      <c r="H352" s="124">
        <v>20</v>
      </c>
      <c r="I352" s="2" t="str">
        <f>'Gas Water'!L355</f>
        <v/>
      </c>
      <c r="J352" s="124">
        <v>31.44</v>
      </c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>
        <v>4.1100000000000003</v>
      </c>
      <c r="G353" s="4" t="str">
        <f>'Gas Water'!M356</f>
        <v/>
      </c>
      <c r="H353" s="124">
        <v>20</v>
      </c>
      <c r="I353" s="2" t="str">
        <f>'Gas Water'!L356</f>
        <v/>
      </c>
      <c r="J353" s="124">
        <v>31.44</v>
      </c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>
        <v>4.1100000000000003</v>
      </c>
      <c r="G354" s="4" t="str">
        <f>'Gas Water'!M357</f>
        <v/>
      </c>
      <c r="H354" s="124">
        <v>20</v>
      </c>
      <c r="I354" s="2" t="str">
        <f>'Gas Water'!L357</f>
        <v/>
      </c>
      <c r="J354" s="124">
        <v>31.44</v>
      </c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>
        <v>4.1100000000000003</v>
      </c>
      <c r="G355" s="4" t="str">
        <f>'Gas Water'!M358</f>
        <v/>
      </c>
      <c r="H355" s="124">
        <v>20</v>
      </c>
      <c r="I355" s="2" t="str">
        <f>'Gas Water'!L358</f>
        <v/>
      </c>
      <c r="J355" s="124">
        <v>31.44</v>
      </c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>
        <v>4.1100000000000003</v>
      </c>
      <c r="G356" s="4" t="str">
        <f>'Gas Water'!M359</f>
        <v/>
      </c>
      <c r="H356" s="124">
        <v>20</v>
      </c>
      <c r="I356" s="2" t="str">
        <f>'Gas Water'!L359</f>
        <v/>
      </c>
      <c r="J356" s="124">
        <v>31.44</v>
      </c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>
        <v>4.1100000000000003</v>
      </c>
      <c r="G357" s="4" t="str">
        <f>'Gas Water'!M360</f>
        <v/>
      </c>
      <c r="H357" s="124">
        <v>20</v>
      </c>
      <c r="I357" s="2" t="str">
        <f>'Gas Water'!L360</f>
        <v/>
      </c>
      <c r="J357" s="124">
        <v>31.44</v>
      </c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>
        <v>4.1100000000000003</v>
      </c>
      <c r="G358" s="4" t="str">
        <f>'Gas Water'!M361</f>
        <v/>
      </c>
      <c r="H358" s="124">
        <v>20</v>
      </c>
      <c r="I358" s="2" t="str">
        <f>'Gas Water'!L361</f>
        <v/>
      </c>
      <c r="J358" s="124">
        <v>31.44</v>
      </c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>
        <v>4.1100000000000003</v>
      </c>
      <c r="G359" s="4" t="str">
        <f>'Gas Water'!M362</f>
        <v/>
      </c>
      <c r="H359" s="124">
        <v>20</v>
      </c>
      <c r="I359" s="2" t="str">
        <f>'Gas Water'!L362</f>
        <v/>
      </c>
      <c r="J359" s="124">
        <v>31.44</v>
      </c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>
        <v>4.1100000000000003</v>
      </c>
      <c r="G360" s="4" t="str">
        <f>'Gas Water'!M363</f>
        <v/>
      </c>
      <c r="H360" s="124">
        <v>20</v>
      </c>
      <c r="I360" s="2" t="str">
        <f>'Gas Water'!L363</f>
        <v/>
      </c>
      <c r="J360" s="124">
        <v>31.44</v>
      </c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>
        <v>4.1100000000000003</v>
      </c>
      <c r="G361" s="4" t="str">
        <f>'Gas Water'!M364</f>
        <v/>
      </c>
      <c r="H361" s="124">
        <v>20</v>
      </c>
      <c r="I361" s="2" t="str">
        <f>'Gas Water'!L364</f>
        <v/>
      </c>
      <c r="J361" s="124">
        <v>31.44</v>
      </c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>
        <v>4.1100000000000003</v>
      </c>
      <c r="G362" s="4" t="str">
        <f>'Gas Water'!M365</f>
        <v/>
      </c>
      <c r="H362" s="124">
        <v>20</v>
      </c>
      <c r="I362" s="2" t="str">
        <f>'Gas Water'!L365</f>
        <v/>
      </c>
      <c r="J362" s="124">
        <v>31.44</v>
      </c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>
        <v>4.1100000000000003</v>
      </c>
      <c r="G363" s="4" t="str">
        <f>'Gas Water'!M366</f>
        <v/>
      </c>
      <c r="H363" s="124">
        <v>20</v>
      </c>
      <c r="I363" s="2" t="str">
        <f>'Gas Water'!L366</f>
        <v/>
      </c>
      <c r="J363" s="124">
        <v>31.44</v>
      </c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>
        <v>4.1100000000000003</v>
      </c>
      <c r="G364" s="4" t="str">
        <f>'Gas Water'!M367</f>
        <v/>
      </c>
      <c r="H364" s="124">
        <v>20</v>
      </c>
      <c r="I364" s="2" t="str">
        <f>'Gas Water'!L367</f>
        <v/>
      </c>
      <c r="J364" s="124">
        <v>31.44</v>
      </c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>
        <v>4.1100000000000003</v>
      </c>
      <c r="G365" s="4" t="str">
        <f>'Gas Water'!M368</f>
        <v/>
      </c>
      <c r="H365" s="124">
        <v>20</v>
      </c>
      <c r="I365" s="2" t="str">
        <f>'Gas Water'!L368</f>
        <v/>
      </c>
      <c r="J365" s="124">
        <v>31.44</v>
      </c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>
        <v>4.1100000000000003</v>
      </c>
      <c r="G366" s="4">
        <f>'Gas Water'!M369</f>
        <v>0</v>
      </c>
      <c r="H366" s="124">
        <v>20</v>
      </c>
      <c r="I366" s="2">
        <f>'Gas Water'!L369</f>
        <v>0</v>
      </c>
      <c r="J366" s="124">
        <v>31.44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44" workbookViewId="0">
      <selection activeCell="D269" sqref="D269"/>
    </sheetView>
  </sheetViews>
  <sheetFormatPr defaultColWidth="9.109375" defaultRowHeight="14.4" x14ac:dyDescent="0.3"/>
  <cols>
    <col min="1" max="1" width="10.88671875" style="122" customWidth="1"/>
    <col min="2" max="2" width="0.109375" style="1" customWidth="1"/>
    <col min="3" max="3" width="4.44140625" style="1" hidden="1" customWidth="1"/>
    <col min="4" max="4" width="13.5546875" style="121" customWidth="1"/>
    <col min="5" max="5" width="11.5546875" style="121" customWidth="1"/>
    <col min="6" max="6" width="9.6640625" style="121" customWidth="1"/>
    <col min="7" max="7" width="11.33203125" style="59" hidden="1" customWidth="1"/>
    <col min="8" max="8" width="11.33203125" style="59" customWidth="1"/>
    <col min="9" max="9" width="11.6640625" style="59" customWidth="1"/>
    <col min="10" max="10" width="12" style="59" customWidth="1"/>
    <col min="11" max="11" width="10.44140625" style="59" customWidth="1"/>
    <col min="12" max="12" width="12.6640625" style="59" bestFit="1" customWidth="1"/>
    <col min="13" max="13" width="10.6640625" style="59" bestFit="1" customWidth="1"/>
    <col min="14" max="14" width="14.109375" style="59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4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 x14ac:dyDescent="0.3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 x14ac:dyDescent="0.3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 x14ac:dyDescent="0.3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 x14ac:dyDescent="0.3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 x14ac:dyDescent="0.3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 x14ac:dyDescent="0.3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 x14ac:dyDescent="0.3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 x14ac:dyDescent="0.3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 x14ac:dyDescent="0.3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 x14ac:dyDescent="0.3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 x14ac:dyDescent="0.3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 x14ac:dyDescent="0.3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 x14ac:dyDescent="0.3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 x14ac:dyDescent="0.3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 x14ac:dyDescent="0.3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 x14ac:dyDescent="0.3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 x14ac:dyDescent="0.3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 x14ac:dyDescent="0.35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 x14ac:dyDescent="0.35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28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 x14ac:dyDescent="0.35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 x14ac:dyDescent="0.35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29</v>
      </c>
      <c r="Q23" s="62" t="s">
        <v>30</v>
      </c>
      <c r="R23" s="19">
        <f>IF(N23="",0,1)</f>
        <v>1</v>
      </c>
      <c r="S23" s="19">
        <f t="shared" si="8"/>
        <v>0</v>
      </c>
      <c r="T23" s="144"/>
    </row>
    <row r="24" spans="1:21" ht="15" thickBot="1" x14ac:dyDescent="0.35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 x14ac:dyDescent="0.35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 x14ac:dyDescent="0.35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31</v>
      </c>
      <c r="Q26" s="66" t="s">
        <v>32</v>
      </c>
      <c r="R26" s="19">
        <f t="shared" si="7"/>
        <v>1</v>
      </c>
      <c r="S26" s="19">
        <f t="shared" si="8"/>
        <v>0</v>
      </c>
      <c r="T26" s="145"/>
    </row>
    <row r="27" spans="1:21" ht="15" thickBot="1" x14ac:dyDescent="0.35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 x14ac:dyDescent="0.35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33</v>
      </c>
      <c r="Q28" s="70" t="s">
        <v>34</v>
      </c>
      <c r="R28" s="19">
        <f t="shared" si="7"/>
        <v>1</v>
      </c>
      <c r="S28" s="19">
        <f t="shared" si="8"/>
        <v>0</v>
      </c>
      <c r="T28" s="144"/>
    </row>
    <row r="29" spans="1:21" ht="15" thickBot="1" x14ac:dyDescent="0.35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 x14ac:dyDescent="0.35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35</v>
      </c>
      <c r="Q30" s="147" t="s">
        <v>36</v>
      </c>
      <c r="R30" s="19">
        <f t="shared" si="7"/>
        <v>1</v>
      </c>
      <c r="S30" s="19">
        <f t="shared" si="8"/>
        <v>0</v>
      </c>
      <c r="T30" s="145"/>
    </row>
    <row r="31" spans="1:21" ht="15" thickBot="1" x14ac:dyDescent="0.35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 x14ac:dyDescent="0.35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37</v>
      </c>
      <c r="Q32" s="149" t="s">
        <v>38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 x14ac:dyDescent="0.35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 x14ac:dyDescent="0.35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39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 x14ac:dyDescent="0.35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 x14ac:dyDescent="0.35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 x14ac:dyDescent="0.35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 x14ac:dyDescent="0.35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 x14ac:dyDescent="0.35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 x14ac:dyDescent="0.35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 x14ac:dyDescent="0.35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 x14ac:dyDescent="0.35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 x14ac:dyDescent="0.35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 x14ac:dyDescent="0.35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 x14ac:dyDescent="0.35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 x14ac:dyDescent="0.35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 x14ac:dyDescent="0.35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 x14ac:dyDescent="0.35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 x14ac:dyDescent="0.35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40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 x14ac:dyDescent="0.35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 x14ac:dyDescent="0.35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29</v>
      </c>
      <c r="Q51" s="62" t="s">
        <v>30</v>
      </c>
      <c r="R51" s="19">
        <f t="shared" si="7"/>
        <v>1</v>
      </c>
      <c r="S51" s="19">
        <f t="shared" si="8"/>
        <v>0</v>
      </c>
      <c r="T51" s="145"/>
    </row>
    <row r="52" spans="1:20" ht="15" thickBot="1" x14ac:dyDescent="0.35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 x14ac:dyDescent="0.35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 x14ac:dyDescent="0.35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31</v>
      </c>
      <c r="Q54" s="66" t="s">
        <v>32</v>
      </c>
      <c r="R54" s="19">
        <f t="shared" si="7"/>
        <v>1</v>
      </c>
      <c r="S54" s="19">
        <f t="shared" si="8"/>
        <v>0</v>
      </c>
      <c r="T54" s="144"/>
    </row>
    <row r="55" spans="1:20" ht="15" thickBot="1" x14ac:dyDescent="0.35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 x14ac:dyDescent="0.35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33</v>
      </c>
      <c r="Q56" s="70" t="s">
        <v>41</v>
      </c>
      <c r="R56" s="19">
        <f t="shared" si="7"/>
        <v>1</v>
      </c>
      <c r="S56" s="19">
        <f t="shared" si="8"/>
        <v>0</v>
      </c>
      <c r="T56" s="145"/>
    </row>
    <row r="57" spans="1:20" ht="15" thickBot="1" x14ac:dyDescent="0.35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 x14ac:dyDescent="0.35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35</v>
      </c>
      <c r="Q58" s="147" t="s">
        <v>42</v>
      </c>
      <c r="R58" s="19">
        <f t="shared" si="7"/>
        <v>1</v>
      </c>
      <c r="S58" s="19">
        <f t="shared" si="8"/>
        <v>0</v>
      </c>
      <c r="T58" s="145"/>
    </row>
    <row r="59" spans="1:20" ht="15" thickBot="1" x14ac:dyDescent="0.35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 x14ac:dyDescent="0.35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37</v>
      </c>
      <c r="Q60" s="149" t="s">
        <v>38</v>
      </c>
      <c r="R60" s="19">
        <f t="shared" si="7"/>
        <v>1</v>
      </c>
      <c r="S60" s="19">
        <f t="shared" si="8"/>
        <v>0</v>
      </c>
      <c r="T60" s="144"/>
    </row>
    <row r="61" spans="1:20" ht="15" thickBot="1" x14ac:dyDescent="0.35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 x14ac:dyDescent="0.35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 x14ac:dyDescent="0.35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39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 x14ac:dyDescent="0.35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 x14ac:dyDescent="0.35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 x14ac:dyDescent="0.35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 x14ac:dyDescent="0.35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 x14ac:dyDescent="0.35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 x14ac:dyDescent="0.35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 x14ac:dyDescent="0.35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 x14ac:dyDescent="0.35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 x14ac:dyDescent="0.35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 x14ac:dyDescent="0.35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 x14ac:dyDescent="0.35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 x14ac:dyDescent="0.35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 x14ac:dyDescent="0.35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 x14ac:dyDescent="0.35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 x14ac:dyDescent="0.35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 x14ac:dyDescent="0.35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 x14ac:dyDescent="0.35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 x14ac:dyDescent="0.35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43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 x14ac:dyDescent="0.35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 x14ac:dyDescent="0.35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29</v>
      </c>
      <c r="Q83" s="62" t="s">
        <v>30</v>
      </c>
      <c r="R83" s="19">
        <f t="shared" si="39"/>
        <v>1</v>
      </c>
      <c r="S83" s="19">
        <f t="shared" si="40"/>
        <v>0</v>
      </c>
      <c r="T83" s="144"/>
    </row>
    <row r="84" spans="1:20" ht="15" thickBot="1" x14ac:dyDescent="0.35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 x14ac:dyDescent="0.35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 x14ac:dyDescent="0.35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31</v>
      </c>
      <c r="Q86" s="66" t="s">
        <v>32</v>
      </c>
      <c r="R86" s="19">
        <f t="shared" si="39"/>
        <v>1</v>
      </c>
      <c r="S86" s="19">
        <f t="shared" si="40"/>
        <v>0</v>
      </c>
      <c r="T86" s="145"/>
    </row>
    <row r="87" spans="1:20" ht="15" thickBot="1" x14ac:dyDescent="0.35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 x14ac:dyDescent="0.35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33</v>
      </c>
      <c r="Q88" s="70" t="s">
        <v>41</v>
      </c>
      <c r="R88" s="19">
        <f t="shared" si="39"/>
        <v>1</v>
      </c>
      <c r="S88" s="19">
        <f t="shared" si="40"/>
        <v>0</v>
      </c>
      <c r="T88" s="144"/>
    </row>
    <row r="89" spans="1:20" ht="15" thickBot="1" x14ac:dyDescent="0.35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 x14ac:dyDescent="0.35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35</v>
      </c>
      <c r="Q90" s="147" t="s">
        <v>42</v>
      </c>
      <c r="R90" s="19">
        <f t="shared" si="39"/>
        <v>1</v>
      </c>
      <c r="S90" s="19">
        <f t="shared" si="40"/>
        <v>0</v>
      </c>
      <c r="T90" s="145"/>
    </row>
    <row r="91" spans="1:20" ht="15" thickBot="1" x14ac:dyDescent="0.35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 x14ac:dyDescent="0.35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37</v>
      </c>
      <c r="Q92" s="149" t="s">
        <v>38</v>
      </c>
      <c r="R92" s="19">
        <f t="shared" si="39"/>
        <v>1</v>
      </c>
      <c r="S92" s="19">
        <f t="shared" si="40"/>
        <v>0</v>
      </c>
      <c r="T92" s="145"/>
    </row>
    <row r="93" spans="1:20" ht="15" thickBot="1" x14ac:dyDescent="0.35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 x14ac:dyDescent="0.35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39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 x14ac:dyDescent="0.35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 x14ac:dyDescent="0.35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 x14ac:dyDescent="0.35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 x14ac:dyDescent="0.35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 x14ac:dyDescent="0.35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 x14ac:dyDescent="0.35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 x14ac:dyDescent="0.35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 x14ac:dyDescent="0.35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 x14ac:dyDescent="0.35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 x14ac:dyDescent="0.35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 x14ac:dyDescent="0.35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 x14ac:dyDescent="0.35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 x14ac:dyDescent="0.35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 x14ac:dyDescent="0.35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 x14ac:dyDescent="0.35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 x14ac:dyDescent="0.35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 x14ac:dyDescent="0.35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44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 x14ac:dyDescent="0.35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 x14ac:dyDescent="0.35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29</v>
      </c>
      <c r="Q113" s="62" t="s">
        <v>30</v>
      </c>
      <c r="R113" s="19">
        <f t="shared" si="61"/>
        <v>1</v>
      </c>
      <c r="S113" s="19">
        <f t="shared" si="40"/>
        <v>0</v>
      </c>
      <c r="T113" s="144"/>
    </row>
    <row r="114" spans="1:20" ht="15" thickBot="1" x14ac:dyDescent="0.35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 x14ac:dyDescent="0.35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 x14ac:dyDescent="0.35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31</v>
      </c>
      <c r="Q116" s="66" t="s">
        <v>32</v>
      </c>
      <c r="R116" s="19">
        <f t="shared" si="61"/>
        <v>1</v>
      </c>
      <c r="S116" s="19">
        <f t="shared" si="40"/>
        <v>0</v>
      </c>
      <c r="T116" s="145"/>
    </row>
    <row r="117" spans="1:20" ht="15" thickBot="1" x14ac:dyDescent="0.35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 x14ac:dyDescent="0.35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33</v>
      </c>
      <c r="Q118" s="70" t="s">
        <v>41</v>
      </c>
      <c r="R118" s="19">
        <f t="shared" si="61"/>
        <v>1</v>
      </c>
      <c r="S118" s="19">
        <f t="shared" si="40"/>
        <v>0</v>
      </c>
      <c r="T118" s="145"/>
    </row>
    <row r="119" spans="1:20" ht="15" thickBot="1" x14ac:dyDescent="0.35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 x14ac:dyDescent="0.35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35</v>
      </c>
      <c r="Q120" s="147" t="s">
        <v>42</v>
      </c>
      <c r="R120" s="19">
        <f t="shared" si="61"/>
        <v>1</v>
      </c>
      <c r="S120" s="19">
        <f t="shared" si="40"/>
        <v>0</v>
      </c>
      <c r="T120" s="144"/>
    </row>
    <row r="121" spans="1:20" ht="15" thickBot="1" x14ac:dyDescent="0.35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 x14ac:dyDescent="0.35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37</v>
      </c>
      <c r="Q122" s="149" t="s">
        <v>38</v>
      </c>
      <c r="R122" s="19">
        <f t="shared" si="61"/>
        <v>1</v>
      </c>
      <c r="S122" s="19">
        <f t="shared" si="40"/>
        <v>0</v>
      </c>
      <c r="T122" s="145"/>
    </row>
    <row r="123" spans="1:20" x14ac:dyDescent="0.3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 x14ac:dyDescent="0.35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39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 x14ac:dyDescent="0.35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 x14ac:dyDescent="0.35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 x14ac:dyDescent="0.35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 x14ac:dyDescent="0.35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 x14ac:dyDescent="0.35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 x14ac:dyDescent="0.35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 x14ac:dyDescent="0.35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 x14ac:dyDescent="0.35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 x14ac:dyDescent="0.35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 x14ac:dyDescent="0.35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 x14ac:dyDescent="0.35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 x14ac:dyDescent="0.35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 x14ac:dyDescent="0.35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 x14ac:dyDescent="0.35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 x14ac:dyDescent="0.35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 x14ac:dyDescent="0.35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 x14ac:dyDescent="0.35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 x14ac:dyDescent="0.35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45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 x14ac:dyDescent="0.35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 x14ac:dyDescent="0.35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29</v>
      </c>
      <c r="Q144" s="62" t="s">
        <v>30</v>
      </c>
      <c r="R144" s="19">
        <f t="shared" si="61"/>
        <v>1</v>
      </c>
      <c r="S144" s="19">
        <f t="shared" si="71"/>
        <v>0</v>
      </c>
      <c r="T144" s="144"/>
    </row>
    <row r="145" spans="1:20" ht="15" thickBot="1" x14ac:dyDescent="0.35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 x14ac:dyDescent="0.35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 x14ac:dyDescent="0.35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31</v>
      </c>
      <c r="Q147" s="66" t="s">
        <v>32</v>
      </c>
      <c r="R147" s="19">
        <f t="shared" si="61"/>
        <v>1</v>
      </c>
      <c r="S147" s="19">
        <f t="shared" si="71"/>
        <v>0</v>
      </c>
      <c r="T147" s="145"/>
    </row>
    <row r="148" spans="1:20" ht="15" thickBot="1" x14ac:dyDescent="0.35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 x14ac:dyDescent="0.35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33</v>
      </c>
      <c r="Q149" s="70" t="s">
        <v>41</v>
      </c>
      <c r="R149" s="19">
        <f t="shared" si="61"/>
        <v>1</v>
      </c>
      <c r="S149" s="19">
        <f t="shared" si="71"/>
        <v>0</v>
      </c>
      <c r="T149" s="144"/>
    </row>
    <row r="150" spans="1:20" ht="15" thickBot="1" x14ac:dyDescent="0.35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 x14ac:dyDescent="0.35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35</v>
      </c>
      <c r="Q151" s="147" t="s">
        <v>42</v>
      </c>
      <c r="R151" s="19">
        <f t="shared" si="61"/>
        <v>1</v>
      </c>
      <c r="S151" s="19">
        <f t="shared" si="71"/>
        <v>0</v>
      </c>
      <c r="T151" s="144"/>
    </row>
    <row r="152" spans="1:20" ht="15" thickBot="1" x14ac:dyDescent="0.35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 x14ac:dyDescent="0.35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37</v>
      </c>
      <c r="Q153" s="149" t="s">
        <v>38</v>
      </c>
      <c r="R153" s="19">
        <f t="shared" si="61"/>
        <v>1</v>
      </c>
      <c r="S153" s="19">
        <f t="shared" si="71"/>
        <v>0</v>
      </c>
      <c r="T153" s="144"/>
    </row>
    <row r="154" spans="1:20" ht="15" thickBot="1" x14ac:dyDescent="0.35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 x14ac:dyDescent="0.35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39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 x14ac:dyDescent="0.35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 x14ac:dyDescent="0.35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 x14ac:dyDescent="0.35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 x14ac:dyDescent="0.35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 x14ac:dyDescent="0.35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 x14ac:dyDescent="0.35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 x14ac:dyDescent="0.35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 x14ac:dyDescent="0.35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 x14ac:dyDescent="0.35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 x14ac:dyDescent="0.35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 x14ac:dyDescent="0.35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 x14ac:dyDescent="0.35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 x14ac:dyDescent="0.35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 x14ac:dyDescent="0.35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 x14ac:dyDescent="0.35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 x14ac:dyDescent="0.35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 x14ac:dyDescent="0.35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46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 x14ac:dyDescent="0.35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 x14ac:dyDescent="0.35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29</v>
      </c>
      <c r="Q174" s="62" t="s">
        <v>30</v>
      </c>
      <c r="R174" s="19">
        <f t="shared" si="78"/>
        <v>1</v>
      </c>
      <c r="S174" s="19">
        <f t="shared" si="71"/>
        <v>0</v>
      </c>
      <c r="T174" s="144"/>
    </row>
    <row r="175" spans="1:20" ht="15" thickBot="1" x14ac:dyDescent="0.35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 x14ac:dyDescent="0.35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 x14ac:dyDescent="0.35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31</v>
      </c>
      <c r="Q177" s="66" t="s">
        <v>32</v>
      </c>
      <c r="R177" s="19">
        <f t="shared" si="78"/>
        <v>1</v>
      </c>
      <c r="S177" s="19">
        <f t="shared" si="71"/>
        <v>0</v>
      </c>
      <c r="T177" s="145"/>
    </row>
    <row r="178" spans="1:20" x14ac:dyDescent="0.3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 x14ac:dyDescent="0.3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33</v>
      </c>
      <c r="Q179" s="70" t="s">
        <v>41</v>
      </c>
      <c r="R179" s="19">
        <f t="shared" si="78"/>
        <v>1</v>
      </c>
      <c r="S179" s="19">
        <f t="shared" si="71"/>
        <v>0</v>
      </c>
      <c r="T179" s="145"/>
    </row>
    <row r="180" spans="1:20" x14ac:dyDescent="0.3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 x14ac:dyDescent="0.3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35</v>
      </c>
      <c r="Q181" s="147" t="s">
        <v>42</v>
      </c>
      <c r="R181" s="19">
        <f t="shared" si="78"/>
        <v>1</v>
      </c>
      <c r="S181" s="19">
        <f t="shared" si="71"/>
        <v>0</v>
      </c>
      <c r="T181" s="144"/>
    </row>
    <row r="182" spans="1:20" x14ac:dyDescent="0.3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 x14ac:dyDescent="0.3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37</v>
      </c>
      <c r="Q183" s="149" t="s">
        <v>38</v>
      </c>
      <c r="R183" s="19">
        <f t="shared" si="78"/>
        <v>1</v>
      </c>
      <c r="S183" s="19">
        <f t="shared" si="71"/>
        <v>0</v>
      </c>
      <c r="T183" s="144"/>
    </row>
    <row r="184" spans="1:20" x14ac:dyDescent="0.3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 x14ac:dyDescent="0.3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39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 x14ac:dyDescent="0.3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 x14ac:dyDescent="0.3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 x14ac:dyDescent="0.3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 x14ac:dyDescent="0.3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 x14ac:dyDescent="0.3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 x14ac:dyDescent="0.3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 x14ac:dyDescent="0.3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 x14ac:dyDescent="0.3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 x14ac:dyDescent="0.3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 x14ac:dyDescent="0.3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 x14ac:dyDescent="0.3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 x14ac:dyDescent="0.3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 x14ac:dyDescent="0.3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 x14ac:dyDescent="0.3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 x14ac:dyDescent="0.3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 x14ac:dyDescent="0.3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 x14ac:dyDescent="0.3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 x14ac:dyDescent="0.3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47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 x14ac:dyDescent="0.3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 x14ac:dyDescent="0.3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29</v>
      </c>
      <c r="Q205" s="62" t="s">
        <v>30</v>
      </c>
      <c r="R205" s="19">
        <f t="shared" si="78"/>
        <v>1</v>
      </c>
      <c r="S205" s="19">
        <f t="shared" si="80"/>
        <v>0</v>
      </c>
      <c r="T205" s="144"/>
    </row>
    <row r="206" spans="1:20" x14ac:dyDescent="0.3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 x14ac:dyDescent="0.3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 x14ac:dyDescent="0.3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31</v>
      </c>
      <c r="Q208" s="66" t="s">
        <v>32</v>
      </c>
      <c r="R208" s="19">
        <f t="shared" si="78"/>
        <v>1</v>
      </c>
      <c r="S208" s="19">
        <f t="shared" si="80"/>
        <v>0</v>
      </c>
      <c r="T208" s="145"/>
    </row>
    <row r="209" spans="1:20" x14ac:dyDescent="0.3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 x14ac:dyDescent="0.3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33</v>
      </c>
      <c r="Q210" s="70" t="s">
        <v>41</v>
      </c>
      <c r="R210" s="19">
        <f t="shared" si="78"/>
        <v>1</v>
      </c>
      <c r="S210" s="19">
        <f t="shared" si="80"/>
        <v>0</v>
      </c>
      <c r="T210" s="144"/>
    </row>
    <row r="211" spans="1:20" x14ac:dyDescent="0.3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 x14ac:dyDescent="0.3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35</v>
      </c>
      <c r="Q212" s="147" t="s">
        <v>42</v>
      </c>
      <c r="R212" s="19">
        <f t="shared" si="78"/>
        <v>1</v>
      </c>
      <c r="S212" s="19">
        <f t="shared" si="80"/>
        <v>0</v>
      </c>
      <c r="T212" s="144"/>
    </row>
    <row r="213" spans="1:20" x14ac:dyDescent="0.3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 x14ac:dyDescent="0.3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37</v>
      </c>
      <c r="Q214" s="149" t="s">
        <v>38</v>
      </c>
      <c r="R214" s="19">
        <f t="shared" si="78"/>
        <v>1</v>
      </c>
      <c r="S214" s="19">
        <f t="shared" si="80"/>
        <v>0</v>
      </c>
      <c r="T214" s="144"/>
    </row>
    <row r="215" spans="1:20" x14ac:dyDescent="0.3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 x14ac:dyDescent="0.3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39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 x14ac:dyDescent="0.3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 x14ac:dyDescent="0.3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 x14ac:dyDescent="0.3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 x14ac:dyDescent="0.3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 x14ac:dyDescent="0.3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 x14ac:dyDescent="0.3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 x14ac:dyDescent="0.3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 x14ac:dyDescent="0.3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 x14ac:dyDescent="0.3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 x14ac:dyDescent="0.3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 x14ac:dyDescent="0.3">
      <c r="A227" s="50">
        <v>44785</v>
      </c>
      <c r="D227" s="128" t="s">
        <v>48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 x14ac:dyDescent="0.3">
      <c r="A228" s="50">
        <v>44786</v>
      </c>
      <c r="D228" s="128" t="s">
        <v>48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 x14ac:dyDescent="0.3">
      <c r="A229" s="50">
        <v>44787</v>
      </c>
      <c r="D229" s="128" t="s">
        <v>48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 x14ac:dyDescent="0.3">
      <c r="A230" s="50">
        <v>44788</v>
      </c>
      <c r="D230" s="128" t="s">
        <v>48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 x14ac:dyDescent="0.3">
      <c r="A231" s="50">
        <v>44789</v>
      </c>
      <c r="D231" s="128" t="s">
        <v>48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 x14ac:dyDescent="0.3">
      <c r="A232" s="50">
        <v>44790</v>
      </c>
      <c r="D232" s="128" t="s">
        <v>48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 x14ac:dyDescent="0.3">
      <c r="A233" s="50">
        <v>44791</v>
      </c>
      <c r="D233" s="128" t="s">
        <v>48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 x14ac:dyDescent="0.3">
      <c r="A234" s="50">
        <v>44792</v>
      </c>
      <c r="D234" s="128" t="s">
        <v>48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49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 x14ac:dyDescent="0.3">
      <c r="A235" s="50">
        <v>44793</v>
      </c>
      <c r="D235" s="128" t="s">
        <v>48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 x14ac:dyDescent="0.3">
      <c r="A236" s="50">
        <v>44794</v>
      </c>
      <c r="D236" s="128" t="s">
        <v>48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29</v>
      </c>
      <c r="Q236" s="62" t="s">
        <v>30</v>
      </c>
      <c r="R236" s="19">
        <f t="shared" si="85"/>
        <v>1</v>
      </c>
      <c r="S236" s="19">
        <f t="shared" si="80"/>
        <v>0</v>
      </c>
      <c r="T236" s="144"/>
    </row>
    <row r="237" spans="1:20" x14ac:dyDescent="0.3">
      <c r="A237" s="50">
        <v>44795</v>
      </c>
      <c r="D237" s="128" t="s">
        <v>48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 x14ac:dyDescent="0.3">
      <c r="A238" s="50">
        <v>44796</v>
      </c>
      <c r="D238" s="128" t="s">
        <v>48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 x14ac:dyDescent="0.3">
      <c r="A239" s="50">
        <v>44797</v>
      </c>
      <c r="D239" s="128" t="s">
        <v>48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31</v>
      </c>
      <c r="Q239" s="66" t="s">
        <v>32</v>
      </c>
      <c r="R239" s="19">
        <f t="shared" si="85"/>
        <v>1</v>
      </c>
      <c r="S239" s="19">
        <f t="shared" si="80"/>
        <v>0</v>
      </c>
      <c r="T239" s="145"/>
    </row>
    <row r="240" spans="1:20" x14ac:dyDescent="0.3">
      <c r="A240" s="50">
        <v>44798</v>
      </c>
      <c r="D240" s="128" t="s">
        <v>48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 x14ac:dyDescent="0.3">
      <c r="A241" s="50">
        <v>44799</v>
      </c>
      <c r="D241" s="128" t="s">
        <v>48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33</v>
      </c>
      <c r="Q241" s="70" t="s">
        <v>41</v>
      </c>
      <c r="R241" s="19">
        <f t="shared" si="85"/>
        <v>1</v>
      </c>
      <c r="S241" s="19">
        <f t="shared" si="80"/>
        <v>0</v>
      </c>
      <c r="T241" s="144"/>
    </row>
    <row r="242" spans="1:20" x14ac:dyDescent="0.3">
      <c r="A242" s="50">
        <v>44800</v>
      </c>
      <c r="D242" s="128" t="s">
        <v>48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 x14ac:dyDescent="0.3">
      <c r="A243" s="50">
        <v>44801</v>
      </c>
      <c r="D243" s="128" t="s">
        <v>48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35</v>
      </c>
      <c r="Q243" s="147" t="s">
        <v>42</v>
      </c>
      <c r="R243" s="19">
        <f t="shared" si="85"/>
        <v>1</v>
      </c>
      <c r="S243" s="19">
        <f t="shared" si="80"/>
        <v>0</v>
      </c>
      <c r="T243" s="144"/>
    </row>
    <row r="244" spans="1:20" x14ac:dyDescent="0.3">
      <c r="A244" s="50">
        <v>44802</v>
      </c>
      <c r="D244" s="128" t="s">
        <v>48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 x14ac:dyDescent="0.3">
      <c r="A245" s="50">
        <v>44803</v>
      </c>
      <c r="D245" s="128" t="s">
        <v>48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37</v>
      </c>
      <c r="Q245" s="149" t="s">
        <v>38</v>
      </c>
      <c r="R245" s="19">
        <f t="shared" si="85"/>
        <v>1</v>
      </c>
      <c r="S245" s="19">
        <f t="shared" si="80"/>
        <v>0</v>
      </c>
      <c r="T245" s="144"/>
    </row>
    <row r="246" spans="1:20" x14ac:dyDescent="0.3">
      <c r="A246" s="50">
        <v>44804</v>
      </c>
      <c r="D246" s="153" t="s">
        <v>48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 x14ac:dyDescent="0.3">
      <c r="A247" s="50">
        <v>44805</v>
      </c>
      <c r="D247" s="128" t="s">
        <v>48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39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 x14ac:dyDescent="0.3">
      <c r="A248" s="50">
        <v>44806</v>
      </c>
      <c r="D248" s="128" t="s">
        <v>48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 x14ac:dyDescent="0.3">
      <c r="A249" s="50">
        <v>44807</v>
      </c>
      <c r="D249" s="128" t="s">
        <v>48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 x14ac:dyDescent="0.3">
      <c r="A250" s="50">
        <v>44808</v>
      </c>
      <c r="D250" s="128" t="s">
        <v>48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 x14ac:dyDescent="0.3">
      <c r="A251" s="50">
        <v>44809</v>
      </c>
      <c r="D251" s="128" t="s">
        <v>48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 x14ac:dyDescent="0.3">
      <c r="A252" s="50">
        <v>44810</v>
      </c>
      <c r="D252" s="128" t="s">
        <v>48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 x14ac:dyDescent="0.3">
      <c r="A253" s="50">
        <v>44811</v>
      </c>
      <c r="D253" s="128" t="s">
        <v>48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 x14ac:dyDescent="0.3">
      <c r="A254" s="50">
        <v>44812</v>
      </c>
      <c r="D254" s="128" t="s">
        <v>48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 x14ac:dyDescent="0.3">
      <c r="A255" s="50">
        <v>44813</v>
      </c>
      <c r="D255" s="128" t="s">
        <v>48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 x14ac:dyDescent="0.3">
      <c r="A256" s="50">
        <v>44814</v>
      </c>
      <c r="D256" s="128" t="s">
        <v>48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 x14ac:dyDescent="0.3">
      <c r="A257" s="50">
        <v>44815</v>
      </c>
      <c r="D257" s="128" t="s">
        <v>48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 x14ac:dyDescent="0.3">
      <c r="A258" s="50">
        <v>44816</v>
      </c>
      <c r="D258" s="128" t="s">
        <v>48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 x14ac:dyDescent="0.3">
      <c r="A259" s="50">
        <v>44817</v>
      </c>
      <c r="D259" s="128" t="s">
        <v>48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 x14ac:dyDescent="0.3">
      <c r="A260" s="50">
        <v>44818</v>
      </c>
      <c r="D260" s="128" t="s">
        <v>48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 x14ac:dyDescent="0.3">
      <c r="A261" s="50">
        <v>44819</v>
      </c>
      <c r="D261" s="128" t="s">
        <v>48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 x14ac:dyDescent="0.3">
      <c r="A262" s="50">
        <v>44820</v>
      </c>
      <c r="D262" s="128" t="s">
        <v>48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 x14ac:dyDescent="0.3">
      <c r="A263" s="50">
        <v>44821</v>
      </c>
      <c r="D263" s="128" t="s">
        <v>48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 x14ac:dyDescent="0.3">
      <c r="A264" s="50">
        <v>44822</v>
      </c>
      <c r="D264" s="128" t="s">
        <v>48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50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 x14ac:dyDescent="0.3">
      <c r="A265" s="50">
        <v>44823</v>
      </c>
      <c r="D265" s="128" t="s">
        <v>48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 x14ac:dyDescent="0.3">
      <c r="A266" s="50">
        <v>44824</v>
      </c>
      <c r="D266" s="128" t="s">
        <v>48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29</v>
      </c>
      <c r="Q266" s="62" t="s">
        <v>30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 x14ac:dyDescent="0.3">
      <c r="A267" s="50">
        <v>44825</v>
      </c>
      <c r="D267" s="128" t="s">
        <v>48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5.1750092667539098E-2</v>
      </c>
      <c r="Q267" s="63">
        <f>IF(L247="",0,+SUM(L247:L276)/SUM(I247:I276))</f>
        <v>5.1750092667539098E-2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 x14ac:dyDescent="0.3">
      <c r="A268" s="50">
        <v>44826</v>
      </c>
      <c r="D268" s="128" t="s">
        <v>48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#N/A</v>
      </c>
      <c r="Q268" s="64" t="e">
        <f>IF(L247="",0,+(+(LOOKUP(9.99999999999999E+307,F247:F276)-F246))/(+(LOOKUP(9.99999999999999E+307,D247:D276)-D246)))</f>
        <v>#N/A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 x14ac:dyDescent="0.3">
      <c r="A269" s="50">
        <v>44827</v>
      </c>
      <c r="D269" s="128"/>
      <c r="E269" s="129"/>
      <c r="F269" s="130"/>
      <c r="G269" s="53"/>
      <c r="H269" s="53">
        <v>4140</v>
      </c>
      <c r="I269" s="53" t="str">
        <f t="shared" si="86"/>
        <v/>
      </c>
      <c r="J269" s="53" t="str">
        <f t="shared" si="87"/>
        <v/>
      </c>
      <c r="K269" s="54" t="str">
        <f t="shared" ref="K269:K332" si="92">IF(J269="","",+(J269/I269))</f>
        <v/>
      </c>
      <c r="L269" s="53" t="str">
        <f t="shared" si="89"/>
        <v/>
      </c>
      <c r="M269" s="54" t="str">
        <f t="shared" ref="M269:M332" si="93">IF(L269="","",(L269/I269))</f>
        <v/>
      </c>
      <c r="N269" s="55"/>
      <c r="O269" s="55" t="str">
        <f t="shared" si="90"/>
        <v/>
      </c>
      <c r="P269" s="65" t="s">
        <v>31</v>
      </c>
      <c r="Q269" s="66" t="s">
        <v>32</v>
      </c>
      <c r="R269" s="19">
        <f t="shared" si="88"/>
        <v>0</v>
      </c>
      <c r="S269" s="19">
        <f t="shared" si="91"/>
        <v>1</v>
      </c>
      <c r="T269" s="145"/>
    </row>
    <row r="270" spans="1:20" ht="12.75" customHeight="1" x14ac:dyDescent="0.3">
      <c r="A270" s="50">
        <v>44828</v>
      </c>
      <c r="D270" s="128"/>
      <c r="E270" s="129"/>
      <c r="F270" s="130"/>
      <c r="G270" s="53"/>
      <c r="H270" s="53">
        <v>4140</v>
      </c>
      <c r="I270" s="53" t="str">
        <f t="shared" si="86"/>
        <v/>
      </c>
      <c r="J270" s="53" t="str">
        <f t="shared" si="87"/>
        <v/>
      </c>
      <c r="K270" s="54" t="str">
        <f t="shared" si="92"/>
        <v/>
      </c>
      <c r="L270" s="53" t="str">
        <f t="shared" si="89"/>
        <v/>
      </c>
      <c r="M270" s="54" t="str">
        <f t="shared" si="93"/>
        <v/>
      </c>
      <c r="N270" s="55"/>
      <c r="O270" s="55" t="str">
        <f t="shared" si="90"/>
        <v/>
      </c>
      <c r="P270" s="67">
        <f>IF(N246="",0,+(LOOKUP(9.99999999999999E+307,N246:N276)-N246))</f>
        <v>264322</v>
      </c>
      <c r="Q270" s="68">
        <f>IF(P270="",0,+P270/SUM(R247:R276))</f>
        <v>12014.636363636364</v>
      </c>
      <c r="R270" s="19">
        <f t="shared" si="88"/>
        <v>0</v>
      </c>
      <c r="S270" s="19">
        <f t="shared" si="91"/>
        <v>1</v>
      </c>
      <c r="T270" s="145"/>
    </row>
    <row r="271" spans="1:20" ht="12.75" customHeight="1" x14ac:dyDescent="0.3">
      <c r="A271" s="50">
        <v>44829</v>
      </c>
      <c r="D271" s="128"/>
      <c r="E271" s="129"/>
      <c r="F271" s="130"/>
      <c r="G271" s="53"/>
      <c r="H271" s="53">
        <v>4140</v>
      </c>
      <c r="I271" s="53" t="str">
        <f t="shared" si="86"/>
        <v/>
      </c>
      <c r="J271" s="53" t="str">
        <f t="shared" si="87"/>
        <v/>
      </c>
      <c r="K271" s="54" t="str">
        <f t="shared" si="92"/>
        <v/>
      </c>
      <c r="L271" s="53" t="str">
        <f t="shared" si="89"/>
        <v/>
      </c>
      <c r="M271" s="54" t="str">
        <f t="shared" si="93"/>
        <v/>
      </c>
      <c r="N271" s="55"/>
      <c r="O271" s="55" t="str">
        <f t="shared" si="90"/>
        <v/>
      </c>
      <c r="P271" s="69" t="s">
        <v>33</v>
      </c>
      <c r="Q271" s="70" t="s">
        <v>41</v>
      </c>
      <c r="R271" s="19">
        <f t="shared" si="88"/>
        <v>0</v>
      </c>
      <c r="S271" s="19">
        <f t="shared" si="91"/>
        <v>1</v>
      </c>
      <c r="T271" s="145"/>
    </row>
    <row r="272" spans="1:20" ht="12.75" customHeight="1" x14ac:dyDescent="0.3">
      <c r="A272" s="50">
        <v>44830</v>
      </c>
      <c r="D272" s="128"/>
      <c r="E272" s="129"/>
      <c r="F272" s="130"/>
      <c r="G272" s="53"/>
      <c r="H272" s="53">
        <v>4140</v>
      </c>
      <c r="I272" s="53" t="str">
        <f t="shared" si="86"/>
        <v/>
      </c>
      <c r="J272" s="53" t="str">
        <f t="shared" si="87"/>
        <v/>
      </c>
      <c r="K272" s="54" t="str">
        <f t="shared" si="92"/>
        <v/>
      </c>
      <c r="L272" s="53" t="str">
        <f t="shared" si="89"/>
        <v/>
      </c>
      <c r="M272" s="54" t="str">
        <f t="shared" si="93"/>
        <v/>
      </c>
      <c r="N272" s="55"/>
      <c r="O272" s="55" t="str">
        <f t="shared" si="90"/>
        <v/>
      </c>
      <c r="P272" s="71" t="e">
        <f>IF(D246="",0,+(LOOKUP(9.99999999999999E+307,D246:D276)-D246))*4140</f>
        <v>#N/A</v>
      </c>
      <c r="Q272" s="72" t="e">
        <f>IF(P272="",0,+P272/SUM(R247:R276))</f>
        <v>#N/A</v>
      </c>
      <c r="R272" s="19">
        <f t="shared" si="88"/>
        <v>0</v>
      </c>
      <c r="S272" s="19">
        <f t="shared" si="91"/>
        <v>1</v>
      </c>
      <c r="T272" s="144"/>
    </row>
    <row r="273" spans="1:23" ht="12.75" customHeight="1" x14ac:dyDescent="0.3">
      <c r="A273" s="50">
        <v>44831</v>
      </c>
      <c r="D273" s="128"/>
      <c r="E273" s="129"/>
      <c r="F273" s="130"/>
      <c r="G273" s="53"/>
      <c r="H273" s="53">
        <v>4140</v>
      </c>
      <c r="I273" s="53" t="str">
        <f t="shared" si="86"/>
        <v/>
      </c>
      <c r="J273" s="53" t="str">
        <f t="shared" si="87"/>
        <v/>
      </c>
      <c r="K273" s="54" t="str">
        <f t="shared" si="92"/>
        <v/>
      </c>
      <c r="L273" s="53" t="str">
        <f t="shared" si="89"/>
        <v/>
      </c>
      <c r="M273" s="54" t="str">
        <f t="shared" si="93"/>
        <v/>
      </c>
      <c r="N273" s="55"/>
      <c r="O273" s="55" t="str">
        <f t="shared" si="90"/>
        <v/>
      </c>
      <c r="P273" s="146" t="s">
        <v>35</v>
      </c>
      <c r="Q273" s="147" t="s">
        <v>42</v>
      </c>
      <c r="R273" s="19">
        <f t="shared" si="88"/>
        <v>0</v>
      </c>
      <c r="S273" s="19">
        <f t="shared" si="91"/>
        <v>1</v>
      </c>
      <c r="T273" s="144"/>
    </row>
    <row r="274" spans="1:23" ht="12.75" customHeight="1" x14ac:dyDescent="0.3">
      <c r="A274" s="50">
        <v>44832</v>
      </c>
      <c r="D274" s="128"/>
      <c r="E274" s="129"/>
      <c r="F274" s="130"/>
      <c r="G274" s="53"/>
      <c r="H274" s="53">
        <v>4140</v>
      </c>
      <c r="I274" s="53" t="str">
        <f t="shared" si="86"/>
        <v/>
      </c>
      <c r="J274" s="53" t="str">
        <f t="shared" si="87"/>
        <v/>
      </c>
      <c r="K274" s="54" t="str">
        <f t="shared" si="92"/>
        <v/>
      </c>
      <c r="L274" s="53" t="str">
        <f t="shared" si="89"/>
        <v/>
      </c>
      <c r="M274" s="54" t="str">
        <f t="shared" si="93"/>
        <v/>
      </c>
      <c r="N274" s="55"/>
      <c r="O274" s="55" t="str">
        <f t="shared" si="90"/>
        <v/>
      </c>
      <c r="P274" s="73" t="e">
        <f>P272*Q277</f>
        <v>#N/A</v>
      </c>
      <c r="Q274" s="74">
        <f>IF(Q34="",0,(SUM('[1]Günlük Tüketim'!H247:H276)*1.62)/SUM(O247:O276))</f>
        <v>0</v>
      </c>
      <c r="R274" s="19">
        <f t="shared" si="88"/>
        <v>0</v>
      </c>
      <c r="S274" s="19">
        <f t="shared" si="91"/>
        <v>1</v>
      </c>
      <c r="T274" s="144"/>
    </row>
    <row r="275" spans="1:23" ht="12.75" customHeight="1" x14ac:dyDescent="0.3">
      <c r="A275" s="50">
        <v>44833</v>
      </c>
      <c r="D275" s="128"/>
      <c r="E275" s="129"/>
      <c r="F275" s="130"/>
      <c r="G275" s="53"/>
      <c r="H275" s="53">
        <v>4140</v>
      </c>
      <c r="I275" s="53" t="str">
        <f t="shared" si="86"/>
        <v/>
      </c>
      <c r="J275" s="53" t="str">
        <f t="shared" si="87"/>
        <v/>
      </c>
      <c r="K275" s="54" t="str">
        <f t="shared" si="92"/>
        <v/>
      </c>
      <c r="L275" s="53" t="str">
        <f t="shared" si="89"/>
        <v/>
      </c>
      <c r="M275" s="54" t="str">
        <f t="shared" si="93"/>
        <v/>
      </c>
      <c r="N275" s="55"/>
      <c r="O275" s="55" t="str">
        <f t="shared" si="90"/>
        <v/>
      </c>
      <c r="P275" s="148" t="s">
        <v>37</v>
      </c>
      <c r="Q275" s="149" t="s">
        <v>38</v>
      </c>
      <c r="R275" s="19">
        <f t="shared" si="88"/>
        <v>0</v>
      </c>
      <c r="S275" s="19">
        <f t="shared" si="91"/>
        <v>1</v>
      </c>
      <c r="T275" s="144"/>
    </row>
    <row r="276" spans="1:23" ht="12.75" customHeight="1" x14ac:dyDescent="0.3">
      <c r="A276" s="50">
        <v>44834</v>
      </c>
      <c r="D276" s="153"/>
      <c r="E276" s="153"/>
      <c r="F276" s="153"/>
      <c r="G276" s="154"/>
      <c r="H276" s="155">
        <v>4140</v>
      </c>
      <c r="I276" s="155" t="str">
        <f t="shared" si="86"/>
        <v/>
      </c>
      <c r="J276" s="155" t="str">
        <f t="shared" si="87"/>
        <v/>
      </c>
      <c r="K276" s="156" t="str">
        <f t="shared" si="92"/>
        <v/>
      </c>
      <c r="L276" s="155" t="str">
        <f t="shared" si="89"/>
        <v/>
      </c>
      <c r="M276" s="156" t="str">
        <f t="shared" si="93"/>
        <v/>
      </c>
      <c r="N276" s="157"/>
      <c r="O276" s="161" t="str">
        <f t="shared" si="90"/>
        <v/>
      </c>
      <c r="P276" s="111" t="e">
        <f>(P274+Q272*SUM(S247:S276)*Q277)</f>
        <v>#N/A</v>
      </c>
      <c r="Q276" s="79" t="e">
        <f>Q272*30</f>
        <v>#N/A</v>
      </c>
      <c r="R276" s="19">
        <f t="shared" si="88"/>
        <v>0</v>
      </c>
      <c r="S276" s="19">
        <f t="shared" si="91"/>
        <v>1</v>
      </c>
      <c r="T276" s="144"/>
    </row>
    <row r="277" spans="1:23" x14ac:dyDescent="0.3">
      <c r="A277" s="50">
        <v>44835</v>
      </c>
      <c r="D277" s="128"/>
      <c r="E277" s="129"/>
      <c r="F277" s="130"/>
      <c r="G277" s="53"/>
      <c r="H277" s="53">
        <v>4140</v>
      </c>
      <c r="I277" s="53" t="str">
        <f t="shared" si="86"/>
        <v/>
      </c>
      <c r="J277" s="53" t="str">
        <f t="shared" si="87"/>
        <v/>
      </c>
      <c r="K277" s="54" t="str">
        <f t="shared" si="92"/>
        <v/>
      </c>
      <c r="L277" s="53" t="str">
        <f t="shared" si="89"/>
        <v/>
      </c>
      <c r="M277" s="54" t="str">
        <f t="shared" si="93"/>
        <v/>
      </c>
      <c r="N277" s="55"/>
      <c r="O277" s="55" t="str">
        <f t="shared" si="90"/>
        <v/>
      </c>
      <c r="P277" s="80" t="s">
        <v>39</v>
      </c>
      <c r="Q277" s="81">
        <v>0.56999999999999995</v>
      </c>
      <c r="R277" s="19">
        <f t="shared" si="88"/>
        <v>0</v>
      </c>
      <c r="S277" s="19">
        <f t="shared" si="91"/>
        <v>1</v>
      </c>
      <c r="T277" s="144"/>
    </row>
    <row r="278" spans="1:23" x14ac:dyDescent="0.3">
      <c r="A278" s="50">
        <v>44836</v>
      </c>
      <c r="D278" s="128"/>
      <c r="E278" s="129"/>
      <c r="F278" s="130"/>
      <c r="G278" s="53"/>
      <c r="H278" s="53">
        <v>4140</v>
      </c>
      <c r="I278" s="53" t="str">
        <f t="shared" si="86"/>
        <v/>
      </c>
      <c r="J278" s="53" t="str">
        <f t="shared" si="87"/>
        <v/>
      </c>
      <c r="K278" s="54" t="str">
        <f t="shared" si="92"/>
        <v/>
      </c>
      <c r="L278" s="53" t="str">
        <f t="shared" si="89"/>
        <v/>
      </c>
      <c r="M278" s="54" t="str">
        <f t="shared" si="93"/>
        <v/>
      </c>
      <c r="N278" s="55"/>
      <c r="O278" s="55" t="str">
        <f t="shared" si="90"/>
        <v/>
      </c>
      <c r="P278" s="56"/>
      <c r="Q278" s="88"/>
      <c r="R278" s="19">
        <f t="shared" si="88"/>
        <v>0</v>
      </c>
      <c r="S278" s="19">
        <f t="shared" si="91"/>
        <v>1</v>
      </c>
      <c r="T278" s="144"/>
      <c r="W278" s="1" t="s">
        <v>51</v>
      </c>
    </row>
    <row r="279" spans="1:23" x14ac:dyDescent="0.3">
      <c r="A279" s="50">
        <v>44837</v>
      </c>
      <c r="D279" s="128"/>
      <c r="E279" s="129"/>
      <c r="F279" s="130"/>
      <c r="G279" s="53"/>
      <c r="H279" s="53">
        <v>4140</v>
      </c>
      <c r="I279" s="53" t="str">
        <f t="shared" si="86"/>
        <v/>
      </c>
      <c r="J279" s="53" t="str">
        <f t="shared" si="87"/>
        <v/>
      </c>
      <c r="K279" s="54" t="str">
        <f t="shared" si="92"/>
        <v/>
      </c>
      <c r="L279" s="53" t="str">
        <f t="shared" si="89"/>
        <v/>
      </c>
      <c r="M279" s="54" t="str">
        <f t="shared" si="93"/>
        <v/>
      </c>
      <c r="N279" s="55"/>
      <c r="O279" s="55" t="str">
        <f t="shared" si="90"/>
        <v/>
      </c>
      <c r="P279" s="84"/>
      <c r="Q279" s="85"/>
      <c r="R279" s="19">
        <f t="shared" si="88"/>
        <v>0</v>
      </c>
      <c r="S279" s="19">
        <f t="shared" si="91"/>
        <v>1</v>
      </c>
      <c r="T279" s="145"/>
    </row>
    <row r="280" spans="1:23" x14ac:dyDescent="0.3">
      <c r="A280" s="50">
        <v>44838</v>
      </c>
      <c r="D280" s="128"/>
      <c r="E280" s="129"/>
      <c r="F280" s="130"/>
      <c r="G280" s="53"/>
      <c r="H280" s="53">
        <v>4140</v>
      </c>
      <c r="I280" s="53" t="str">
        <f t="shared" si="86"/>
        <v/>
      </c>
      <c r="J280" s="53" t="str">
        <f t="shared" si="87"/>
        <v/>
      </c>
      <c r="K280" s="54" t="str">
        <f t="shared" si="92"/>
        <v/>
      </c>
      <c r="L280" s="53" t="str">
        <f t="shared" si="89"/>
        <v/>
      </c>
      <c r="M280" s="54" t="str">
        <f t="shared" si="93"/>
        <v/>
      </c>
      <c r="N280" s="55"/>
      <c r="O280" s="55" t="str">
        <f t="shared" si="90"/>
        <v/>
      </c>
      <c r="P280" s="86"/>
      <c r="Q280" s="87"/>
      <c r="R280" s="19">
        <f t="shared" si="88"/>
        <v>0</v>
      </c>
      <c r="S280" s="19">
        <f t="shared" si="91"/>
        <v>1</v>
      </c>
      <c r="T280" s="145"/>
    </row>
    <row r="281" spans="1:23" x14ac:dyDescent="0.3">
      <c r="A281" s="50">
        <v>44839</v>
      </c>
      <c r="D281" s="128"/>
      <c r="E281" s="129"/>
      <c r="F281" s="130"/>
      <c r="G281" s="53"/>
      <c r="H281" s="53">
        <v>4140</v>
      </c>
      <c r="I281" s="53" t="str">
        <f t="shared" si="86"/>
        <v/>
      </c>
      <c r="J281" s="53" t="str">
        <f t="shared" si="87"/>
        <v/>
      </c>
      <c r="K281" s="54" t="str">
        <f t="shared" si="92"/>
        <v/>
      </c>
      <c r="L281" s="53" t="str">
        <f t="shared" si="89"/>
        <v/>
      </c>
      <c r="M281" s="54" t="str">
        <f t="shared" si="93"/>
        <v/>
      </c>
      <c r="N281" s="55"/>
      <c r="O281" s="55" t="str">
        <f t="shared" si="90"/>
        <v/>
      </c>
      <c r="P281" s="86"/>
      <c r="Q281" s="85"/>
      <c r="R281" s="19">
        <f t="shared" si="88"/>
        <v>0</v>
      </c>
      <c r="S281" s="19">
        <f t="shared" si="91"/>
        <v>1</v>
      </c>
      <c r="T281" s="144"/>
    </row>
    <row r="282" spans="1:23" x14ac:dyDescent="0.3">
      <c r="A282" s="50">
        <v>44840</v>
      </c>
      <c r="D282" s="128"/>
      <c r="E282" s="129"/>
      <c r="F282" s="130"/>
      <c r="G282" s="53"/>
      <c r="H282" s="53">
        <v>4140</v>
      </c>
      <c r="I282" s="53" t="str">
        <f t="shared" si="86"/>
        <v/>
      </c>
      <c r="J282" s="53" t="str">
        <f t="shared" si="87"/>
        <v/>
      </c>
      <c r="K282" s="54" t="str">
        <f t="shared" si="92"/>
        <v/>
      </c>
      <c r="L282" s="53" t="str">
        <f t="shared" si="89"/>
        <v/>
      </c>
      <c r="M282" s="54" t="str">
        <f t="shared" si="93"/>
        <v/>
      </c>
      <c r="N282" s="55"/>
      <c r="O282" s="55" t="str">
        <f t="shared" si="90"/>
        <v/>
      </c>
      <c r="P282" s="56"/>
      <c r="Q282" s="57"/>
      <c r="R282" s="19">
        <f t="shared" si="88"/>
        <v>0</v>
      </c>
      <c r="S282" s="19">
        <f t="shared" si="91"/>
        <v>1</v>
      </c>
      <c r="T282" s="144"/>
    </row>
    <row r="283" spans="1:23" x14ac:dyDescent="0.3">
      <c r="A283" s="50">
        <v>44841</v>
      </c>
      <c r="D283" s="128"/>
      <c r="E283" s="129"/>
      <c r="F283" s="130"/>
      <c r="G283" s="53"/>
      <c r="H283" s="53">
        <v>4140</v>
      </c>
      <c r="I283" s="53" t="str">
        <f t="shared" si="86"/>
        <v/>
      </c>
      <c r="J283" s="53" t="str">
        <f t="shared" si="87"/>
        <v/>
      </c>
      <c r="K283" s="54" t="str">
        <f t="shared" si="92"/>
        <v/>
      </c>
      <c r="L283" s="53" t="str">
        <f t="shared" si="89"/>
        <v/>
      </c>
      <c r="M283" s="54" t="str">
        <f t="shared" si="93"/>
        <v/>
      </c>
      <c r="N283" s="55"/>
      <c r="O283" s="55" t="str">
        <f t="shared" si="90"/>
        <v/>
      </c>
      <c r="P283" s="56"/>
      <c r="Q283" s="58"/>
      <c r="R283" s="19">
        <f t="shared" si="88"/>
        <v>0</v>
      </c>
      <c r="S283" s="19">
        <f t="shared" si="91"/>
        <v>1</v>
      </c>
      <c r="T283" s="144"/>
    </row>
    <row r="284" spans="1:23" x14ac:dyDescent="0.3">
      <c r="A284" s="50">
        <v>44842</v>
      </c>
      <c r="D284" s="128"/>
      <c r="E284" s="129"/>
      <c r="F284" s="130"/>
      <c r="G284" s="53"/>
      <c r="H284" s="53">
        <v>4140</v>
      </c>
      <c r="I284" s="53" t="str">
        <f t="shared" si="86"/>
        <v/>
      </c>
      <c r="J284" s="53" t="str">
        <f t="shared" si="87"/>
        <v/>
      </c>
      <c r="K284" s="54" t="str">
        <f t="shared" si="92"/>
        <v/>
      </c>
      <c r="L284" s="53" t="str">
        <f t="shared" si="89"/>
        <v/>
      </c>
      <c r="M284" s="54" t="str">
        <f t="shared" si="93"/>
        <v/>
      </c>
      <c r="N284" s="55"/>
      <c r="O284" s="55" t="str">
        <f t="shared" si="90"/>
        <v/>
      </c>
      <c r="P284" s="56"/>
      <c r="Q284" s="58"/>
      <c r="R284" s="19">
        <f t="shared" si="88"/>
        <v>0</v>
      </c>
      <c r="S284" s="19">
        <f t="shared" si="91"/>
        <v>1</v>
      </c>
      <c r="T284" s="145"/>
    </row>
    <row r="285" spans="1:23" x14ac:dyDescent="0.3">
      <c r="A285" s="50">
        <v>44843</v>
      </c>
      <c r="D285" s="128"/>
      <c r="E285" s="129"/>
      <c r="F285" s="130"/>
      <c r="G285" s="53"/>
      <c r="H285" s="53">
        <v>4140</v>
      </c>
      <c r="I285" s="53" t="str">
        <f t="shared" si="86"/>
        <v/>
      </c>
      <c r="J285" s="53" t="str">
        <f t="shared" si="87"/>
        <v/>
      </c>
      <c r="K285" s="54" t="str">
        <f t="shared" si="92"/>
        <v/>
      </c>
      <c r="L285" s="53" t="str">
        <f t="shared" si="89"/>
        <v/>
      </c>
      <c r="M285" s="54" t="str">
        <f t="shared" si="93"/>
        <v/>
      </c>
      <c r="N285" s="55"/>
      <c r="O285" s="55" t="str">
        <f t="shared" si="90"/>
        <v/>
      </c>
      <c r="P285" s="56"/>
      <c r="Q285" s="58"/>
      <c r="R285" s="19">
        <f t="shared" si="88"/>
        <v>0</v>
      </c>
      <c r="S285" s="19">
        <f t="shared" si="91"/>
        <v>1</v>
      </c>
      <c r="T285" s="145"/>
    </row>
    <row r="286" spans="1:23" x14ac:dyDescent="0.3">
      <c r="A286" s="50">
        <v>44844</v>
      </c>
      <c r="D286" s="128"/>
      <c r="E286" s="129"/>
      <c r="F286" s="130"/>
      <c r="G286" s="53"/>
      <c r="H286" s="53">
        <v>4140</v>
      </c>
      <c r="I286" s="53" t="str">
        <f t="shared" si="86"/>
        <v/>
      </c>
      <c r="J286" s="53" t="str">
        <f t="shared" si="87"/>
        <v/>
      </c>
      <c r="K286" s="54" t="str">
        <f t="shared" si="92"/>
        <v/>
      </c>
      <c r="L286" s="53" t="str">
        <f t="shared" si="89"/>
        <v/>
      </c>
      <c r="M286" s="54" t="str">
        <f t="shared" si="93"/>
        <v/>
      </c>
      <c r="N286" s="55"/>
      <c r="O286" s="55" t="str">
        <f t="shared" si="90"/>
        <v/>
      </c>
      <c r="P286" s="56"/>
      <c r="Q286" s="57"/>
      <c r="R286" s="19">
        <f t="shared" si="88"/>
        <v>0</v>
      </c>
      <c r="S286" s="19">
        <f t="shared" si="91"/>
        <v>1</v>
      </c>
      <c r="T286" s="144"/>
    </row>
    <row r="287" spans="1:23" x14ac:dyDescent="0.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 x14ac:dyDescent="0.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 x14ac:dyDescent="0.3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 x14ac:dyDescent="0.3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 x14ac:dyDescent="0.3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 x14ac:dyDescent="0.3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 x14ac:dyDescent="0.3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 x14ac:dyDescent="0.3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 x14ac:dyDescent="0.3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52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 x14ac:dyDescent="0.3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 x14ac:dyDescent="0.3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29</v>
      </c>
      <c r="Q297" s="62" t="s">
        <v>30</v>
      </c>
      <c r="R297" s="19">
        <f t="shared" si="88"/>
        <v>0</v>
      </c>
      <c r="S297" s="19">
        <f t="shared" si="91"/>
        <v>1</v>
      </c>
      <c r="T297" s="144"/>
    </row>
    <row r="298" spans="1:20" x14ac:dyDescent="0.3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0</v>
      </c>
      <c r="Q298" s="63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45"/>
    </row>
    <row r="299" spans="1:20" x14ac:dyDescent="0.3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>
        <f>IF(J277="",0,+(+(LOOKUP(9.99999999999999E+307,E277:E307)-E276))/(+(LOOKUP(9.99999999999999E+307,D277:D307)-D276)))</f>
        <v>0</v>
      </c>
      <c r="Q299" s="64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45"/>
    </row>
    <row r="300" spans="1:20" x14ac:dyDescent="0.3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31</v>
      </c>
      <c r="Q300" s="66" t="s">
        <v>32</v>
      </c>
      <c r="R300" s="19">
        <f t="shared" si="88"/>
        <v>0</v>
      </c>
      <c r="S300" s="19">
        <f t="shared" si="91"/>
        <v>1</v>
      </c>
      <c r="T300" s="145"/>
    </row>
    <row r="301" spans="1:20" x14ac:dyDescent="0.3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0</v>
      </c>
      <c r="Q301" s="68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45"/>
    </row>
    <row r="302" spans="1:20" x14ac:dyDescent="0.3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33</v>
      </c>
      <c r="Q302" s="70" t="s">
        <v>41</v>
      </c>
      <c r="R302" s="19">
        <f t="shared" si="88"/>
        <v>0</v>
      </c>
      <c r="S302" s="19">
        <f t="shared" si="91"/>
        <v>1</v>
      </c>
      <c r="T302" s="144"/>
    </row>
    <row r="303" spans="1:20" x14ac:dyDescent="0.3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>
        <f>IF(D276="",0,+(LOOKUP(9.99999999999999E+307,D276:D307)-D276))*4140</f>
        <v>0</v>
      </c>
      <c r="Q303" s="72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44"/>
    </row>
    <row r="304" spans="1:20" x14ac:dyDescent="0.3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35</v>
      </c>
      <c r="Q304" s="147" t="s">
        <v>42</v>
      </c>
      <c r="R304" s="19">
        <f t="shared" si="88"/>
        <v>0</v>
      </c>
      <c r="S304" s="19">
        <f t="shared" si="91"/>
        <v>1</v>
      </c>
      <c r="T304" s="144"/>
    </row>
    <row r="305" spans="1:20" x14ac:dyDescent="0.3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>
        <f>P303*Q308</f>
        <v>0</v>
      </c>
      <c r="Q305" s="74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44"/>
    </row>
    <row r="306" spans="1:20" x14ac:dyDescent="0.3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37</v>
      </c>
      <c r="Q306" s="149" t="s">
        <v>38</v>
      </c>
      <c r="R306" s="19">
        <f t="shared" si="88"/>
        <v>0</v>
      </c>
      <c r="S306" s="19">
        <f t="shared" si="91"/>
        <v>1</v>
      </c>
      <c r="T306" s="144"/>
    </row>
    <row r="307" spans="1:20" x14ac:dyDescent="0.3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#DIV/0!</v>
      </c>
      <c r="Q307" s="112" t="e">
        <f>Q303*31</f>
        <v>#DIV/0!</v>
      </c>
      <c r="R307" s="19">
        <f t="shared" si="88"/>
        <v>0</v>
      </c>
      <c r="S307" s="19">
        <f t="shared" si="91"/>
        <v>1</v>
      </c>
      <c r="T307" s="144"/>
    </row>
    <row r="308" spans="1:20" x14ac:dyDescent="0.3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39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 x14ac:dyDescent="0.3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 x14ac:dyDescent="0.3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 x14ac:dyDescent="0.3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 x14ac:dyDescent="0.3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 x14ac:dyDescent="0.3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 x14ac:dyDescent="0.3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 x14ac:dyDescent="0.3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 x14ac:dyDescent="0.3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 x14ac:dyDescent="0.3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 x14ac:dyDescent="0.3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 x14ac:dyDescent="0.3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 x14ac:dyDescent="0.3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 x14ac:dyDescent="0.3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 x14ac:dyDescent="0.3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 x14ac:dyDescent="0.3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 x14ac:dyDescent="0.3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 x14ac:dyDescent="0.3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53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 x14ac:dyDescent="0.3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 x14ac:dyDescent="0.3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29</v>
      </c>
      <c r="Q327" s="62" t="s">
        <v>30</v>
      </c>
      <c r="R327" s="19">
        <f t="shared" si="98"/>
        <v>0</v>
      </c>
      <c r="S327" s="19">
        <f t="shared" si="91"/>
        <v>1</v>
      </c>
      <c r="T327" s="144"/>
    </row>
    <row r="328" spans="1:20" x14ac:dyDescent="0.3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 x14ac:dyDescent="0.3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 x14ac:dyDescent="0.3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31</v>
      </c>
      <c r="Q330" s="66" t="s">
        <v>32</v>
      </c>
      <c r="R330" s="19">
        <f t="shared" si="98"/>
        <v>0</v>
      </c>
      <c r="S330" s="19">
        <f t="shared" si="101"/>
        <v>1</v>
      </c>
      <c r="T330" s="145"/>
    </row>
    <row r="331" spans="1:20" x14ac:dyDescent="0.3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 x14ac:dyDescent="0.3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33</v>
      </c>
      <c r="Q332" s="70" t="s">
        <v>41</v>
      </c>
      <c r="R332" s="19">
        <f t="shared" si="98"/>
        <v>0</v>
      </c>
      <c r="S332" s="19">
        <f t="shared" si="101"/>
        <v>1</v>
      </c>
      <c r="T332" s="145"/>
    </row>
    <row r="333" spans="1:20" x14ac:dyDescent="0.3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 x14ac:dyDescent="0.3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35</v>
      </c>
      <c r="Q334" s="147" t="s">
        <v>42</v>
      </c>
      <c r="R334" s="19">
        <f t="shared" si="98"/>
        <v>0</v>
      </c>
      <c r="S334" s="19">
        <f t="shared" si="101"/>
        <v>1</v>
      </c>
      <c r="T334" s="144"/>
    </row>
    <row r="335" spans="1:20" x14ac:dyDescent="0.3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 x14ac:dyDescent="0.3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37</v>
      </c>
      <c r="Q336" s="150" t="s">
        <v>38</v>
      </c>
      <c r="R336" s="19">
        <f t="shared" si="98"/>
        <v>0</v>
      </c>
      <c r="S336" s="19">
        <f t="shared" si="101"/>
        <v>1</v>
      </c>
      <c r="T336" s="144"/>
    </row>
    <row r="337" spans="1:20" x14ac:dyDescent="0.3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 x14ac:dyDescent="0.3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39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 x14ac:dyDescent="0.3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 x14ac:dyDescent="0.3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 x14ac:dyDescent="0.3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 x14ac:dyDescent="0.3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 x14ac:dyDescent="0.3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 x14ac:dyDescent="0.3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 x14ac:dyDescent="0.3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 x14ac:dyDescent="0.3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 x14ac:dyDescent="0.3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 x14ac:dyDescent="0.3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 x14ac:dyDescent="0.3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 x14ac:dyDescent="0.3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 x14ac:dyDescent="0.3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 x14ac:dyDescent="0.3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 x14ac:dyDescent="0.3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 x14ac:dyDescent="0.3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 x14ac:dyDescent="0.3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 x14ac:dyDescent="0.3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54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 x14ac:dyDescent="0.3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 x14ac:dyDescent="0.3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29</v>
      </c>
      <c r="Q358" s="62" t="s">
        <v>30</v>
      </c>
      <c r="R358" s="19">
        <f t="shared" si="98"/>
        <v>0</v>
      </c>
      <c r="S358" s="19">
        <f t="shared" si="101"/>
        <v>1</v>
      </c>
      <c r="T358" s="144"/>
    </row>
    <row r="359" spans="1:20" x14ac:dyDescent="0.3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 x14ac:dyDescent="0.3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 x14ac:dyDescent="0.3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31</v>
      </c>
      <c r="Q361" s="66" t="s">
        <v>32</v>
      </c>
      <c r="R361" s="19">
        <f t="shared" si="98"/>
        <v>0</v>
      </c>
      <c r="S361" s="19">
        <f t="shared" si="101"/>
        <v>1</v>
      </c>
      <c r="T361" s="145"/>
    </row>
    <row r="362" spans="1:20" x14ac:dyDescent="0.3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 x14ac:dyDescent="0.3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33</v>
      </c>
      <c r="Q363" s="70" t="s">
        <v>41</v>
      </c>
      <c r="R363" s="19">
        <f t="shared" si="98"/>
        <v>0</v>
      </c>
      <c r="S363" s="19">
        <f t="shared" si="101"/>
        <v>1</v>
      </c>
      <c r="T363" s="144"/>
    </row>
    <row r="364" spans="1:20" x14ac:dyDescent="0.3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 x14ac:dyDescent="0.3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35</v>
      </c>
      <c r="Q365" s="147" t="s">
        <v>42</v>
      </c>
      <c r="R365" s="19">
        <f t="shared" si="98"/>
        <v>0</v>
      </c>
      <c r="S365" s="19">
        <f t="shared" si="101"/>
        <v>1</v>
      </c>
      <c r="T365" s="144"/>
    </row>
    <row r="366" spans="1:20" x14ac:dyDescent="0.3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 x14ac:dyDescent="0.3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37</v>
      </c>
      <c r="Q367" s="149" t="s">
        <v>38</v>
      </c>
      <c r="R367" s="19">
        <f t="shared" si="98"/>
        <v>0</v>
      </c>
      <c r="S367" s="19">
        <f t="shared" si="101"/>
        <v>1</v>
      </c>
      <c r="T367" s="144"/>
    </row>
    <row r="368" spans="1:20" x14ac:dyDescent="0.3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 x14ac:dyDescent="0.3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39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49" workbookViewId="0">
      <selection activeCell="M269" sqref="M269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90"/>
      <c r="C1" s="190"/>
      <c r="D1" s="190"/>
      <c r="E1" s="190"/>
      <c r="F1" s="190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66</v>
      </c>
      <c r="O25" s="187" t="s">
        <v>67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68</v>
      </c>
      <c r="O29" s="187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66</v>
      </c>
      <c r="O53" s="187" t="s">
        <v>67</v>
      </c>
      <c r="Q53" s="19">
        <f t="shared" si="5"/>
        <v>0</v>
      </c>
    </row>
    <row r="54" spans="2:17" ht="12.9" customHeight="1" x14ac:dyDescent="0.25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" customHeight="1" thickBot="1" x14ac:dyDescent="0.3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" customHeight="1" thickBot="1" x14ac:dyDescent="0.3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68</v>
      </c>
      <c r="O57" s="187" t="s">
        <v>69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" customHeight="1" thickBot="1" x14ac:dyDescent="0.3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70</v>
      </c>
      <c r="O60" s="187" t="s">
        <v>71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" customHeight="1" thickBot="1" x14ac:dyDescent="0.3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" customHeight="1" x14ac:dyDescent="0.25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66</v>
      </c>
      <c r="O84" s="187" t="s">
        <v>67</v>
      </c>
      <c r="Q84" s="19">
        <f t="shared" si="35"/>
        <v>0</v>
      </c>
    </row>
    <row r="85" spans="2:18" ht="12.9" customHeight="1" x14ac:dyDescent="0.25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" customHeight="1" thickBot="1" x14ac:dyDescent="0.3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" customHeight="1" thickBot="1" x14ac:dyDescent="0.3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68</v>
      </c>
      <c r="O88" s="187" t="s">
        <v>69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" customHeight="1" thickBot="1" x14ac:dyDescent="0.3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70</v>
      </c>
      <c r="O91" s="187" t="s">
        <v>71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" customHeight="1" thickBot="1" x14ac:dyDescent="0.3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66</v>
      </c>
      <c r="O114" s="187" t="s">
        <v>67</v>
      </c>
      <c r="Q114" s="19">
        <f t="shared" si="35"/>
        <v>0</v>
      </c>
    </row>
    <row r="115" spans="2:17" ht="13.8" x14ac:dyDescent="0.25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" customHeight="1" thickBot="1" x14ac:dyDescent="0.3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" customHeight="1" thickBot="1" x14ac:dyDescent="0.3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68</v>
      </c>
      <c r="O118" s="187" t="s">
        <v>69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" customHeight="1" thickBot="1" x14ac:dyDescent="0.3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66</v>
      </c>
      <c r="O145" s="187" t="s">
        <v>67</v>
      </c>
      <c r="Q145" s="19">
        <f t="shared" si="90"/>
        <v>0</v>
      </c>
    </row>
    <row r="146" spans="2:18" ht="12.9" customHeight="1" x14ac:dyDescent="0.25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" customHeight="1" thickBot="1" x14ac:dyDescent="0.3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" customHeight="1" thickBot="1" x14ac:dyDescent="0.3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68</v>
      </c>
      <c r="O149" s="187" t="s">
        <v>69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" customHeight="1" thickBot="1" x14ac:dyDescent="0.3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66</v>
      </c>
      <c r="O175" s="187" t="s">
        <v>67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68</v>
      </c>
      <c r="O179" s="187" t="s">
        <v>69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66</v>
      </c>
      <c r="O206" s="187" t="s">
        <v>67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68</v>
      </c>
      <c r="O210" s="187" t="s">
        <v>69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66</v>
      </c>
      <c r="O237" s="187" t="s">
        <v>67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68</v>
      </c>
      <c r="O241" s="187" t="s">
        <v>69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" customHeight="1" x14ac:dyDescent="0.25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" customHeight="1" x14ac:dyDescent="0.25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" customHeight="1" x14ac:dyDescent="0.25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" customHeight="1" x14ac:dyDescent="0.25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" customHeight="1" x14ac:dyDescent="0.25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" customHeight="1" x14ac:dyDescent="0.25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" customHeight="1" x14ac:dyDescent="0.25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" customHeight="1" x14ac:dyDescent="0.25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" customHeight="1" x14ac:dyDescent="0.25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" customHeight="1" x14ac:dyDescent="0.25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" customHeight="1" x14ac:dyDescent="0.25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" customHeight="1" x14ac:dyDescent="0.25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" customHeight="1" x14ac:dyDescent="0.25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" customHeight="1" x14ac:dyDescent="0.25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" customHeight="1" x14ac:dyDescent="0.25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" customHeight="1" x14ac:dyDescent="0.25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" customHeight="1" x14ac:dyDescent="0.25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" customHeight="1" x14ac:dyDescent="0.25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" customHeight="1" thickBot="1" x14ac:dyDescent="0.3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" customHeight="1" x14ac:dyDescent="0.25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66</v>
      </c>
      <c r="O267" s="187" t="s">
        <v>67</v>
      </c>
      <c r="Q267" s="19">
        <f t="shared" si="98"/>
        <v>0</v>
      </c>
    </row>
    <row r="268" spans="2:17" ht="12.9" customHeight="1" x14ac:dyDescent="0.25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" customHeight="1" thickBot="1" x14ac:dyDescent="0.3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" customHeight="1" thickBot="1" x14ac:dyDescent="0.3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6810</v>
      </c>
      <c r="O270" s="30">
        <f>SUM(M248:M277)</f>
        <v>103296</v>
      </c>
      <c r="Q270" s="19">
        <f t="shared" si="98"/>
        <v>1</v>
      </c>
    </row>
    <row r="271" spans="2:17" ht="12.9" customHeight="1" x14ac:dyDescent="0.25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87" t="s">
        <v>68</v>
      </c>
      <c r="O271" s="187" t="s">
        <v>69</v>
      </c>
      <c r="Q271" s="19">
        <f t="shared" si="98"/>
        <v>1</v>
      </c>
    </row>
    <row r="272" spans="2:17" ht="12.9" customHeight="1" thickBot="1" x14ac:dyDescent="0.3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89"/>
      <c r="O272" s="189"/>
      <c r="Q272" s="19">
        <f t="shared" si="98"/>
        <v>1</v>
      </c>
    </row>
    <row r="273" spans="2:17" ht="12.9" customHeight="1" thickBot="1" x14ac:dyDescent="0.3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>
        <f>AVERAGE(L248:L277)</f>
        <v>309.54545454545456</v>
      </c>
      <c r="O273" s="30">
        <f>AVERAGE(M248:M277)</f>
        <v>4695.272727272727</v>
      </c>
      <c r="Q273" s="19">
        <f t="shared" si="98"/>
        <v>1</v>
      </c>
    </row>
    <row r="274" spans="2:17" ht="12.9" customHeight="1" x14ac:dyDescent="0.25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" customHeight="1" x14ac:dyDescent="0.25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" customHeight="1" x14ac:dyDescent="0.25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" customHeight="1" x14ac:dyDescent="0.25">
      <c r="B277" s="21">
        <v>44469</v>
      </c>
      <c r="C277" s="32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" customHeight="1" x14ac:dyDescent="0.25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" customHeight="1" x14ac:dyDescent="0.25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" customHeight="1" x14ac:dyDescent="0.25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" customHeight="1" x14ac:dyDescent="0.25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" customHeight="1" x14ac:dyDescent="0.25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" customHeight="1" x14ac:dyDescent="0.25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" customHeight="1" x14ac:dyDescent="0.25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" customHeight="1" x14ac:dyDescent="0.25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" customHeight="1" x14ac:dyDescent="0.25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" customHeight="1" x14ac:dyDescent="0.25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" customHeight="1" x14ac:dyDescent="0.25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" customHeight="1" x14ac:dyDescent="0.25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" customHeight="1" x14ac:dyDescent="0.25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" customHeight="1" x14ac:dyDescent="0.25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" customHeight="1" x14ac:dyDescent="0.25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" customHeight="1" x14ac:dyDescent="0.25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" customHeight="1" x14ac:dyDescent="0.25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" customHeight="1" x14ac:dyDescent="0.25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" customHeight="1" x14ac:dyDescent="0.25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" customHeight="1" thickBot="1" x14ac:dyDescent="0.3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" customHeight="1" x14ac:dyDescent="0.25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66</v>
      </c>
      <c r="O298" s="187" t="s">
        <v>67</v>
      </c>
      <c r="Q298" s="19">
        <f t="shared" si="103"/>
        <v>1</v>
      </c>
    </row>
    <row r="299" spans="2:17" ht="12.9" customHeight="1" x14ac:dyDescent="0.25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3"/>
        <v>1</v>
      </c>
    </row>
    <row r="300" spans="2:17" ht="12.9" customHeight="1" thickBot="1" x14ac:dyDescent="0.3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3"/>
        <v>1</v>
      </c>
    </row>
    <row r="301" spans="2:17" ht="12.9" customHeight="1" thickBot="1" x14ac:dyDescent="0.3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" customHeight="1" x14ac:dyDescent="0.25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68</v>
      </c>
      <c r="O302" s="187" t="s">
        <v>69</v>
      </c>
      <c r="Q302" s="19">
        <f t="shared" si="103"/>
        <v>1</v>
      </c>
    </row>
    <row r="303" spans="2:17" ht="12.9" customHeight="1" thickBot="1" x14ac:dyDescent="0.3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3"/>
        <v>1</v>
      </c>
    </row>
    <row r="304" spans="2:17" ht="12.9" customHeight="1" thickBot="1" x14ac:dyDescent="0.3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" customHeight="1" x14ac:dyDescent="0.25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" customHeight="1" x14ac:dyDescent="0.25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" customHeight="1" x14ac:dyDescent="0.25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" customHeight="1" x14ac:dyDescent="0.25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" customHeight="1" x14ac:dyDescent="0.25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" customHeight="1" x14ac:dyDescent="0.25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" customHeight="1" x14ac:dyDescent="0.25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" customHeight="1" x14ac:dyDescent="0.25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" customHeight="1" x14ac:dyDescent="0.25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" customHeight="1" x14ac:dyDescent="0.25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" customHeight="1" x14ac:dyDescent="0.25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87" t="s">
        <v>66</v>
      </c>
      <c r="O328" s="187" t="s">
        <v>67</v>
      </c>
      <c r="Q328" s="19">
        <f t="shared" si="103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88"/>
      <c r="O329" s="188"/>
      <c r="Q329" s="19">
        <f t="shared" si="103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89"/>
      <c r="O330" s="189"/>
      <c r="Q330" s="19">
        <f t="shared" si="103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87" t="s">
        <v>68</v>
      </c>
      <c r="O332" s="187" t="s">
        <v>69</v>
      </c>
      <c r="Q332" s="19">
        <f t="shared" si="103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89"/>
      <c r="O333" s="189"/>
      <c r="Q333" s="19">
        <f t="shared" si="103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2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87" t="s">
        <v>66</v>
      </c>
      <c r="O359" s="187" t="s">
        <v>67</v>
      </c>
      <c r="Q359" s="19">
        <f t="shared" si="107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88"/>
      <c r="O360" s="188"/>
      <c r="Q360" s="19">
        <f t="shared" si="107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89"/>
      <c r="O361" s="189"/>
      <c r="Q361" s="19">
        <f t="shared" si="107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87" t="s">
        <v>68</v>
      </c>
      <c r="O363" s="187" t="s">
        <v>69</v>
      </c>
      <c r="Q363" s="19">
        <f t="shared" si="107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89"/>
      <c r="O364" s="189"/>
      <c r="Q364" s="19">
        <f t="shared" si="107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7"/>
        <v>1</v>
      </c>
    </row>
    <row r="391" ht="12.75" customHeight="1" x14ac:dyDescent="0.3"/>
    <row r="395" ht="12.75" customHeight="1" x14ac:dyDescent="0.3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Khoury</cp:lastModifiedBy>
  <cp:revision/>
  <dcterms:created xsi:type="dcterms:W3CDTF">2021-02-26T04:38:42Z</dcterms:created>
  <dcterms:modified xsi:type="dcterms:W3CDTF">2022-09-24T08:34:14Z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