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BF33D00C-1FAE-455B-9C86-75315BE19239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L16" i="31" l="1"/>
  <c r="L17" i="31"/>
  <c r="I16" i="31"/>
  <c r="I17" i="31"/>
  <c r="G16" i="31"/>
  <c r="G17" i="31"/>
  <c r="L15" i="31" l="1"/>
  <c r="G15" i="31"/>
  <c r="I15" i="31"/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<sst xmlns="http://schemas.openxmlformats.org/spreadsheetml/2006/main" count="65" uniqueCount="31">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</sst>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3" sqref="D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31701</v>
      </c>
      <c r="F12" s="10">
        <v>2.9000000000000001E-2</v>
      </c>
      <c r="G12" s="1">
        <f>'April 2021'!J15</f>
        <v>2970</v>
      </c>
      <c r="H12" s="10">
        <v>0.112</v>
      </c>
      <c r="I12" s="1">
        <f>'April 2021'!G15*1000</f>
        <v>45000</v>
      </c>
      <c r="J12" s="10">
        <v>3.61E-2</v>
      </c>
      <c r="K12" s="1">
        <f>'April 2021'!I15</f>
        <v>427</v>
      </c>
      <c r="L12" s="10">
        <v>0.75</v>
      </c>
      <c r="M12" s="10">
        <f>'April 2021'!L15</f>
        <v>120</v>
      </c>
      <c r="N12" s="10">
        <v>0.56299999999999994</v>
      </c>
      <c r="O12" s="14">
        <f>'April 2021'!D15</f>
        <v>109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31561</v>
      </c>
      <c r="F13" s="10">
        <v>2.9000000000000001E-2</v>
      </c>
      <c r="G13" s="1">
        <f>'April 2021'!J16</f>
        <v>2970</v>
      </c>
      <c r="H13" s="10">
        <v>0.112</v>
      </c>
      <c r="I13" s="1">
        <f>'April 2021'!G16*1000</f>
        <v>44000</v>
      </c>
      <c r="J13" s="10">
        <v>3.61E-2</v>
      </c>
      <c r="K13" s="1">
        <f>'April 2021'!I16</f>
        <v>381</v>
      </c>
      <c r="L13" s="10">
        <v>0.75</v>
      </c>
      <c r="M13" s="10">
        <f>'April 2021'!L16</f>
        <v>141</v>
      </c>
      <c r="N13" s="10">
        <v>0.56299999999999994</v>
      </c>
      <c r="O13" s="14">
        <f>'April 2021'!D16</f>
        <v>81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30754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42000</v>
      </c>
      <c r="J14" s="10">
        <v>3.61E-2</v>
      </c>
      <c r="K14" s="1">
        <f>'April 2021'!I17</f>
        <v>250</v>
      </c>
      <c r="L14" s="10">
        <v>0.75</v>
      </c>
      <c r="M14" s="10">
        <f>'April 2021'!L17</f>
        <v>116</v>
      </c>
      <c r="N14" s="10">
        <v>0.56299999999999994</v>
      </c>
      <c r="O14" s="14">
        <f>'April 2021'!D17</f>
        <v>80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0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0</v>
      </c>
      <c r="J15" s="10">
        <v>3.61E-2</v>
      </c>
      <c r="K15" s="1">
        <f>'April 2021'!I18</f>
        <v>0</v>
      </c>
      <c r="L15" s="10">
        <v>0.75</v>
      </c>
      <c r="M15" s="10">
        <f>'April 2021'!L18</f>
        <v>0</v>
      </c>
      <c r="N15" s="10">
        <v>0.56299999999999994</v>
      </c>
      <c r="O15" s="14">
        <f>'April 2021'!D18</f>
        <v>0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0</v>
      </c>
      <c r="F16" s="10">
        <v>2.9000000000000001E-2</v>
      </c>
      <c r="G16" s="1">
        <f>'April 2021'!J19</f>
        <v>0</v>
      </c>
      <c r="H16" s="10">
        <v>0.112</v>
      </c>
      <c r="I16" s="1">
        <f>'April 2021'!G20*1000</f>
        <v>0</v>
      </c>
      <c r="J16" s="10">
        <v>3.61E-2</v>
      </c>
      <c r="K16" s="1">
        <f>'April 2021'!I19</f>
        <v>0</v>
      </c>
      <c r="L16" s="10">
        <v>0.75</v>
      </c>
      <c r="M16" s="10">
        <f>'April 2021'!L19</f>
        <v>0</v>
      </c>
      <c r="N16" s="10">
        <v>0.56299999999999994</v>
      </c>
      <c r="O16" s="14">
        <f>'April 2021'!D19</f>
        <v>0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0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0</v>
      </c>
      <c r="J17" s="10">
        <v>3.61E-2</v>
      </c>
      <c r="K17" s="1">
        <f>'April 2021'!I20</f>
        <v>0</v>
      </c>
      <c r="L17" s="10">
        <v>0.75</v>
      </c>
      <c r="M17" s="10">
        <f>'April 2021'!L20</f>
        <v>0</v>
      </c>
      <c r="N17" s="10">
        <v>0.56299999999999994</v>
      </c>
      <c r="O17" s="14">
        <f>'April 2021'!D20</f>
        <v>0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0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0</v>
      </c>
      <c r="J18" s="10">
        <v>3.61E-2</v>
      </c>
      <c r="K18" s="1">
        <f>'April 2021'!I21</f>
        <v>0</v>
      </c>
      <c r="L18" s="10">
        <v>0.75</v>
      </c>
      <c r="M18" s="10">
        <f>'April 2021'!L21</f>
        <v>0</v>
      </c>
      <c r="N18" s="10">
        <v>0.56299999999999994</v>
      </c>
      <c r="O18" s="14">
        <f>'April 2021'!D21</f>
        <v>0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0</v>
      </c>
      <c r="F19" s="10">
        <v>2.9000000000000001E-2</v>
      </c>
      <c r="G19" s="1">
        <f>'April 2021'!J22</f>
        <v>0</v>
      </c>
      <c r="H19" s="10">
        <v>0.112</v>
      </c>
      <c r="I19" s="1">
        <f>'April 2021'!G23*1000</f>
        <v>0</v>
      </c>
      <c r="J19" s="10">
        <v>3.61E-2</v>
      </c>
      <c r="K19" s="1">
        <f>'April 2021'!I22</f>
        <v>0</v>
      </c>
      <c r="L19" s="10">
        <v>0.75</v>
      </c>
      <c r="M19" s="10">
        <f>'April 2021'!L22</f>
        <v>0</v>
      </c>
      <c r="N19" s="10">
        <v>0.56299999999999994</v>
      </c>
      <c r="O19" s="14">
        <f>'April 2021'!D22</f>
        <v>0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0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0</v>
      </c>
      <c r="J20" s="10">
        <v>3.61E-2</v>
      </c>
      <c r="K20" s="1">
        <f>'April 2021'!I23</f>
        <v>0</v>
      </c>
      <c r="L20" s="10">
        <v>0.75</v>
      </c>
      <c r="M20" s="10">
        <f>'April 2021'!L23</f>
        <v>0</v>
      </c>
      <c r="N20" s="10">
        <v>0.56299999999999994</v>
      </c>
      <c r="O20" s="14">
        <f>'April 2021'!D23</f>
        <v>0</v>
      </c>
    </row>
    <row r="21" spans="1:15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0</v>
      </c>
      <c r="J21" s="10">
        <v>3.61E-2</v>
      </c>
      <c r="K21" s="1">
        <f>'April 2021'!I23</f>
        <v>0</v>
      </c>
      <c r="L21" s="10">
        <v>0.75</v>
      </c>
      <c r="M21" s="10">
        <f>'April 2021'!L24</f>
        <v>0</v>
      </c>
      <c r="N21" s="10">
        <v>0.56299999999999994</v>
      </c>
      <c r="O21" s="14">
        <f>'April 2021'!D24</f>
        <v>0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0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0</v>
      </c>
      <c r="J22" s="10">
        <v>3.61E-2</v>
      </c>
      <c r="K22" s="1">
        <f>'April 2021'!I24</f>
        <v>0</v>
      </c>
      <c r="L22" s="10">
        <v>0.75</v>
      </c>
      <c r="M22" s="10">
        <f>'April 2021'!L25</f>
        <v>0</v>
      </c>
      <c r="N22" s="10">
        <v>0.56299999999999994</v>
      </c>
      <c r="O22" s="14">
        <f>'April 2021'!D25</f>
        <v>0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0</v>
      </c>
      <c r="F23" s="10">
        <v>2.9000000000000001E-2</v>
      </c>
      <c r="G23" s="1">
        <f>'April 2021'!J25</f>
        <v>0</v>
      </c>
      <c r="H23" s="10">
        <v>0.112</v>
      </c>
      <c r="I23" s="1">
        <f>'April 2021'!G27*1000</f>
        <v>0</v>
      </c>
      <c r="J23" s="10">
        <v>3.61E-2</v>
      </c>
      <c r="K23" s="1">
        <f>'April 2021'!I26</f>
        <v>0</v>
      </c>
      <c r="L23" s="10">
        <v>0.75</v>
      </c>
      <c r="M23" s="10">
        <f>'April 2021'!L26</f>
        <v>0</v>
      </c>
      <c r="N23" s="10">
        <v>0.56299999999999994</v>
      </c>
      <c r="O23" s="14">
        <f>'April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0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0</v>
      </c>
      <c r="J24" s="10">
        <v>3.61E-2</v>
      </c>
      <c r="K24" s="1">
        <f>'April 2021'!I27</f>
        <v>0</v>
      </c>
      <c r="L24" s="10">
        <v>0.75</v>
      </c>
      <c r="M24" s="10">
        <f>'April 2021'!L27</f>
        <v>0</v>
      </c>
      <c r="N24" s="10">
        <v>0.56299999999999994</v>
      </c>
      <c r="O24" s="14">
        <f>'April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0</v>
      </c>
      <c r="J25" s="10">
        <v>3.61E-2</v>
      </c>
      <c r="K25" s="1">
        <f>'April 2021'!I28</f>
        <v>0</v>
      </c>
      <c r="L25" s="10">
        <v>0.75</v>
      </c>
      <c r="M25" s="10">
        <f>'April 2021'!L28</f>
        <v>0</v>
      </c>
      <c r="N25" s="10">
        <v>0.56299999999999994</v>
      </c>
      <c r="O25" s="14">
        <f>'April 2021'!D28</f>
        <v>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0</v>
      </c>
      <c r="F26" s="10">
        <v>2.9000000000000001E-2</v>
      </c>
      <c r="G26" s="1">
        <f>'April 2021'!J29</f>
        <v>0</v>
      </c>
      <c r="H26" s="10">
        <v>0.112</v>
      </c>
      <c r="I26" s="1">
        <f>'April 2021'!G29*1000</f>
        <v>0</v>
      </c>
      <c r="J26" s="10">
        <v>3.61E-2</v>
      </c>
      <c r="K26" s="1">
        <f>'April 2021'!I29</f>
        <v>0</v>
      </c>
      <c r="L26" s="10">
        <v>0.75</v>
      </c>
      <c r="M26" s="10">
        <f>'April 2021'!L29</f>
        <v>0</v>
      </c>
      <c r="N26" s="10">
        <v>0.56299999999999994</v>
      </c>
      <c r="O26" s="14">
        <f>'April 2021'!D29</f>
        <v>0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J26" sqref="J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17" si="0">F7-F6</f>
        <v>46</v>
      </c>
      <c r="H6" s="5">
        <v>463948</v>
      </c>
      <c r="I6" s="3">
        <f t="shared" ref="I6:I17" si="1">H7-H6</f>
        <v>389</v>
      </c>
      <c r="J6" s="3">
        <v>0</v>
      </c>
      <c r="K6" s="4">
        <v>275650</v>
      </c>
      <c r="L6" s="9">
        <f t="shared" ref="L6:L17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>
        <v>109</v>
      </c>
      <c r="E15" s="12">
        <v>31701</v>
      </c>
      <c r="F15" s="29">
        <v>186336</v>
      </c>
      <c r="G15" s="8">
        <f t="shared" si="0"/>
        <v>45</v>
      </c>
      <c r="H15" s="31">
        <v>467638</v>
      </c>
      <c r="I15" s="3">
        <f t="shared" si="1"/>
        <v>427</v>
      </c>
      <c r="J15" s="3">
        <v>2970</v>
      </c>
      <c r="K15" s="29">
        <v>276592</v>
      </c>
      <c r="L15" s="9">
        <f t="shared" si="2"/>
        <v>120</v>
      </c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>
        <v>81</v>
      </c>
      <c r="E16" s="12">
        <v>31561</v>
      </c>
      <c r="F16" s="4">
        <v>186381</v>
      </c>
      <c r="G16" s="8">
        <f t="shared" si="0"/>
        <v>44</v>
      </c>
      <c r="H16" s="7">
        <v>468065</v>
      </c>
      <c r="I16" s="3">
        <f t="shared" si="1"/>
        <v>381</v>
      </c>
      <c r="J16" s="3">
        <v>2970</v>
      </c>
      <c r="K16" s="4">
        <v>276712</v>
      </c>
      <c r="L16" s="9">
        <f t="shared" si="2"/>
        <v>141</v>
      </c>
      <c r="N16" s="1"/>
    </row>
    <row r="17" spans="1:14" x14ac:dyDescent="0.2">
      <c r="B17" s="2">
        <v>13</v>
      </c>
      <c r="C17" s="11">
        <v>44299</v>
      </c>
      <c r="D17" s="7">
        <v>80</v>
      </c>
      <c r="E17" s="12">
        <v>30754</v>
      </c>
      <c r="F17" s="4">
        <v>186425</v>
      </c>
      <c r="G17" s="8">
        <f t="shared" si="0"/>
        <v>42</v>
      </c>
      <c r="H17" s="7">
        <v>468446</v>
      </c>
      <c r="I17" s="3">
        <f t="shared" si="1"/>
        <v>250</v>
      </c>
      <c r="J17" s="3">
        <v>0</v>
      </c>
      <c r="K17" s="4">
        <v>276853</v>
      </c>
      <c r="L17" s="9">
        <f t="shared" si="2"/>
        <v>116</v>
      </c>
      <c r="N17" s="1"/>
    </row>
    <row r="18" spans="1:14" ht="13.5" customHeight="1" x14ac:dyDescent="0.2">
      <c r="B18" s="2">
        <v>14</v>
      </c>
      <c r="C18" s="11">
        <v>44300</v>
      </c>
      <c r="D18" s="7"/>
      <c r="E18" s="31"/>
      <c r="F18" s="4">
        <v>186467</v>
      </c>
      <c r="G18" s="8"/>
      <c r="H18" s="7">
        <v>468696</v>
      </c>
      <c r="I18" s="3"/>
      <c r="J18" s="3">
        <v>0</v>
      </c>
      <c r="K18" s="4">
        <v>276969</v>
      </c>
      <c r="L18" s="9"/>
      <c r="N18" s="1"/>
    </row>
    <row r="19" spans="1:14" x14ac:dyDescent="0.2">
      <c r="B19" s="2">
        <v>15</v>
      </c>
      <c r="C19" s="11">
        <v>44301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44302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44303</v>
      </c>
      <c r="D21" s="7"/>
      <c r="E21" s="7"/>
      <c r="F21" s="4"/>
      <c r="G21" s="8"/>
      <c r="H21" s="33"/>
      <c r="I21" s="3"/>
      <c r="J21" s="33"/>
      <c r="K21" s="33"/>
      <c r="L21" s="9"/>
      <c r="N21" s="1"/>
    </row>
    <row r="22" spans="1:14" x14ac:dyDescent="0.2">
      <c r="B22" s="2">
        <v>18</v>
      </c>
      <c r="C22" s="11">
        <v>44304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44305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44306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44307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44308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44309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44311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44312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2021-04-14T06:40:51Z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