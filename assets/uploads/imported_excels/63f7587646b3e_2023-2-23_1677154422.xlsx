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19\"/>
    </mc:Choice>
  </mc:AlternateContent>
  <xr:revisionPtr revIDLastSave="46" documentId="11_A507571062F240B6D50B8ADD4EC7A8D9910ED7C8" xr6:coauthVersionLast="47" xr6:coauthVersionMax="47" xr10:uidLastSave="{1D034850-A640-4945-86FA-1B74B100B439}"/>
  <bookViews>
    <workbookView xWindow="0" yWindow="0" windowWidth="28800" windowHeight="12435" firstSheet="1" activeTab="1" xr2:uid="{00000000-000D-0000-FFFF-FFFF00000000}"/>
  </bookViews>
  <sheets>
    <sheet name="TOTAL" sheetId="11" r:id="rId1"/>
    <sheet name="FS Jimbaran November 2018" sheetId="8" r:id="rId2"/>
    <sheet name="RNs &amp; Covers November 2018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8" l="1"/>
  <c r="P40" i="8"/>
  <c r="P41" i="8"/>
  <c r="AC46" i="8"/>
  <c r="AF49" i="8"/>
  <c r="V49" i="8"/>
  <c r="I12" i="8" l="1"/>
  <c r="N12" i="8"/>
  <c r="O12" i="8" s="1"/>
  <c r="P12" i="8"/>
  <c r="Q12" i="8"/>
  <c r="V12" i="8"/>
  <c r="W12" i="8"/>
  <c r="I13" i="8"/>
  <c r="N13" i="8"/>
  <c r="P13" i="8"/>
  <c r="Q13" i="8"/>
  <c r="V13" i="8"/>
  <c r="W13" i="8" s="1"/>
  <c r="O13" i="8" l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Y55" i="8" l="1"/>
  <c r="AB41" i="8" l="1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D36" i="8" l="1"/>
  <c r="H26" i="11"/>
  <c r="G26" i="11"/>
  <c r="AD41" i="8"/>
  <c r="G31" i="11"/>
  <c r="H31" i="11"/>
  <c r="AD35" i="8"/>
  <c r="H25" i="11"/>
  <c r="G25" i="11"/>
  <c r="AD30" i="8"/>
  <c r="H20" i="11"/>
  <c r="G20" i="11"/>
  <c r="AD38" i="8"/>
  <c r="G28" i="11"/>
  <c r="H28" i="11"/>
  <c r="AD34" i="8"/>
  <c r="G24" i="11"/>
  <c r="H24" i="11"/>
  <c r="AD28" i="8"/>
  <c r="H18" i="11"/>
  <c r="G18" i="11"/>
  <c r="AD29" i="8"/>
  <c r="H19" i="11"/>
  <c r="G19" i="11"/>
  <c r="AD31" i="8"/>
  <c r="G21" i="11"/>
  <c r="H21" i="11"/>
  <c r="AD39" i="8"/>
  <c r="G29" i="11"/>
  <c r="H29" i="11"/>
  <c r="AD33" i="8"/>
  <c r="G23" i="11"/>
  <c r="H23" i="11"/>
  <c r="AD27" i="8"/>
  <c r="H17" i="11"/>
  <c r="G17" i="11"/>
  <c r="AD37" i="8"/>
  <c r="H27" i="11"/>
  <c r="G27" i="11"/>
  <c r="AD32" i="8"/>
  <c r="G22" i="11"/>
  <c r="H22" i="11"/>
  <c r="AD40" i="8"/>
  <c r="G30" i="11"/>
  <c r="H30" i="11"/>
  <c r="S46" i="8"/>
  <c r="C37" i="10" l="1"/>
  <c r="B37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Q41" i="8"/>
  <c r="K31" i="11" s="1"/>
  <c r="Q40" i="8"/>
  <c r="K30" i="11" s="1"/>
  <c r="Q39" i="8"/>
  <c r="K29" i="11" s="1"/>
  <c r="Q38" i="8"/>
  <c r="K28" i="11" s="1"/>
  <c r="Q37" i="8"/>
  <c r="K27" i="11" s="1"/>
  <c r="Q36" i="8"/>
  <c r="K26" i="11" s="1"/>
  <c r="Q35" i="8"/>
  <c r="K25" i="11" s="1"/>
  <c r="Q34" i="8"/>
  <c r="K24" i="11" s="1"/>
  <c r="Q33" i="8"/>
  <c r="K23" i="11" s="1"/>
  <c r="Q32" i="8"/>
  <c r="K22" i="11" s="1"/>
  <c r="Q31" i="8"/>
  <c r="K21" i="11" s="1"/>
  <c r="Q30" i="8"/>
  <c r="K20" i="11" s="1"/>
  <c r="Q29" i="8"/>
  <c r="K19" i="11" s="1"/>
  <c r="Q28" i="8"/>
  <c r="K18" i="11" s="1"/>
  <c r="Q27" i="8"/>
  <c r="K17" i="11" s="1"/>
  <c r="W30" i="8" l="1"/>
  <c r="L20" i="11"/>
  <c r="W40" i="8"/>
  <c r="L30" i="11"/>
  <c r="W37" i="8"/>
  <c r="L27" i="11"/>
  <c r="W38" i="8"/>
  <c r="L28" i="11"/>
  <c r="W33" i="8"/>
  <c r="L23" i="11"/>
  <c r="W41" i="8"/>
  <c r="L31" i="11"/>
  <c r="W31" i="8"/>
  <c r="L21" i="11"/>
  <c r="W34" i="8"/>
  <c r="L24" i="11"/>
  <c r="W29" i="8"/>
  <c r="L19" i="11"/>
  <c r="W39" i="8"/>
  <c r="L29" i="11"/>
  <c r="W32" i="8"/>
  <c r="L22" i="11"/>
  <c r="W27" i="8"/>
  <c r="L17" i="11"/>
  <c r="W35" i="8"/>
  <c r="L25" i="11"/>
  <c r="W28" i="8"/>
  <c r="L18" i="11"/>
  <c r="W36" i="8"/>
  <c r="L26" i="11"/>
  <c r="G46" i="8"/>
  <c r="L46" i="8"/>
  <c r="J46" i="8"/>
  <c r="D46" i="8"/>
  <c r="C46" i="8"/>
  <c r="E31" i="11"/>
  <c r="E30" i="11"/>
  <c r="P39" i="8"/>
  <c r="E29" i="11" s="1"/>
  <c r="P38" i="8"/>
  <c r="E28" i="11" s="1"/>
  <c r="P37" i="8"/>
  <c r="E27" i="11" s="1"/>
  <c r="P35" i="8"/>
  <c r="E25" i="11" s="1"/>
  <c r="P34" i="8"/>
  <c r="E24" i="11" s="1"/>
  <c r="P33" i="8"/>
  <c r="E23" i="11" s="1"/>
  <c r="P32" i="8"/>
  <c r="E22" i="11" s="1"/>
  <c r="P31" i="8"/>
  <c r="E21" i="11" s="1"/>
  <c r="P30" i="8"/>
  <c r="E20" i="11" s="1"/>
  <c r="P27" i="8"/>
  <c r="E17" i="11" s="1"/>
  <c r="P26" i="8"/>
  <c r="E16" i="11" s="1"/>
  <c r="P25" i="8"/>
  <c r="E15" i="11" s="1"/>
  <c r="P24" i="8"/>
  <c r="E14" i="11" s="1"/>
  <c r="P23" i="8"/>
  <c r="E13" i="11" s="1"/>
  <c r="P22" i="8"/>
  <c r="E12" i="11" s="1"/>
  <c r="P21" i="8"/>
  <c r="E11" i="11" s="1"/>
  <c r="P20" i="8"/>
  <c r="E10" i="11" s="1"/>
  <c r="P19" i="8"/>
  <c r="E9" i="11" s="1"/>
  <c r="P18" i="8"/>
  <c r="E8" i="11" s="1"/>
  <c r="P17" i="8"/>
  <c r="E7" i="11" s="1"/>
  <c r="P16" i="8"/>
  <c r="E6" i="11" s="1"/>
  <c r="P15" i="8"/>
  <c r="E5" i="11" s="1"/>
  <c r="P14" i="8"/>
  <c r="E3" i="11"/>
  <c r="E2" i="11"/>
  <c r="E4" i="11" l="1"/>
  <c r="K46" i="8"/>
  <c r="H46" i="8"/>
  <c r="N14" i="8"/>
  <c r="N38" i="8"/>
  <c r="N22" i="8"/>
  <c r="N30" i="8"/>
  <c r="M46" i="8"/>
  <c r="N18" i="8"/>
  <c r="N26" i="8"/>
  <c r="N34" i="8"/>
  <c r="N23" i="8"/>
  <c r="N24" i="8"/>
  <c r="N32" i="8"/>
  <c r="N17" i="8"/>
  <c r="N25" i="8"/>
  <c r="N33" i="8"/>
  <c r="N41" i="8"/>
  <c r="N31" i="8"/>
  <c r="N16" i="8"/>
  <c r="N15" i="8"/>
  <c r="N40" i="8"/>
  <c r="N39" i="8"/>
  <c r="N19" i="8"/>
  <c r="N27" i="8"/>
  <c r="N35" i="8"/>
  <c r="N20" i="8"/>
  <c r="N28" i="8"/>
  <c r="N36" i="8"/>
  <c r="N21" i="8"/>
  <c r="N29" i="8"/>
  <c r="N37" i="8"/>
  <c r="N46" i="8" l="1"/>
  <c r="I26" i="8" l="1"/>
  <c r="O26" i="8" s="1"/>
  <c r="F16" i="11" s="1"/>
  <c r="I24" i="8"/>
  <c r="O24" i="8" s="1"/>
  <c r="F14" i="11" s="1"/>
  <c r="I18" i="8"/>
  <c r="O18" i="8" s="1"/>
  <c r="F8" i="11" s="1"/>
  <c r="I16" i="8"/>
  <c r="O16" i="8" s="1"/>
  <c r="F6" i="11" s="1"/>
  <c r="E46" i="8" l="1"/>
  <c r="P28" i="8"/>
  <c r="I29" i="8"/>
  <c r="O29" i="8" s="1"/>
  <c r="P29" i="8"/>
  <c r="E19" i="11" s="1"/>
  <c r="I36" i="8"/>
  <c r="O36" i="8" s="1"/>
  <c r="P36" i="8"/>
  <c r="E26" i="11" s="1"/>
  <c r="I20" i="8"/>
  <c r="O20" i="8" s="1"/>
  <c r="F10" i="11" s="1"/>
  <c r="I21" i="8"/>
  <c r="O21" i="8" s="1"/>
  <c r="F11" i="11" s="1"/>
  <c r="F3" i="11"/>
  <c r="I25" i="8"/>
  <c r="O25" i="8" s="1"/>
  <c r="F15" i="11" s="1"/>
  <c r="I17" i="8"/>
  <c r="O17" i="8" s="1"/>
  <c r="F7" i="11" s="1"/>
  <c r="I40" i="8"/>
  <c r="O40" i="8" s="1"/>
  <c r="F30" i="11" s="1"/>
  <c r="I28" i="8"/>
  <c r="O28" i="8" s="1"/>
  <c r="F18" i="11" s="1"/>
  <c r="I37" i="8"/>
  <c r="O37" i="8" s="1"/>
  <c r="F27" i="11" s="1"/>
  <c r="I30" i="8"/>
  <c r="O30" i="8" s="1"/>
  <c r="F20" i="11" s="1"/>
  <c r="I39" i="8"/>
  <c r="O39" i="8" s="1"/>
  <c r="F29" i="11" s="1"/>
  <c r="I19" i="8"/>
  <c r="O19" i="8" s="1"/>
  <c r="F9" i="11" s="1"/>
  <c r="I38" i="8"/>
  <c r="O38" i="8" s="1"/>
  <c r="F28" i="11" s="1"/>
  <c r="I31" i="8"/>
  <c r="O31" i="8" s="1"/>
  <c r="F21" i="11" s="1"/>
  <c r="I22" i="8"/>
  <c r="O22" i="8" s="1"/>
  <c r="F12" i="11" s="1"/>
  <c r="I15" i="8"/>
  <c r="O15" i="8" s="1"/>
  <c r="F5" i="11" s="1"/>
  <c r="I23" i="8"/>
  <c r="O23" i="8" s="1"/>
  <c r="F13" i="11" s="1"/>
  <c r="I33" i="8"/>
  <c r="O33" i="8" s="1"/>
  <c r="F23" i="11" s="1"/>
  <c r="I41" i="8"/>
  <c r="O41" i="8" s="1"/>
  <c r="F31" i="11" s="1"/>
  <c r="I14" i="8"/>
  <c r="O14" i="8" s="1"/>
  <c r="F4" i="11" s="1"/>
  <c r="I34" i="8"/>
  <c r="O34" i="8" s="1"/>
  <c r="F24" i="11" s="1"/>
  <c r="I32" i="8"/>
  <c r="O32" i="8" s="1"/>
  <c r="F22" i="11" s="1"/>
  <c r="I27" i="8"/>
  <c r="O27" i="8" s="1"/>
  <c r="F17" i="11" s="1"/>
  <c r="I35" i="8"/>
  <c r="O35" i="8" s="1"/>
  <c r="F25" i="11" s="1"/>
  <c r="E18" i="11" l="1"/>
  <c r="F26" i="11"/>
  <c r="F19" i="11"/>
  <c r="F46" i="8"/>
  <c r="I46" i="8"/>
  <c r="K3" i="11" l="1"/>
  <c r="Q14" i="8"/>
  <c r="K4" i="11" s="1"/>
  <c r="Q15" i="8"/>
  <c r="K5" i="11" s="1"/>
  <c r="Q16" i="8"/>
  <c r="K6" i="11" s="1"/>
  <c r="Q17" i="8"/>
  <c r="K7" i="11" s="1"/>
  <c r="Q18" i="8"/>
  <c r="K8" i="11" s="1"/>
  <c r="Q19" i="8"/>
  <c r="K9" i="11" s="1"/>
  <c r="Q20" i="8"/>
  <c r="K10" i="11" s="1"/>
  <c r="Q21" i="8"/>
  <c r="K11" i="11" s="1"/>
  <c r="Q22" i="8"/>
  <c r="K12" i="11" s="1"/>
  <c r="Q23" i="8"/>
  <c r="K13" i="11" s="1"/>
  <c r="Q24" i="8"/>
  <c r="K14" i="11" s="1"/>
  <c r="Q25" i="8"/>
  <c r="K15" i="11" s="1"/>
  <c r="Q26" i="8"/>
  <c r="K16" i="11" s="1"/>
  <c r="K2" i="11"/>
  <c r="AA46" i="8"/>
  <c r="Z46" i="8"/>
  <c r="Y46" i="8"/>
  <c r="X46" i="8"/>
  <c r="R46" i="8"/>
  <c r="AG26" i="8"/>
  <c r="AB26" i="8"/>
  <c r="AB25" i="8"/>
  <c r="AB24" i="8"/>
  <c r="AG23" i="8"/>
  <c r="AB23" i="8"/>
  <c r="AB22" i="8"/>
  <c r="AG21" i="8"/>
  <c r="AB21" i="8"/>
  <c r="AG20" i="8"/>
  <c r="AB20" i="8"/>
  <c r="AG19" i="8"/>
  <c r="AB19" i="8"/>
  <c r="AB18" i="8"/>
  <c r="AG17" i="8"/>
  <c r="AB17" i="8"/>
  <c r="AG16" i="8"/>
  <c r="AB16" i="8"/>
  <c r="AG15" i="8"/>
  <c r="AB15" i="8"/>
  <c r="AG14" i="8"/>
  <c r="AB14" i="8"/>
  <c r="AG13" i="8"/>
  <c r="AB13" i="8"/>
  <c r="AG12" i="8"/>
  <c r="AB12" i="8"/>
  <c r="AB46" i="8" s="1"/>
  <c r="AC49" i="8" s="1"/>
  <c r="AD26" i="8" l="1"/>
  <c r="G16" i="11"/>
  <c r="H16" i="11"/>
  <c r="AD15" i="8"/>
  <c r="G5" i="11"/>
  <c r="H5" i="11"/>
  <c r="AD25" i="8"/>
  <c r="G15" i="11"/>
  <c r="H15" i="11"/>
  <c r="AD22" i="8"/>
  <c r="H12" i="11"/>
  <c r="G12" i="11"/>
  <c r="AD20" i="8"/>
  <c r="G10" i="11"/>
  <c r="H10" i="11"/>
  <c r="AD21" i="8"/>
  <c r="H11" i="11"/>
  <c r="G11" i="11"/>
  <c r="AD17" i="8"/>
  <c r="G7" i="11"/>
  <c r="H7" i="11"/>
  <c r="AD14" i="8"/>
  <c r="G4" i="11"/>
  <c r="H4" i="11"/>
  <c r="AD18" i="8"/>
  <c r="G8" i="11"/>
  <c r="H8" i="11"/>
  <c r="AD23" i="8"/>
  <c r="G13" i="11"/>
  <c r="H13" i="11"/>
  <c r="AD12" i="8"/>
  <c r="G2" i="11"/>
  <c r="H2" i="11"/>
  <c r="AD16" i="8"/>
  <c r="G6" i="11"/>
  <c r="H6" i="11"/>
  <c r="AD13" i="8"/>
  <c r="H3" i="11"/>
  <c r="G3" i="11"/>
  <c r="AD19" i="8"/>
  <c r="G9" i="11"/>
  <c r="H9" i="11"/>
  <c r="AD24" i="8"/>
  <c r="G14" i="11"/>
  <c r="H14" i="11"/>
  <c r="O46" i="8"/>
  <c r="P49" i="8" s="1"/>
  <c r="F2" i="11"/>
  <c r="AE46" i="8"/>
  <c r="AG22" i="8"/>
  <c r="AG24" i="8"/>
  <c r="AG25" i="8"/>
  <c r="T46" i="8"/>
  <c r="Q46" i="8"/>
  <c r="V14" i="8"/>
  <c r="V22" i="8"/>
  <c r="V18" i="8"/>
  <c r="V23" i="8"/>
  <c r="V19" i="8"/>
  <c r="V20" i="8"/>
  <c r="V24" i="8"/>
  <c r="V26" i="8"/>
  <c r="V17" i="8"/>
  <c r="V16" i="8"/>
  <c r="V21" i="8"/>
  <c r="V15" i="8"/>
  <c r="V25" i="8"/>
  <c r="L2" i="11"/>
  <c r="U46" i="8"/>
  <c r="AG18" i="8"/>
  <c r="W22" i="8" l="1"/>
  <c r="L12" i="11"/>
  <c r="W24" i="8"/>
  <c r="L14" i="11"/>
  <c r="W14" i="8"/>
  <c r="L4" i="11"/>
  <c r="W17" i="8"/>
  <c r="L7" i="11"/>
  <c r="W26" i="8"/>
  <c r="L16" i="11"/>
  <c r="W20" i="8"/>
  <c r="L10" i="11"/>
  <c r="W25" i="8"/>
  <c r="L15" i="11"/>
  <c r="W19" i="8"/>
  <c r="L9" i="11"/>
  <c r="W15" i="8"/>
  <c r="L5" i="11"/>
  <c r="W23" i="8"/>
  <c r="L13" i="11"/>
  <c r="W21" i="8"/>
  <c r="L11" i="11"/>
  <c r="L3" i="11"/>
  <c r="W16" i="8"/>
  <c r="L6" i="11"/>
  <c r="W18" i="8"/>
  <c r="L8" i="11"/>
  <c r="AF46" i="8"/>
  <c r="AG46" i="8" s="1"/>
  <c r="AD46" i="8"/>
  <c r="V46" i="8"/>
  <c r="W46" i="8" s="1"/>
</calcChain>
</file>

<file path=xl/sharedStrings.xml><?xml version="1.0" encoding="utf-8"?>
<sst xmlns="http://schemas.openxmlformats.org/spreadsheetml/2006/main" count="93" uniqueCount="50">
  <si>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</si>
  <si>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</si>
  <si>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</si>
  <si>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</si>
  <si>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</si>
  <si>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</si>
  <si>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</si>
  <si>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</si>
  <si>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</si>
  <si>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</si>
  <si>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</si>
  <si>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</si>
  <si>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</si>
  <si>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</si>
  <si>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</si>
  <si>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</si>
  <si>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</si>
  <si>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NOVEMBER 2018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</si>
  <si>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</si>
  <si>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</si>
  <si>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</si>
  <si>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</si>
  <si>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</si>
  <si>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</si>
  <si>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</si>
  <si>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</si>
  <si>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</si>
  <si>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</si>
  <si>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</si>
  <si>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</si>
  <si>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</si>
  <si>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</si>
  <si>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</si>
  <si>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</si>
  <si>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</si>
  <si>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</si>
  <si>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</si>
  <si>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</si>
  <si>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</si>
  <si>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</si>
  <si>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</si>
  <si>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IDR</t>
  </si>
  <si>
    <t>USD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</si>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</sst>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_-* #,##0.000_-;\-* #,##0.000_-;_-* &quot;-&quot;??_-;_-@_-"/>
    <numFmt numFmtId="170" formatCode="_-* #,##0.00000_-;\-* #,##0.00000_-;_-* &quot;-&quot;??_-;_-@_-"/>
    <numFmt numFmtId="171" formatCode="_-* #,##0.000000_-;\-* #,##0.0000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217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164" fontId="0" fillId="0" borderId="0" xfId="2" applyFont="1" applyBorder="1"/>
    <xf numFmtId="0" fontId="0" fillId="3" borderId="0" xfId="0" applyFill="1"/>
    <xf numFmtId="165" fontId="3" fillId="0" borderId="0" xfId="2" applyNumberFormat="1" applyFont="1" applyBorder="1"/>
    <xf numFmtId="164" fontId="5" fillId="0" borderId="0" xfId="2" applyFont="1" applyBorder="1"/>
    <xf numFmtId="164" fontId="5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21" xfId="0" applyBorder="1"/>
    <xf numFmtId="0" fontId="0" fillId="0" borderId="31" xfId="0" applyBorder="1" applyAlignment="1">
      <alignment horizontal="center" vertical="center" wrapText="1"/>
    </xf>
    <xf numFmtId="164" fontId="0" fillId="0" borderId="0" xfId="2" applyFont="1"/>
    <xf numFmtId="44" fontId="5" fillId="0" borderId="0" xfId="1" applyFont="1" applyBorder="1"/>
    <xf numFmtId="43" fontId="0" fillId="0" borderId="0" xfId="0" applyNumberFormat="1"/>
    <xf numFmtId="164" fontId="0" fillId="3" borderId="0" xfId="0" applyNumberFormat="1" applyFill="1"/>
    <xf numFmtId="165" fontId="5" fillId="0" borderId="0" xfId="2" applyNumberFormat="1" applyFont="1" applyBorder="1"/>
    <xf numFmtId="165" fontId="1" fillId="0" borderId="22" xfId="0" applyNumberFormat="1" applyFont="1" applyBorder="1"/>
    <xf numFmtId="0" fontId="0" fillId="0" borderId="9" xfId="0" applyBorder="1"/>
    <xf numFmtId="165" fontId="0" fillId="0" borderId="11" xfId="2" applyNumberFormat="1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5" fontId="0" fillId="0" borderId="33" xfId="2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65" fontId="3" fillId="3" borderId="0" xfId="2" applyNumberFormat="1" applyFont="1" applyFill="1" applyBorder="1"/>
    <xf numFmtId="165" fontId="0" fillId="3" borderId="0" xfId="0" applyNumberFormat="1" applyFill="1"/>
    <xf numFmtId="0" fontId="7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7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4" xfId="0" applyFont="1" applyFill="1" applyBorder="1" applyAlignment="1">
      <alignment horizontal="center" vertical="center"/>
    </xf>
    <xf numFmtId="167" fontId="0" fillId="0" borderId="0" xfId="0" applyNumberFormat="1"/>
    <xf numFmtId="167" fontId="3" fillId="0" borderId="0" xfId="2" applyNumberFormat="1" applyFont="1" applyBorder="1"/>
    <xf numFmtId="167" fontId="7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0" xfId="2" applyNumberFormat="1" applyFont="1" applyBorder="1"/>
    <xf numFmtId="167" fontId="0" fillId="3" borderId="5" xfId="0" applyNumberFormat="1" applyFill="1" applyBorder="1"/>
    <xf numFmtId="43" fontId="0" fillId="0" borderId="0" xfId="2" applyNumberFormat="1" applyFont="1"/>
    <xf numFmtId="0" fontId="0" fillId="0" borderId="12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2" xfId="0" applyNumberFormat="1" applyFill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165" fontId="0" fillId="0" borderId="39" xfId="2" applyNumberFormat="1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167" fontId="0" fillId="0" borderId="40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7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5" borderId="33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1" fillId="11" borderId="41" xfId="0" applyFont="1" applyFill="1" applyBorder="1" applyAlignment="1">
      <alignment horizontal="center" vertical="center" shrinkToFit="1"/>
    </xf>
    <xf numFmtId="0" fontId="11" fillId="11" borderId="42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5" xfId="2" applyFont="1" applyBorder="1" applyAlignment="1">
      <alignment horizontal="center" vertical="center" wrapText="1"/>
    </xf>
    <xf numFmtId="164" fontId="8" fillId="0" borderId="27" xfId="2" applyFont="1" applyBorder="1" applyAlignment="1">
      <alignment horizontal="center" vertical="center" wrapText="1"/>
    </xf>
    <xf numFmtId="164" fontId="8" fillId="0" borderId="8" xfId="2" applyFont="1" applyBorder="1"/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6" xfId="0" applyNumberFormat="1" applyFill="1" applyBorder="1"/>
    <xf numFmtId="165" fontId="1" fillId="0" borderId="36" xfId="0" applyNumberFormat="1" applyFont="1" applyBorder="1"/>
    <xf numFmtId="0" fontId="0" fillId="3" borderId="43" xfId="0" applyFill="1" applyBorder="1"/>
    <xf numFmtId="165" fontId="0" fillId="3" borderId="43" xfId="2" applyNumberFormat="1" applyFont="1" applyFill="1" applyBorder="1"/>
    <xf numFmtId="164" fontId="8" fillId="3" borderId="43" xfId="2" applyFont="1" applyFill="1" applyBorder="1"/>
    <xf numFmtId="165" fontId="8" fillId="3" borderId="43" xfId="2" applyNumberFormat="1" applyFont="1" applyFill="1" applyBorder="1"/>
    <xf numFmtId="0" fontId="0" fillId="3" borderId="45" xfId="0" applyFill="1" applyBorder="1"/>
    <xf numFmtId="43" fontId="0" fillId="3" borderId="43" xfId="0" applyNumberFormat="1" applyFill="1" applyBorder="1"/>
    <xf numFmtId="165" fontId="0" fillId="3" borderId="43" xfId="0" applyNumberFormat="1" applyFill="1" applyBorder="1"/>
    <xf numFmtId="165" fontId="0" fillId="0" borderId="43" xfId="2" applyNumberFormat="1" applyFont="1" applyBorder="1"/>
    <xf numFmtId="167" fontId="0" fillId="3" borderId="45" xfId="0" applyNumberFormat="1" applyFill="1" applyBorder="1"/>
    <xf numFmtId="165" fontId="9" fillId="6" borderId="22" xfId="2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3" fontId="0" fillId="0" borderId="0" xfId="0" applyNumberFormat="1"/>
    <xf numFmtId="3" fontId="13" fillId="0" borderId="0" xfId="0" applyNumberFormat="1" applyFont="1"/>
    <xf numFmtId="4" fontId="0" fillId="0" borderId="0" xfId="0" applyNumberFormat="1"/>
    <xf numFmtId="168" fontId="7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0" borderId="0" xfId="2" applyNumberFormat="1" applyFont="1" applyBorder="1"/>
    <xf numFmtId="168" fontId="3" fillId="0" borderId="0" xfId="2" applyNumberFormat="1" applyFont="1" applyBorder="1"/>
    <xf numFmtId="168" fontId="0" fillId="0" borderId="0" xfId="2" applyNumberFormat="1" applyFont="1"/>
    <xf numFmtId="165" fontId="13" fillId="0" borderId="0" xfId="2" applyNumberFormat="1" applyFont="1"/>
    <xf numFmtId="165" fontId="0" fillId="0" borderId="18" xfId="2" applyNumberFormat="1" applyFont="1" applyBorder="1" applyAlignment="1">
      <alignment horizontal="center" vertical="center" wrapText="1"/>
    </xf>
    <xf numFmtId="165" fontId="6" fillId="0" borderId="0" xfId="2" applyNumberFormat="1" applyFont="1"/>
    <xf numFmtId="0" fontId="0" fillId="0" borderId="47" xfId="0" applyBorder="1" applyAlignment="1">
      <alignment horizontal="center" vertical="center" wrapText="1"/>
    </xf>
    <xf numFmtId="165" fontId="9" fillId="0" borderId="49" xfId="2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5" fontId="8" fillId="0" borderId="51" xfId="2" applyNumberFormat="1" applyFont="1" applyBorder="1" applyAlignment="1">
      <alignment horizontal="center" vertical="center" wrapText="1"/>
    </xf>
    <xf numFmtId="165" fontId="8" fillId="0" borderId="20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1" xfId="2" applyNumberFormat="1" applyFont="1" applyBorder="1"/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65" fontId="0" fillId="0" borderId="17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4" fontId="0" fillId="0" borderId="20" xfId="0" applyNumberFormat="1" applyBorder="1"/>
    <xf numFmtId="165" fontId="0" fillId="0" borderId="53" xfId="2" applyNumberFormat="1" applyFont="1" applyBorder="1"/>
    <xf numFmtId="0" fontId="0" fillId="0" borderId="31" xfId="0" applyBorder="1"/>
    <xf numFmtId="165" fontId="0" fillId="0" borderId="10" xfId="2" applyNumberFormat="1" applyFont="1" applyBorder="1"/>
    <xf numFmtId="165" fontId="0" fillId="3" borderId="10" xfId="2" applyNumberFormat="1" applyFont="1" applyFill="1" applyBorder="1"/>
    <xf numFmtId="0" fontId="0" fillId="0" borderId="54" xfId="0" applyBorder="1"/>
    <xf numFmtId="170" fontId="8" fillId="0" borderId="0" xfId="2" applyNumberFormat="1" applyFont="1"/>
    <xf numFmtId="170" fontId="0" fillId="0" borderId="0" xfId="2" applyNumberFormat="1" applyFont="1" applyBorder="1"/>
    <xf numFmtId="169" fontId="13" fillId="0" borderId="0" xfId="2" applyNumberFormat="1" applyFont="1"/>
    <xf numFmtId="171" fontId="0" fillId="0" borderId="0" xfId="2" applyNumberFormat="1" applyFont="1"/>
    <xf numFmtId="164" fontId="0" fillId="0" borderId="42" xfId="2" applyFont="1" applyBorder="1"/>
    <xf numFmtId="164" fontId="0" fillId="0" borderId="55" xfId="2" applyFont="1" applyBorder="1"/>
    <xf numFmtId="165" fontId="8" fillId="0" borderId="41" xfId="2" applyNumberFormat="1" applyFont="1" applyBorder="1" applyAlignment="1">
      <alignment horizontal="center" vertical="center" wrapText="1"/>
    </xf>
    <xf numFmtId="165" fontId="8" fillId="0" borderId="42" xfId="2" applyNumberFormat="1" applyFont="1" applyBorder="1"/>
    <xf numFmtId="165" fontId="8" fillId="0" borderId="55" xfId="2" applyNumberFormat="1" applyFont="1" applyBorder="1"/>
    <xf numFmtId="165" fontId="0" fillId="3" borderId="13" xfId="2" applyNumberFormat="1" applyFont="1" applyFill="1" applyBorder="1"/>
    <xf numFmtId="0" fontId="0" fillId="3" borderId="57" xfId="0" applyFill="1" applyBorder="1"/>
    <xf numFmtId="0" fontId="0" fillId="3" borderId="14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4" xfId="2" applyNumberFormat="1" applyFont="1" applyFill="1" applyBorder="1"/>
    <xf numFmtId="0" fontId="11" fillId="11" borderId="55" xfId="0" applyFont="1" applyFill="1" applyBorder="1" applyAlignment="1">
      <alignment horizontal="center" vertical="center" shrinkToFit="1"/>
    </xf>
    <xf numFmtId="167" fontId="1" fillId="3" borderId="7" xfId="0" applyNumberFormat="1" applyFont="1" applyFill="1" applyBorder="1"/>
    <xf numFmtId="0" fontId="0" fillId="0" borderId="6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0" xfId="0" applyBorder="1"/>
    <xf numFmtId="165" fontId="0" fillId="0" borderId="20" xfId="0" applyNumberFormat="1" applyBorder="1"/>
    <xf numFmtId="0" fontId="0" fillId="0" borderId="20" xfId="0" applyBorder="1"/>
    <xf numFmtId="0" fontId="0" fillId="3" borderId="46" xfId="0" applyFill="1" applyBorder="1"/>
    <xf numFmtId="43" fontId="0" fillId="3" borderId="5" xfId="0" applyNumberFormat="1" applyFill="1" applyBorder="1"/>
    <xf numFmtId="0" fontId="0" fillId="3" borderId="61" xfId="0" applyFill="1" applyBorder="1"/>
    <xf numFmtId="165" fontId="1" fillId="0" borderId="11" xfId="2" applyNumberFormat="1" applyFont="1" applyBorder="1" applyAlignment="1">
      <alignment horizontal="center" vertical="center" wrapText="1"/>
    </xf>
    <xf numFmtId="165" fontId="1" fillId="0" borderId="21" xfId="2" applyNumberFormat="1" applyFont="1" applyBorder="1"/>
    <xf numFmtId="165" fontId="14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165" fontId="0" fillId="3" borderId="22" xfId="2" applyNumberFormat="1" applyFont="1" applyFill="1" applyBorder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38" xfId="2" applyNumberFormat="1" applyFont="1" applyBorder="1" applyAlignment="1">
      <alignment horizontal="center" vertical="center" wrapText="1"/>
    </xf>
    <xf numFmtId="168" fontId="0" fillId="0" borderId="24" xfId="2" applyNumberFormat="1" applyFont="1" applyBorder="1" applyAlignment="1">
      <alignment horizontal="center" vertical="center" wrapText="1"/>
    </xf>
    <xf numFmtId="168" fontId="0" fillId="0" borderId="21" xfId="2" applyNumberFormat="1" applyFont="1" applyBorder="1"/>
    <xf numFmtId="168" fontId="0" fillId="0" borderId="43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7" fontId="1" fillId="12" borderId="32" xfId="2" applyNumberFormat="1" applyFont="1" applyFill="1" applyBorder="1"/>
    <xf numFmtId="164" fontId="6" fillId="0" borderId="0" xfId="2" applyFont="1" applyBorder="1"/>
    <xf numFmtId="165" fontId="2" fillId="0" borderId="10" xfId="2" applyNumberFormat="1" applyFont="1" applyBorder="1"/>
    <xf numFmtId="166" fontId="0" fillId="0" borderId="52" xfId="2" applyNumberFormat="1" applyFont="1" applyBorder="1"/>
    <xf numFmtId="165" fontId="0" fillId="0" borderId="55" xfId="2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" fontId="5" fillId="0" borderId="8" xfId="0" applyNumberFormat="1" applyFont="1" applyBorder="1" applyAlignment="1">
      <alignment horizontal="center"/>
    </xf>
    <xf numFmtId="166" fontId="16" fillId="0" borderId="8" xfId="0" applyNumberFormat="1" applyFont="1" applyBorder="1"/>
    <xf numFmtId="37" fontId="16" fillId="0" borderId="8" xfId="0" applyNumberFormat="1" applyFont="1" applyBorder="1"/>
    <xf numFmtId="165" fontId="1" fillId="13" borderId="6" xfId="0" applyNumberFormat="1" applyFont="1" applyFill="1" applyBorder="1"/>
    <xf numFmtId="164" fontId="1" fillId="14" borderId="22" xfId="0" applyNumberFormat="1" applyFont="1" applyFill="1" applyBorder="1"/>
    <xf numFmtId="0" fontId="1" fillId="5" borderId="3" xfId="0" applyFont="1" applyFill="1" applyBorder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/>
    </xf>
    <xf numFmtId="49" fontId="9" fillId="2" borderId="1" xfId="0" applyNumberFormat="1" applyFont="1" applyFill="1" applyBorder="1" applyAlignment="1">
      <alignment horizontal="left"/>
    </xf>
    <xf numFmtId="49" fontId="9" fillId="2" borderId="37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165" fontId="9" fillId="0" borderId="26" xfId="2" applyNumberFormat="1" applyFont="1" applyBorder="1" applyAlignment="1">
      <alignment horizontal="center" vertical="center" wrapText="1"/>
    </xf>
    <xf numFmtId="165" fontId="9" fillId="0" borderId="36" xfId="2" applyNumberFormat="1" applyFont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35" xfId="0" applyFont="1" applyFill="1" applyBorder="1" applyAlignment="1">
      <alignment horizontal="center" vertical="center" wrapText="1"/>
    </xf>
    <xf numFmtId="0" fontId="10" fillId="10" borderId="3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17" fontId="7" fillId="3" borderId="56" xfId="0" applyNumberFormat="1" applyFont="1" applyFill="1" applyBorder="1" applyAlignment="1">
      <alignment horizontal="center"/>
    </xf>
    <xf numFmtId="0" fontId="7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6">
    <cellStyle name="Comma" xfId="2" builtinId="3"/>
    <cellStyle name="Comma 10" xfId="3" xr:uid="{00000000-0005-0000-0000-000001000000}"/>
    <cellStyle name="Comma 2" xfId="4" xr:uid="{00000000-0005-0000-0000-000002000000}"/>
    <cellStyle name="Currency" xfId="1" builtinId="4"/>
    <cellStyle name="Hyperlink 2" xfId="5" xr:uid="{00000000-0005-0000-0000-000005000000}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113579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24" y="76814"/>
          <a:ext cx="1311886" cy="8603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1"/>
  <sheetViews>
    <sheetView workbookViewId="0">
      <selection activeCell="D3" sqref="D3:D31"/>
    </sheetView>
  </sheetViews>
  <sheetFormatPr defaultColWidth="11.5703125" defaultRowHeight="15"/>
  <cols>
    <col min="1" max="1" width="18.42578125" style="178" customWidth="1"/>
    <col min="2" max="2" width="11.5703125" style="179"/>
    <col min="3" max="3" width="11.5703125" style="180"/>
    <col min="4" max="4" width="13.42578125" style="179" customWidth="1"/>
    <col min="5" max="5" width="12.5703125" style="177" customWidth="1"/>
    <col min="6" max="6" width="12.5703125" style="181" customWidth="1"/>
    <col min="7" max="7" width="11.5703125" style="177"/>
    <col min="8" max="8" width="11.5703125" style="181"/>
    <col min="9" max="9" width="11.5703125" style="182"/>
    <col min="10" max="10" width="11.5703125" style="183"/>
    <col min="11" max="11" width="11.5703125" style="177"/>
    <col min="12" max="12" width="11.5703125" style="183"/>
    <col min="13" max="26" width="11.5703125" style="177"/>
  </cols>
  <sheetData>
    <row r="1" spans="1:15" s="171" customFormat="1" ht="60">
      <c r="A1" s="167" t="s">
        <v>0</v>
      </c>
      <c r="B1" s="167" t="s">
        <v>1</v>
      </c>
      <c r="C1" s="168" t="s">
        <v>2</v>
      </c>
      <c r="D1" s="167" t="s">
        <v>3</v>
      </c>
      <c r="E1" s="166" t="s">
        <v>4</v>
      </c>
      <c r="F1" s="169" t="s">
        <v>5</v>
      </c>
      <c r="G1" s="166" t="s">
        <v>6</v>
      </c>
      <c r="H1" s="169" t="s">
        <v>7</v>
      </c>
      <c r="I1" s="166" t="s">
        <v>8</v>
      </c>
      <c r="J1" s="169" t="s">
        <v>9</v>
      </c>
      <c r="K1" s="166" t="s">
        <v>10</v>
      </c>
      <c r="L1" s="170" t="s">
        <v>11</v>
      </c>
      <c r="M1" s="166" t="s">
        <v>12</v>
      </c>
      <c r="N1" s="166" t="s">
        <v>13</v>
      </c>
    </row>
    <row r="2" spans="1:15">
      <c r="A2" s="172" t="s">
        <v>14</v>
      </c>
      <c r="B2" s="173">
        <v>1</v>
      </c>
      <c r="C2" s="174">
        <v>11</v>
      </c>
      <c r="D2" s="173">
        <v>2018</v>
      </c>
      <c r="E2" s="175">
        <f>'FS Jimbaran November 2018'!P12</f>
        <v>16419.999999999618</v>
      </c>
      <c r="F2" s="184">
        <f>'FS Jimbaran November 2018'!O12/'FS Jimbaran November 2018'!P12</f>
        <v>1255.1420554202216</v>
      </c>
      <c r="G2" s="175">
        <f>'FS Jimbaran November 2018'!AB12</f>
        <v>398.51235999998119</v>
      </c>
      <c r="H2" s="184">
        <f>'FS Jimbaran November 2018'!AC12/'FS Jimbaran November 2018'!AB12</f>
        <v>12634.476422763937</v>
      </c>
      <c r="I2" s="175">
        <f>'FS Jimbaran November 2018'!AE12</f>
        <v>769.68000000000029</v>
      </c>
      <c r="J2" s="176">
        <f>'FS Jimbaran November 2018'!AF12/'FS Jimbaran November 2018'!AE12</f>
        <v>11500</v>
      </c>
      <c r="K2" s="175">
        <f>'FS Jimbaran November 2018'!Q12</f>
        <v>906</v>
      </c>
      <c r="L2" s="184">
        <f>'FS Jimbaran November 2018'!V12/'FS Jimbaran November 2018'!Q12</f>
        <v>8141.0748344370859</v>
      </c>
      <c r="M2" s="175">
        <f>'FS Jimbaran November 2018'!C12</f>
        <v>142</v>
      </c>
      <c r="N2" s="175">
        <f>'FS Jimbaran November 2018'!D12</f>
        <v>764</v>
      </c>
    </row>
    <row r="3" spans="1:15">
      <c r="A3" s="172" t="s">
        <v>14</v>
      </c>
      <c r="B3" s="173">
        <f>B2+1</f>
        <v>2</v>
      </c>
      <c r="C3" s="174">
        <v>11</v>
      </c>
      <c r="D3" s="173">
        <v>2018</v>
      </c>
      <c r="E3" s="175">
        <f>'FS Jimbaran November 2018'!P13</f>
        <v>28560.000000000742</v>
      </c>
      <c r="F3" s="184">
        <f>'FS Jimbaran November 2018'!O13/'FS Jimbaran November 2018'!P13</f>
        <v>1187.7197867647053</v>
      </c>
      <c r="G3" s="175">
        <f>'FS Jimbaran November 2018'!AB13</f>
        <v>543.75588000002574</v>
      </c>
      <c r="H3" s="184">
        <f>'FS Jimbaran November 2018'!AC13/'FS Jimbaran November 2018'!AB13</f>
        <v>12748.37971002719</v>
      </c>
      <c r="I3" s="175">
        <f>'FS Jimbaran November 2018'!AE13</f>
        <v>601.29999999999927</v>
      </c>
      <c r="J3" s="176">
        <f>'FS Jimbaran November 2018'!AF13/'FS Jimbaran November 2018'!AE13</f>
        <v>11500</v>
      </c>
      <c r="K3" s="175">
        <f>'FS Jimbaran November 2018'!Q13</f>
        <v>949</v>
      </c>
      <c r="L3" s="184">
        <f>'FS Jimbaran November 2018'!V13/'FS Jimbaran November 2018'!Q13</f>
        <v>7874.2811380400417</v>
      </c>
      <c r="M3" s="175">
        <f>'FS Jimbaran November 2018'!C13</f>
        <v>139</v>
      </c>
      <c r="N3" s="175">
        <f>'FS Jimbaran November 2018'!D13</f>
        <v>658</v>
      </c>
    </row>
    <row r="4" spans="1:15">
      <c r="A4" s="172" t="s">
        <v>14</v>
      </c>
      <c r="B4" s="173">
        <f t="shared" ref="B4:B31" si="0">B3+1</f>
        <v>3</v>
      </c>
      <c r="C4" s="174">
        <v>11</v>
      </c>
      <c r="D4" s="173">
        <v>2018</v>
      </c>
      <c r="E4" s="175">
        <f>'FS Jimbaran November 2018'!P14</f>
        <v>28339.999999999236</v>
      </c>
      <c r="F4" s="184">
        <f>'FS Jimbaran November 2018'!O14/'FS Jimbaran November 2018'!P14</f>
        <v>1183.1246390261144</v>
      </c>
      <c r="G4" s="175">
        <f>'FS Jimbaran November 2018'!AB14</f>
        <v>146.29351999998593</v>
      </c>
      <c r="H4" s="184">
        <f>'FS Jimbaran November 2018'!AC14/'FS Jimbaran November 2018'!AB14</f>
        <v>11909.571669339828</v>
      </c>
      <c r="I4" s="175">
        <f>'FS Jimbaran November 2018'!AE14</f>
        <v>512.47999999999956</v>
      </c>
      <c r="J4" s="176">
        <f>'FS Jimbaran November 2018'!AF14/'FS Jimbaran November 2018'!AE14</f>
        <v>11500</v>
      </c>
      <c r="K4" s="175">
        <f>'FS Jimbaran November 2018'!Q14</f>
        <v>751.69999999999709</v>
      </c>
      <c r="L4" s="184">
        <f>'FS Jimbaran November 2018'!V14/'FS Jimbaran November 2018'!Q14</f>
        <v>8191.3584249035648</v>
      </c>
      <c r="M4" s="175">
        <f>'FS Jimbaran November 2018'!C14</f>
        <v>74</v>
      </c>
      <c r="N4" s="175">
        <f>'FS Jimbaran November 2018'!D14</f>
        <v>651</v>
      </c>
    </row>
    <row r="5" spans="1:15">
      <c r="A5" s="172" t="s">
        <v>14</v>
      </c>
      <c r="B5" s="173">
        <f t="shared" si="0"/>
        <v>4</v>
      </c>
      <c r="C5" s="174">
        <v>11</v>
      </c>
      <c r="D5" s="173">
        <v>2018</v>
      </c>
      <c r="E5" s="175">
        <f>'FS Jimbaran November 2018'!P15</f>
        <v>27500.000000000113</v>
      </c>
      <c r="F5" s="184">
        <f>'FS Jimbaran November 2018'!O15/'FS Jimbaran November 2018'!P15</f>
        <v>1167.4558865454558</v>
      </c>
      <c r="G5" s="175">
        <f>'FS Jimbaran November 2018'!AB15</f>
        <v>12</v>
      </c>
      <c r="H5" s="184">
        <f>'FS Jimbaran November 2018'!AC15/'FS Jimbaran November 2018'!AB15</f>
        <v>66000</v>
      </c>
      <c r="I5" s="175">
        <f>'FS Jimbaran November 2018'!AE15</f>
        <v>590.17000000000007</v>
      </c>
      <c r="J5" s="176">
        <f>'FS Jimbaran November 2018'!AF15/'FS Jimbaran November 2018'!AE15</f>
        <v>11500</v>
      </c>
      <c r="K5" s="175">
        <f>'FS Jimbaran November 2018'!Q15</f>
        <v>813.40000000000873</v>
      </c>
      <c r="L5" s="184">
        <f>'FS Jimbaran November 2018'!V15/'FS Jimbaran November 2018'!Q15</f>
        <v>7194.7917088762943</v>
      </c>
      <c r="M5" s="175">
        <f>'FS Jimbaran November 2018'!C15</f>
        <v>29</v>
      </c>
      <c r="N5" s="175">
        <f>'FS Jimbaran November 2018'!D15</f>
        <v>582</v>
      </c>
    </row>
    <row r="6" spans="1:15">
      <c r="A6" s="172" t="s">
        <v>14</v>
      </c>
      <c r="B6" s="173">
        <f t="shared" si="0"/>
        <v>5</v>
      </c>
      <c r="C6" s="174">
        <v>11</v>
      </c>
      <c r="D6" s="173">
        <v>2018</v>
      </c>
      <c r="E6" s="175">
        <f>'FS Jimbaran November 2018'!P16</f>
        <v>23360.000000000582</v>
      </c>
      <c r="F6" s="184">
        <f>'FS Jimbaran November 2018'!O16/'FS Jimbaran November 2018'!P16</f>
        <v>1198.8399721746489</v>
      </c>
      <c r="G6" s="175">
        <f>'FS Jimbaran November 2018'!AB16</f>
        <v>146.9782800000375</v>
      </c>
      <c r="H6" s="184">
        <f>'FS Jimbaran November 2018'!AC16/'FS Jimbaran November 2018'!AB16</f>
        <v>11909.690137889767</v>
      </c>
      <c r="I6" s="175">
        <f>'FS Jimbaran November 2018'!AE16</f>
        <v>600</v>
      </c>
      <c r="J6" s="176">
        <f>'FS Jimbaran November 2018'!AF16/'FS Jimbaran November 2018'!AE16</f>
        <v>11500</v>
      </c>
      <c r="K6" s="175">
        <f>'FS Jimbaran November 2018'!Q16</f>
        <v>738</v>
      </c>
      <c r="L6" s="184">
        <f>'FS Jimbaran November 2018'!V16/'FS Jimbaran November 2018'!Q16</f>
        <v>5310.9974796747965</v>
      </c>
      <c r="M6" s="175">
        <f>'FS Jimbaran November 2018'!C16</f>
        <v>34</v>
      </c>
      <c r="N6" s="175">
        <f>'FS Jimbaran November 2018'!D16</f>
        <v>265</v>
      </c>
    </row>
    <row r="7" spans="1:15">
      <c r="A7" s="172" t="s">
        <v>14</v>
      </c>
      <c r="B7" s="173">
        <f t="shared" si="0"/>
        <v>6</v>
      </c>
      <c r="C7" s="174">
        <v>11</v>
      </c>
      <c r="D7" s="173">
        <v>2018</v>
      </c>
      <c r="E7" s="175">
        <f>'FS Jimbaran November 2018'!P17</f>
        <v>24859.999999999785</v>
      </c>
      <c r="F7" s="184">
        <f>'FS Jimbaran November 2018'!O17/'FS Jimbaran November 2018'!P17</f>
        <v>1184.6889991954995</v>
      </c>
      <c r="G7" s="175">
        <f>'FS Jimbaran November 2018'!AB17</f>
        <v>380.38291999999763</v>
      </c>
      <c r="H7" s="184">
        <f>'FS Jimbaran November 2018'!AC17/'FS Jimbaran November 2018'!AB17</f>
        <v>12658.034567377532</v>
      </c>
      <c r="I7" s="175">
        <f>'FS Jimbaran November 2018'!AE17</f>
        <v>416.32999999999993</v>
      </c>
      <c r="J7" s="176">
        <f>'FS Jimbaran November 2018'!AF17/'FS Jimbaran November 2018'!AE17</f>
        <v>11500</v>
      </c>
      <c r="K7" s="175">
        <f>'FS Jimbaran November 2018'!Q17</f>
        <v>954.89999999999418</v>
      </c>
      <c r="L7" s="184">
        <f>'FS Jimbaran November 2018'!V17/'FS Jimbaran November 2018'!Q17</f>
        <v>10491.530208398821</v>
      </c>
      <c r="M7" s="175">
        <f>'FS Jimbaran November 2018'!C17</f>
        <v>42</v>
      </c>
      <c r="N7" s="175">
        <f>'FS Jimbaran November 2018'!D17</f>
        <v>267</v>
      </c>
    </row>
    <row r="8" spans="1:15">
      <c r="A8" s="172" t="s">
        <v>14</v>
      </c>
      <c r="B8" s="173">
        <f t="shared" si="0"/>
        <v>7</v>
      </c>
      <c r="C8" s="174">
        <v>11</v>
      </c>
      <c r="D8" s="173">
        <v>2018</v>
      </c>
      <c r="E8" s="175">
        <f>'FS Jimbaran November 2018'!P18</f>
        <v>24039.99999999928</v>
      </c>
      <c r="F8" s="184">
        <f>'FS Jimbaran November 2018'!O18/'FS Jimbaran November 2018'!P18</f>
        <v>1188.4541443427609</v>
      </c>
      <c r="G8" s="175">
        <f>'FS Jimbaran November 2018'!AB18</f>
        <v>525.99583999999527</v>
      </c>
      <c r="H8" s="184">
        <f>'FS Jimbaran November 2018'!AC18/'FS Jimbaran November 2018'!AB18</f>
        <v>12782.915451194451</v>
      </c>
      <c r="I8" s="175">
        <f>'FS Jimbaran November 2018'!AE18</f>
        <v>616.66000000000167</v>
      </c>
      <c r="J8" s="176">
        <f>'FS Jimbaran November 2018'!AF18/'FS Jimbaran November 2018'!AE18</f>
        <v>11500</v>
      </c>
      <c r="K8" s="175">
        <f>'FS Jimbaran November 2018'!Q18</f>
        <v>450</v>
      </c>
      <c r="L8" s="184">
        <f>'FS Jimbaran November 2018'!V18/'FS Jimbaran November 2018'!Q18</f>
        <v>12581.139066666667</v>
      </c>
      <c r="M8" s="175">
        <f>'FS Jimbaran November 2018'!C18</f>
        <v>52</v>
      </c>
      <c r="N8" s="175">
        <f>'FS Jimbaran November 2018'!D18</f>
        <v>311</v>
      </c>
    </row>
    <row r="9" spans="1:15">
      <c r="A9" s="172" t="s">
        <v>14</v>
      </c>
      <c r="B9" s="173">
        <f t="shared" si="0"/>
        <v>8</v>
      </c>
      <c r="C9" s="174">
        <v>11</v>
      </c>
      <c r="D9" s="173">
        <v>2018</v>
      </c>
      <c r="E9" s="175">
        <f>'FS Jimbaran November 2018'!P19</f>
        <v>25720.000000000367</v>
      </c>
      <c r="F9" s="184">
        <f>'FS Jimbaran November 2018'!O19/'FS Jimbaran November 2018'!P19</f>
        <v>1179.7501982892729</v>
      </c>
      <c r="G9" s="175">
        <f>'FS Jimbaran November 2018'!AB19</f>
        <v>175.32508000000234</v>
      </c>
      <c r="H9" s="184">
        <f>'FS Jimbaran November 2018'!AC19/'FS Jimbaran November 2018'!AB19</f>
        <v>11850.129084783535</v>
      </c>
      <c r="I9" s="175">
        <f>'FS Jimbaran November 2018'!AE19</f>
        <v>767.40999999999985</v>
      </c>
      <c r="J9" s="176">
        <f>'FS Jimbaran November 2018'!AF19/'FS Jimbaran November 2018'!AE19</f>
        <v>11500</v>
      </c>
      <c r="K9" s="175">
        <f>'FS Jimbaran November 2018'!Q19</f>
        <v>706</v>
      </c>
      <c r="L9" s="184">
        <f>'FS Jimbaran November 2018'!V19/'FS Jimbaran November 2018'!Q19</f>
        <v>9673.7648725212457</v>
      </c>
      <c r="M9" s="175">
        <f>'FS Jimbaran November 2018'!C19</f>
        <v>54</v>
      </c>
      <c r="N9" s="175">
        <f>'FS Jimbaran November 2018'!D19</f>
        <v>351</v>
      </c>
      <c r="O9" s="177" t="s">
        <v>15</v>
      </c>
    </row>
    <row r="10" spans="1:15">
      <c r="A10" s="172" t="s">
        <v>14</v>
      </c>
      <c r="B10" s="173">
        <f t="shared" si="0"/>
        <v>9</v>
      </c>
      <c r="C10" s="174">
        <v>11</v>
      </c>
      <c r="D10" s="173">
        <v>2018</v>
      </c>
      <c r="E10" s="175">
        <f>'FS Jimbaran November 2018'!P20</f>
        <v>24680.000000000517</v>
      </c>
      <c r="F10" s="184">
        <f>'FS Jimbaran November 2018'!O20/'FS Jimbaran November 2018'!P20</f>
        <v>1181.4313164505652</v>
      </c>
      <c r="G10" s="175">
        <f>'FS Jimbaran November 2018'!AB20</f>
        <v>133.44419999997655</v>
      </c>
      <c r="H10" s="184">
        <f>'FS Jimbaran November 2018'!AC20/'FS Jimbaran November 2018'!AB20</f>
        <v>11907.123179576178</v>
      </c>
      <c r="I10" s="175">
        <f>'FS Jimbaran November 2018'!AE20</f>
        <v>558.75</v>
      </c>
      <c r="J10" s="176">
        <f>'FS Jimbaran November 2018'!AF20/'FS Jimbaran November 2018'!AE20</f>
        <v>11500</v>
      </c>
      <c r="K10" s="175">
        <f>'FS Jimbaran November 2018'!Q20</f>
        <v>750</v>
      </c>
      <c r="L10" s="184">
        <f>'FS Jimbaran November 2018'!V20/'FS Jimbaran November 2018'!Q20</f>
        <v>9718.763226666666</v>
      </c>
      <c r="M10" s="175">
        <f>'FS Jimbaran November 2018'!C20</f>
        <v>42</v>
      </c>
      <c r="N10" s="175">
        <f>'FS Jimbaran November 2018'!D20</f>
        <v>385</v>
      </c>
    </row>
    <row r="11" spans="1:15">
      <c r="A11" s="172" t="s">
        <v>14</v>
      </c>
      <c r="B11" s="173">
        <f t="shared" si="0"/>
        <v>10</v>
      </c>
      <c r="C11" s="174">
        <v>11</v>
      </c>
      <c r="D11" s="173">
        <v>2018</v>
      </c>
      <c r="E11" s="175">
        <f>'FS Jimbaran November 2018'!P21</f>
        <v>24039.999999999509</v>
      </c>
      <c r="F11" s="184">
        <f>'FS Jimbaran November 2018'!O21/'FS Jimbaran November 2018'!P21</f>
        <v>1183.0253473377679</v>
      </c>
      <c r="G11" s="175">
        <f>'FS Jimbaran November 2018'!AB21</f>
        <v>115.36191999999764</v>
      </c>
      <c r="H11" s="184">
        <f>'FS Jimbaran November 2018'!AC21/'FS Jimbaran November 2018'!AB21</f>
        <v>17591.112519625309</v>
      </c>
      <c r="I11" s="175">
        <f>'FS Jimbaran November 2018'!AE21</f>
        <v>576.70000000000073</v>
      </c>
      <c r="J11" s="176">
        <f>'FS Jimbaran November 2018'!AF21/'FS Jimbaran November 2018'!AE21</f>
        <v>11500</v>
      </c>
      <c r="K11" s="175">
        <f>'FS Jimbaran November 2018'!Q21</f>
        <v>807</v>
      </c>
      <c r="L11" s="184">
        <f>'FS Jimbaran November 2018'!V21/'FS Jimbaran November 2018'!Q21</f>
        <v>9710.4213630731083</v>
      </c>
      <c r="M11" s="175">
        <f>'FS Jimbaran November 2018'!C21</f>
        <v>29</v>
      </c>
      <c r="N11" s="175">
        <f>'FS Jimbaran November 2018'!D21</f>
        <v>308</v>
      </c>
    </row>
    <row r="12" spans="1:15">
      <c r="A12" s="172" t="s">
        <v>14</v>
      </c>
      <c r="B12" s="173">
        <f t="shared" si="0"/>
        <v>11</v>
      </c>
      <c r="C12" s="174">
        <v>11</v>
      </c>
      <c r="D12" s="173">
        <v>2018</v>
      </c>
      <c r="E12" s="175">
        <f>'FS Jimbaran November 2018'!P22</f>
        <v>24619.999999999778</v>
      </c>
      <c r="F12" s="184">
        <f>'FS Jimbaran November 2018'!O22/'FS Jimbaran November 2018'!P22</f>
        <v>1182.9852891957778</v>
      </c>
      <c r="G12" s="175">
        <f>'FS Jimbaran November 2018'!AB22</f>
        <v>361.85756000001641</v>
      </c>
      <c r="H12" s="184">
        <f>'FS Jimbaran November 2018'!AC22/'FS Jimbaran November 2018'!AB22</f>
        <v>12705.330734557507</v>
      </c>
      <c r="I12" s="175">
        <f>'FS Jimbaran November 2018'!AE22</f>
        <v>466.39999999999964</v>
      </c>
      <c r="J12" s="176">
        <f>'FS Jimbaran November 2018'!AF22/'FS Jimbaran November 2018'!AE22</f>
        <v>11500.000000000002</v>
      </c>
      <c r="K12" s="175">
        <f>'FS Jimbaran November 2018'!Q22</f>
        <v>659</v>
      </c>
      <c r="L12" s="184">
        <f>'FS Jimbaran November 2018'!V22/'FS Jimbaran November 2018'!Q22</f>
        <v>8860.8655538695002</v>
      </c>
      <c r="M12" s="175">
        <f>'FS Jimbaran November 2018'!C22</f>
        <v>35</v>
      </c>
      <c r="N12" s="175">
        <f>'FS Jimbaran November 2018'!D22</f>
        <v>241</v>
      </c>
    </row>
    <row r="13" spans="1:15">
      <c r="A13" s="172" t="s">
        <v>14</v>
      </c>
      <c r="B13" s="173">
        <f t="shared" si="0"/>
        <v>12</v>
      </c>
      <c r="C13" s="174">
        <v>11</v>
      </c>
      <c r="D13" s="173">
        <v>2018</v>
      </c>
      <c r="E13" s="175">
        <f>'FS Jimbaran November 2018'!P23</f>
        <v>25320.000000000618</v>
      </c>
      <c r="F13" s="184">
        <f>'FS Jimbaran November 2018'!O23/'FS Jimbaran November 2018'!P23</f>
        <v>1182.4950462085301</v>
      </c>
      <c r="G13" s="175">
        <f>'FS Jimbaran November 2018'!AB23</f>
        <v>529.33564000001877</v>
      </c>
      <c r="H13" s="184">
        <f>'FS Jimbaran November 2018'!AC23/'FS Jimbaran November 2018'!AB23</f>
        <v>12770.53792070374</v>
      </c>
      <c r="I13" s="175">
        <f>'FS Jimbaran November 2018'!AE23</f>
        <v>511.75</v>
      </c>
      <c r="J13" s="176">
        <f>'FS Jimbaran November 2018'!AF23/'FS Jimbaran November 2018'!AE23</f>
        <v>11500</v>
      </c>
      <c r="K13" s="175">
        <f>'FS Jimbaran November 2018'!Q23</f>
        <v>827</v>
      </c>
      <c r="L13" s="184">
        <f>'FS Jimbaran November 2018'!V23/'FS Jimbaran November 2018'!Q23</f>
        <v>8980.7892623941952</v>
      </c>
      <c r="M13" s="175">
        <f>'FS Jimbaran November 2018'!C23</f>
        <v>35</v>
      </c>
      <c r="N13" s="175">
        <f>'FS Jimbaran November 2018'!D23</f>
        <v>260</v>
      </c>
    </row>
    <row r="14" spans="1:15">
      <c r="A14" s="172" t="s">
        <v>14</v>
      </c>
      <c r="B14" s="173">
        <f t="shared" si="0"/>
        <v>13</v>
      </c>
      <c r="C14" s="174">
        <v>11</v>
      </c>
      <c r="D14" s="173">
        <v>2018</v>
      </c>
      <c r="E14" s="175">
        <f>'FS Jimbaran November 2018'!P24</f>
        <v>22880.000000000451</v>
      </c>
      <c r="F14" s="184">
        <f>'FS Jimbaran November 2018'!O24/'FS Jimbaran November 2018'!P24</f>
        <v>1189.7662618006989</v>
      </c>
      <c r="G14" s="175">
        <f>'FS Jimbaran November 2018'!AB24</f>
        <v>160.98883999999529</v>
      </c>
      <c r="H14" s="184">
        <f>'FS Jimbaran November 2018'!AC24/'FS Jimbaran November 2018'!AB24</f>
        <v>11865.678424665957</v>
      </c>
      <c r="I14" s="175">
        <f>'FS Jimbaran November 2018'!AE24</f>
        <v>3138.8500000000013</v>
      </c>
      <c r="J14" s="176">
        <f>'FS Jimbaran November 2018'!AF24/'FS Jimbaran November 2018'!AE24</f>
        <v>11500</v>
      </c>
      <c r="K14" s="175">
        <f>'FS Jimbaran November 2018'!Q24</f>
        <v>632</v>
      </c>
      <c r="L14" s="184">
        <f>'FS Jimbaran November 2018'!V24/'FS Jimbaran November 2018'!Q24</f>
        <v>10799.143481012658</v>
      </c>
      <c r="M14" s="175">
        <f>'FS Jimbaran November 2018'!C24</f>
        <v>32</v>
      </c>
      <c r="N14" s="175">
        <f>'FS Jimbaran November 2018'!D24</f>
        <v>426</v>
      </c>
    </row>
    <row r="15" spans="1:15">
      <c r="A15" s="172" t="s">
        <v>14</v>
      </c>
      <c r="B15" s="173">
        <f t="shared" si="0"/>
        <v>14</v>
      </c>
      <c r="C15" s="174">
        <v>11</v>
      </c>
      <c r="D15" s="173">
        <v>2018</v>
      </c>
      <c r="E15" s="175">
        <f>'FS Jimbaran November 2018'!P25</f>
        <v>25199.999999999705</v>
      </c>
      <c r="F15" s="184">
        <f>'FS Jimbaran November 2018'!O25/'FS Jimbaran November 2018'!P25</f>
        <v>1182.9470750000005</v>
      </c>
      <c r="G15" s="175">
        <f>'FS Jimbaran November 2018'!AB25</f>
        <v>124.82771999996247</v>
      </c>
      <c r="H15" s="184">
        <f>'FS Jimbaran November 2018'!AC25/'FS Jimbaran November 2018'!AB25</f>
        <v>11935</v>
      </c>
      <c r="I15" s="175">
        <f>'FS Jimbaran November 2018'!AE25</f>
        <v>708.90999999999894</v>
      </c>
      <c r="J15" s="176">
        <f>'FS Jimbaran November 2018'!AF25/'FS Jimbaran November 2018'!AE25</f>
        <v>11500</v>
      </c>
      <c r="K15" s="175">
        <f>'FS Jimbaran November 2018'!Q25</f>
        <v>654</v>
      </c>
      <c r="L15" s="184">
        <f>'FS Jimbaran November 2018'!V25/'FS Jimbaran November 2018'!Q25</f>
        <v>9784.0898470948014</v>
      </c>
      <c r="M15" s="175">
        <f>'FS Jimbaran November 2018'!C25</f>
        <v>29</v>
      </c>
      <c r="N15" s="175">
        <f>'FS Jimbaran November 2018'!D25</f>
        <v>317</v>
      </c>
    </row>
    <row r="16" spans="1:15">
      <c r="A16" s="172" t="s">
        <v>14</v>
      </c>
      <c r="B16" s="173">
        <f t="shared" si="0"/>
        <v>15</v>
      </c>
      <c r="C16" s="174">
        <v>11</v>
      </c>
      <c r="D16" s="173">
        <v>2018</v>
      </c>
      <c r="E16" s="175">
        <f>'FS Jimbaran November 2018'!P26</f>
        <v>25720.000000000029</v>
      </c>
      <c r="F16" s="184">
        <f>'FS Jimbaran November 2018'!O26/'FS Jimbaran November 2018'!P26</f>
        <v>1180.5958973561399</v>
      </c>
      <c r="G16" s="175">
        <f>'FS Jimbaran November 2018'!AB26</f>
        <v>142.46691999999763</v>
      </c>
      <c r="H16" s="184">
        <f>'FS Jimbaran November 2018'!AC26/'FS Jimbaran November 2018'!AB26</f>
        <v>11908.888675350039</v>
      </c>
      <c r="I16" s="175">
        <f>'FS Jimbaran November 2018'!AE26</f>
        <v>769.05000000000109</v>
      </c>
      <c r="J16" s="176">
        <f>'FS Jimbaran November 2018'!AF26/'FS Jimbaran November 2018'!AE26</f>
        <v>11500</v>
      </c>
      <c r="K16" s="175">
        <f>'FS Jimbaran November 2018'!Q26</f>
        <v>555</v>
      </c>
      <c r="L16" s="184">
        <f>'FS Jimbaran November 2018'!V26/'FS Jimbaran November 2018'!Q26</f>
        <v>9589.349837837839</v>
      </c>
      <c r="M16" s="175">
        <f>'FS Jimbaran November 2018'!C26</f>
        <v>34</v>
      </c>
      <c r="N16" s="175">
        <f>'FS Jimbaran November 2018'!D26</f>
        <v>258</v>
      </c>
    </row>
    <row r="17" spans="1:14">
      <c r="A17" s="172" t="s">
        <v>14</v>
      </c>
      <c r="B17" s="173">
        <f t="shared" si="0"/>
        <v>16</v>
      </c>
      <c r="C17" s="174">
        <v>11</v>
      </c>
      <c r="D17" s="173">
        <v>2018</v>
      </c>
      <c r="E17" s="175">
        <f>'FS Jimbaran November 2018'!P27</f>
        <v>24340.000000000033</v>
      </c>
      <c r="F17" s="184">
        <f>'FS Jimbaran November 2018'!O27/'FS Jimbaran November 2018'!P27</f>
        <v>1183.6361055875116</v>
      </c>
      <c r="G17" s="175">
        <f>'FS Jimbaran November 2018'!AB27</f>
        <v>368.74199999999996</v>
      </c>
      <c r="H17" s="184">
        <f>'FS Jimbaran November 2018'!AC27/'FS Jimbaran November 2018'!AB27</f>
        <v>14450.390164396787</v>
      </c>
      <c r="I17" s="175">
        <f>'FS Jimbaran November 2018'!AE27</f>
        <v>754.44999999999891</v>
      </c>
      <c r="J17" s="176">
        <f>'FS Jimbaran November 2018'!AF27/'FS Jimbaran November 2018'!AE27</f>
        <v>11500</v>
      </c>
      <c r="K17" s="175">
        <f>'FS Jimbaran November 2018'!Q27</f>
        <v>728</v>
      </c>
      <c r="L17" s="184">
        <f>'FS Jimbaran November 2018'!V27/'FS Jimbaran November 2018'!Q27</f>
        <v>9287.3778296703294</v>
      </c>
      <c r="M17" s="175">
        <f>'FS Jimbaran November 2018'!C27</f>
        <v>36</v>
      </c>
      <c r="N17" s="175">
        <f>'FS Jimbaran November 2018'!D27</f>
        <v>301</v>
      </c>
    </row>
    <row r="18" spans="1:14">
      <c r="A18" s="172" t="s">
        <v>14</v>
      </c>
      <c r="B18" s="173">
        <f t="shared" si="0"/>
        <v>17</v>
      </c>
      <c r="C18" s="174">
        <v>11</v>
      </c>
      <c r="D18" s="173">
        <v>2018</v>
      </c>
      <c r="E18" s="175">
        <f>'FS Jimbaran November 2018'!P28</f>
        <v>23299.999999999956</v>
      </c>
      <c r="F18" s="184">
        <f>'FS Jimbaran November 2018'!O28/'FS Jimbaran November 2018'!P28</f>
        <v>1184.6567047210322</v>
      </c>
      <c r="G18" s="175">
        <f>'FS Jimbaran November 2018'!AB28</f>
        <v>526.11324000000707</v>
      </c>
      <c r="H18" s="184">
        <f>'FS Jimbaran November 2018'!AC28/'FS Jimbaran November 2018'!AB28</f>
        <v>12775.655521233402</v>
      </c>
      <c r="I18" s="175">
        <f>'FS Jimbaran November 2018'!AE28</f>
        <v>679.68999999999778</v>
      </c>
      <c r="J18" s="176">
        <f>'FS Jimbaran November 2018'!AF28/'FS Jimbaran November 2018'!AE28</f>
        <v>11500</v>
      </c>
      <c r="K18" s="175">
        <f>'FS Jimbaran November 2018'!Q28</f>
        <v>644</v>
      </c>
      <c r="L18" s="184">
        <f>'FS Jimbaran November 2018'!V28/'FS Jimbaran November 2018'!Q28</f>
        <v>9801.017298136645</v>
      </c>
      <c r="M18" s="175">
        <f>'FS Jimbaran November 2018'!C28</f>
        <v>26</v>
      </c>
      <c r="N18" s="175">
        <f>'FS Jimbaran November 2018'!D28</f>
        <v>309</v>
      </c>
    </row>
    <row r="19" spans="1:14">
      <c r="A19" s="172" t="s">
        <v>14</v>
      </c>
      <c r="B19" s="173">
        <f t="shared" si="0"/>
        <v>18</v>
      </c>
      <c r="C19" s="174">
        <v>11</v>
      </c>
      <c r="D19" s="173">
        <v>2018</v>
      </c>
      <c r="E19" s="175">
        <f>'FS Jimbaran November 2018'!P29</f>
        <v>25139.999999999985</v>
      </c>
      <c r="F19" s="184">
        <f>'FS Jimbaran November 2018'!O29/'FS Jimbaran November 2018'!P29</f>
        <v>1181.4442875894947</v>
      </c>
      <c r="G19" s="175">
        <f>'FS Jimbaran November 2018'!AB29</f>
        <v>137.71043999998358</v>
      </c>
      <c r="H19" s="184">
        <f>'FS Jimbaran November 2018'!AC29/'FS Jimbaran November 2018'!AB29</f>
        <v>11880.973595030262</v>
      </c>
      <c r="I19" s="175">
        <f>'FS Jimbaran November 2018'!AE29</f>
        <v>509.59999999999854</v>
      </c>
      <c r="J19" s="176">
        <f>'FS Jimbaran November 2018'!AF29/'FS Jimbaran November 2018'!AE29</f>
        <v>11500</v>
      </c>
      <c r="K19" s="175">
        <f>'FS Jimbaran November 2018'!Q29</f>
        <v>980.69999999999709</v>
      </c>
      <c r="L19" s="184">
        <f>'FS Jimbaran November 2018'!V29/'FS Jimbaran November 2018'!Q29</f>
        <v>8204.673221168563</v>
      </c>
      <c r="M19" s="175">
        <f>'FS Jimbaran November 2018'!C29</f>
        <v>28</v>
      </c>
      <c r="N19" s="175">
        <f>'FS Jimbaran November 2018'!D29</f>
        <v>315</v>
      </c>
    </row>
    <row r="20" spans="1:14">
      <c r="A20" s="172" t="s">
        <v>14</v>
      </c>
      <c r="B20" s="173">
        <f t="shared" si="0"/>
        <v>19</v>
      </c>
      <c r="C20" s="174">
        <v>11</v>
      </c>
      <c r="D20" s="173">
        <v>2018</v>
      </c>
      <c r="E20" s="175">
        <f>'FS Jimbaran November 2018'!P30</f>
        <v>25059.999999999716</v>
      </c>
      <c r="F20" s="184">
        <f>'FS Jimbaran November 2018'!O30/'FS Jimbaran November 2018'!P30</f>
        <v>1186.0838296089439</v>
      </c>
      <c r="G20" s="175">
        <f>'FS Jimbaran November 2018'!AB30</f>
        <v>141.65788000002578</v>
      </c>
      <c r="H20" s="184">
        <f>'FS Jimbaran November 2018'!AC30/'FS Jimbaran November 2018'!AB30</f>
        <v>11882.479095409315</v>
      </c>
      <c r="I20" s="175">
        <f>'FS Jimbaran November 2018'!AE30</f>
        <v>621.90000000000327</v>
      </c>
      <c r="J20" s="176">
        <f>'FS Jimbaran November 2018'!AF30/'FS Jimbaran November 2018'!AE30</f>
        <v>11500</v>
      </c>
      <c r="K20" s="175">
        <f>'FS Jimbaran November 2018'!Q30</f>
        <v>672</v>
      </c>
      <c r="L20" s="184">
        <f>'FS Jimbaran November 2018'!V30/'FS Jimbaran November 2018'!Q30</f>
        <v>9332.8851785714287</v>
      </c>
      <c r="M20" s="175">
        <f>'FS Jimbaran November 2018'!C30</f>
        <v>44</v>
      </c>
      <c r="N20" s="175">
        <f>'FS Jimbaran November 2018'!D30</f>
        <v>309</v>
      </c>
    </row>
    <row r="21" spans="1:14">
      <c r="A21" s="172" t="s">
        <v>14</v>
      </c>
      <c r="B21" s="173">
        <f t="shared" si="0"/>
        <v>20</v>
      </c>
      <c r="C21" s="174">
        <v>11</v>
      </c>
      <c r="D21" s="173">
        <v>2018</v>
      </c>
      <c r="E21" s="175">
        <f>'FS Jimbaran November 2018'!P31</f>
        <v>26220.000000000142</v>
      </c>
      <c r="F21" s="184">
        <f>'FS Jimbaran November 2018'!O31/'FS Jimbaran November 2018'!P31</f>
        <v>1181.7254313501107</v>
      </c>
      <c r="G21" s="175">
        <f>'FS Jimbaran November 2018'!AB31</f>
        <v>142.38980000002343</v>
      </c>
      <c r="H21" s="184">
        <f>'FS Jimbaran November 2018'!AC31/'FS Jimbaran November 2018'!AB31</f>
        <v>11935</v>
      </c>
      <c r="I21" s="175">
        <f>'FS Jimbaran November 2018'!AE31</f>
        <v>579.59999999999764</v>
      </c>
      <c r="J21" s="176">
        <f>'FS Jimbaran November 2018'!AF31/'FS Jimbaran November 2018'!AE31</f>
        <v>11500</v>
      </c>
      <c r="K21" s="175">
        <f>'FS Jimbaran November 2018'!Q31</f>
        <v>615.5</v>
      </c>
      <c r="L21" s="184">
        <f>'FS Jimbaran November 2018'!V31/'FS Jimbaran November 2018'!Q31</f>
        <v>10273.190479285135</v>
      </c>
      <c r="M21" s="175">
        <f>'FS Jimbaran November 2018'!C31</f>
        <v>45</v>
      </c>
      <c r="N21" s="175">
        <f>'FS Jimbaran November 2018'!D31</f>
        <v>394</v>
      </c>
    </row>
    <row r="22" spans="1:14">
      <c r="A22" s="172" t="s">
        <v>14</v>
      </c>
      <c r="B22" s="173">
        <f t="shared" si="0"/>
        <v>21</v>
      </c>
      <c r="C22" s="174">
        <v>11</v>
      </c>
      <c r="D22" s="173">
        <v>2018</v>
      </c>
      <c r="E22" s="175">
        <f>'FS Jimbaran November 2018'!P32</f>
        <v>25399.999999999749</v>
      </c>
      <c r="F22" s="184">
        <f>'FS Jimbaran November 2018'!O32/'FS Jimbaran November 2018'!P32</f>
        <v>1182.6242433070913</v>
      </c>
      <c r="G22" s="175">
        <f>'FS Jimbaran November 2018'!AB32</f>
        <v>143.63503999997184</v>
      </c>
      <c r="H22" s="184">
        <f>'FS Jimbaran November 2018'!AC32/'FS Jimbaran November 2018'!AB32</f>
        <v>11909.101027158827</v>
      </c>
      <c r="I22" s="175">
        <f>'FS Jimbaran November 2018'!AE32</f>
        <v>655.40999999999894</v>
      </c>
      <c r="J22" s="176">
        <f>'FS Jimbaran November 2018'!AF32/'FS Jimbaran November 2018'!AE32</f>
        <v>11500</v>
      </c>
      <c r="K22" s="175">
        <f>'FS Jimbaran November 2018'!Q32</f>
        <v>793.80000000000291</v>
      </c>
      <c r="L22" s="184">
        <f>'FS Jimbaran November 2018'!V32/'FS Jimbaran November 2018'!Q32</f>
        <v>9008.8118568908885</v>
      </c>
      <c r="M22" s="175">
        <f>'FS Jimbaran November 2018'!C32</f>
        <v>49</v>
      </c>
      <c r="N22" s="175">
        <f>'FS Jimbaran November 2018'!D32</f>
        <v>332</v>
      </c>
    </row>
    <row r="23" spans="1:14">
      <c r="A23" s="172" t="s">
        <v>14</v>
      </c>
      <c r="B23" s="173">
        <f t="shared" si="0"/>
        <v>22</v>
      </c>
      <c r="C23" s="174">
        <v>11</v>
      </c>
      <c r="D23" s="173">
        <v>2018</v>
      </c>
      <c r="E23" s="175">
        <f>'FS Jimbaran November 2018'!P33</f>
        <v>25960.000000000149</v>
      </c>
      <c r="F23" s="184">
        <f>'FS Jimbaran November 2018'!O33/'FS Jimbaran November 2018'!P33</f>
        <v>1178.0601032357431</v>
      </c>
      <c r="G23" s="175">
        <f>'FS Jimbaran November 2018'!AB33</f>
        <v>770.5948800000258</v>
      </c>
      <c r="H23" s="184">
        <f>'FS Jimbaran November 2018'!AC33/'FS Jimbaran November 2018'!AB33</f>
        <v>12870.679717986157</v>
      </c>
      <c r="I23" s="175">
        <f>'FS Jimbaran November 2018'!AE33</f>
        <v>764.59000000000196</v>
      </c>
      <c r="J23" s="176">
        <f>'FS Jimbaran November 2018'!AF33/'FS Jimbaran November 2018'!AE33</f>
        <v>11500</v>
      </c>
      <c r="K23" s="175">
        <f>'FS Jimbaran November 2018'!Q33</f>
        <v>667</v>
      </c>
      <c r="L23" s="184">
        <f>'FS Jimbaran November 2018'!V33/'FS Jimbaran November 2018'!Q33</f>
        <v>9307.8731934032985</v>
      </c>
      <c r="M23" s="175">
        <f>'FS Jimbaran November 2018'!C33</f>
        <v>33</v>
      </c>
      <c r="N23" s="175">
        <f>'FS Jimbaran November 2018'!D33</f>
        <v>410</v>
      </c>
    </row>
    <row r="24" spans="1:14">
      <c r="A24" s="172" t="s">
        <v>14</v>
      </c>
      <c r="B24" s="173">
        <f t="shared" si="0"/>
        <v>23</v>
      </c>
      <c r="C24" s="174">
        <v>11</v>
      </c>
      <c r="D24" s="173">
        <v>2018</v>
      </c>
      <c r="E24" s="175">
        <f>'FS Jimbaran November 2018'!P34</f>
        <v>22759.999999999876</v>
      </c>
      <c r="F24" s="184">
        <f>'FS Jimbaran November 2018'!O34/'FS Jimbaran November 2018'!P34</f>
        <v>1183.6152956942035</v>
      </c>
      <c r="G24" s="175">
        <f>'FS Jimbaran November 2018'!AB34</f>
        <v>161.55275999999296</v>
      </c>
      <c r="H24" s="184">
        <f>'FS Jimbaran November 2018'!AC34/'FS Jimbaran November 2018'!AB34</f>
        <v>15904.848611685917</v>
      </c>
      <c r="I24" s="175">
        <f>'FS Jimbaran November 2018'!AE34</f>
        <v>605.79999999999927</v>
      </c>
      <c r="J24" s="176">
        <f>'FS Jimbaran November 2018'!AF34/'FS Jimbaran November 2018'!AE34</f>
        <v>11500</v>
      </c>
      <c r="K24" s="175">
        <f>'FS Jimbaran November 2018'!Q34</f>
        <v>592</v>
      </c>
      <c r="L24" s="184">
        <f>'FS Jimbaran November 2018'!V34/'FS Jimbaran November 2018'!Q34</f>
        <v>10448.922162162162</v>
      </c>
      <c r="M24" s="175">
        <f>'FS Jimbaran November 2018'!C34</f>
        <v>35</v>
      </c>
      <c r="N24" s="175">
        <f>'FS Jimbaran November 2018'!D34</f>
        <v>329</v>
      </c>
    </row>
    <row r="25" spans="1:14">
      <c r="A25" s="172" t="s">
        <v>14</v>
      </c>
      <c r="B25" s="173">
        <f t="shared" si="0"/>
        <v>24</v>
      </c>
      <c r="C25" s="174">
        <v>11</v>
      </c>
      <c r="D25" s="173">
        <v>2018</v>
      </c>
      <c r="E25" s="175">
        <f>'FS Jimbaran November 2018'!P35</f>
        <v>22719.9999999998</v>
      </c>
      <c r="F25" s="184">
        <f>'FS Jimbaran November 2018'!O35/'FS Jimbaran November 2018'!P35</f>
        <v>1181.8696571302839</v>
      </c>
      <c r="G25" s="175">
        <f>'FS Jimbaran November 2018'!AB35</f>
        <v>141.53703999997185</v>
      </c>
      <c r="H25" s="184">
        <f>'FS Jimbaran November 2018'!AC35/'FS Jimbaran November 2018'!AB35</f>
        <v>11882.434254665764</v>
      </c>
      <c r="I25" s="175">
        <f>'FS Jimbaran November 2018'!AE35</f>
        <v>583.90000000000146</v>
      </c>
      <c r="J25" s="176">
        <f>'FS Jimbaran November 2018'!AF35/'FS Jimbaran November 2018'!AE35</f>
        <v>11500</v>
      </c>
      <c r="K25" s="175">
        <f>'FS Jimbaran November 2018'!Q35</f>
        <v>624</v>
      </c>
      <c r="L25" s="184">
        <f>'FS Jimbaran November 2018'!V35/'FS Jimbaran November 2018'!Q35</f>
        <v>9857.736602564104</v>
      </c>
      <c r="M25" s="175">
        <f>'FS Jimbaran November 2018'!C35</f>
        <v>31</v>
      </c>
      <c r="N25" s="175">
        <f>'FS Jimbaran November 2018'!D35</f>
        <v>305</v>
      </c>
    </row>
    <row r="26" spans="1:14">
      <c r="A26" s="172" t="s">
        <v>14</v>
      </c>
      <c r="B26" s="173">
        <f>B25+1</f>
        <v>25</v>
      </c>
      <c r="C26" s="174">
        <v>11</v>
      </c>
      <c r="D26" s="173">
        <v>2018</v>
      </c>
      <c r="E26" s="175">
        <f>'FS Jimbaran November 2018'!P36</f>
        <v>23080.000000000153</v>
      </c>
      <c r="F26" s="184">
        <f>'FS Jimbaran November 2018'!O36/'FS Jimbaran November 2018'!P36</f>
        <v>1178.0426776429786</v>
      </c>
      <c r="G26" s="175">
        <f>'FS Jimbaran November 2018'!AB36</f>
        <v>128.28836000003986</v>
      </c>
      <c r="H26" s="184">
        <f>'FS Jimbaran November 2018'!AC36/'FS Jimbaran November 2018'!AB36</f>
        <v>11906.002825197866</v>
      </c>
      <c r="I26" s="175">
        <f>'FS Jimbaran November 2018'!AE36</f>
        <v>624.59000000000378</v>
      </c>
      <c r="J26" s="176">
        <f>'FS Jimbaran November 2018'!AF36/'FS Jimbaran November 2018'!AE36</f>
        <v>11500</v>
      </c>
      <c r="K26" s="175">
        <f>'FS Jimbaran November 2018'!Q36</f>
        <v>760</v>
      </c>
      <c r="L26" s="184">
        <f>'FS Jimbaran November 2018'!V36/'FS Jimbaran November 2018'!Q36</f>
        <v>9164.7474999999995</v>
      </c>
      <c r="M26" s="175">
        <f>'FS Jimbaran November 2018'!C36</f>
        <v>22</v>
      </c>
      <c r="N26" s="175">
        <f>'FS Jimbaran November 2018'!D36</f>
        <v>273</v>
      </c>
    </row>
    <row r="27" spans="1:14">
      <c r="A27" s="172" t="s">
        <v>14</v>
      </c>
      <c r="B27" s="173">
        <f t="shared" si="0"/>
        <v>26</v>
      </c>
      <c r="C27" s="174">
        <v>11</v>
      </c>
      <c r="D27" s="173">
        <v>2018</v>
      </c>
      <c r="E27" s="175">
        <f>'FS Jimbaran November 2018'!P37</f>
        <v>22420.000000000415</v>
      </c>
      <c r="F27" s="184">
        <f>'FS Jimbaran November 2018'!O37/'FS Jimbaran November 2018'!P37</f>
        <v>1181.1911306868853</v>
      </c>
      <c r="G27" s="175">
        <f>'FS Jimbaran November 2018'!AB37</f>
        <v>123.49503999997185</v>
      </c>
      <c r="H27" s="184">
        <f>'FS Jimbaran November 2018'!AC37/'FS Jimbaran November 2018'!AB37</f>
        <v>11904.877332725258</v>
      </c>
      <c r="I27" s="175">
        <f>'FS Jimbaran November 2018'!AE37</f>
        <v>734.10999999999967</v>
      </c>
      <c r="J27" s="176">
        <f>'FS Jimbaran November 2018'!AF37/'FS Jimbaran November 2018'!AE37</f>
        <v>11500</v>
      </c>
      <c r="K27" s="175">
        <f>'FS Jimbaran November 2018'!Q37</f>
        <v>639</v>
      </c>
      <c r="L27" s="184">
        <f>'FS Jimbaran November 2018'!V37/'FS Jimbaran November 2018'!Q37</f>
        <v>9612.6663536776232</v>
      </c>
      <c r="M27" s="175">
        <f>'FS Jimbaran November 2018'!C37</f>
        <v>26</v>
      </c>
      <c r="N27" s="175">
        <f>'FS Jimbaran November 2018'!D37</f>
        <v>196</v>
      </c>
    </row>
    <row r="28" spans="1:14">
      <c r="A28" s="172" t="s">
        <v>14</v>
      </c>
      <c r="B28" s="173">
        <f t="shared" si="0"/>
        <v>27</v>
      </c>
      <c r="C28" s="174">
        <v>11</v>
      </c>
      <c r="D28" s="173">
        <v>2018</v>
      </c>
      <c r="E28" s="175">
        <f>'FS Jimbaran November 2018'!P38</f>
        <v>23059.999999999603</v>
      </c>
      <c r="F28" s="184">
        <f>'FS Jimbaran November 2018'!O38/'FS Jimbaran November 2018'!P38</f>
        <v>1184.2522805724223</v>
      </c>
      <c r="G28" s="175">
        <f>'FS Jimbaran November 2018'!AB38</f>
        <v>771.12196000002814</v>
      </c>
      <c r="H28" s="184">
        <f>'FS Jimbaran November 2018'!AC38/'FS Jimbaran November 2018'!AB38</f>
        <v>12874.864298508593</v>
      </c>
      <c r="I28" s="175">
        <f>'FS Jimbaran November 2018'!AE38</f>
        <v>446.39999999999782</v>
      </c>
      <c r="J28" s="176">
        <f>'FS Jimbaran November 2018'!AF38/'FS Jimbaran November 2018'!AE38</f>
        <v>11500</v>
      </c>
      <c r="K28" s="175">
        <f>'FS Jimbaran November 2018'!Q38</f>
        <v>662</v>
      </c>
      <c r="L28" s="184">
        <f>'FS Jimbaran November 2018'!V38/'FS Jimbaran November 2018'!Q38</f>
        <v>9562.7316616314201</v>
      </c>
      <c r="M28" s="175">
        <f>'FS Jimbaran November 2018'!C38</f>
        <v>28</v>
      </c>
      <c r="N28" s="175">
        <f>'FS Jimbaran November 2018'!D38</f>
        <v>204</v>
      </c>
    </row>
    <row r="29" spans="1:14">
      <c r="A29" s="172" t="s">
        <v>14</v>
      </c>
      <c r="B29" s="173">
        <f t="shared" si="0"/>
        <v>28</v>
      </c>
      <c r="C29" s="174">
        <v>11</v>
      </c>
      <c r="D29" s="173">
        <v>2018</v>
      </c>
      <c r="E29" s="175">
        <f>'FS Jimbaran November 2018'!P39</f>
        <v>23400.000000000546</v>
      </c>
      <c r="F29" s="184">
        <f>'FS Jimbaran November 2018'!O39/'FS Jimbaran November 2018'!P39</f>
        <v>1176.8054307692321</v>
      </c>
      <c r="G29" s="175">
        <f>'FS Jimbaran November 2018'!AB39</f>
        <v>138.60003999997184</v>
      </c>
      <c r="H29" s="184">
        <f>'FS Jimbaran November 2018'!AC39/'FS Jimbaran November 2018'!AB39</f>
        <v>11908.160180906149</v>
      </c>
      <c r="I29" s="175">
        <f>'FS Jimbaran November 2018'!AE39</f>
        <v>631.38999999999942</v>
      </c>
      <c r="J29" s="176">
        <f>'FS Jimbaran November 2018'!AF39/'FS Jimbaran November 2018'!AE39</f>
        <v>11500</v>
      </c>
      <c r="K29" s="175">
        <f>'FS Jimbaran November 2018'!Q39</f>
        <v>386</v>
      </c>
      <c r="L29" s="184">
        <f>'FS Jimbaran November 2018'!V39/'FS Jimbaran November 2018'!Q39</f>
        <v>4718.4399999999996</v>
      </c>
      <c r="M29" s="175">
        <f>'FS Jimbaran November 2018'!C39</f>
        <v>27</v>
      </c>
      <c r="N29" s="175">
        <f>'FS Jimbaran November 2018'!D39</f>
        <v>243</v>
      </c>
    </row>
    <row r="30" spans="1:14">
      <c r="A30" s="172" t="s">
        <v>14</v>
      </c>
      <c r="B30" s="173">
        <f t="shared" si="0"/>
        <v>29</v>
      </c>
      <c r="C30" s="174">
        <v>11</v>
      </c>
      <c r="D30" s="173">
        <v>2018</v>
      </c>
      <c r="E30" s="175">
        <f>'FS Jimbaran November 2018'!P40</f>
        <v>21479.999999999563</v>
      </c>
      <c r="F30" s="184">
        <f>'FS Jimbaran November 2018'!O40/'FS Jimbaran November 2018'!P40</f>
        <v>1180.2250181564229</v>
      </c>
      <c r="G30" s="175">
        <f>'FS Jimbaran November 2018'!AB40</f>
        <v>128.8925600000164</v>
      </c>
      <c r="H30" s="184">
        <f>'FS Jimbaran November 2018'!AC40/'FS Jimbaran November 2018'!AB40</f>
        <v>16968.494563223179</v>
      </c>
      <c r="I30" s="175">
        <f>'FS Jimbaran November 2018'!AE40</f>
        <v>832.00999999999749</v>
      </c>
      <c r="J30" s="176">
        <f>'FS Jimbaran November 2018'!AF40/'FS Jimbaran November 2018'!AE40</f>
        <v>11500.000000000002</v>
      </c>
      <c r="K30" s="175">
        <f>'FS Jimbaran November 2018'!Q40</f>
        <v>521</v>
      </c>
      <c r="L30" s="184">
        <f>'FS Jimbaran November 2018'!V40/'FS Jimbaran November 2018'!Q40</f>
        <v>11687.685220729367</v>
      </c>
      <c r="M30" s="175">
        <f>'FS Jimbaran November 2018'!C40</f>
        <v>28</v>
      </c>
      <c r="N30" s="175">
        <f>'FS Jimbaran November 2018'!D40</f>
        <v>230</v>
      </c>
    </row>
    <row r="31" spans="1:14">
      <c r="A31" s="172" t="s">
        <v>14</v>
      </c>
      <c r="B31" s="173">
        <f t="shared" si="0"/>
        <v>30</v>
      </c>
      <c r="C31" s="174">
        <v>11</v>
      </c>
      <c r="D31" s="173">
        <v>2018</v>
      </c>
      <c r="E31" s="175">
        <f>'FS Jimbaran November 2018'!P41</f>
        <v>31739.999999999556</v>
      </c>
      <c r="F31" s="184">
        <f>'FS Jimbaran November 2018'!O41/'FS Jimbaran November 2018'!P41</f>
        <v>1153.7003223062372</v>
      </c>
      <c r="G31" s="175">
        <f>'FS Jimbaran November 2018'!AB41</f>
        <v>127.52303999997186</v>
      </c>
      <c r="H31" s="184">
        <f>'FS Jimbaran November 2018'!AC41/'FS Jimbaran November 2018'!AB41</f>
        <v>11905.828800819045</v>
      </c>
      <c r="I31" s="175">
        <f>'FS Jimbaran November 2018'!AE41</f>
        <v>617.20000000000073</v>
      </c>
      <c r="J31" s="176">
        <f>'FS Jimbaran November 2018'!AF41/'FS Jimbaran November 2018'!AE41</f>
        <v>11500</v>
      </c>
      <c r="K31" s="175">
        <f>'FS Jimbaran November 2018'!Q41</f>
        <v>536</v>
      </c>
      <c r="L31" s="184">
        <f>'FS Jimbaran November 2018'!V41/'FS Jimbaran November 2018'!Q41</f>
        <v>11863.50130597015</v>
      </c>
      <c r="M31" s="175">
        <f>'FS Jimbaran November 2018'!C41</f>
        <v>25</v>
      </c>
      <c r="N31" s="175">
        <f>'FS Jimbaran November 2018'!D41</f>
        <v>300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AH56"/>
  <sheetViews>
    <sheetView tabSelected="1" zoomScale="62" zoomScaleNormal="62" workbookViewId="0">
      <pane xSplit="4" ySplit="10" topLeftCell="S34" activePane="bottomRight" state="frozen"/>
      <selection pane="bottomRight" activeCell="AB46" sqref="AB46"/>
      <selection pane="bottomLeft" activeCell="A11" sqref="A11"/>
      <selection pane="topRight" activeCell="E1" sqref="E1"/>
    </sheetView>
  </sheetViews>
  <sheetFormatPr defaultRowHeight="15.75"/>
  <cols>
    <col min="1" max="1" width="3.7109375" style="8" customWidth="1"/>
    <col min="2" max="2" width="8.7109375" style="8" customWidth="1"/>
    <col min="3" max="3" width="12.140625" style="3" customWidth="1"/>
    <col min="4" max="4" width="12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73" bestFit="1" customWidth="1"/>
    <col min="14" max="14" width="20.42578125" style="77" customWidth="1"/>
    <col min="15" max="15" width="18.85546875" customWidth="1"/>
    <col min="16" max="16" width="15.140625" style="77" customWidth="1"/>
    <col min="17" max="17" width="17.42578125" bestFit="1" customWidth="1"/>
    <col min="18" max="19" width="21.140625" bestFit="1" customWidth="1"/>
    <col min="20" max="20" width="19.7109375" bestFit="1" customWidth="1"/>
    <col min="21" max="21" width="21.28515625" bestFit="1" customWidth="1"/>
    <col min="22" max="22" width="16" bestFit="1" customWidth="1"/>
    <col min="23" max="23" width="9.85546875" customWidth="1"/>
    <col min="24" max="24" width="15.85546875" bestFit="1" customWidth="1"/>
    <col min="25" max="25" width="12.85546875" style="3" bestFit="1" customWidth="1"/>
    <col min="26" max="26" width="14.85546875" bestFit="1" customWidth="1"/>
    <col min="27" max="27" width="12.28515625" bestFit="1" customWidth="1"/>
    <col min="28" max="28" width="10.7109375" bestFit="1" customWidth="1"/>
    <col min="29" max="29" width="19" style="3" customWidth="1"/>
    <col min="30" max="30" width="10.5703125" customWidth="1"/>
    <col min="31" max="31" width="13.28515625" style="100" bestFit="1" customWidth="1"/>
    <col min="32" max="32" width="16.42578125" customWidth="1"/>
    <col min="33" max="33" width="9.42578125" style="41" bestFit="1" customWidth="1"/>
    <col min="34" max="34" width="2.28515625" style="8" customWidth="1"/>
  </cols>
  <sheetData>
    <row r="6" spans="1:34" s="30" customFormat="1" ht="18.75">
      <c r="B6" s="30" t="s">
        <v>16</v>
      </c>
      <c r="C6" s="38"/>
      <c r="E6" s="38"/>
      <c r="F6" s="38"/>
      <c r="H6" s="38"/>
      <c r="L6" s="38"/>
      <c r="M6" s="67"/>
      <c r="N6" s="74"/>
      <c r="P6" s="74"/>
      <c r="Y6" s="38"/>
      <c r="AC6" s="38"/>
      <c r="AE6" s="96"/>
      <c r="AG6" s="43"/>
    </row>
    <row r="7" spans="1:34" s="13" customFormat="1">
      <c r="A7" s="34"/>
      <c r="B7" s="195" t="s">
        <v>17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7"/>
      <c r="AH7" s="34"/>
    </row>
    <row r="8" spans="1:34" s="8" customFormat="1" ht="15.75" customHeight="1">
      <c r="A8" s="31"/>
      <c r="B8" s="202" t="s">
        <v>18</v>
      </c>
      <c r="C8" s="205" t="s">
        <v>19</v>
      </c>
      <c r="D8" s="205" t="s">
        <v>13</v>
      </c>
      <c r="E8" s="194" t="s">
        <v>20</v>
      </c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89" t="s">
        <v>21</v>
      </c>
      <c r="R8" s="190"/>
      <c r="S8" s="190"/>
      <c r="T8" s="190"/>
      <c r="U8" s="190"/>
      <c r="V8" s="190"/>
      <c r="W8" s="191"/>
      <c r="X8" s="192" t="s">
        <v>22</v>
      </c>
      <c r="Y8" s="192"/>
      <c r="Z8" s="192"/>
      <c r="AA8" s="192"/>
      <c r="AB8" s="192"/>
      <c r="AC8" s="192"/>
      <c r="AD8" s="192"/>
      <c r="AE8" s="192"/>
      <c r="AF8" s="192"/>
      <c r="AG8" s="193"/>
      <c r="AH8" s="33"/>
    </row>
    <row r="9" spans="1:34" ht="15" customHeight="1">
      <c r="B9" s="203"/>
      <c r="C9" s="206"/>
      <c r="D9" s="206"/>
      <c r="E9" s="210" t="s">
        <v>23</v>
      </c>
      <c r="F9" s="211"/>
      <c r="G9" s="211"/>
      <c r="H9" s="211"/>
      <c r="I9" s="212"/>
      <c r="J9" s="208" t="s">
        <v>24</v>
      </c>
      <c r="K9" s="208"/>
      <c r="L9" s="208"/>
      <c r="M9" s="208"/>
      <c r="N9" s="209"/>
      <c r="O9" s="205" t="s">
        <v>25</v>
      </c>
      <c r="P9" s="198" t="s">
        <v>26</v>
      </c>
      <c r="Q9" s="59"/>
      <c r="R9" s="60" t="s">
        <v>27</v>
      </c>
      <c r="S9" s="60"/>
      <c r="T9" s="61"/>
      <c r="U9" s="91"/>
      <c r="V9" s="200" t="s">
        <v>28</v>
      </c>
      <c r="W9" s="201"/>
      <c r="X9" s="192" t="s">
        <v>29</v>
      </c>
      <c r="Y9" s="192"/>
      <c r="Z9" s="192"/>
      <c r="AA9" s="192"/>
      <c r="AB9" s="192"/>
      <c r="AC9" s="192"/>
      <c r="AD9" s="193"/>
      <c r="AE9" s="153" t="s">
        <v>30</v>
      </c>
      <c r="AF9" s="40"/>
      <c r="AG9" s="44"/>
    </row>
    <row r="10" spans="1:34" ht="61.5" customHeight="1">
      <c r="A10" s="32"/>
      <c r="B10" s="204"/>
      <c r="C10" s="207"/>
      <c r="D10" s="207"/>
      <c r="E10" s="113" t="s">
        <v>31</v>
      </c>
      <c r="F10" s="90" t="s">
        <v>32</v>
      </c>
      <c r="G10" s="148" t="s">
        <v>33</v>
      </c>
      <c r="H10" s="23" t="s">
        <v>32</v>
      </c>
      <c r="I10" s="114" t="s">
        <v>34</v>
      </c>
      <c r="J10" s="113" t="s">
        <v>31</v>
      </c>
      <c r="K10" s="92" t="s">
        <v>32</v>
      </c>
      <c r="L10" s="148" t="s">
        <v>33</v>
      </c>
      <c r="M10" s="68" t="s">
        <v>32</v>
      </c>
      <c r="N10" s="105" t="s">
        <v>35</v>
      </c>
      <c r="O10" s="207"/>
      <c r="P10" s="199"/>
      <c r="Q10" s="63" t="s">
        <v>36</v>
      </c>
      <c r="R10" s="62" t="s">
        <v>37</v>
      </c>
      <c r="S10" s="62" t="s">
        <v>38</v>
      </c>
      <c r="T10" s="27" t="s">
        <v>39</v>
      </c>
      <c r="U10" s="27" t="s">
        <v>40</v>
      </c>
      <c r="V10" s="27" t="s">
        <v>41</v>
      </c>
      <c r="W10" s="15" t="s">
        <v>42</v>
      </c>
      <c r="X10" s="140" t="s">
        <v>43</v>
      </c>
      <c r="Y10" s="54" t="s">
        <v>44</v>
      </c>
      <c r="Z10" s="53" t="s">
        <v>45</v>
      </c>
      <c r="AA10" s="53" t="s">
        <v>46</v>
      </c>
      <c r="AB10" s="53" t="s">
        <v>47</v>
      </c>
      <c r="AC10" s="54" t="s">
        <v>41</v>
      </c>
      <c r="AD10" s="55" t="s">
        <v>42</v>
      </c>
      <c r="AE10" s="154" t="s">
        <v>48</v>
      </c>
      <c r="AF10" s="53" t="s">
        <v>41</v>
      </c>
      <c r="AG10" s="57" t="s">
        <v>42</v>
      </c>
      <c r="AH10" s="32"/>
    </row>
    <row r="11" spans="1:34">
      <c r="A11" s="32"/>
      <c r="B11" s="65"/>
      <c r="C11" s="115"/>
      <c r="D11" s="64" t="s">
        <v>49</v>
      </c>
      <c r="E11" s="102"/>
      <c r="F11" s="102"/>
      <c r="G11" s="24"/>
      <c r="H11" s="25"/>
      <c r="I11" s="116"/>
      <c r="J11" s="104"/>
      <c r="K11" s="24"/>
      <c r="L11" s="25"/>
      <c r="M11" s="69"/>
      <c r="N11" s="107"/>
      <c r="O11" s="64"/>
      <c r="P11" s="129"/>
      <c r="Q11" s="106"/>
      <c r="R11" s="24"/>
      <c r="S11" s="24"/>
      <c r="T11" s="26"/>
      <c r="U11" s="26"/>
      <c r="V11" s="26"/>
      <c r="W11" s="116"/>
      <c r="X11" s="141"/>
      <c r="Y11" s="51"/>
      <c r="Z11" s="48"/>
      <c r="AA11" s="48"/>
      <c r="AB11" s="48"/>
      <c r="AC11" s="51"/>
      <c r="AD11" s="52"/>
      <c r="AE11" s="155"/>
      <c r="AF11" s="48"/>
      <c r="AG11" s="56"/>
      <c r="AH11" s="32"/>
    </row>
    <row r="12" spans="1:34" ht="24" customHeight="1">
      <c r="A12" s="37"/>
      <c r="B12" s="66">
        <v>1</v>
      </c>
      <c r="C12" s="185">
        <v>142</v>
      </c>
      <c r="D12" s="186">
        <v>764</v>
      </c>
      <c r="E12" s="120">
        <v>10239.999999999782</v>
      </c>
      <c r="F12" s="2">
        <v>11136706.559999764</v>
      </c>
      <c r="G12" s="39">
        <v>4519.9999999999818</v>
      </c>
      <c r="H12" s="2">
        <v>7373717.8199999714</v>
      </c>
      <c r="I12" s="117">
        <f>H12+F12</f>
        <v>18510424.379999734</v>
      </c>
      <c r="J12" s="120">
        <v>1119.9999999998909</v>
      </c>
      <c r="K12" s="2">
        <v>1218077.2799998813</v>
      </c>
      <c r="L12" s="2">
        <v>539.99999999996362</v>
      </c>
      <c r="M12" s="70">
        <v>880930.88999994064</v>
      </c>
      <c r="N12" s="108">
        <f t="shared" ref="N12:N41" si="0">M12+K12</f>
        <v>2099008.169999822</v>
      </c>
      <c r="O12" s="127">
        <f>N12+I12</f>
        <v>20609432.549999557</v>
      </c>
      <c r="P12" s="130">
        <f t="shared" ref="P12:P41" si="1">L12+J12+G12+E12</f>
        <v>16419.999999999618</v>
      </c>
      <c r="Q12" s="149">
        <f t="shared" ref="Q12:Q26" si="2">R12+T12</f>
        <v>906</v>
      </c>
      <c r="R12" s="2">
        <v>234</v>
      </c>
      <c r="S12" s="2">
        <v>4205022.12</v>
      </c>
      <c r="T12" s="35">
        <v>672</v>
      </c>
      <c r="U12" s="35">
        <v>3170791.6799999997</v>
      </c>
      <c r="V12" s="35">
        <f t="shared" ref="V12:V26" si="3">U12+S12</f>
        <v>7375813.7999999998</v>
      </c>
      <c r="W12" s="143">
        <f t="shared" ref="W12:W41" si="4">V12/$AG$47</f>
        <v>568.41574002646405</v>
      </c>
      <c r="X12" s="150">
        <v>148.51235999998121</v>
      </c>
      <c r="Y12" s="2">
        <v>250</v>
      </c>
      <c r="Z12" s="2"/>
      <c r="AA12" s="2">
        <v>0</v>
      </c>
      <c r="AB12" s="2">
        <f>SUM(X12:AA12)</f>
        <v>398.51235999998119</v>
      </c>
      <c r="AC12" s="2">
        <v>5034995.0165997762</v>
      </c>
      <c r="AD12" s="49">
        <f>AC12/$AG$47</f>
        <v>388.02096907464238</v>
      </c>
      <c r="AE12" s="156">
        <v>769.68000000000029</v>
      </c>
      <c r="AF12" s="2">
        <v>8851320.0000000037</v>
      </c>
      <c r="AG12" s="45">
        <f t="shared" ref="AG12:AG41" si="5">AF12/$AG$47</f>
        <v>682.12535517247522</v>
      </c>
      <c r="AH12" s="6"/>
    </row>
    <row r="13" spans="1:34">
      <c r="A13" s="37"/>
      <c r="B13" s="66">
        <v>2</v>
      </c>
      <c r="C13" s="185">
        <v>139</v>
      </c>
      <c r="D13" s="186">
        <v>658</v>
      </c>
      <c r="E13" s="120">
        <v>21080.000000000382</v>
      </c>
      <c r="F13" s="2">
        <v>22925954.520000413</v>
      </c>
      <c r="G13" s="39">
        <v>4760.0000000001046</v>
      </c>
      <c r="H13" s="2">
        <v>7765242.6600001715</v>
      </c>
      <c r="I13" s="117">
        <f t="shared" ref="I13:I41" si="6">H13+F13</f>
        <v>30691197.180000585</v>
      </c>
      <c r="J13" s="120">
        <v>2220.0000000002547</v>
      </c>
      <c r="K13" s="2">
        <v>2414403.1800002768</v>
      </c>
      <c r="L13" s="2">
        <v>500</v>
      </c>
      <c r="M13" s="70">
        <v>815676.75</v>
      </c>
      <c r="N13" s="108">
        <f t="shared" si="0"/>
        <v>3230079.9300002768</v>
      </c>
      <c r="O13" s="127">
        <f t="shared" ref="O13:O41" si="7">N13+I13</f>
        <v>33921277.110000864</v>
      </c>
      <c r="P13" s="130">
        <f t="shared" si="1"/>
        <v>28560.000000000742</v>
      </c>
      <c r="Q13" s="149">
        <f t="shared" si="2"/>
        <v>949</v>
      </c>
      <c r="R13" s="2">
        <v>226</v>
      </c>
      <c r="S13" s="2">
        <v>4061260.68</v>
      </c>
      <c r="T13" s="35">
        <v>723</v>
      </c>
      <c r="U13" s="35">
        <v>3411432.1199999996</v>
      </c>
      <c r="V13" s="35">
        <f t="shared" si="3"/>
        <v>7472692.7999999998</v>
      </c>
      <c r="W13" s="143">
        <f t="shared" si="4"/>
        <v>575.88170242345723</v>
      </c>
      <c r="X13" s="150">
        <v>131.75588000002577</v>
      </c>
      <c r="Y13" s="2"/>
      <c r="Z13" s="2">
        <v>400</v>
      </c>
      <c r="AA13" s="2">
        <v>12</v>
      </c>
      <c r="AB13" s="2">
        <f t="shared" ref="AB13:AB41" si="8">SUM(X13:AA13)</f>
        <v>543.75588000002574</v>
      </c>
      <c r="AC13" s="2">
        <v>6932006.4278003071</v>
      </c>
      <c r="AD13" s="49">
        <f t="shared" ref="AD13:AD41" si="9">AC13/$AG$47</f>
        <v>534.21380614655936</v>
      </c>
      <c r="AE13" s="156">
        <v>601.29999999999927</v>
      </c>
      <c r="AF13" s="2">
        <v>6914949.9999999916</v>
      </c>
      <c r="AG13" s="45">
        <f t="shared" si="5"/>
        <v>532.89935566106521</v>
      </c>
      <c r="AH13" s="6"/>
    </row>
    <row r="14" spans="1:34">
      <c r="A14" s="37"/>
      <c r="B14" s="66">
        <v>3</v>
      </c>
      <c r="C14" s="185">
        <v>74</v>
      </c>
      <c r="D14" s="186">
        <v>651</v>
      </c>
      <c r="E14" s="120">
        <v>20959.999999999582</v>
      </c>
      <c r="F14" s="2">
        <v>22795446.239999544</v>
      </c>
      <c r="G14" s="39">
        <v>4519.9999999999818</v>
      </c>
      <c r="H14" s="2">
        <v>7373717.8199999714</v>
      </c>
      <c r="I14" s="117">
        <f t="shared" si="6"/>
        <v>30169164.059999514</v>
      </c>
      <c r="J14" s="120">
        <v>2399.9999999996362</v>
      </c>
      <c r="K14" s="2">
        <v>2610165.5999996047</v>
      </c>
      <c r="L14" s="2">
        <v>460.00000000003638</v>
      </c>
      <c r="M14" s="70">
        <v>750422.61000005936</v>
      </c>
      <c r="N14" s="108">
        <f t="shared" si="0"/>
        <v>3360588.2099996642</v>
      </c>
      <c r="O14" s="127">
        <f t="shared" si="7"/>
        <v>33529752.26999918</v>
      </c>
      <c r="P14" s="130">
        <f t="shared" si="1"/>
        <v>28339.999999999236</v>
      </c>
      <c r="Q14" s="149">
        <f t="shared" si="2"/>
        <v>751.69999999999709</v>
      </c>
      <c r="R14" s="2">
        <v>197</v>
      </c>
      <c r="S14" s="2">
        <v>3540125.46</v>
      </c>
      <c r="T14" s="35">
        <v>554.69999999999709</v>
      </c>
      <c r="U14" s="35">
        <v>2617318.6679999861</v>
      </c>
      <c r="V14" s="35">
        <f t="shared" si="3"/>
        <v>6157444.1279999856</v>
      </c>
      <c r="W14" s="143">
        <f t="shared" si="4"/>
        <v>474.52230433050215</v>
      </c>
      <c r="X14" s="150">
        <v>134.29351999998593</v>
      </c>
      <c r="Y14" s="2"/>
      <c r="Z14" s="2"/>
      <c r="AA14" s="2">
        <v>12</v>
      </c>
      <c r="AB14" s="2">
        <f t="shared" si="8"/>
        <v>146.29351999998593</v>
      </c>
      <c r="AC14" s="2">
        <v>1742293.1611998321</v>
      </c>
      <c r="AD14" s="49">
        <f t="shared" si="9"/>
        <v>134.26950346366525</v>
      </c>
      <c r="AE14" s="156">
        <v>512.47999999999956</v>
      </c>
      <c r="AF14" s="2">
        <v>5893519.9999999953</v>
      </c>
      <c r="AG14" s="45">
        <f t="shared" si="5"/>
        <v>454.18303972922467</v>
      </c>
      <c r="AH14" s="6"/>
    </row>
    <row r="15" spans="1:34">
      <c r="A15" s="37"/>
      <c r="B15" s="66">
        <v>4</v>
      </c>
      <c r="C15" s="185">
        <v>29</v>
      </c>
      <c r="D15" s="186">
        <v>582</v>
      </c>
      <c r="E15" s="120">
        <v>21760.000000000218</v>
      </c>
      <c r="F15" s="2">
        <v>23665501.440000236</v>
      </c>
      <c r="G15" s="39">
        <v>3639.9999999999864</v>
      </c>
      <c r="H15" s="2">
        <v>5938126.7399999788</v>
      </c>
      <c r="I15" s="117">
        <f t="shared" si="6"/>
        <v>29603628.180000216</v>
      </c>
      <c r="J15" s="120">
        <v>1699.9999999998181</v>
      </c>
      <c r="K15" s="2">
        <v>1848867.2999998024</v>
      </c>
      <c r="L15" s="2">
        <v>400.00000000009095</v>
      </c>
      <c r="M15" s="70">
        <v>652541.40000014845</v>
      </c>
      <c r="N15" s="108">
        <f t="shared" si="0"/>
        <v>2501408.6999999508</v>
      </c>
      <c r="O15" s="127">
        <f t="shared" si="7"/>
        <v>32105036.880000167</v>
      </c>
      <c r="P15" s="130">
        <f t="shared" si="1"/>
        <v>27500.000000000113</v>
      </c>
      <c r="Q15" s="149">
        <f t="shared" si="2"/>
        <v>813.40000000000873</v>
      </c>
      <c r="R15" s="2">
        <v>152</v>
      </c>
      <c r="S15" s="2">
        <v>2731467.36</v>
      </c>
      <c r="T15" s="35">
        <v>661.40000000000873</v>
      </c>
      <c r="U15" s="35">
        <v>3120776.216000041</v>
      </c>
      <c r="V15" s="35">
        <f t="shared" si="3"/>
        <v>5852243.5760000404</v>
      </c>
      <c r="W15" s="143">
        <f t="shared" si="4"/>
        <v>451.0020796711521</v>
      </c>
      <c r="X15" s="150">
        <v>0</v>
      </c>
      <c r="Y15" s="2"/>
      <c r="Z15" s="2"/>
      <c r="AA15" s="2">
        <v>12</v>
      </c>
      <c r="AB15" s="2">
        <f t="shared" si="8"/>
        <v>12</v>
      </c>
      <c r="AC15" s="2">
        <v>792000</v>
      </c>
      <c r="AD15" s="49">
        <f t="shared" si="9"/>
        <v>61.035334989199363</v>
      </c>
      <c r="AE15" s="156">
        <v>590.17000000000007</v>
      </c>
      <c r="AF15" s="2">
        <v>6786955.0000000009</v>
      </c>
      <c r="AG15" s="45">
        <f t="shared" si="5"/>
        <v>523.03544442123939</v>
      </c>
      <c r="AH15" s="6"/>
    </row>
    <row r="16" spans="1:34">
      <c r="A16" s="37"/>
      <c r="B16" s="66">
        <v>5</v>
      </c>
      <c r="C16" s="185">
        <v>34</v>
      </c>
      <c r="D16" s="186">
        <v>265</v>
      </c>
      <c r="E16" s="120">
        <v>16800.000000000182</v>
      </c>
      <c r="F16" s="2">
        <v>18271159.200000197</v>
      </c>
      <c r="G16" s="39">
        <v>4319.9999999999363</v>
      </c>
      <c r="H16" s="2">
        <v>7047447.1199998967</v>
      </c>
      <c r="I16" s="117">
        <f t="shared" si="6"/>
        <v>25318606.320000093</v>
      </c>
      <c r="J16" s="120">
        <v>1780.0000000006548</v>
      </c>
      <c r="K16" s="2">
        <v>1935872.8200007121</v>
      </c>
      <c r="L16" s="2">
        <v>459.99999999980901</v>
      </c>
      <c r="M16" s="70">
        <v>750422.60999968858</v>
      </c>
      <c r="N16" s="108">
        <f t="shared" si="0"/>
        <v>2686295.4300004006</v>
      </c>
      <c r="O16" s="127">
        <f t="shared" si="7"/>
        <v>28004901.750000495</v>
      </c>
      <c r="P16" s="130">
        <f t="shared" si="1"/>
        <v>23360.000000000582</v>
      </c>
      <c r="Q16" s="149">
        <f t="shared" si="2"/>
        <v>738</v>
      </c>
      <c r="R16" s="2">
        <v>33</v>
      </c>
      <c r="S16" s="2">
        <v>593015.94000000006</v>
      </c>
      <c r="T16" s="35">
        <v>705</v>
      </c>
      <c r="U16" s="35">
        <v>3326500.1999999997</v>
      </c>
      <c r="V16" s="35">
        <f t="shared" si="3"/>
        <v>3919516.1399999997</v>
      </c>
      <c r="W16" s="143">
        <f t="shared" si="4"/>
        <v>302.05679368746667</v>
      </c>
      <c r="X16" s="150">
        <v>134.9782800000375</v>
      </c>
      <c r="Y16" s="2"/>
      <c r="Z16" s="2"/>
      <c r="AA16" s="2">
        <v>12</v>
      </c>
      <c r="AB16" s="2">
        <f t="shared" si="8"/>
        <v>146.9782800000375</v>
      </c>
      <c r="AC16" s="2">
        <v>1750465.7718004475</v>
      </c>
      <c r="AD16" s="49">
        <f t="shared" si="9"/>
        <v>134.89932420324209</v>
      </c>
      <c r="AE16" s="156">
        <v>600</v>
      </c>
      <c r="AF16" s="2">
        <v>6900000</v>
      </c>
      <c r="AG16" s="45">
        <f t="shared" si="5"/>
        <v>531.74723664832777</v>
      </c>
      <c r="AH16" s="6"/>
    </row>
    <row r="17" spans="1:34">
      <c r="A17" s="37"/>
      <c r="B17" s="66">
        <v>6</v>
      </c>
      <c r="C17" s="185">
        <v>42</v>
      </c>
      <c r="D17" s="186">
        <v>267</v>
      </c>
      <c r="E17" s="120">
        <v>18519.999999999982</v>
      </c>
      <c r="F17" s="2">
        <v>20141777.87999998</v>
      </c>
      <c r="G17" s="39">
        <v>4040.0000000000773</v>
      </c>
      <c r="H17" s="2">
        <v>6590668.1400001263</v>
      </c>
      <c r="I17" s="117">
        <f t="shared" si="6"/>
        <v>26732446.020000108</v>
      </c>
      <c r="J17" s="120">
        <v>1899.9999999996362</v>
      </c>
      <c r="K17" s="2">
        <v>2066381.0999996043</v>
      </c>
      <c r="L17" s="2">
        <v>400.00000000009095</v>
      </c>
      <c r="M17" s="70">
        <v>652541.40000014845</v>
      </c>
      <c r="N17" s="108">
        <f t="shared" si="0"/>
        <v>2718922.4999997527</v>
      </c>
      <c r="O17" s="127">
        <f t="shared" si="7"/>
        <v>29451368.519999862</v>
      </c>
      <c r="P17" s="130">
        <f t="shared" si="1"/>
        <v>24859.999999999785</v>
      </c>
      <c r="Q17" s="149">
        <f t="shared" si="2"/>
        <v>954.89999999999418</v>
      </c>
      <c r="R17" s="2">
        <v>416</v>
      </c>
      <c r="S17" s="2">
        <v>7475594.8799999999</v>
      </c>
      <c r="T17" s="35">
        <v>538.89999999999418</v>
      </c>
      <c r="U17" s="35">
        <v>2542767.3159999722</v>
      </c>
      <c r="V17" s="35">
        <f t="shared" si="3"/>
        <v>10018362.195999973</v>
      </c>
      <c r="W17" s="143">
        <f t="shared" si="4"/>
        <v>772.06324832826931</v>
      </c>
      <c r="X17" s="150">
        <v>118.38291999999764</v>
      </c>
      <c r="Y17" s="2">
        <v>250</v>
      </c>
      <c r="Z17" s="2"/>
      <c r="AA17" s="2">
        <v>12</v>
      </c>
      <c r="AB17" s="2">
        <f t="shared" si="8"/>
        <v>380.38291999999763</v>
      </c>
      <c r="AC17" s="2">
        <v>4814900.1501999721</v>
      </c>
      <c r="AD17" s="49">
        <f t="shared" si="9"/>
        <v>371.05939849368895</v>
      </c>
      <c r="AE17" s="156">
        <v>416.32999999999993</v>
      </c>
      <c r="AF17" s="2">
        <v>4787794.9999999991</v>
      </c>
      <c r="AG17" s="45">
        <f t="shared" si="5"/>
        <v>368.97054505633048</v>
      </c>
      <c r="AH17" s="6"/>
    </row>
    <row r="18" spans="1:34">
      <c r="A18" s="37"/>
      <c r="B18" s="66">
        <v>7</v>
      </c>
      <c r="C18" s="185">
        <v>52</v>
      </c>
      <c r="D18" s="186">
        <v>311</v>
      </c>
      <c r="E18" s="120">
        <v>17879.999999999654</v>
      </c>
      <c r="F18" s="2">
        <v>19445733.719999623</v>
      </c>
      <c r="G18" s="39">
        <v>3839.9999999999181</v>
      </c>
      <c r="H18" s="2">
        <v>6264397.4399998672</v>
      </c>
      <c r="I18" s="117">
        <f t="shared" si="6"/>
        <v>25710131.15999949</v>
      </c>
      <c r="J18" s="120">
        <v>1699.9999999998181</v>
      </c>
      <c r="K18" s="2">
        <v>1848867.2999998024</v>
      </c>
      <c r="L18" s="2">
        <v>619.99999999989086</v>
      </c>
      <c r="M18" s="70">
        <v>1011439.169999822</v>
      </c>
      <c r="N18" s="108">
        <f t="shared" si="0"/>
        <v>2860306.4699996244</v>
      </c>
      <c r="O18" s="127">
        <f t="shared" si="7"/>
        <v>28570437.629999116</v>
      </c>
      <c r="P18" s="130">
        <f t="shared" si="1"/>
        <v>24039.99999999928</v>
      </c>
      <c r="Q18" s="149">
        <f t="shared" si="2"/>
        <v>450</v>
      </c>
      <c r="R18" s="2">
        <v>267</v>
      </c>
      <c r="S18" s="2">
        <v>4798038.0600000005</v>
      </c>
      <c r="T18" s="35">
        <v>183</v>
      </c>
      <c r="U18" s="35">
        <v>863474.5199999999</v>
      </c>
      <c r="V18" s="35">
        <f t="shared" si="3"/>
        <v>5661512.5800000001</v>
      </c>
      <c r="W18" s="143">
        <f t="shared" si="4"/>
        <v>436.30343038619492</v>
      </c>
      <c r="X18" s="150">
        <v>125.9958399999953</v>
      </c>
      <c r="Y18" s="2"/>
      <c r="Z18" s="2">
        <v>400</v>
      </c>
      <c r="AA18" s="2">
        <v>0</v>
      </c>
      <c r="AB18" s="2">
        <f t="shared" si="8"/>
        <v>525.99583999999527</v>
      </c>
      <c r="AC18" s="2">
        <v>6723760.350399944</v>
      </c>
      <c r="AD18" s="49">
        <f t="shared" si="9"/>
        <v>518.1653603204004</v>
      </c>
      <c r="AE18" s="156">
        <v>616.66000000000167</v>
      </c>
      <c r="AF18" s="2">
        <v>7091590.0000000196</v>
      </c>
      <c r="AG18" s="45">
        <f t="shared" si="5"/>
        <v>546.51208491926457</v>
      </c>
      <c r="AH18" s="6"/>
    </row>
    <row r="19" spans="1:34">
      <c r="A19" s="37"/>
      <c r="B19" s="66">
        <v>8</v>
      </c>
      <c r="C19" s="185">
        <v>54</v>
      </c>
      <c r="D19" s="186">
        <v>351</v>
      </c>
      <c r="E19" s="120">
        <v>19480.000000000018</v>
      </c>
      <c r="F19" s="2">
        <v>21185844.12000002</v>
      </c>
      <c r="G19" s="39">
        <v>4040.0000000000773</v>
      </c>
      <c r="H19" s="2">
        <v>6590668.1400001263</v>
      </c>
      <c r="I19" s="117">
        <f t="shared" si="6"/>
        <v>27776512.260000147</v>
      </c>
      <c r="J19" s="120">
        <v>1880.0000000001091</v>
      </c>
      <c r="K19" s="2">
        <v>2044629.7200001187</v>
      </c>
      <c r="L19" s="2">
        <v>320.00000000016371</v>
      </c>
      <c r="M19" s="70">
        <v>522033.12000026711</v>
      </c>
      <c r="N19" s="108">
        <f t="shared" si="0"/>
        <v>2566662.8400003859</v>
      </c>
      <c r="O19" s="127">
        <f t="shared" si="7"/>
        <v>30343175.100000534</v>
      </c>
      <c r="P19" s="130">
        <f t="shared" si="1"/>
        <v>25720.000000000367</v>
      </c>
      <c r="Q19" s="149">
        <f t="shared" si="2"/>
        <v>706</v>
      </c>
      <c r="R19" s="2">
        <v>264</v>
      </c>
      <c r="S19" s="2">
        <v>4744127.5200000005</v>
      </c>
      <c r="T19" s="35">
        <v>442</v>
      </c>
      <c r="U19" s="35">
        <v>2085550.4799999997</v>
      </c>
      <c r="V19" s="35">
        <f t="shared" si="3"/>
        <v>6829678</v>
      </c>
      <c r="W19" s="143">
        <f t="shared" si="4"/>
        <v>526.32788459389542</v>
      </c>
      <c r="X19" s="150">
        <v>127.32508000000233</v>
      </c>
      <c r="Y19" s="2"/>
      <c r="Z19" s="2"/>
      <c r="AA19" s="2">
        <v>48</v>
      </c>
      <c r="AB19" s="2">
        <f t="shared" si="8"/>
        <v>175.32508000000234</v>
      </c>
      <c r="AC19" s="2">
        <v>2077624.8298000279</v>
      </c>
      <c r="AD19" s="49">
        <f t="shared" si="9"/>
        <v>160.11177710697351</v>
      </c>
      <c r="AE19" s="156">
        <v>767.40999999999985</v>
      </c>
      <c r="AF19" s="2">
        <v>8825214.9999999981</v>
      </c>
      <c r="AG19" s="45">
        <f t="shared" si="5"/>
        <v>680.11357812715528</v>
      </c>
      <c r="AH19" s="6"/>
    </row>
    <row r="20" spans="1:34">
      <c r="A20" s="37"/>
      <c r="B20" s="66">
        <v>9</v>
      </c>
      <c r="C20" s="185">
        <v>42</v>
      </c>
      <c r="D20" s="186">
        <v>385</v>
      </c>
      <c r="E20" s="120">
        <v>18519.999999999982</v>
      </c>
      <c r="F20" s="2">
        <v>20141777.87999998</v>
      </c>
      <c r="G20" s="39">
        <v>3799.9999999999545</v>
      </c>
      <c r="H20" s="2">
        <v>6199143.2999999262</v>
      </c>
      <c r="I20" s="117">
        <f t="shared" si="6"/>
        <v>26340921.179999907</v>
      </c>
      <c r="J20" s="120">
        <v>1900.0000000005457</v>
      </c>
      <c r="K20" s="2">
        <v>2066381.1000005933</v>
      </c>
      <c r="L20" s="2">
        <v>460.00000000003638</v>
      </c>
      <c r="M20" s="70">
        <v>750422.61000005936</v>
      </c>
      <c r="N20" s="108">
        <f t="shared" si="0"/>
        <v>2816803.7100006528</v>
      </c>
      <c r="O20" s="127">
        <f t="shared" si="7"/>
        <v>29157724.890000559</v>
      </c>
      <c r="P20" s="130">
        <f t="shared" si="1"/>
        <v>24680.000000000517</v>
      </c>
      <c r="Q20" s="149">
        <f t="shared" si="2"/>
        <v>750</v>
      </c>
      <c r="R20" s="2">
        <v>283</v>
      </c>
      <c r="S20" s="2">
        <v>5085560.9400000004</v>
      </c>
      <c r="T20" s="35">
        <v>467</v>
      </c>
      <c r="U20" s="35">
        <v>2203511.48</v>
      </c>
      <c r="V20" s="35">
        <f t="shared" si="3"/>
        <v>7289072.4199999999</v>
      </c>
      <c r="W20" s="143">
        <f t="shared" si="4"/>
        <v>561.73103145862888</v>
      </c>
      <c r="X20" s="150">
        <v>121.44419999997655</v>
      </c>
      <c r="Y20" s="2"/>
      <c r="Z20" s="2"/>
      <c r="AA20" s="2">
        <v>12</v>
      </c>
      <c r="AB20" s="2">
        <f t="shared" si="8"/>
        <v>133.44419999997655</v>
      </c>
      <c r="AC20" s="2">
        <v>1588936.5269997201</v>
      </c>
      <c r="AD20" s="49">
        <f t="shared" si="9"/>
        <v>122.45110252778149</v>
      </c>
      <c r="AE20" s="156">
        <v>558.75</v>
      </c>
      <c r="AF20" s="2">
        <v>6425625</v>
      </c>
      <c r="AG20" s="45">
        <f t="shared" si="5"/>
        <v>495.1896141287553</v>
      </c>
      <c r="AH20" s="6"/>
    </row>
    <row r="21" spans="1:34">
      <c r="A21" s="37"/>
      <c r="B21" s="66">
        <v>10</v>
      </c>
      <c r="C21" s="185">
        <v>29</v>
      </c>
      <c r="D21" s="186">
        <v>308</v>
      </c>
      <c r="E21" s="120">
        <v>17920.000000000073</v>
      </c>
      <c r="F21" s="2">
        <v>19489236.480000082</v>
      </c>
      <c r="G21" s="39">
        <v>3759.9999999999909</v>
      </c>
      <c r="H21" s="2">
        <v>6133889.1599999862</v>
      </c>
      <c r="I21" s="117">
        <f t="shared" si="6"/>
        <v>25623125.640000068</v>
      </c>
      <c r="J21" s="120">
        <v>1899.9999999996362</v>
      </c>
      <c r="K21" s="2">
        <v>2066381.0999996043</v>
      </c>
      <c r="L21" s="2">
        <v>459.99999999980901</v>
      </c>
      <c r="M21" s="70">
        <v>750422.60999968858</v>
      </c>
      <c r="N21" s="108">
        <f t="shared" si="0"/>
        <v>2816803.7099992931</v>
      </c>
      <c r="O21" s="127">
        <f t="shared" si="7"/>
        <v>28439929.349999361</v>
      </c>
      <c r="P21" s="130">
        <f t="shared" si="1"/>
        <v>24039.999999999509</v>
      </c>
      <c r="Q21" s="149">
        <f t="shared" si="2"/>
        <v>807</v>
      </c>
      <c r="R21" s="2">
        <v>304</v>
      </c>
      <c r="S21" s="2">
        <v>5462934.7199999997</v>
      </c>
      <c r="T21" s="35">
        <v>503</v>
      </c>
      <c r="U21" s="35">
        <v>2373375.3199999998</v>
      </c>
      <c r="V21" s="35">
        <f t="shared" si="3"/>
        <v>7836310.0399999991</v>
      </c>
      <c r="W21" s="143">
        <f t="shared" si="4"/>
        <v>603.90379844776044</v>
      </c>
      <c r="X21" s="150">
        <v>115.36191999999764</v>
      </c>
      <c r="Y21" s="2"/>
      <c r="Z21" s="2"/>
      <c r="AA21" s="2">
        <v>0</v>
      </c>
      <c r="AB21" s="2">
        <f t="shared" si="8"/>
        <v>115.36191999999764</v>
      </c>
      <c r="AC21" s="2">
        <v>2029344.5151999719</v>
      </c>
      <c r="AD21" s="49">
        <f t="shared" si="9"/>
        <v>156.39106350217762</v>
      </c>
      <c r="AE21" s="156">
        <v>576.70000000000073</v>
      </c>
      <c r="AF21" s="2">
        <v>6632050.0000000084</v>
      </c>
      <c r="AG21" s="45">
        <f t="shared" si="5"/>
        <v>511.09771895848507</v>
      </c>
      <c r="AH21" s="6"/>
    </row>
    <row r="22" spans="1:34">
      <c r="A22" s="37"/>
      <c r="B22" s="66">
        <v>11</v>
      </c>
      <c r="C22" s="185">
        <v>35</v>
      </c>
      <c r="D22" s="186">
        <v>241</v>
      </c>
      <c r="E22" s="120">
        <v>18360.000000000127</v>
      </c>
      <c r="F22" s="2">
        <v>19967766.840000138</v>
      </c>
      <c r="G22" s="39">
        <v>3879.9999999999955</v>
      </c>
      <c r="H22" s="2">
        <v>6329651.5799999926</v>
      </c>
      <c r="I22" s="117">
        <f t="shared" si="6"/>
        <v>26297418.420000128</v>
      </c>
      <c r="J22" s="120">
        <v>1939.9999999995998</v>
      </c>
      <c r="K22" s="2">
        <v>2109883.8599995649</v>
      </c>
      <c r="L22" s="2">
        <v>440.00000000005457</v>
      </c>
      <c r="M22" s="70">
        <v>717795.54000008909</v>
      </c>
      <c r="N22" s="108">
        <f t="shared" si="0"/>
        <v>2827679.3999996539</v>
      </c>
      <c r="O22" s="127">
        <f t="shared" si="7"/>
        <v>29125097.819999784</v>
      </c>
      <c r="P22" s="130">
        <f t="shared" si="1"/>
        <v>24619.999999999778</v>
      </c>
      <c r="Q22" s="149">
        <f t="shared" si="2"/>
        <v>659</v>
      </c>
      <c r="R22" s="2">
        <v>206</v>
      </c>
      <c r="S22" s="2">
        <v>3701857.08</v>
      </c>
      <c r="T22" s="35">
        <v>453</v>
      </c>
      <c r="U22" s="35">
        <v>2137453.3199999998</v>
      </c>
      <c r="V22" s="35">
        <f t="shared" si="3"/>
        <v>5839310.4000000004</v>
      </c>
      <c r="W22" s="143">
        <f t="shared" si="4"/>
        <v>450.0053868307017</v>
      </c>
      <c r="X22" s="150">
        <v>111.85756000001641</v>
      </c>
      <c r="Y22" s="2">
        <v>250</v>
      </c>
      <c r="Z22" s="2"/>
      <c r="AA22" s="2">
        <v>0</v>
      </c>
      <c r="AB22" s="2">
        <f t="shared" si="8"/>
        <v>361.85756000001641</v>
      </c>
      <c r="AC22" s="2">
        <v>4597519.9786001956</v>
      </c>
      <c r="AD22" s="49">
        <f t="shared" si="9"/>
        <v>354.30703537045406</v>
      </c>
      <c r="AE22" s="156">
        <v>466.39999999999964</v>
      </c>
      <c r="AF22" s="2">
        <v>5363599.9999999963</v>
      </c>
      <c r="AG22" s="45">
        <f t="shared" si="5"/>
        <v>413.34485195463321</v>
      </c>
      <c r="AH22" s="6"/>
    </row>
    <row r="23" spans="1:34">
      <c r="A23" s="37"/>
      <c r="B23" s="66">
        <v>12</v>
      </c>
      <c r="C23" s="185">
        <v>35</v>
      </c>
      <c r="D23" s="186">
        <v>260</v>
      </c>
      <c r="E23" s="120">
        <v>18800.000000000182</v>
      </c>
      <c r="F23" s="2">
        <v>20446297.200000197</v>
      </c>
      <c r="G23" s="39">
        <v>3960.0000000000364</v>
      </c>
      <c r="H23" s="2">
        <v>6460159.8600000599</v>
      </c>
      <c r="I23" s="117">
        <f t="shared" si="6"/>
        <v>26906457.060000256</v>
      </c>
      <c r="J23" s="121">
        <v>2100.0000000003638</v>
      </c>
      <c r="K23" s="2">
        <v>2283894.9000003957</v>
      </c>
      <c r="L23" s="2">
        <v>460.00000000003638</v>
      </c>
      <c r="M23" s="70">
        <v>750422.61000005936</v>
      </c>
      <c r="N23" s="108">
        <f t="shared" si="0"/>
        <v>3034317.5100004552</v>
      </c>
      <c r="O23" s="127">
        <f t="shared" si="7"/>
        <v>29940774.570000712</v>
      </c>
      <c r="P23" s="130">
        <f t="shared" si="1"/>
        <v>25320.000000000618</v>
      </c>
      <c r="Q23" s="149">
        <f t="shared" si="2"/>
        <v>827</v>
      </c>
      <c r="R23" s="2">
        <v>266</v>
      </c>
      <c r="S23" s="2">
        <v>4780067.88</v>
      </c>
      <c r="T23" s="35">
        <v>561</v>
      </c>
      <c r="U23" s="35">
        <v>2647044.84</v>
      </c>
      <c r="V23" s="35">
        <f t="shared" si="3"/>
        <v>7427112.7199999997</v>
      </c>
      <c r="W23" s="143">
        <f t="shared" si="4"/>
        <v>572.36908190371673</v>
      </c>
      <c r="X23" s="150">
        <v>117.33564000001874</v>
      </c>
      <c r="Y23" s="2"/>
      <c r="Z23" s="2">
        <v>400</v>
      </c>
      <c r="AA23" s="2">
        <v>12</v>
      </c>
      <c r="AB23" s="2">
        <f t="shared" si="8"/>
        <v>529.33564000001877</v>
      </c>
      <c r="AC23" s="2">
        <v>6759900.8634002237</v>
      </c>
      <c r="AD23" s="49">
        <f t="shared" si="9"/>
        <v>520.95052233763977</v>
      </c>
      <c r="AE23" s="156">
        <v>511.75</v>
      </c>
      <c r="AF23" s="2">
        <v>5885125</v>
      </c>
      <c r="AG23" s="45">
        <f t="shared" si="5"/>
        <v>453.53608059130295</v>
      </c>
      <c r="AH23" s="6"/>
    </row>
    <row r="24" spans="1:34">
      <c r="A24" s="37"/>
      <c r="B24" s="66">
        <v>13</v>
      </c>
      <c r="C24" s="185">
        <v>32</v>
      </c>
      <c r="D24" s="186">
        <v>426</v>
      </c>
      <c r="E24" s="120">
        <v>16639.999999999873</v>
      </c>
      <c r="F24" s="2">
        <v>18097148.159999862</v>
      </c>
      <c r="G24" s="39">
        <v>3840.0000000000318</v>
      </c>
      <c r="H24" s="2">
        <v>6264397.4400000526</v>
      </c>
      <c r="I24" s="117">
        <f t="shared" si="6"/>
        <v>24361545.599999916</v>
      </c>
      <c r="J24" s="120">
        <v>1940.0000000005093</v>
      </c>
      <c r="K24" s="2">
        <v>2109883.860000554</v>
      </c>
      <c r="L24" s="2">
        <v>460.00000000003638</v>
      </c>
      <c r="M24" s="70">
        <v>750422.61000005936</v>
      </c>
      <c r="N24" s="108">
        <f t="shared" si="0"/>
        <v>2860306.4700006135</v>
      </c>
      <c r="O24" s="127">
        <f t="shared" si="7"/>
        <v>27221852.070000529</v>
      </c>
      <c r="P24" s="130">
        <f t="shared" si="1"/>
        <v>22880.000000000451</v>
      </c>
      <c r="Q24" s="149">
        <f t="shared" si="2"/>
        <v>632</v>
      </c>
      <c r="R24" s="2">
        <v>290</v>
      </c>
      <c r="S24" s="2">
        <v>5211352.2</v>
      </c>
      <c r="T24" s="35">
        <v>342</v>
      </c>
      <c r="U24" s="35">
        <v>1613706.4799999997</v>
      </c>
      <c r="V24" s="35">
        <f t="shared" si="3"/>
        <v>6825058.6799999997</v>
      </c>
      <c r="W24" s="143">
        <f t="shared" si="4"/>
        <v>525.97189754386716</v>
      </c>
      <c r="X24" s="150">
        <v>124.98883999999529</v>
      </c>
      <c r="Y24" s="2"/>
      <c r="Z24" s="2"/>
      <c r="AA24" s="2">
        <v>36</v>
      </c>
      <c r="AB24" s="2">
        <f t="shared" si="8"/>
        <v>160.98883999999529</v>
      </c>
      <c r="AC24" s="2">
        <v>1910241.8053999438</v>
      </c>
      <c r="AD24" s="49">
        <f t="shared" si="9"/>
        <v>147.21243497848303</v>
      </c>
      <c r="AE24" s="156">
        <v>3138.8500000000013</v>
      </c>
      <c r="AF24" s="2">
        <v>36096775.000000015</v>
      </c>
      <c r="AG24" s="45">
        <f t="shared" si="5"/>
        <v>2781.7913562560075</v>
      </c>
      <c r="AH24" s="6"/>
    </row>
    <row r="25" spans="1:34">
      <c r="A25" s="37"/>
      <c r="B25" s="66">
        <v>14</v>
      </c>
      <c r="C25" s="185">
        <v>29</v>
      </c>
      <c r="D25" s="186">
        <v>317</v>
      </c>
      <c r="E25" s="120">
        <v>18880.000000000109</v>
      </c>
      <c r="F25" s="2">
        <v>20533302.720000122</v>
      </c>
      <c r="G25" s="39">
        <v>3959.9999999999227</v>
      </c>
      <c r="H25" s="2">
        <v>6460159.8599998746</v>
      </c>
      <c r="I25" s="117">
        <f t="shared" si="6"/>
        <v>26993462.579999998</v>
      </c>
      <c r="J25" s="120">
        <v>1899.9999999996362</v>
      </c>
      <c r="K25" s="2">
        <v>2066381.0999996043</v>
      </c>
      <c r="L25" s="2">
        <v>460.00000000003638</v>
      </c>
      <c r="M25" s="70">
        <v>750422.61000005936</v>
      </c>
      <c r="N25" s="108">
        <f t="shared" si="0"/>
        <v>2816803.7099996638</v>
      </c>
      <c r="O25" s="127">
        <f t="shared" si="7"/>
        <v>29810266.289999664</v>
      </c>
      <c r="P25" s="130">
        <f t="shared" si="1"/>
        <v>25199.999999999705</v>
      </c>
      <c r="Q25" s="149">
        <f t="shared" si="2"/>
        <v>654</v>
      </c>
      <c r="R25" s="2">
        <v>250</v>
      </c>
      <c r="S25" s="2">
        <v>4492545</v>
      </c>
      <c r="T25" s="35">
        <v>404</v>
      </c>
      <c r="U25" s="35">
        <v>1906249.7599999998</v>
      </c>
      <c r="V25" s="35">
        <f t="shared" si="3"/>
        <v>6398794.7599999998</v>
      </c>
      <c r="W25" s="143">
        <f t="shared" si="4"/>
        <v>493.12194659562317</v>
      </c>
      <c r="X25" s="150">
        <v>124.82771999996247</v>
      </c>
      <c r="Y25" s="2"/>
      <c r="Z25" s="2"/>
      <c r="AA25" s="2">
        <v>0</v>
      </c>
      <c r="AB25" s="2">
        <f t="shared" si="8"/>
        <v>124.82771999996247</v>
      </c>
      <c r="AC25" s="2">
        <v>1489818.8381995521</v>
      </c>
      <c r="AD25" s="49">
        <f t="shared" si="9"/>
        <v>114.81261598829479</v>
      </c>
      <c r="AE25" s="156">
        <v>708.90999999999894</v>
      </c>
      <c r="AF25" s="2">
        <v>8152464.9999999879</v>
      </c>
      <c r="AG25" s="45">
        <f t="shared" si="5"/>
        <v>628.26822255394245</v>
      </c>
      <c r="AH25" s="6"/>
    </row>
    <row r="26" spans="1:34">
      <c r="A26" s="37"/>
      <c r="B26" s="66">
        <v>15</v>
      </c>
      <c r="C26" s="185">
        <v>34</v>
      </c>
      <c r="D26" s="186">
        <v>258</v>
      </c>
      <c r="E26" s="163">
        <v>19559.999999999945</v>
      </c>
      <c r="F26" s="2">
        <v>21272849.639999937</v>
      </c>
      <c r="G26" s="39">
        <v>3960.0000000000364</v>
      </c>
      <c r="H26" s="2">
        <v>6460159.8600000599</v>
      </c>
      <c r="I26" s="117">
        <f t="shared" si="6"/>
        <v>27733009.499999996</v>
      </c>
      <c r="J26" s="120">
        <v>1760.0000000002183</v>
      </c>
      <c r="K26" s="2">
        <v>1914121.4400002374</v>
      </c>
      <c r="L26" s="2">
        <v>439.9999999998272</v>
      </c>
      <c r="M26" s="70">
        <v>717795.5399997182</v>
      </c>
      <c r="N26" s="108">
        <f t="shared" si="0"/>
        <v>2631916.9799999557</v>
      </c>
      <c r="O26" s="127">
        <f t="shared" si="7"/>
        <v>30364926.479999952</v>
      </c>
      <c r="P26" s="130">
        <f t="shared" si="1"/>
        <v>25720.000000000029</v>
      </c>
      <c r="Q26" s="149">
        <f t="shared" si="2"/>
        <v>555</v>
      </c>
      <c r="R26" s="2">
        <v>204</v>
      </c>
      <c r="S26" s="2">
        <v>3665916.72</v>
      </c>
      <c r="T26" s="35">
        <v>351</v>
      </c>
      <c r="U26" s="35">
        <v>1656172.44</v>
      </c>
      <c r="V26" s="35">
        <f t="shared" si="3"/>
        <v>5322089.16</v>
      </c>
      <c r="W26" s="143">
        <f t="shared" si="4"/>
        <v>410.14582667043771</v>
      </c>
      <c r="X26" s="150">
        <v>130.46691999999763</v>
      </c>
      <c r="Y26" s="2"/>
      <c r="Z26" s="2"/>
      <c r="AA26" s="2">
        <v>12</v>
      </c>
      <c r="AB26" s="2">
        <f t="shared" si="8"/>
        <v>142.46691999999763</v>
      </c>
      <c r="AC26" s="2">
        <v>1696622.6901999717</v>
      </c>
      <c r="AD26" s="49">
        <f t="shared" si="9"/>
        <v>130.74991697807056</v>
      </c>
      <c r="AE26" s="156">
        <v>769.05000000000109</v>
      </c>
      <c r="AF26" s="2">
        <v>8844075.000000013</v>
      </c>
      <c r="AG26" s="45">
        <f t="shared" si="5"/>
        <v>681.56702057399514</v>
      </c>
      <c r="AH26" s="6"/>
    </row>
    <row r="27" spans="1:34">
      <c r="A27" s="37"/>
      <c r="B27" s="66">
        <v>16</v>
      </c>
      <c r="C27" s="185">
        <v>36</v>
      </c>
      <c r="D27" s="186">
        <v>301</v>
      </c>
      <c r="E27" s="120">
        <v>18199.999999999818</v>
      </c>
      <c r="F27" s="2">
        <v>19793755.7999998</v>
      </c>
      <c r="G27" s="39">
        <v>3840.0000000000318</v>
      </c>
      <c r="H27" s="2">
        <v>6264397.4400000526</v>
      </c>
      <c r="I27" s="117">
        <f t="shared" si="6"/>
        <v>26058153.239999853</v>
      </c>
      <c r="J27" s="120">
        <v>1840.0000000001455</v>
      </c>
      <c r="K27" s="2">
        <v>2001126.9600001583</v>
      </c>
      <c r="L27" s="2">
        <v>460.00000000003638</v>
      </c>
      <c r="M27" s="70">
        <v>750422.61000005936</v>
      </c>
      <c r="N27" s="108">
        <f t="shared" si="0"/>
        <v>2751549.5700002178</v>
      </c>
      <c r="O27" s="127">
        <f t="shared" si="7"/>
        <v>28809702.810000069</v>
      </c>
      <c r="P27" s="130">
        <f t="shared" si="1"/>
        <v>24340.000000000033</v>
      </c>
      <c r="Q27" s="149">
        <f t="shared" ref="Q27:Q41" si="10">R27+T27</f>
        <v>728</v>
      </c>
      <c r="R27" s="2">
        <v>251</v>
      </c>
      <c r="S27" s="2">
        <v>4510515.18</v>
      </c>
      <c r="T27" s="35">
        <v>477</v>
      </c>
      <c r="U27" s="35">
        <v>2250695.88</v>
      </c>
      <c r="V27" s="35">
        <f t="shared" ref="V27:V41" si="11">U27+S27</f>
        <v>6761211.0599999996</v>
      </c>
      <c r="W27" s="143">
        <f t="shared" si="4"/>
        <v>521.05149239871173</v>
      </c>
      <c r="X27" s="150">
        <v>106.74199999999999</v>
      </c>
      <c r="Y27" s="2">
        <v>250</v>
      </c>
      <c r="Z27" s="2"/>
      <c r="AA27" s="2">
        <v>12</v>
      </c>
      <c r="AB27" s="2">
        <f t="shared" si="8"/>
        <v>368.74199999999996</v>
      </c>
      <c r="AC27" s="2">
        <v>5328465.7699999996</v>
      </c>
      <c r="AD27" s="49">
        <f t="shared" si="9"/>
        <v>410.63723895256578</v>
      </c>
      <c r="AE27" s="156">
        <v>754.44999999999891</v>
      </c>
      <c r="AF27" s="2">
        <v>8676174.999999987</v>
      </c>
      <c r="AG27" s="45">
        <f t="shared" si="5"/>
        <v>668.62783781555049</v>
      </c>
      <c r="AH27" s="6"/>
    </row>
    <row r="28" spans="1:34">
      <c r="A28" s="37"/>
      <c r="B28" s="66">
        <v>17</v>
      </c>
      <c r="C28" s="185">
        <v>26</v>
      </c>
      <c r="D28" s="186">
        <v>309</v>
      </c>
      <c r="E28" s="120">
        <v>17360.000000000127</v>
      </c>
      <c r="F28" s="2">
        <v>18880197.840000138</v>
      </c>
      <c r="G28" s="39">
        <v>3759.9999999999909</v>
      </c>
      <c r="H28" s="2">
        <v>6133889.1599999862</v>
      </c>
      <c r="I28" s="117">
        <f t="shared" si="6"/>
        <v>25014087.000000123</v>
      </c>
      <c r="J28" s="120">
        <v>1779.9999999997453</v>
      </c>
      <c r="K28" s="2">
        <v>1935872.819999723</v>
      </c>
      <c r="L28" s="2">
        <v>400.00000000009095</v>
      </c>
      <c r="M28" s="70">
        <v>652541.40000014845</v>
      </c>
      <c r="N28" s="108">
        <f t="shared" si="0"/>
        <v>2588414.2199998712</v>
      </c>
      <c r="O28" s="127">
        <f t="shared" si="7"/>
        <v>27602501.219999995</v>
      </c>
      <c r="P28" s="130">
        <f t="shared" si="1"/>
        <v>23299.999999999956</v>
      </c>
      <c r="Q28" s="149">
        <f t="shared" si="10"/>
        <v>644</v>
      </c>
      <c r="R28" s="2">
        <v>247</v>
      </c>
      <c r="S28" s="2">
        <v>4438634.46</v>
      </c>
      <c r="T28" s="35">
        <v>397</v>
      </c>
      <c r="U28" s="35">
        <v>1873220.68</v>
      </c>
      <c r="V28" s="35">
        <f t="shared" si="11"/>
        <v>6311855.1399999997</v>
      </c>
      <c r="W28" s="143">
        <f t="shared" si="4"/>
        <v>486.42196069848467</v>
      </c>
      <c r="X28" s="150">
        <v>114.11324000000702</v>
      </c>
      <c r="Y28" s="2"/>
      <c r="Z28" s="2">
        <v>400</v>
      </c>
      <c r="AA28" s="2">
        <v>12</v>
      </c>
      <c r="AB28" s="2">
        <f t="shared" si="8"/>
        <v>526.11324000000707</v>
      </c>
      <c r="AC28" s="2">
        <v>6721441.5194000844</v>
      </c>
      <c r="AD28" s="49">
        <f t="shared" si="9"/>
        <v>517.98666003396124</v>
      </c>
      <c r="AE28" s="156">
        <v>679.68999999999778</v>
      </c>
      <c r="AF28" s="2">
        <v>7816434.9999999749</v>
      </c>
      <c r="AG28" s="45">
        <f t="shared" si="5"/>
        <v>602.37213212916788</v>
      </c>
      <c r="AH28" s="6"/>
    </row>
    <row r="29" spans="1:34">
      <c r="A29" s="37"/>
      <c r="B29" s="66">
        <v>18</v>
      </c>
      <c r="C29" s="185">
        <v>28</v>
      </c>
      <c r="D29" s="186">
        <v>315</v>
      </c>
      <c r="E29" s="120">
        <v>18960.000000000036</v>
      </c>
      <c r="F29" s="2">
        <v>20620308.240000039</v>
      </c>
      <c r="G29" s="39">
        <v>3959.9999999999227</v>
      </c>
      <c r="H29" s="2">
        <v>6460159.8599998746</v>
      </c>
      <c r="I29" s="117">
        <f t="shared" si="6"/>
        <v>27080468.099999912</v>
      </c>
      <c r="J29" s="120">
        <v>1840.0000000001455</v>
      </c>
      <c r="K29" s="2">
        <v>2001126.9600001583</v>
      </c>
      <c r="L29" s="2">
        <v>379.99999999988177</v>
      </c>
      <c r="M29" s="70">
        <v>619914.32999980706</v>
      </c>
      <c r="N29" s="108">
        <f t="shared" si="0"/>
        <v>2621041.2899999656</v>
      </c>
      <c r="O29" s="127">
        <f t="shared" si="7"/>
        <v>29701509.389999878</v>
      </c>
      <c r="P29" s="130">
        <f t="shared" si="1"/>
        <v>25139.999999999985</v>
      </c>
      <c r="Q29" s="149">
        <f t="shared" si="10"/>
        <v>980.69999999999709</v>
      </c>
      <c r="R29" s="2">
        <v>258</v>
      </c>
      <c r="S29" s="2">
        <v>4636306.4400000004</v>
      </c>
      <c r="T29" s="35">
        <v>722.69999999999709</v>
      </c>
      <c r="U29" s="35">
        <v>3410016.587999986</v>
      </c>
      <c r="V29" s="35">
        <f t="shared" si="11"/>
        <v>8046323.027999986</v>
      </c>
      <c r="W29" s="143">
        <f t="shared" si="4"/>
        <v>620.08841091576778</v>
      </c>
      <c r="X29" s="150">
        <v>113.71043999998358</v>
      </c>
      <c r="Y29" s="2"/>
      <c r="Z29" s="2"/>
      <c r="AA29" s="2">
        <v>24</v>
      </c>
      <c r="AB29" s="2">
        <f t="shared" si="8"/>
        <v>137.71043999998358</v>
      </c>
      <c r="AC29" s="2">
        <v>1636134.101399804</v>
      </c>
      <c r="AD29" s="49">
        <f t="shared" si="9"/>
        <v>126.08837495731025</v>
      </c>
      <c r="AE29" s="156">
        <v>509.59999999999854</v>
      </c>
      <c r="AF29" s="2">
        <v>5860399.9999999832</v>
      </c>
      <c r="AG29" s="45">
        <f t="shared" si="5"/>
        <v>451.6306529933118</v>
      </c>
      <c r="AH29" s="6"/>
    </row>
    <row r="30" spans="1:34">
      <c r="A30" s="37"/>
      <c r="B30" s="66">
        <v>19</v>
      </c>
      <c r="C30" s="185">
        <v>44</v>
      </c>
      <c r="D30" s="186">
        <v>309</v>
      </c>
      <c r="E30" s="120">
        <v>19159.999999999854</v>
      </c>
      <c r="F30" s="2">
        <v>20837822.039999843</v>
      </c>
      <c r="G30" s="39">
        <v>4200.0000000000455</v>
      </c>
      <c r="H30" s="2">
        <v>6851684.7000000747</v>
      </c>
      <c r="I30" s="117">
        <f t="shared" si="6"/>
        <v>27689506.739999916</v>
      </c>
      <c r="J30" s="120">
        <v>1359.9999999996726</v>
      </c>
      <c r="K30" s="2">
        <v>1479093.8399996439</v>
      </c>
      <c r="L30" s="2">
        <v>340.00000000014552</v>
      </c>
      <c r="M30" s="70">
        <v>554660.19000023743</v>
      </c>
      <c r="N30" s="108">
        <f t="shared" si="0"/>
        <v>2033754.0299998813</v>
      </c>
      <c r="O30" s="127">
        <f t="shared" si="7"/>
        <v>29723260.769999798</v>
      </c>
      <c r="P30" s="130">
        <f t="shared" si="1"/>
        <v>25059.999999999716</v>
      </c>
      <c r="Q30" s="149">
        <f t="shared" si="10"/>
        <v>672</v>
      </c>
      <c r="R30" s="2">
        <v>234</v>
      </c>
      <c r="S30" s="2">
        <v>4205022.12</v>
      </c>
      <c r="T30" s="2">
        <v>438</v>
      </c>
      <c r="U30" s="35">
        <v>2066676.7199999997</v>
      </c>
      <c r="V30" s="35">
        <f t="shared" si="11"/>
        <v>6271698.8399999999</v>
      </c>
      <c r="W30" s="143">
        <f t="shared" si="4"/>
        <v>483.32732279138014</v>
      </c>
      <c r="X30" s="150">
        <v>117.65788000002578</v>
      </c>
      <c r="Y30" s="2"/>
      <c r="Z30" s="2"/>
      <c r="AA30" s="2">
        <v>24</v>
      </c>
      <c r="AB30" s="2">
        <f t="shared" si="8"/>
        <v>141.65788000002578</v>
      </c>
      <c r="AC30" s="2">
        <v>1683246.7978003076</v>
      </c>
      <c r="AD30" s="49">
        <f t="shared" si="9"/>
        <v>129.71910627934204</v>
      </c>
      <c r="AE30" s="156">
        <v>621.90000000000327</v>
      </c>
      <c r="AF30" s="2">
        <v>7151850.0000000373</v>
      </c>
      <c r="AG30" s="45">
        <f t="shared" si="5"/>
        <v>551.15601078599468</v>
      </c>
      <c r="AH30" s="6"/>
    </row>
    <row r="31" spans="1:34">
      <c r="A31" s="37"/>
      <c r="B31" s="66">
        <v>20</v>
      </c>
      <c r="C31" s="185">
        <v>45</v>
      </c>
      <c r="D31" s="186">
        <v>394</v>
      </c>
      <c r="E31" s="120">
        <v>19960.000000000036</v>
      </c>
      <c r="F31" s="2">
        <v>21707877.240000039</v>
      </c>
      <c r="G31" s="39">
        <v>4159.9999999999682</v>
      </c>
      <c r="H31" s="2">
        <v>6786430.5599999484</v>
      </c>
      <c r="I31" s="117">
        <f t="shared" si="6"/>
        <v>28494307.79999999</v>
      </c>
      <c r="J31" s="120">
        <v>1720.0000000002547</v>
      </c>
      <c r="K31" s="2">
        <v>1870618.680000277</v>
      </c>
      <c r="L31" s="2">
        <v>379.99999999988177</v>
      </c>
      <c r="M31" s="70">
        <v>619914.32999980706</v>
      </c>
      <c r="N31" s="108">
        <f t="shared" si="0"/>
        <v>2490533.0100000841</v>
      </c>
      <c r="O31" s="127">
        <f t="shared" si="7"/>
        <v>30984840.810000073</v>
      </c>
      <c r="P31" s="130">
        <f t="shared" si="1"/>
        <v>26220.000000000142</v>
      </c>
      <c r="Q31" s="149">
        <f t="shared" si="10"/>
        <v>615.5</v>
      </c>
      <c r="R31" s="2">
        <v>258</v>
      </c>
      <c r="S31" s="2">
        <v>4636306.4400000004</v>
      </c>
      <c r="T31" s="2">
        <v>357.5</v>
      </c>
      <c r="U31" s="35">
        <v>1686842.2999999998</v>
      </c>
      <c r="V31" s="35">
        <f t="shared" si="11"/>
        <v>6323148.7400000002</v>
      </c>
      <c r="W31" s="143">
        <f t="shared" si="4"/>
        <v>487.29229991468924</v>
      </c>
      <c r="X31" s="150">
        <v>142.38980000002343</v>
      </c>
      <c r="Y31" s="2"/>
      <c r="Z31" s="2"/>
      <c r="AA31" s="2">
        <v>0</v>
      </c>
      <c r="AB31" s="2">
        <f t="shared" si="8"/>
        <v>142.38980000002343</v>
      </c>
      <c r="AC31" s="2">
        <v>1699422.2630002797</v>
      </c>
      <c r="AD31" s="49">
        <f t="shared" si="9"/>
        <v>130.96566554334007</v>
      </c>
      <c r="AE31" s="156">
        <v>579.59999999999764</v>
      </c>
      <c r="AF31" s="2">
        <v>6665399.999999973</v>
      </c>
      <c r="AG31" s="45">
        <f t="shared" si="5"/>
        <v>513.66783060228261</v>
      </c>
      <c r="AH31" s="6"/>
    </row>
    <row r="32" spans="1:34">
      <c r="A32" s="37"/>
      <c r="B32" s="66">
        <v>21</v>
      </c>
      <c r="C32" s="185">
        <v>49</v>
      </c>
      <c r="D32" s="186">
        <v>332</v>
      </c>
      <c r="E32" s="120">
        <v>19440.000000000055</v>
      </c>
      <c r="F32" s="2">
        <v>21142341.360000059</v>
      </c>
      <c r="G32" s="39">
        <v>4080.0000000000409</v>
      </c>
      <c r="H32" s="2">
        <v>6655922.2800000673</v>
      </c>
      <c r="I32" s="117">
        <f t="shared" si="6"/>
        <v>27798263.640000127</v>
      </c>
      <c r="J32" s="120">
        <v>1519.9999999995271</v>
      </c>
      <c r="K32" s="2">
        <v>1653104.8799994856</v>
      </c>
      <c r="L32" s="2">
        <v>360.00000000012733</v>
      </c>
      <c r="M32" s="70">
        <v>587287.26000020781</v>
      </c>
      <c r="N32" s="108">
        <f t="shared" si="0"/>
        <v>2240392.1399996933</v>
      </c>
      <c r="O32" s="127">
        <f t="shared" si="7"/>
        <v>30038655.779999822</v>
      </c>
      <c r="P32" s="130">
        <f t="shared" si="1"/>
        <v>25399.999999999749</v>
      </c>
      <c r="Q32" s="149">
        <f t="shared" si="10"/>
        <v>793.80000000000291</v>
      </c>
      <c r="R32" s="2">
        <v>257</v>
      </c>
      <c r="S32" s="2">
        <v>4618336.26</v>
      </c>
      <c r="T32" s="2">
        <v>536.80000000000291</v>
      </c>
      <c r="U32" s="35">
        <v>2532858.5920000137</v>
      </c>
      <c r="V32" s="35">
        <f t="shared" si="11"/>
        <v>7151194.852000013</v>
      </c>
      <c r="W32" s="143">
        <f t="shared" si="4"/>
        <v>551.10552192532668</v>
      </c>
      <c r="X32" s="150">
        <v>131.63503999997184</v>
      </c>
      <c r="Y32" s="2"/>
      <c r="Z32" s="2"/>
      <c r="AA32" s="2">
        <v>12</v>
      </c>
      <c r="AB32" s="2">
        <f t="shared" si="8"/>
        <v>143.63503999997184</v>
      </c>
      <c r="AC32" s="2">
        <v>1710564.2023996639</v>
      </c>
      <c r="AD32" s="49">
        <f t="shared" si="9"/>
        <v>131.82431706312639</v>
      </c>
      <c r="AE32" s="156">
        <v>655.40999999999894</v>
      </c>
      <c r="AF32" s="2">
        <v>7537214.9999999879</v>
      </c>
      <c r="AG32" s="45">
        <f t="shared" si="5"/>
        <v>580.85409395279999</v>
      </c>
      <c r="AH32" s="6"/>
    </row>
    <row r="33" spans="1:34">
      <c r="A33" s="37"/>
      <c r="B33" s="66">
        <v>22</v>
      </c>
      <c r="C33" s="185">
        <v>33</v>
      </c>
      <c r="D33" s="186">
        <v>410</v>
      </c>
      <c r="E33" s="120">
        <v>20039.999999999964</v>
      </c>
      <c r="F33" s="2">
        <v>21794882.759999961</v>
      </c>
      <c r="G33" s="39">
        <v>3879.9999999999955</v>
      </c>
      <c r="H33" s="2">
        <v>6329651.5799999926</v>
      </c>
      <c r="I33" s="117">
        <f t="shared" si="6"/>
        <v>28124534.339999951</v>
      </c>
      <c r="J33" s="120">
        <v>1600.0000000003638</v>
      </c>
      <c r="K33" s="2">
        <v>1740110.4000003957</v>
      </c>
      <c r="L33" s="2">
        <v>439.9999999998272</v>
      </c>
      <c r="M33" s="70">
        <v>717795.5399997182</v>
      </c>
      <c r="N33" s="108">
        <f t="shared" si="0"/>
        <v>2457905.940000114</v>
      </c>
      <c r="O33" s="127">
        <f t="shared" si="7"/>
        <v>30582440.280000065</v>
      </c>
      <c r="P33" s="130">
        <f t="shared" si="1"/>
        <v>25960.000000000149</v>
      </c>
      <c r="Q33" s="149">
        <f t="shared" si="10"/>
        <v>667</v>
      </c>
      <c r="R33" s="2">
        <v>231</v>
      </c>
      <c r="S33" s="2">
        <v>4151111.58</v>
      </c>
      <c r="T33" s="2">
        <v>436</v>
      </c>
      <c r="U33" s="35">
        <v>2057239.8399999999</v>
      </c>
      <c r="V33" s="35">
        <f t="shared" si="11"/>
        <v>6208351.4199999999</v>
      </c>
      <c r="W33" s="143">
        <f t="shared" si="4"/>
        <v>478.44546546764087</v>
      </c>
      <c r="X33" s="150">
        <v>108.59488000002578</v>
      </c>
      <c r="Y33" s="2">
        <v>250</v>
      </c>
      <c r="Z33" s="2">
        <v>400</v>
      </c>
      <c r="AA33" s="2">
        <v>12</v>
      </c>
      <c r="AB33" s="2">
        <f t="shared" si="8"/>
        <v>770.5948800000258</v>
      </c>
      <c r="AC33" s="2">
        <v>9918079.8928003088</v>
      </c>
      <c r="AD33" s="49">
        <f t="shared" si="9"/>
        <v>764.33501099331988</v>
      </c>
      <c r="AE33" s="156">
        <v>764.59000000000196</v>
      </c>
      <c r="AF33" s="2">
        <v>8792785.0000000224</v>
      </c>
      <c r="AG33" s="45">
        <f t="shared" si="5"/>
        <v>677.61436611491001</v>
      </c>
      <c r="AH33" s="6"/>
    </row>
    <row r="34" spans="1:34">
      <c r="A34" s="37"/>
      <c r="B34" s="66">
        <v>23</v>
      </c>
      <c r="C34" s="185">
        <v>35</v>
      </c>
      <c r="D34" s="186">
        <v>329</v>
      </c>
      <c r="E34" s="120">
        <v>16920.000000000073</v>
      </c>
      <c r="F34" s="2">
        <v>18401667.480000082</v>
      </c>
      <c r="G34" s="39">
        <v>3639.9999999999864</v>
      </c>
      <c r="H34" s="2">
        <v>5938126.7399999788</v>
      </c>
      <c r="I34" s="117">
        <f t="shared" si="6"/>
        <v>24339794.220000062</v>
      </c>
      <c r="J34" s="120">
        <v>1819.999999999709</v>
      </c>
      <c r="K34" s="2">
        <v>1979375.5799996837</v>
      </c>
      <c r="L34" s="2">
        <v>380.00000000010914</v>
      </c>
      <c r="M34" s="70">
        <v>619914.33000017807</v>
      </c>
      <c r="N34" s="108">
        <f t="shared" si="0"/>
        <v>2599289.9099998618</v>
      </c>
      <c r="O34" s="127">
        <f t="shared" si="7"/>
        <v>26939084.129999924</v>
      </c>
      <c r="P34" s="130">
        <f t="shared" si="1"/>
        <v>22759.999999999876</v>
      </c>
      <c r="Q34" s="149">
        <f t="shared" si="10"/>
        <v>592</v>
      </c>
      <c r="R34" s="2">
        <v>256</v>
      </c>
      <c r="S34" s="2">
        <v>4600366.08</v>
      </c>
      <c r="T34" s="2">
        <v>336</v>
      </c>
      <c r="U34" s="35">
        <v>1585395.8399999999</v>
      </c>
      <c r="V34" s="35">
        <f t="shared" si="11"/>
        <v>6185761.9199999999</v>
      </c>
      <c r="W34" s="143">
        <f t="shared" si="4"/>
        <v>476.70460978615284</v>
      </c>
      <c r="X34" s="150">
        <v>125.55275999999296</v>
      </c>
      <c r="Y34" s="2"/>
      <c r="Z34" s="2"/>
      <c r="AA34" s="2">
        <v>36</v>
      </c>
      <c r="AB34" s="2">
        <f t="shared" si="8"/>
        <v>161.55275999999296</v>
      </c>
      <c r="AC34" s="2">
        <v>2569472.190599916</v>
      </c>
      <c r="AD34" s="49">
        <f t="shared" si="9"/>
        <v>198.01590391249721</v>
      </c>
      <c r="AE34" s="156">
        <v>605.79999999999927</v>
      </c>
      <c r="AF34" s="2">
        <v>6966699.9999999916</v>
      </c>
      <c r="AG34" s="45">
        <f t="shared" si="5"/>
        <v>536.88745993592761</v>
      </c>
      <c r="AH34" s="6"/>
    </row>
    <row r="35" spans="1:34">
      <c r="A35" s="37"/>
      <c r="B35" s="66">
        <v>24</v>
      </c>
      <c r="C35" s="185">
        <v>31</v>
      </c>
      <c r="D35" s="186">
        <v>305</v>
      </c>
      <c r="E35" s="120">
        <v>17119.999999999891</v>
      </c>
      <c r="F35" s="2">
        <v>18619181.279999882</v>
      </c>
      <c r="G35" s="39">
        <v>3519.9999999999818</v>
      </c>
      <c r="H35" s="2">
        <v>5742364.3199999714</v>
      </c>
      <c r="I35" s="117">
        <f t="shared" si="6"/>
        <v>24361545.599999852</v>
      </c>
      <c r="J35" s="120">
        <v>1659.9999999998545</v>
      </c>
      <c r="K35" s="2">
        <v>1805364.5399998417</v>
      </c>
      <c r="L35" s="2">
        <v>420.00000000007276</v>
      </c>
      <c r="M35" s="70">
        <v>685168.47000011872</v>
      </c>
      <c r="N35" s="108">
        <f t="shared" si="0"/>
        <v>2490533.0099999607</v>
      </c>
      <c r="O35" s="127">
        <f t="shared" si="7"/>
        <v>26852078.609999813</v>
      </c>
      <c r="P35" s="130">
        <f t="shared" si="1"/>
        <v>22719.9999999998</v>
      </c>
      <c r="Q35" s="149">
        <f t="shared" si="10"/>
        <v>624</v>
      </c>
      <c r="R35" s="2">
        <v>242</v>
      </c>
      <c r="S35" s="2">
        <v>4348783.5600000005</v>
      </c>
      <c r="T35" s="2">
        <v>382</v>
      </c>
      <c r="U35" s="35">
        <v>1802444.0799999998</v>
      </c>
      <c r="V35" s="35">
        <f t="shared" si="11"/>
        <v>6151227.6400000006</v>
      </c>
      <c r="W35" s="143">
        <f t="shared" si="4"/>
        <v>474.04323182098773</v>
      </c>
      <c r="X35" s="150">
        <v>117.53703999997185</v>
      </c>
      <c r="Y35" s="2"/>
      <c r="Z35" s="2"/>
      <c r="AA35" s="2">
        <v>24</v>
      </c>
      <c r="AB35" s="2">
        <f t="shared" si="8"/>
        <v>141.53703999997185</v>
      </c>
      <c r="AC35" s="2">
        <v>1681804.572399664</v>
      </c>
      <c r="AD35" s="49">
        <f t="shared" si="9"/>
        <v>129.60796144290489</v>
      </c>
      <c r="AE35" s="156">
        <v>583.90000000000146</v>
      </c>
      <c r="AF35" s="2">
        <v>6714850.0000000168</v>
      </c>
      <c r="AG35" s="45">
        <f t="shared" si="5"/>
        <v>517.47868579826559</v>
      </c>
      <c r="AH35" s="6"/>
    </row>
    <row r="36" spans="1:34">
      <c r="A36" s="37"/>
      <c r="B36" s="66">
        <v>25</v>
      </c>
      <c r="C36" s="185">
        <v>22</v>
      </c>
      <c r="D36" s="186">
        <v>273</v>
      </c>
      <c r="E36" s="120">
        <v>17440.000000000055</v>
      </c>
      <c r="F36" s="2">
        <v>18967203.360000059</v>
      </c>
      <c r="G36" s="39">
        <v>3480.0000000000182</v>
      </c>
      <c r="H36" s="2">
        <v>5677110.1800000304</v>
      </c>
      <c r="I36" s="117">
        <f t="shared" si="6"/>
        <v>24644313.540000089</v>
      </c>
      <c r="J36" s="120">
        <v>1800.0000000001819</v>
      </c>
      <c r="K36" s="2">
        <v>1957624.2000001979</v>
      </c>
      <c r="L36" s="2">
        <v>359.99999999989996</v>
      </c>
      <c r="M36" s="70">
        <v>587287.2599998368</v>
      </c>
      <c r="N36" s="108">
        <f t="shared" si="0"/>
        <v>2544911.4600000344</v>
      </c>
      <c r="O36" s="127">
        <f t="shared" si="7"/>
        <v>27189225.000000123</v>
      </c>
      <c r="P36" s="130">
        <f t="shared" si="1"/>
        <v>23080.000000000153</v>
      </c>
      <c r="Q36" s="149">
        <f t="shared" si="10"/>
        <v>760</v>
      </c>
      <c r="R36" s="2">
        <v>255</v>
      </c>
      <c r="S36" s="2">
        <v>4582395.9000000004</v>
      </c>
      <c r="T36" s="2">
        <v>505</v>
      </c>
      <c r="U36" s="35">
        <v>2382812.1999999997</v>
      </c>
      <c r="V36" s="35">
        <f t="shared" si="11"/>
        <v>6965208.0999999996</v>
      </c>
      <c r="W36" s="143">
        <f t="shared" si="4"/>
        <v>536.77248693558693</v>
      </c>
      <c r="X36" s="150">
        <v>116.28836000003984</v>
      </c>
      <c r="Y36" s="2"/>
      <c r="Z36" s="2"/>
      <c r="AA36" s="2">
        <v>12</v>
      </c>
      <c r="AB36" s="2">
        <f t="shared" si="8"/>
        <v>128.28836000003986</v>
      </c>
      <c r="AC36" s="2">
        <v>1527401.5766004755</v>
      </c>
      <c r="AD36" s="49">
        <f t="shared" si="9"/>
        <v>117.7089228419713</v>
      </c>
      <c r="AE36" s="156">
        <v>624.59000000000378</v>
      </c>
      <c r="AF36" s="2">
        <v>7182785.0000000438</v>
      </c>
      <c r="AG36" s="45">
        <f t="shared" si="5"/>
        <v>553.54001089696851</v>
      </c>
      <c r="AH36" s="6"/>
    </row>
    <row r="37" spans="1:34">
      <c r="A37" s="37"/>
      <c r="B37" s="66">
        <v>26</v>
      </c>
      <c r="C37" s="185">
        <v>26</v>
      </c>
      <c r="D37" s="186">
        <v>196</v>
      </c>
      <c r="E37" s="120">
        <v>17079.999999999927</v>
      </c>
      <c r="F37" s="2">
        <v>18575678.519999921</v>
      </c>
      <c r="G37" s="39">
        <v>3600.0000000000227</v>
      </c>
      <c r="H37" s="2">
        <v>5872872.6000000378</v>
      </c>
      <c r="I37" s="117">
        <f t="shared" si="6"/>
        <v>24448551.11999996</v>
      </c>
      <c r="J37" s="120">
        <v>1480.0000000004729</v>
      </c>
      <c r="K37" s="2">
        <v>1609602.1200005144</v>
      </c>
      <c r="L37" s="2">
        <v>259.99999999999091</v>
      </c>
      <c r="M37" s="70">
        <v>424151.90999998519</v>
      </c>
      <c r="N37" s="108">
        <f t="shared" si="0"/>
        <v>2033754.0300004997</v>
      </c>
      <c r="O37" s="127">
        <f t="shared" si="7"/>
        <v>26482305.15000046</v>
      </c>
      <c r="P37" s="130">
        <f t="shared" si="1"/>
        <v>22420.000000000415</v>
      </c>
      <c r="Q37" s="149">
        <f t="shared" si="10"/>
        <v>639</v>
      </c>
      <c r="R37" s="2">
        <v>236</v>
      </c>
      <c r="S37" s="2">
        <v>4240962.4800000004</v>
      </c>
      <c r="T37" s="2">
        <v>403</v>
      </c>
      <c r="U37" s="35">
        <v>1901531.3199999998</v>
      </c>
      <c r="V37" s="35">
        <f t="shared" si="11"/>
        <v>6142493.8000000007</v>
      </c>
      <c r="W37" s="143">
        <f t="shared" si="4"/>
        <v>473.37016004050531</v>
      </c>
      <c r="X37" s="150">
        <v>111.49503999997185</v>
      </c>
      <c r="Y37" s="2"/>
      <c r="Z37" s="2"/>
      <c r="AA37" s="2">
        <v>12</v>
      </c>
      <c r="AB37" s="2">
        <f t="shared" si="8"/>
        <v>123.49503999997185</v>
      </c>
      <c r="AC37" s="2">
        <v>1470193.302399664</v>
      </c>
      <c r="AD37" s="49">
        <f t="shared" si="9"/>
        <v>113.30017766520299</v>
      </c>
      <c r="AE37" s="156">
        <v>734.10999999999967</v>
      </c>
      <c r="AF37" s="2">
        <v>8442264.9999999963</v>
      </c>
      <c r="AG37" s="45">
        <f t="shared" si="5"/>
        <v>650.60160649317288</v>
      </c>
      <c r="AH37" s="6"/>
    </row>
    <row r="38" spans="1:34">
      <c r="A38" s="37"/>
      <c r="B38" s="66">
        <v>27</v>
      </c>
      <c r="C38" s="185">
        <v>28</v>
      </c>
      <c r="D38" s="186">
        <v>204</v>
      </c>
      <c r="E38" s="120">
        <v>17280.0000000002</v>
      </c>
      <c r="F38" s="2">
        <v>18793192.32000022</v>
      </c>
      <c r="G38" s="39">
        <v>3600.0000000000227</v>
      </c>
      <c r="H38" s="2">
        <v>5872872.6000000378</v>
      </c>
      <c r="I38" s="117">
        <f t="shared" si="6"/>
        <v>24666064.920000259</v>
      </c>
      <c r="J38" s="120">
        <v>1679.9999999993815</v>
      </c>
      <c r="K38" s="2">
        <v>1827115.9199993275</v>
      </c>
      <c r="L38" s="2">
        <v>500</v>
      </c>
      <c r="M38" s="70">
        <v>815676.75</v>
      </c>
      <c r="N38" s="108">
        <f t="shared" si="0"/>
        <v>2642792.6699993275</v>
      </c>
      <c r="O38" s="127">
        <f t="shared" si="7"/>
        <v>27308857.589999586</v>
      </c>
      <c r="P38" s="130">
        <f t="shared" si="1"/>
        <v>23059.999999999603</v>
      </c>
      <c r="Q38" s="149">
        <f t="shared" si="10"/>
        <v>662</v>
      </c>
      <c r="R38" s="2">
        <v>242</v>
      </c>
      <c r="S38" s="2">
        <v>4348783.5600000005</v>
      </c>
      <c r="T38" s="2">
        <v>420</v>
      </c>
      <c r="U38" s="35">
        <v>1981744.7999999998</v>
      </c>
      <c r="V38" s="35">
        <f t="shared" si="11"/>
        <v>6330528.3600000003</v>
      </c>
      <c r="W38" s="143">
        <f t="shared" si="4"/>
        <v>487.86100897882181</v>
      </c>
      <c r="X38" s="150">
        <v>121.12196000002812</v>
      </c>
      <c r="Y38" s="2">
        <v>250</v>
      </c>
      <c r="Z38" s="2">
        <v>400</v>
      </c>
      <c r="AA38" s="2">
        <v>0</v>
      </c>
      <c r="AB38" s="2">
        <f t="shared" si="8"/>
        <v>771.12196000002814</v>
      </c>
      <c r="AC38" s="2">
        <v>9928090.5926003344</v>
      </c>
      <c r="AD38" s="49">
        <f t="shared" si="9"/>
        <v>765.10648374050538</v>
      </c>
      <c r="AE38" s="156">
        <v>446.39999999999782</v>
      </c>
      <c r="AF38" s="2">
        <v>5133599.9999999749</v>
      </c>
      <c r="AG38" s="45">
        <f t="shared" si="5"/>
        <v>395.61994406635392</v>
      </c>
      <c r="AH38" s="6"/>
    </row>
    <row r="39" spans="1:34">
      <c r="A39" s="37"/>
      <c r="B39" s="66">
        <v>28</v>
      </c>
      <c r="C39" s="185">
        <v>27</v>
      </c>
      <c r="D39" s="186">
        <v>243</v>
      </c>
      <c r="E39" s="120">
        <v>18000</v>
      </c>
      <c r="F39" s="2">
        <v>19576242</v>
      </c>
      <c r="G39" s="39">
        <v>3480.0000000000182</v>
      </c>
      <c r="H39" s="2">
        <v>5677110.1800000304</v>
      </c>
      <c r="I39" s="117">
        <f t="shared" si="6"/>
        <v>25253352.18000003</v>
      </c>
      <c r="J39" s="120">
        <v>1560.0000000004002</v>
      </c>
      <c r="K39" s="2">
        <v>1696607.6400004353</v>
      </c>
      <c r="L39" s="2">
        <v>360.00000000012733</v>
      </c>
      <c r="M39" s="70">
        <v>587287.26000020781</v>
      </c>
      <c r="N39" s="108">
        <f t="shared" si="0"/>
        <v>2283894.900000643</v>
      </c>
      <c r="O39" s="127">
        <f t="shared" si="7"/>
        <v>27537247.080000672</v>
      </c>
      <c r="P39" s="130">
        <f t="shared" si="1"/>
        <v>23400.000000000546</v>
      </c>
      <c r="Q39" s="149">
        <f t="shared" si="10"/>
        <v>386</v>
      </c>
      <c r="R39" s="2">
        <v>0</v>
      </c>
      <c r="S39" s="2">
        <v>0</v>
      </c>
      <c r="T39" s="2">
        <v>386</v>
      </c>
      <c r="U39" s="35">
        <v>1821317.8399999999</v>
      </c>
      <c r="V39" s="35">
        <f t="shared" si="11"/>
        <v>1821317.8399999999</v>
      </c>
      <c r="W39" s="143">
        <f t="shared" si="4"/>
        <v>140.35952586642046</v>
      </c>
      <c r="X39" s="150">
        <v>126.60003999997186</v>
      </c>
      <c r="Y39" s="2"/>
      <c r="Z39" s="2"/>
      <c r="AA39" s="2">
        <v>12</v>
      </c>
      <c r="AB39" s="2">
        <f t="shared" si="8"/>
        <v>138.60003999997184</v>
      </c>
      <c r="AC39" s="2">
        <v>1650471.477399664</v>
      </c>
      <c r="AD39" s="49">
        <f t="shared" si="9"/>
        <v>127.19328221364556</v>
      </c>
      <c r="AE39" s="156">
        <v>631.38999999999942</v>
      </c>
      <c r="AF39" s="2">
        <v>7260984.9999999935</v>
      </c>
      <c r="AG39" s="45">
        <f t="shared" si="5"/>
        <v>559.56647957897894</v>
      </c>
      <c r="AH39" s="6"/>
    </row>
    <row r="40" spans="1:34">
      <c r="A40" s="37"/>
      <c r="B40" s="66">
        <v>29</v>
      </c>
      <c r="C40" s="185">
        <v>28</v>
      </c>
      <c r="D40" s="186">
        <v>230</v>
      </c>
      <c r="E40" s="120">
        <v>16319.999999999709</v>
      </c>
      <c r="F40" s="2">
        <v>17749126.079999685</v>
      </c>
      <c r="G40" s="39">
        <v>3319.9999999999363</v>
      </c>
      <c r="H40" s="2">
        <v>5416093.6199998967</v>
      </c>
      <c r="I40" s="117">
        <f t="shared" si="6"/>
        <v>23165219.699999582</v>
      </c>
      <c r="J40" s="120">
        <v>1500</v>
      </c>
      <c r="K40" s="2">
        <v>1631353.5</v>
      </c>
      <c r="L40" s="2">
        <v>339.99999999991815</v>
      </c>
      <c r="M40" s="70">
        <v>554660.18999986642</v>
      </c>
      <c r="N40" s="108">
        <f t="shared" si="0"/>
        <v>2186013.6899998663</v>
      </c>
      <c r="O40" s="127">
        <f t="shared" si="7"/>
        <v>25351233.389999449</v>
      </c>
      <c r="P40" s="130">
        <f>L40+J40+G40+E40</f>
        <v>21479.999999999563</v>
      </c>
      <c r="Q40" s="149">
        <f t="shared" si="10"/>
        <v>521</v>
      </c>
      <c r="R40" s="2">
        <v>274</v>
      </c>
      <c r="S40" s="2">
        <v>4923829.32</v>
      </c>
      <c r="T40" s="2">
        <v>247</v>
      </c>
      <c r="U40" s="35">
        <v>1165454.68</v>
      </c>
      <c r="V40" s="35">
        <f t="shared" si="11"/>
        <v>6089284</v>
      </c>
      <c r="W40" s="143">
        <f t="shared" si="4"/>
        <v>469.26955654592405</v>
      </c>
      <c r="X40" s="150">
        <v>116.8925600000164</v>
      </c>
      <c r="Y40" s="2"/>
      <c r="Z40" s="2"/>
      <c r="AA40" s="2">
        <v>12</v>
      </c>
      <c r="AB40" s="2">
        <f t="shared" si="8"/>
        <v>128.8925600000164</v>
      </c>
      <c r="AC40" s="2">
        <v>2187112.7036001957</v>
      </c>
      <c r="AD40" s="49">
        <f t="shared" si="9"/>
        <v>168.54944005476193</v>
      </c>
      <c r="AE40" s="156">
        <v>832.00999999999749</v>
      </c>
      <c r="AF40" s="2">
        <v>9568114.9999999721</v>
      </c>
      <c r="AG40" s="45">
        <f t="shared" si="5"/>
        <v>737.36503060628991</v>
      </c>
      <c r="AH40" s="6"/>
    </row>
    <row r="41" spans="1:34">
      <c r="A41" s="37"/>
      <c r="B41" s="66">
        <v>30</v>
      </c>
      <c r="C41" s="185">
        <v>25</v>
      </c>
      <c r="D41" s="186">
        <v>300</v>
      </c>
      <c r="E41" s="120">
        <v>25559.999999999945</v>
      </c>
      <c r="F41" s="2">
        <v>27798263.639999941</v>
      </c>
      <c r="G41" s="39">
        <v>3519.9999999999818</v>
      </c>
      <c r="H41" s="2">
        <v>5742364.3199999714</v>
      </c>
      <c r="I41" s="117">
        <f t="shared" si="6"/>
        <v>33540627.959999911</v>
      </c>
      <c r="J41" s="120">
        <v>2319.999999999709</v>
      </c>
      <c r="K41" s="2">
        <v>2523160.0799996834</v>
      </c>
      <c r="L41" s="2">
        <v>339.99999999991815</v>
      </c>
      <c r="M41" s="70">
        <v>554660.18999986642</v>
      </c>
      <c r="N41" s="108">
        <f t="shared" si="0"/>
        <v>3077820.2699995497</v>
      </c>
      <c r="O41" s="127">
        <f t="shared" si="7"/>
        <v>36618448.22999946</v>
      </c>
      <c r="P41" s="130">
        <f>L41+J41+G41+E41</f>
        <v>31739.999999999556</v>
      </c>
      <c r="Q41" s="149">
        <f t="shared" si="10"/>
        <v>536</v>
      </c>
      <c r="R41" s="39">
        <v>289</v>
      </c>
      <c r="S41" s="2">
        <v>5193382.0200000005</v>
      </c>
      <c r="T41" s="35">
        <v>247</v>
      </c>
      <c r="U41" s="35">
        <v>1165454.68</v>
      </c>
      <c r="V41" s="35">
        <f t="shared" si="11"/>
        <v>6358836.7000000002</v>
      </c>
      <c r="W41" s="143">
        <f t="shared" si="4"/>
        <v>490.04258601782203</v>
      </c>
      <c r="X41" s="150">
        <v>115.52303999997186</v>
      </c>
      <c r="Y41" s="2"/>
      <c r="Z41" s="2"/>
      <c r="AA41" s="2">
        <v>12</v>
      </c>
      <c r="AB41" s="2">
        <f t="shared" si="8"/>
        <v>127.52303999997186</v>
      </c>
      <c r="AC41" s="2">
        <v>1518267.4823996641</v>
      </c>
      <c r="AD41" s="49">
        <f t="shared" si="9"/>
        <v>117.00500554478769</v>
      </c>
      <c r="AE41" s="156">
        <v>617.20000000000073</v>
      </c>
      <c r="AF41" s="2">
        <v>7097800.0000000084</v>
      </c>
      <c r="AG41" s="45">
        <f t="shared" si="5"/>
        <v>546.99065743224719</v>
      </c>
      <c r="AH41" s="6"/>
    </row>
    <row r="42" spans="1:34">
      <c r="A42" s="37"/>
      <c r="B42" s="138"/>
      <c r="C42" s="164"/>
      <c r="D42" s="165"/>
      <c r="E42" s="118"/>
      <c r="F42" s="118"/>
      <c r="G42" s="109"/>
      <c r="H42" s="110"/>
      <c r="I42" s="119"/>
      <c r="J42" s="122"/>
      <c r="K42" s="109"/>
      <c r="L42" s="110"/>
      <c r="M42" s="111"/>
      <c r="N42" s="112"/>
      <c r="O42" s="128"/>
      <c r="P42" s="131"/>
      <c r="Q42" s="14"/>
      <c r="R42" s="1"/>
      <c r="S42" s="1"/>
      <c r="T42" s="22"/>
      <c r="U42" s="22"/>
      <c r="V42" s="22"/>
      <c r="W42" s="144"/>
      <c r="X42" s="142"/>
      <c r="Y42" s="2"/>
      <c r="Z42" s="1"/>
      <c r="AA42" s="1"/>
      <c r="AB42" s="1"/>
      <c r="AC42" s="2"/>
      <c r="AD42" s="49"/>
      <c r="AE42" s="156"/>
      <c r="AF42" s="2"/>
      <c r="AG42" s="45"/>
      <c r="AH42" s="6"/>
    </row>
    <row r="43" spans="1:34" s="8" customFormat="1" ht="6" customHeight="1">
      <c r="B43" s="133"/>
      <c r="C43" s="134"/>
      <c r="D43" s="134"/>
      <c r="E43" s="132"/>
      <c r="F43" s="6"/>
      <c r="H43" s="6"/>
      <c r="L43" s="6"/>
      <c r="M43" s="71"/>
      <c r="N43" s="75"/>
      <c r="P43" s="75"/>
      <c r="Q43" s="145"/>
      <c r="W43" s="36"/>
      <c r="Y43" s="6"/>
      <c r="AE43" s="97"/>
      <c r="AG43" s="36"/>
    </row>
    <row r="44" spans="1:34" s="8" customFormat="1" ht="9.75" customHeight="1">
      <c r="B44" s="133"/>
      <c r="C44" s="134"/>
      <c r="D44" s="134"/>
      <c r="E44" s="132"/>
      <c r="F44" s="6"/>
      <c r="H44" s="6"/>
      <c r="L44" s="6"/>
      <c r="M44" s="71"/>
      <c r="N44" s="75"/>
      <c r="P44" s="75"/>
      <c r="Q44" s="145"/>
      <c r="W44" s="146"/>
      <c r="Y44" s="6"/>
      <c r="AC44" s="6"/>
      <c r="AE44" s="98"/>
      <c r="AF44" s="4"/>
      <c r="AG44" s="46"/>
    </row>
    <row r="45" spans="1:34" s="8" customFormat="1">
      <c r="B45" s="135"/>
      <c r="C45" s="136"/>
      <c r="D45" s="136"/>
      <c r="E45" s="137"/>
      <c r="F45" s="81"/>
      <c r="G45" s="80"/>
      <c r="H45" s="81"/>
      <c r="I45" s="80"/>
      <c r="J45" s="80"/>
      <c r="K45" s="80"/>
      <c r="L45" s="81"/>
      <c r="M45" s="82"/>
      <c r="N45" s="83"/>
      <c r="O45" s="80"/>
      <c r="P45" s="83"/>
      <c r="Q45" s="147"/>
      <c r="R45" s="85"/>
      <c r="S45" s="80"/>
      <c r="T45" s="80"/>
      <c r="U45" s="80"/>
      <c r="V45" s="80"/>
      <c r="W45" s="84"/>
      <c r="X45" s="86"/>
      <c r="Y45" s="81"/>
      <c r="Z45" s="86"/>
      <c r="AA45" s="86"/>
      <c r="AB45" s="86"/>
      <c r="AC45" s="81"/>
      <c r="AD45" s="80"/>
      <c r="AE45" s="157"/>
      <c r="AF45" s="87"/>
      <c r="AG45" s="88"/>
    </row>
    <row r="46" spans="1:34">
      <c r="A46" s="29"/>
      <c r="B46" s="78"/>
      <c r="C46" s="79">
        <f>SUM(C12:C42)</f>
        <v>1285</v>
      </c>
      <c r="D46" s="79">
        <f>SUM(D12:D42)</f>
        <v>10494</v>
      </c>
      <c r="E46" s="79">
        <f t="shared" ref="E46:O46" si="12">SUM(E12:E42)</f>
        <v>554239.99999999977</v>
      </c>
      <c r="F46" s="79">
        <f>SUM(F12:F42)</f>
        <v>602774242.55999982</v>
      </c>
      <c r="G46" s="79">
        <f>SUM(G12:G42)</f>
        <v>116880.00000000001</v>
      </c>
      <c r="H46" s="79">
        <f t="shared" si="12"/>
        <v>190672597.07999998</v>
      </c>
      <c r="I46" s="79">
        <f t="shared" si="12"/>
        <v>793446839.63999975</v>
      </c>
      <c r="J46" s="79">
        <f t="shared" si="12"/>
        <v>53619.999999999891</v>
      </c>
      <c r="K46" s="79">
        <f t="shared" si="12"/>
        <v>58315449.779999882</v>
      </c>
      <c r="L46" s="79">
        <f>SUM(L12:L42)</f>
        <v>12599.999999999909</v>
      </c>
      <c r="M46" s="79">
        <f>SUM(M12:M42)</f>
        <v>20555054.099999852</v>
      </c>
      <c r="N46" s="79">
        <f t="shared" si="12"/>
        <v>78870503.879999757</v>
      </c>
      <c r="O46" s="79">
        <f t="shared" si="12"/>
        <v>872317343.51999938</v>
      </c>
      <c r="P46" s="89">
        <f>SUM(P12:P42)</f>
        <v>737339.99999999965</v>
      </c>
      <c r="Q46" s="187">
        <f>SUM(Q12:Q41)</f>
        <v>20974</v>
      </c>
      <c r="R46" s="58">
        <f>SUM(R12:R41)</f>
        <v>7122</v>
      </c>
      <c r="S46" s="58">
        <f>SUM(S12:S41)</f>
        <v>127983621.96000002</v>
      </c>
      <c r="T46" s="21">
        <f>SUM(T12:T42)</f>
        <v>13852</v>
      </c>
      <c r="U46" s="151">
        <f>SUM(U12:U41)</f>
        <v>65359830.879999995</v>
      </c>
      <c r="V46" s="151">
        <f>SUM(V12:V41)</f>
        <v>193343452.83999997</v>
      </c>
      <c r="W46" s="139">
        <f>V46/$AG$47</f>
        <v>14899.977793002357</v>
      </c>
      <c r="X46" s="50">
        <f>SUM(X12:X41)</f>
        <v>3553.3807599999927</v>
      </c>
      <c r="Y46" s="152">
        <f>SUM(Y12:Y41)</f>
        <v>1500</v>
      </c>
      <c r="Z46" s="50">
        <f>SUM(Z12:Z41)</f>
        <v>2400</v>
      </c>
      <c r="AA46" s="50">
        <f>SUM(AA12:AA41)</f>
        <v>396</v>
      </c>
      <c r="AB46" s="50">
        <f>SUM(AB12:AB41)</f>
        <v>7849.3807599999936</v>
      </c>
      <c r="AC46" s="188">
        <f>SUM(AC12:AC41)</f>
        <v>101170599.37059988</v>
      </c>
      <c r="AD46" s="161">
        <f>AC46/$AG$47</f>
        <v>7796.6937167205133</v>
      </c>
      <c r="AE46" s="158">
        <f>SUM(AE12:AE42)</f>
        <v>21245.080000000005</v>
      </c>
      <c r="AF46" s="159">
        <f>SUM(AF12:AF42)</f>
        <v>244318420</v>
      </c>
      <c r="AG46" s="160">
        <f>AF46/AG47</f>
        <v>18828.354303954427</v>
      </c>
      <c r="AH46" s="29"/>
    </row>
    <row r="47" spans="1:34">
      <c r="A47" s="29"/>
      <c r="B47" s="29"/>
      <c r="C47" s="4"/>
      <c r="D47" s="12"/>
      <c r="E47" s="4"/>
      <c r="F47" s="4"/>
      <c r="G47" s="12"/>
      <c r="H47" s="4"/>
      <c r="I47" s="10"/>
      <c r="J47" s="10"/>
      <c r="K47" s="10"/>
      <c r="L47" s="20"/>
      <c r="M47" s="72"/>
      <c r="N47" s="76"/>
      <c r="O47" s="11"/>
      <c r="P47" s="76"/>
      <c r="Q47" s="12"/>
      <c r="R47" s="12"/>
      <c r="S47" s="12"/>
      <c r="T47" s="12"/>
      <c r="U47" s="12"/>
      <c r="V47" s="12"/>
      <c r="W47" s="12"/>
      <c r="X47" s="19"/>
      <c r="Y47" s="6"/>
      <c r="Z47" s="19"/>
      <c r="AA47" s="19"/>
      <c r="AB47" s="6"/>
      <c r="AC47" s="4"/>
      <c r="AD47" s="12"/>
      <c r="AE47" s="98"/>
      <c r="AF47" s="12"/>
      <c r="AG47" s="162">
        <v>12976.09</v>
      </c>
      <c r="AH47" s="29"/>
    </row>
    <row r="48" spans="1:34">
      <c r="A48" s="29"/>
      <c r="B48" s="29"/>
      <c r="C48" s="4"/>
      <c r="D48" s="12"/>
      <c r="E48" s="4"/>
      <c r="F48" s="4"/>
      <c r="G48" s="12"/>
      <c r="H48" s="124"/>
      <c r="I48" s="10"/>
      <c r="J48" s="10"/>
      <c r="K48" s="10"/>
      <c r="L48" s="20"/>
      <c r="M48" s="72"/>
      <c r="N48" s="76"/>
      <c r="O48" s="11"/>
      <c r="P48" s="76"/>
      <c r="Q48" s="12"/>
      <c r="R48" s="12"/>
      <c r="S48" s="12"/>
      <c r="T48" s="12"/>
      <c r="U48" s="12"/>
      <c r="V48" s="12"/>
      <c r="W48" s="12"/>
      <c r="X48" s="12"/>
      <c r="Y48" s="4"/>
      <c r="Z48" s="12"/>
      <c r="AA48" s="12"/>
      <c r="AB48" s="18"/>
      <c r="AC48" s="4"/>
      <c r="AD48" s="12"/>
      <c r="AE48" s="98"/>
      <c r="AF48" s="12"/>
      <c r="AH48" s="29"/>
    </row>
    <row r="49" spans="1:34" s="4" customFormat="1">
      <c r="A49" s="6"/>
      <c r="B49" s="6"/>
      <c r="E49" s="101"/>
      <c r="F49" s="125"/>
      <c r="G49" s="94"/>
      <c r="I49" s="93"/>
      <c r="J49" s="95"/>
      <c r="K49" s="93"/>
      <c r="L49" s="95"/>
      <c r="M49" s="93"/>
      <c r="N49" s="93"/>
      <c r="O49" s="17"/>
      <c r="P49" s="76">
        <f>O46/P46</f>
        <v>1183.0598414842539</v>
      </c>
      <c r="Q49" s="9"/>
      <c r="R49" s="9"/>
      <c r="S49" s="20"/>
      <c r="T49" s="9"/>
      <c r="U49" s="10"/>
      <c r="V49" s="9">
        <f>V46/Q46</f>
        <v>9218.2441518069973</v>
      </c>
      <c r="W49"/>
      <c r="X49" s="9"/>
      <c r="Y49" s="9"/>
      <c r="Z49" s="20"/>
      <c r="AA49" s="9"/>
      <c r="AB49" s="9"/>
      <c r="AC49" s="4">
        <f>AC46/AB46</f>
        <v>12888.991178279899</v>
      </c>
      <c r="AD49" s="9"/>
      <c r="AE49" s="99"/>
      <c r="AF49" s="9">
        <f>AF46/AE46</f>
        <v>11499.999999999996</v>
      </c>
      <c r="AG49" s="42"/>
      <c r="AH49" s="6"/>
    </row>
    <row r="50" spans="1:34">
      <c r="A50" s="28"/>
      <c r="B50" s="28"/>
      <c r="C50" s="9"/>
      <c r="D50" s="9"/>
      <c r="E50" s="9"/>
      <c r="F50" s="20"/>
      <c r="G50" s="9"/>
      <c r="H50" s="124"/>
      <c r="I50" s="20"/>
      <c r="J50" s="20"/>
      <c r="K50" s="20"/>
      <c r="L50"/>
      <c r="M50" s="20"/>
      <c r="N50" s="76"/>
      <c r="P50" s="76"/>
      <c r="Q50" s="12"/>
      <c r="R50" s="12"/>
      <c r="S50" s="12"/>
      <c r="T50" s="12"/>
      <c r="U50" s="7"/>
      <c r="V50" s="7"/>
      <c r="W50" s="12"/>
      <c r="X50" s="12"/>
      <c r="Y50" s="4"/>
      <c r="Z50" s="12"/>
      <c r="AA50" s="12"/>
      <c r="AB50" s="12"/>
      <c r="AC50" s="4"/>
      <c r="AD50" s="12"/>
      <c r="AE50" s="98"/>
      <c r="AF50" s="12"/>
      <c r="AH50" s="29"/>
    </row>
    <row r="51" spans="1:34" ht="15" hidden="1" customHeight="1">
      <c r="A51" s="29"/>
      <c r="B51" s="29"/>
      <c r="C51" s="4"/>
      <c r="D51" s="12"/>
      <c r="E51" s="4"/>
      <c r="F51" s="4"/>
      <c r="G51" s="12"/>
      <c r="H51" s="4"/>
      <c r="I51" s="10"/>
      <c r="J51" s="10"/>
      <c r="K51" s="10"/>
      <c r="L51" s="20"/>
      <c r="M51" s="72"/>
      <c r="N51" s="76"/>
      <c r="O51" s="11"/>
      <c r="P51" s="76"/>
      <c r="Q51" s="12"/>
      <c r="R51" s="12"/>
      <c r="S51" s="12"/>
      <c r="T51" s="12"/>
      <c r="U51" s="12"/>
      <c r="V51" s="12"/>
      <c r="W51" s="12"/>
      <c r="X51" s="12"/>
      <c r="Y51" s="4"/>
      <c r="Z51" s="12"/>
      <c r="AA51" s="12"/>
      <c r="AB51" s="12"/>
      <c r="AC51" s="4"/>
      <c r="AD51" s="12"/>
      <c r="AE51" s="98"/>
      <c r="AF51" s="12"/>
      <c r="AH51" s="29"/>
    </row>
    <row r="52" spans="1:34" ht="15" hidden="1" customHeight="1">
      <c r="A52" s="29"/>
      <c r="B52" s="29"/>
      <c r="C52" s="4"/>
      <c r="D52" s="12"/>
      <c r="E52" s="4"/>
      <c r="F52" s="4"/>
      <c r="G52" s="12"/>
      <c r="H52" s="4"/>
      <c r="I52" s="10"/>
      <c r="J52" s="10"/>
      <c r="K52" s="10"/>
      <c r="L52" s="20"/>
      <c r="M52" s="72"/>
      <c r="N52" s="76"/>
      <c r="O52" s="11"/>
      <c r="P52" s="76"/>
      <c r="Q52" s="12"/>
      <c r="R52" s="12"/>
      <c r="S52" s="12"/>
      <c r="T52" s="12"/>
      <c r="U52" s="12"/>
      <c r="V52" s="12"/>
      <c r="W52" s="12"/>
      <c r="X52" s="12"/>
      <c r="Y52" s="4"/>
      <c r="Z52" s="12"/>
      <c r="AA52" s="12"/>
      <c r="AB52" s="12"/>
      <c r="AC52" s="4"/>
      <c r="AD52" s="12"/>
      <c r="AE52" s="98"/>
      <c r="AF52" s="12"/>
      <c r="AH52" s="29"/>
    </row>
    <row r="53" spans="1:34" ht="15" hidden="1" customHeight="1">
      <c r="A53" s="29"/>
      <c r="B53" s="29"/>
      <c r="C53" s="4"/>
      <c r="D53" s="12"/>
      <c r="E53" s="4"/>
      <c r="F53" s="4"/>
      <c r="H53" s="4"/>
      <c r="I53" s="10"/>
      <c r="J53" s="10"/>
      <c r="K53" s="10"/>
      <c r="L53" s="20"/>
      <c r="M53" s="72"/>
      <c r="N53" s="76"/>
      <c r="O53" s="11"/>
      <c r="P53" s="76"/>
      <c r="Q53" s="12"/>
      <c r="R53" s="12"/>
      <c r="S53" s="12"/>
      <c r="T53" s="12"/>
      <c r="U53" s="12"/>
      <c r="V53" s="12"/>
      <c r="W53" s="12"/>
      <c r="X53" s="12"/>
      <c r="Y53" s="4"/>
      <c r="Z53" s="12"/>
      <c r="AA53" s="12"/>
      <c r="AB53" s="12"/>
      <c r="AC53" s="4"/>
      <c r="AD53" s="12"/>
      <c r="AE53" s="98"/>
      <c r="AF53" s="12"/>
      <c r="AH53" s="29"/>
    </row>
    <row r="54" spans="1:34">
      <c r="F54" s="126"/>
      <c r="M54" s="123"/>
      <c r="AF54" s="16"/>
    </row>
    <row r="55" spans="1:34">
      <c r="T55" s="12"/>
      <c r="Y55" s="3">
        <f>Y47/31</f>
        <v>0</v>
      </c>
      <c r="AC55" s="47"/>
      <c r="AF55" s="18"/>
    </row>
    <row r="56" spans="1:34">
      <c r="H56" s="103"/>
      <c r="I56" s="18"/>
    </row>
  </sheetData>
  <mergeCells count="13">
    <mergeCell ref="Q8:W8"/>
    <mergeCell ref="X8:AG8"/>
    <mergeCell ref="X9:AD9"/>
    <mergeCell ref="E8:P8"/>
    <mergeCell ref="B7:AG7"/>
    <mergeCell ref="P9:P10"/>
    <mergeCell ref="V9:W9"/>
    <mergeCell ref="B8:B10"/>
    <mergeCell ref="C8:C10"/>
    <mergeCell ref="D8:D10"/>
    <mergeCell ref="J9:N9"/>
    <mergeCell ref="E9:I9"/>
    <mergeCell ref="O9:O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B6" sqref="B6:C35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30" t="s">
        <v>16</v>
      </c>
    </row>
    <row r="2" spans="1:3" ht="18.75">
      <c r="A2" s="213">
        <v>43405</v>
      </c>
      <c r="B2" s="214"/>
      <c r="C2" s="214"/>
    </row>
    <row r="3" spans="1:3">
      <c r="A3" s="216" t="s">
        <v>18</v>
      </c>
      <c r="B3" s="215" t="s">
        <v>19</v>
      </c>
      <c r="C3" s="215" t="s">
        <v>13</v>
      </c>
    </row>
    <row r="4" spans="1:3">
      <c r="A4" s="216"/>
      <c r="B4" s="215"/>
      <c r="C4" s="215"/>
    </row>
    <row r="5" spans="1:3">
      <c r="A5" s="216"/>
      <c r="B5" s="215"/>
      <c r="C5" s="215"/>
    </row>
    <row r="6" spans="1:3">
      <c r="A6" s="1">
        <v>1</v>
      </c>
      <c r="B6" s="185">
        <v>142</v>
      </c>
      <c r="C6" s="186">
        <v>764</v>
      </c>
    </row>
    <row r="7" spans="1:3">
      <c r="A7" s="1">
        <v>2</v>
      </c>
      <c r="B7" s="185">
        <v>139</v>
      </c>
      <c r="C7" s="186">
        <v>658</v>
      </c>
    </row>
    <row r="8" spans="1:3">
      <c r="A8" s="1">
        <f>A7+1</f>
        <v>3</v>
      </c>
      <c r="B8" s="185">
        <v>74</v>
      </c>
      <c r="C8" s="186">
        <v>651</v>
      </c>
    </row>
    <row r="9" spans="1:3">
      <c r="A9" s="1">
        <f>A8+1</f>
        <v>4</v>
      </c>
      <c r="B9" s="185">
        <v>29</v>
      </c>
      <c r="C9" s="186">
        <v>582</v>
      </c>
    </row>
    <row r="10" spans="1:3">
      <c r="A10" s="1">
        <f t="shared" ref="A10:A35" si="0">A9+1</f>
        <v>5</v>
      </c>
      <c r="B10" s="185">
        <v>34</v>
      </c>
      <c r="C10" s="186">
        <v>265</v>
      </c>
    </row>
    <row r="11" spans="1:3">
      <c r="A11" s="1">
        <f t="shared" si="0"/>
        <v>6</v>
      </c>
      <c r="B11" s="185">
        <v>42</v>
      </c>
      <c r="C11" s="186">
        <v>267</v>
      </c>
    </row>
    <row r="12" spans="1:3">
      <c r="A12" s="1">
        <f t="shared" si="0"/>
        <v>7</v>
      </c>
      <c r="B12" s="185">
        <v>52</v>
      </c>
      <c r="C12" s="186">
        <v>311</v>
      </c>
    </row>
    <row r="13" spans="1:3">
      <c r="A13" s="1">
        <f t="shared" si="0"/>
        <v>8</v>
      </c>
      <c r="B13" s="185">
        <v>54</v>
      </c>
      <c r="C13" s="186">
        <v>351</v>
      </c>
    </row>
    <row r="14" spans="1:3">
      <c r="A14" s="1">
        <f t="shared" si="0"/>
        <v>9</v>
      </c>
      <c r="B14" s="185">
        <v>42</v>
      </c>
      <c r="C14" s="186">
        <v>385</v>
      </c>
    </row>
    <row r="15" spans="1:3">
      <c r="A15" s="1">
        <f t="shared" si="0"/>
        <v>10</v>
      </c>
      <c r="B15" s="185">
        <v>29</v>
      </c>
      <c r="C15" s="186">
        <v>308</v>
      </c>
    </row>
    <row r="16" spans="1:3">
      <c r="A16" s="1">
        <f t="shared" si="0"/>
        <v>11</v>
      </c>
      <c r="B16" s="185">
        <v>35</v>
      </c>
      <c r="C16" s="186">
        <v>241</v>
      </c>
    </row>
    <row r="17" spans="1:3">
      <c r="A17" s="1">
        <f t="shared" si="0"/>
        <v>12</v>
      </c>
      <c r="B17" s="185">
        <v>35</v>
      </c>
      <c r="C17" s="186">
        <v>260</v>
      </c>
    </row>
    <row r="18" spans="1:3">
      <c r="A18" s="1">
        <f t="shared" si="0"/>
        <v>13</v>
      </c>
      <c r="B18" s="185">
        <v>32</v>
      </c>
      <c r="C18" s="186">
        <v>426</v>
      </c>
    </row>
    <row r="19" spans="1:3">
      <c r="A19" s="1">
        <f t="shared" si="0"/>
        <v>14</v>
      </c>
      <c r="B19" s="185">
        <v>29</v>
      </c>
      <c r="C19" s="186">
        <v>317</v>
      </c>
    </row>
    <row r="20" spans="1:3">
      <c r="A20" s="1">
        <f t="shared" si="0"/>
        <v>15</v>
      </c>
      <c r="B20" s="185">
        <v>34</v>
      </c>
      <c r="C20" s="186">
        <v>258</v>
      </c>
    </row>
    <row r="21" spans="1:3">
      <c r="A21" s="1">
        <f t="shared" si="0"/>
        <v>16</v>
      </c>
      <c r="B21" s="185">
        <v>36</v>
      </c>
      <c r="C21" s="186">
        <v>301</v>
      </c>
    </row>
    <row r="22" spans="1:3">
      <c r="A22" s="1">
        <f t="shared" si="0"/>
        <v>17</v>
      </c>
      <c r="B22" s="185">
        <v>26</v>
      </c>
      <c r="C22" s="186">
        <v>309</v>
      </c>
    </row>
    <row r="23" spans="1:3">
      <c r="A23" s="1">
        <f t="shared" si="0"/>
        <v>18</v>
      </c>
      <c r="B23" s="185">
        <v>28</v>
      </c>
      <c r="C23" s="186">
        <v>315</v>
      </c>
    </row>
    <row r="24" spans="1:3">
      <c r="A24" s="1">
        <f t="shared" si="0"/>
        <v>19</v>
      </c>
      <c r="B24" s="185">
        <v>44</v>
      </c>
      <c r="C24" s="186">
        <v>309</v>
      </c>
    </row>
    <row r="25" spans="1:3">
      <c r="A25" s="1">
        <f t="shared" si="0"/>
        <v>20</v>
      </c>
      <c r="B25" s="185">
        <v>45</v>
      </c>
      <c r="C25" s="186">
        <v>394</v>
      </c>
    </row>
    <row r="26" spans="1:3">
      <c r="A26" s="1">
        <f t="shared" si="0"/>
        <v>21</v>
      </c>
      <c r="B26" s="185">
        <v>49</v>
      </c>
      <c r="C26" s="186">
        <v>332</v>
      </c>
    </row>
    <row r="27" spans="1:3">
      <c r="A27" s="1">
        <f t="shared" si="0"/>
        <v>22</v>
      </c>
      <c r="B27" s="185">
        <v>33</v>
      </c>
      <c r="C27" s="186">
        <v>410</v>
      </c>
    </row>
    <row r="28" spans="1:3">
      <c r="A28" s="1">
        <f t="shared" si="0"/>
        <v>23</v>
      </c>
      <c r="B28" s="185">
        <v>35</v>
      </c>
      <c r="C28" s="186">
        <v>329</v>
      </c>
    </row>
    <row r="29" spans="1:3">
      <c r="A29" s="1">
        <f t="shared" si="0"/>
        <v>24</v>
      </c>
      <c r="B29" s="185">
        <v>31</v>
      </c>
      <c r="C29" s="186">
        <v>305</v>
      </c>
    </row>
    <row r="30" spans="1:3">
      <c r="A30" s="1">
        <f t="shared" si="0"/>
        <v>25</v>
      </c>
      <c r="B30" s="185">
        <v>22</v>
      </c>
      <c r="C30" s="186">
        <v>273</v>
      </c>
    </row>
    <row r="31" spans="1:3">
      <c r="A31" s="1">
        <f t="shared" si="0"/>
        <v>26</v>
      </c>
      <c r="B31" s="185">
        <v>26</v>
      </c>
      <c r="C31" s="186">
        <v>196</v>
      </c>
    </row>
    <row r="32" spans="1:3">
      <c r="A32" s="1">
        <f t="shared" si="0"/>
        <v>27</v>
      </c>
      <c r="B32" s="185">
        <v>28</v>
      </c>
      <c r="C32" s="186">
        <v>204</v>
      </c>
    </row>
    <row r="33" spans="1:3">
      <c r="A33" s="1">
        <f t="shared" si="0"/>
        <v>28</v>
      </c>
      <c r="B33" s="185">
        <v>27</v>
      </c>
      <c r="C33" s="186">
        <v>243</v>
      </c>
    </row>
    <row r="34" spans="1:3">
      <c r="A34" s="1">
        <f t="shared" si="0"/>
        <v>29</v>
      </c>
      <c r="B34" s="185">
        <v>28</v>
      </c>
      <c r="C34" s="186">
        <v>230</v>
      </c>
    </row>
    <row r="35" spans="1:3">
      <c r="A35" s="1">
        <f t="shared" si="0"/>
        <v>30</v>
      </c>
      <c r="B35" s="185">
        <v>25</v>
      </c>
      <c r="C35" s="186">
        <v>300</v>
      </c>
    </row>
    <row r="37" spans="1:3">
      <c r="B37" s="5">
        <f>SUM(B6:B36)</f>
        <v>1285</v>
      </c>
      <c r="C37" s="5">
        <f>SUM(C6:C36)</f>
        <v>10494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37A7730F-71E6-43DA-831A-FFDD7D504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2023-02-23T11:43:47Z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1893400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