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<sst xmlns="http://schemas.openxmlformats.org/spreadsheetml/2006/main" count="606" uniqueCount="76">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</sst>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40" workbookViewId="0">
      <selection activeCell="S161" sqref="S16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4">
        <v>0.75</v>
      </c>
      <c r="G167" s="4">
        <f>'Gas Water'!M169</f>
        <v>2127</v>
      </c>
      <c r="H167" s="154">
        <v>1.85</v>
      </c>
      <c r="I167" s="2">
        <f>'Gas Water'!L169</f>
        <v>156</v>
      </c>
      <c r="J167" s="154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0.75</v>
      </c>
      <c r="G168" s="4" t="str">
        <f>'Gas Water'!M170</f>
        <v/>
      </c>
      <c r="H168" s="154">
        <v>1.85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0.75</v>
      </c>
      <c r="G169" s="4" t="str">
        <f>'Gas Water'!M171</f>
        <v/>
      </c>
      <c r="H169" s="154">
        <v>1.85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0.75</v>
      </c>
      <c r="G170" s="4" t="str">
        <f>'Gas Water'!M172</f>
        <v/>
      </c>
      <c r="H170" s="154">
        <v>1.85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0.75</v>
      </c>
      <c r="G171" s="4" t="str">
        <f>'Gas Water'!M173</f>
        <v/>
      </c>
      <c r="H171" s="154">
        <v>1.85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0.75</v>
      </c>
      <c r="G172" s="4" t="str">
        <f>'Gas Water'!M174</f>
        <v/>
      </c>
      <c r="H172" s="154">
        <v>1.85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0.75</v>
      </c>
      <c r="G173" s="4" t="str">
        <f>'Gas Water'!M175</f>
        <v/>
      </c>
      <c r="H173" s="154">
        <v>1.85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36" workbookViewId="0">
      <selection activeCell="S167" sqref="S16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7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2681</v>
      </c>
      <c r="O178" s="32">
        <f>SUM(M156:M185)</f>
        <v>25046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191.5</v>
      </c>
      <c r="O181" s="32">
        <f>AVERAGE(M156:M185)</f>
        <v>1789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392504</v>
      </c>
      <c r="J371" s="40">
        <f t="shared" si="30"/>
        <v>23594</v>
      </c>
      <c r="K371" s="40">
        <f t="shared" si="30"/>
        <v>22394</v>
      </c>
      <c r="L371" s="40">
        <f t="shared" si="30"/>
        <v>23466</v>
      </c>
      <c r="M371" s="40">
        <f t="shared" si="30"/>
        <v>438492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50" workbookViewId="0">
      <selection activeCell="X169" sqref="X169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>
        <v>0.14199999999999999</v>
      </c>
      <c r="E168" s="58">
        <v>483.72199999999998</v>
      </c>
      <c r="F168" s="59">
        <v>17.988</v>
      </c>
      <c r="G168" s="60"/>
      <c r="H168" s="60">
        <v>4140</v>
      </c>
      <c r="I168" s="60">
        <f t="shared" si="23"/>
        <v>25680.419999999896</v>
      </c>
      <c r="J168" s="60">
        <f t="shared" si="24"/>
        <v>413.99999999999119</v>
      </c>
      <c r="K168" s="61">
        <f t="shared" si="19"/>
        <v>1.6121231662098705E-2</v>
      </c>
      <c r="L168" s="60">
        <f t="shared" si="20"/>
        <v>413.99999999999119</v>
      </c>
      <c r="M168" s="61">
        <f t="shared" si="21"/>
        <v>1.6121231662098705E-2</v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2.4341857734097982E-2</v>
      </c>
      <c r="Q175" s="71">
        <f>IF(L155="",0,+SUM(L155:L184)/SUM(I155:I184))</f>
        <v>2.4341857734097982E-2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3591225.9599999962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2021-06-16T06:05:36Z</dcterms:modified>
  <cp:category/>
  <cp:contentStatus/>
</cp:coreProperties>
</file>