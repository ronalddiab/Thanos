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<sst xmlns="http://schemas.openxmlformats.org/spreadsheetml/2006/main" count="145" uniqueCount="66">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</sst>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7" fillId="0" borderId="2" xfId="0" quotePrefix="1" applyNumberFormat="1" applyFont="1" applyBorder="1" applyAlignment="1">
      <alignment horizontal="right"/>
    </xf>
    <xf numFmtId="0" fontId="7" fillId="7" borderId="2" xfId="0" quotePrefix="1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 t="str">
        <f>Hotel!Q23</f>
        <v>0</v>
      </c>
      <c r="F18" s="4" t="str">
        <f>Hotel!R23</f>
        <v>0</v>
      </c>
      <c r="G18" s="4" t="str">
        <f>Hotel!S23</f>
        <v>0</v>
      </c>
      <c r="H18" s="4" t="str">
        <f>Hotel!T23</f>
        <v>0</v>
      </c>
      <c r="I18" s="4" t="str">
        <f>Hotel!U23</f>
        <v>0</v>
      </c>
      <c r="J18" s="4" t="str">
        <f>Hotel!V23</f>
        <v>0</v>
      </c>
      <c r="K18" s="4" t="str">
        <f>Hotel!W23</f>
        <v>0</v>
      </c>
      <c r="L18" s="4" t="str">
        <f>Hotel!X23</f>
        <v>0</v>
      </c>
      <c r="M18" s="4" t="str">
        <f>Hotel!Y23</f>
        <v>0</v>
      </c>
      <c r="N18" s="4" t="str">
        <f>Hotel!Z23</f>
        <v>0</v>
      </c>
      <c r="O18" s="4" t="str">
        <f>Hotel!AA23</f>
        <v>0</v>
      </c>
      <c r="P18" s="4" t="str">
        <f>Hotel!AB23</f>
        <v>0</v>
      </c>
      <c r="Q18" s="4" t="str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U1" zoomScale="93" zoomScaleNormal="93" workbookViewId="0">
      <selection activeCell="AO35" sqref="AO3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7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73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 t="str">
        <f t="shared" si="17"/>
        <v>0</v>
      </c>
      <c r="R23" s="37" t="str">
        <f t="shared" si="18"/>
        <v>0</v>
      </c>
      <c r="S23" s="37" t="str">
        <f t="shared" si="16"/>
        <v>0</v>
      </c>
      <c r="T23" s="37" t="str">
        <f t="shared" si="19"/>
        <v>0</v>
      </c>
      <c r="U23" s="37" t="str">
        <f t="shared" si="20"/>
        <v>0</v>
      </c>
      <c r="V23" s="37" t="str">
        <f t="shared" si="21"/>
        <v>0</v>
      </c>
      <c r="W23" s="37" t="str">
        <f t="shared" si="22"/>
        <v>0</v>
      </c>
      <c r="X23" s="37" t="str">
        <f t="shared" si="23"/>
        <v>0</v>
      </c>
      <c r="Y23" s="37" t="str">
        <f t="shared" si="24"/>
        <v>0</v>
      </c>
      <c r="Z23" s="37" t="str">
        <f t="shared" si="25"/>
        <v>0</v>
      </c>
      <c r="AA23" s="37" t="str">
        <f t="shared" si="26"/>
        <v>0</v>
      </c>
      <c r="AB23" s="37" t="str">
        <f t="shared" si="27"/>
        <v>0</v>
      </c>
      <c r="AC23" s="37" t="str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5"/>
      <c r="AV23" s="37" t="str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5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5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5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5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5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44827</v>
      </c>
      <c r="B29" s="40"/>
      <c r="C29" s="24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6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44828</v>
      </c>
      <c r="B30" s="40"/>
      <c r="C30" s="2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7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44829</v>
      </c>
      <c r="B31" s="40"/>
      <c r="C31" s="24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6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7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49310</v>
      </c>
      <c r="R38" s="38">
        <f t="shared" ref="R38:AD38" si="60">SUM(R7:R37)</f>
        <v>229260</v>
      </c>
      <c r="S38" s="38">
        <f t="shared" si="60"/>
        <v>60880</v>
      </c>
      <c r="T38" s="38">
        <f t="shared" si="60"/>
        <v>26940</v>
      </c>
      <c r="U38" s="38">
        <f t="shared" si="60"/>
        <v>70080</v>
      </c>
      <c r="V38" s="38">
        <f t="shared" si="60"/>
        <v>66390</v>
      </c>
      <c r="W38" s="38">
        <f t="shared" si="60"/>
        <v>51950</v>
      </c>
      <c r="X38" s="38">
        <f t="shared" si="60"/>
        <v>69150</v>
      </c>
      <c r="Y38" s="38">
        <f t="shared" si="60"/>
        <v>89040</v>
      </c>
      <c r="Z38" s="38">
        <f t="shared" si="60"/>
        <v>39320</v>
      </c>
      <c r="AA38" s="38">
        <f t="shared" si="60"/>
        <v>45430</v>
      </c>
      <c r="AB38" s="38">
        <f t="shared" si="60"/>
        <v>111510</v>
      </c>
      <c r="AC38" s="38">
        <f t="shared" si="60"/>
        <v>152090</v>
      </c>
      <c r="AD38" s="38">
        <f t="shared" si="60"/>
        <v>1061350</v>
      </c>
      <c r="AF38" s="35">
        <f>SUM(AF7:AF37)</f>
        <v>246.54999999999998</v>
      </c>
      <c r="AG38" s="35">
        <f t="shared" ref="AG38:AS38" si="61">SUM(AG7:AG37)</f>
        <v>1146.3</v>
      </c>
      <c r="AH38" s="35">
        <f t="shared" si="61"/>
        <v>304.39999999999998</v>
      </c>
      <c r="AI38" s="35">
        <f t="shared" si="61"/>
        <v>134.70000000000002</v>
      </c>
      <c r="AJ38" s="35">
        <f t="shared" si="61"/>
        <v>350.40000000000009</v>
      </c>
      <c r="AK38" s="35">
        <f t="shared" si="61"/>
        <v>331.95</v>
      </c>
      <c r="AL38" s="35">
        <f t="shared" si="61"/>
        <v>259.75</v>
      </c>
      <c r="AM38" s="35">
        <f t="shared" si="61"/>
        <v>345.75000000000006</v>
      </c>
      <c r="AN38" s="35">
        <f t="shared" si="61"/>
        <v>445.20000000000005</v>
      </c>
      <c r="AO38" s="35">
        <f t="shared" si="61"/>
        <v>196.6</v>
      </c>
      <c r="AP38" s="35">
        <f t="shared" si="61"/>
        <v>227.15000000000003</v>
      </c>
      <c r="AQ38" s="35">
        <f t="shared" si="61"/>
        <v>557.54999999999995</v>
      </c>
      <c r="AR38" s="35">
        <f t="shared" si="61"/>
        <v>760.45</v>
      </c>
      <c r="AS38" s="35">
        <f t="shared" si="61"/>
        <v>5306.75</v>
      </c>
      <c r="AU38" s="47"/>
      <c r="AV38" s="34">
        <f>SUM(AV7:AV37)</f>
        <v>36708</v>
      </c>
      <c r="AW38" s="34">
        <f>SUM(AW7:AW37)</f>
        <v>13895.483027999999</v>
      </c>
      <c r="AX38" s="35">
        <f>SUM(AX7:AX37)</f>
        <v>73.415999999999997</v>
      </c>
    </row>
    <row r="39" spans="1:50" x14ac:dyDescent="0.25">
      <c r="B39" s="39">
        <f>SUM(B7:B36)</f>
        <v>1553</v>
      </c>
      <c r="D39">
        <v>5.0000000000000001E-3</v>
      </c>
      <c r="AV39" s="36"/>
      <c r="AW39" s="52">
        <f>AW38/31</f>
        <v>448.24138799999997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2022-09-17T07:11:29Z</dcterms:modified>
</cp:coreProperties>
</file>