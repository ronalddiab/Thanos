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3" sheetId="5" r:id="rId3"/>
  </sheets>
  <definedNames>
    <definedName name="_xlnm.Print_Area" localSheetId="2">'01 - 2023'!$A$1:$J$35</definedName>
  </definedNames>
  <calcPr calcId="162913"/>
</workbook>
</file>

<file path=xl/calcChain.xml><?xml version="1.0" encoding="utf-8"?>
<calcChain xmlns="http://schemas.openxmlformats.org/spreadsheetml/2006/main"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J17" i="2"/>
  <c r="I17" i="2"/>
  <c r="H17" i="2"/>
  <c r="F17" i="2"/>
  <c r="E17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K39" i="5"/>
  <c r="H39" i="5"/>
  <c r="H40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K21" i="3" l="1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10" i="2" l="1"/>
  <c r="I10" i="2"/>
  <c r="H10" i="2"/>
  <c r="F10" i="2"/>
  <c r="E10" i="2"/>
  <c r="J9" i="2" l="1"/>
  <c r="I9" i="2"/>
  <c r="H9" i="2"/>
  <c r="F9" i="2"/>
  <c r="E9" i="2"/>
  <c r="B32" i="2" l="1"/>
  <c r="B32" i="3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J28" i="2"/>
  <c r="I28" i="2"/>
  <c r="H28" i="2"/>
  <c r="F28" i="2"/>
  <c r="E2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<sst xmlns="http://schemas.openxmlformats.org/spreadsheetml/2006/main" count="108" uniqueCount="39">
  <si>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</si>
  <si>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</si>
  <si>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</si>
  <si>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</si>
  <si>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</si>
  <si>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</si>
  <si>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</si>
  <si>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</si>
  <si>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</si>
  <si>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</si>
  <si>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</si>
  <si>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</si>
  <si>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</si>
  <si>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</si>
  <si>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</si>
  <si>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</si>
  <si>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</si>
  <si>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</si>
  <si>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</si>
  <si>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</si>
  <si>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</si>
  <si>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</si>
  <si>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</si>
  <si>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</si>
  <si>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</si>
  <si>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</si>
  <si>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</si>
  <si>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</si>
  <si>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</si>
  <si>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</si>
  <si>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</si>
  <si>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</si>
  <si>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</si>
  <si>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</si>
  <si>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</si>
  <si>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</si>
  <si>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</si>
  <si>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2023</t>
  </si>
  <si>
    <t>31/12/22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</si>
</sst>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43" fontId="5" fillId="0" borderId="10" xfId="2" applyFont="1" applyBorder="1" applyAlignment="1">
      <alignment horizontal="center" vertical="center"/>
    </xf>
    <xf numFmtId="43" fontId="5" fillId="2" borderId="10" xfId="2" applyFont="1" applyFill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43" fontId="5" fillId="0" borderId="10" xfId="2" applyFont="1" applyFill="1" applyBorder="1" applyAlignment="1" applyProtection="1">
      <alignment horizontal="center" vertical="center"/>
      <protection locked="0"/>
    </xf>
    <xf numFmtId="43" fontId="5" fillId="0" borderId="10" xfId="2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12" xfId="2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43" fontId="5" fillId="0" borderId="13" xfId="2" applyFont="1" applyBorder="1" applyAlignment="1">
      <alignment horizontal="center" vertical="center"/>
    </xf>
    <xf numFmtId="43" fontId="5" fillId="2" borderId="13" xfId="2" applyFont="1" applyFill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43" fontId="10" fillId="0" borderId="13" xfId="2" applyFont="1" applyFill="1" applyBorder="1" applyAlignment="1" applyProtection="1">
      <alignment horizontal="center" vertical="center"/>
      <protection locked="0"/>
    </xf>
    <xf numFmtId="43" fontId="5" fillId="0" borderId="13" xfId="2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3" fontId="4" fillId="0" borderId="15" xfId="2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3" fontId="4" fillId="0" borderId="17" xfId="0" applyNumberFormat="1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10" fillId="0" borderId="17" xfId="2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S14" sqref="S14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</v>
      </c>
      <c r="D2" s="13">
        <v>2022</v>
      </c>
      <c r="E2" s="15">
        <f>'01 - 2023'!B8-'01 - 2023'!B7+'01 - 2023'!C8-'01 - 2023'!C7</f>
        <v>9478</v>
      </c>
      <c r="F2" s="13">
        <v>0.11799999999999999</v>
      </c>
      <c r="G2" s="15">
        <f>'01 - 2023'!D8-'01 - 2023'!D7+'01 - 2023'!E8-'01 - 2023'!E7</f>
        <v>25.549999999999272</v>
      </c>
      <c r="H2" s="13">
        <v>0.99</v>
      </c>
      <c r="I2" s="15">
        <f>'01 - 2023'!J8-'01 - 2023'!J7</f>
        <v>14240</v>
      </c>
      <c r="J2" s="13">
        <v>8.1000000000000003E-2</v>
      </c>
      <c r="K2" s="21">
        <f>'01 - 2023'!H8-'01 - 2023'!H7</f>
        <v>0</v>
      </c>
      <c r="L2" s="15">
        <f>'01 - 2023'!I8-'01 - 2023'!I7</f>
        <v>123</v>
      </c>
      <c r="M2" s="14">
        <v>4.393629424766913</v>
      </c>
      <c r="N2" s="16">
        <v>89</v>
      </c>
    </row>
    <row r="3" spans="1:2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'01 - 2023'!B9-'01 - 2023'!B8+'01 - 2023'!C9-'01 - 2023'!C8</f>
        <v>9837</v>
      </c>
      <c r="F3" s="13">
        <v>0.11799999999999999</v>
      </c>
      <c r="G3" s="15">
        <f>'01 - 2023'!D9-'01 - 2023'!D8+'01 - 2023'!E9-'01 - 2023'!E8</f>
        <v>25.850000000000364</v>
      </c>
      <c r="H3" s="13">
        <v>0.99</v>
      </c>
      <c r="I3" s="15">
        <f>'01 - 2023'!J9-'01 - 2023'!J8</f>
        <v>14622</v>
      </c>
      <c r="J3" s="13">
        <v>8.1000000000000003E-2</v>
      </c>
      <c r="K3" s="21">
        <f>'01 - 2023'!H9-'01 - 2023'!H8</f>
        <v>0</v>
      </c>
      <c r="L3" s="15">
        <f>'01 - 2023'!I9-'01 - 2023'!I8</f>
        <v>106</v>
      </c>
      <c r="M3" s="14">
        <v>4.393629424766913</v>
      </c>
      <c r="N3" s="38">
        <v>67</v>
      </c>
    </row>
    <row r="4" spans="1:2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'01 - 2023'!B10-'01 - 2023'!B9+'01 - 2023'!C10-'01 - 2023'!C9</f>
        <v>9554</v>
      </c>
      <c r="F4" s="13">
        <v>0.11799999999999999</v>
      </c>
      <c r="G4" s="15">
        <f>'01 - 2023'!D10-'01 - 2023'!D9+'01 - 2023'!E10-'01 - 2023'!E9</f>
        <v>25.659999999999854</v>
      </c>
      <c r="H4" s="13">
        <v>0.99</v>
      </c>
      <c r="I4" s="15">
        <f>'01 - 2023'!J10-'01 - 2023'!J9</f>
        <v>13330</v>
      </c>
      <c r="J4" s="13">
        <v>8.1000000000000003E-2</v>
      </c>
      <c r="K4" s="21">
        <f>'01 - 2023'!H10-'01 - 2023'!H9</f>
        <v>0</v>
      </c>
      <c r="L4" s="15">
        <f>'01 - 2023'!I10-'01 - 2023'!I9</f>
        <v>105</v>
      </c>
      <c r="M4" s="14">
        <v>4.393629424766913</v>
      </c>
      <c r="N4" s="16">
        <v>58</v>
      </c>
    </row>
    <row r="5" spans="1:2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'01 - 2023'!B11-'01 - 2023'!B10+'01 - 2023'!C11-'01 - 2023'!C10</f>
        <v>9251</v>
      </c>
      <c r="F5" s="13">
        <v>0.11799999999999999</v>
      </c>
      <c r="G5" s="15">
        <f>'01 - 2023'!D11-'01 - 2023'!D10+'01 - 2023'!E11-'01 - 2023'!E10</f>
        <v>20.679999999999382</v>
      </c>
      <c r="H5" s="13">
        <v>0.99</v>
      </c>
      <c r="I5" s="15">
        <f>'01 - 2023'!J11-'01 - 2023'!J10</f>
        <v>12737</v>
      </c>
      <c r="J5" s="13">
        <v>8.1000000000000003E-2</v>
      </c>
      <c r="K5" s="21">
        <f>'01 - 2023'!H11-'01 - 2023'!H10</f>
        <v>0</v>
      </c>
      <c r="L5" s="15">
        <f>'01 - 2023'!I11-'01 - 2023'!I10</f>
        <v>96</v>
      </c>
      <c r="M5" s="14">
        <v>4.393629424766913</v>
      </c>
      <c r="N5" s="16">
        <v>57</v>
      </c>
      <c r="R5" s="13"/>
    </row>
    <row r="6" spans="1:2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'01 - 2023'!B12-'01 - 2023'!B11+'01 - 2023'!C12-'01 - 2023'!C11</f>
        <v>9768</v>
      </c>
      <c r="F6" s="13">
        <v>0.11799999999999999</v>
      </c>
      <c r="G6" s="15">
        <f>'01 - 2023'!D12-'01 - 2023'!D11+'01 - 2023'!E12-'01 - 2023'!E11</f>
        <v>18.659999999999854</v>
      </c>
      <c r="H6" s="13">
        <v>0.99</v>
      </c>
      <c r="I6" s="15">
        <f>'01 - 2023'!J12-'01 - 2023'!J11</f>
        <v>12985</v>
      </c>
      <c r="J6" s="13">
        <v>8.1000000000000003E-2</v>
      </c>
      <c r="K6" s="21">
        <f>'01 - 2023'!H12-'01 - 2023'!H11</f>
        <v>0</v>
      </c>
      <c r="L6" s="15">
        <f>'01 - 2023'!I12-'01 - 2023'!I11</f>
        <v>105</v>
      </c>
      <c r="M6" s="14">
        <v>4.393629424766913</v>
      </c>
      <c r="N6" s="16">
        <v>64</v>
      </c>
    </row>
    <row r="7" spans="1:2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f>'01 - 2023'!B13-'01 - 2023'!B12+'01 - 2023'!C13-'01 - 2023'!C12</f>
        <v>9500.4100000000326</v>
      </c>
      <c r="F7" s="13">
        <v>0.11799999999999999</v>
      </c>
      <c r="G7" s="15">
        <f>'01 - 2023'!D13-'01 - 2023'!D12+'01 - 2023'!E13-'01 - 2023'!E12</f>
        <v>21.490000000000691</v>
      </c>
      <c r="H7" s="13">
        <v>0.99</v>
      </c>
      <c r="I7" s="15">
        <f>'01 - 2023'!J13-'01 - 2023'!J12</f>
        <v>13512</v>
      </c>
      <c r="J7" s="13">
        <v>8.1000000000000003E-2</v>
      </c>
      <c r="K7" s="21">
        <f>'01 - 2023'!H13-'01 - 2023'!H12</f>
        <v>0</v>
      </c>
      <c r="L7" s="15">
        <f>'01 - 2023'!I13-'01 - 2023'!I12</f>
        <v>104</v>
      </c>
      <c r="M7" s="14">
        <v>4.393629424766913</v>
      </c>
      <c r="N7" s="16">
        <v>100</v>
      </c>
    </row>
    <row r="8" spans="1:2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'01 - 2023'!B14-'01 - 2023'!B13+'01 - 2023'!C14-'01 - 2023'!C13</f>
        <v>10150.089999999967</v>
      </c>
      <c r="F8" s="13">
        <v>0.11799999999999999</v>
      </c>
      <c r="G8" s="15">
        <f>'01 - 2023'!D14-'01 - 2023'!D13+'01 - 2023'!E14-'01 - 2023'!E13</f>
        <v>29.059999999999491</v>
      </c>
      <c r="H8" s="13">
        <v>0.99</v>
      </c>
      <c r="I8" s="15">
        <f>'01 - 2023'!J14-'01 - 2023'!J13</f>
        <v>13643</v>
      </c>
      <c r="J8" s="13">
        <v>8.1000000000000003E-2</v>
      </c>
      <c r="K8" s="21">
        <f>'01 - 2023'!H14-'01 - 2023'!H13</f>
        <v>0</v>
      </c>
      <c r="L8" s="15">
        <f>'01 - 2023'!I14-'01 - 2023'!I13</f>
        <v>114</v>
      </c>
      <c r="M8" s="14">
        <v>4.393629424766913</v>
      </c>
      <c r="N8" s="16">
        <v>99</v>
      </c>
      <c r="O8" s="15"/>
    </row>
    <row r="9" spans="1:2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'01 - 2023'!B15-'01 - 2023'!B14+'01 - 2023'!C15-'01 - 2023'!C14</f>
        <v>9523</v>
      </c>
      <c r="F9" s="13">
        <v>0.11799999999999999</v>
      </c>
      <c r="G9" s="15">
        <f>'01 - 2023'!D15-'01 - 2023'!D14+'01 - 2023'!E15-'01 - 2023'!E14</f>
        <v>26.920000000000073</v>
      </c>
      <c r="H9" s="13">
        <v>0.99</v>
      </c>
      <c r="I9" s="15">
        <f>'01 - 2023'!J15-'01 - 2023'!J14</f>
        <v>11654</v>
      </c>
      <c r="J9" s="13">
        <v>8.1000000000000003E-2</v>
      </c>
      <c r="K9" s="21">
        <f>'01 - 2023'!H15-'01 - 2023'!H14</f>
        <v>0</v>
      </c>
      <c r="L9" s="15">
        <f>'01 - 2023'!I15-'01 - 2023'!I14</f>
        <v>112</v>
      </c>
      <c r="M9" s="14">
        <v>4.393629424766913</v>
      </c>
      <c r="N9" s="16">
        <v>88</v>
      </c>
    </row>
    <row r="10" spans="1:2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'01 - 2023'!B16-'01 - 2023'!B15+'01 - 2023'!C16-'01 - 2023'!C15</f>
        <v>9732.3000000000466</v>
      </c>
      <c r="F10" s="13">
        <v>0.11799999999999999</v>
      </c>
      <c r="G10" s="15">
        <f>'01 - 2023'!D16-'01 - 2023'!D15+'01 - 2023'!E16-'01 - 2023'!E15</f>
        <v>27</v>
      </c>
      <c r="H10" s="13">
        <v>0.99</v>
      </c>
      <c r="I10" s="15">
        <f>'01 - 2023'!J16-'01 - 2023'!J15</f>
        <v>12478</v>
      </c>
      <c r="J10" s="13">
        <v>8.1000000000000003E-2</v>
      </c>
      <c r="K10" s="21">
        <f>'01 - 2023'!H16-'01 - 2023'!H15</f>
        <v>0</v>
      </c>
      <c r="L10" s="15">
        <f>'01 - 2023'!I16-'01 - 2023'!I15</f>
        <v>107</v>
      </c>
      <c r="M10" s="14">
        <v>4.393629424766913</v>
      </c>
      <c r="N10" s="16">
        <v>102</v>
      </c>
    </row>
    <row r="11" spans="1:2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f>'01 - 2023'!B17-'01 - 2023'!B16+'01 - 2023'!C17-'01 - 2023'!C16</f>
        <v>9017.6999999999534</v>
      </c>
      <c r="F11" s="13">
        <v>0.11799999999999999</v>
      </c>
      <c r="G11" s="15">
        <f>'01 - 2023'!D17-'01 - 2023'!D16+'01 - 2023'!E17-'01 - 2023'!E16</f>
        <v>21.340000000000146</v>
      </c>
      <c r="H11" s="13">
        <v>0.99</v>
      </c>
      <c r="I11" s="15">
        <f>'01 - 2023'!J17-'01 - 2023'!J16</f>
        <v>11892</v>
      </c>
      <c r="J11" s="13">
        <v>8.1000000000000003E-2</v>
      </c>
      <c r="K11" s="21">
        <f>'01 - 2023'!H17-'01 - 2023'!H16</f>
        <v>0</v>
      </c>
      <c r="L11" s="15">
        <f>'01 - 2023'!I17-'01 - 2023'!I16</f>
        <v>109</v>
      </c>
      <c r="M11" s="14">
        <v>4.393629424766913</v>
      </c>
      <c r="N11" s="16">
        <v>97</v>
      </c>
    </row>
    <row r="12" spans="1:2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f>'01 - 2023'!B18-'01 - 2023'!B17+'01 - 2023'!C18-'01 - 2023'!C17</f>
        <v>9218.0999999999767</v>
      </c>
      <c r="F12" s="13">
        <v>0.11799999999999999</v>
      </c>
      <c r="G12" s="15">
        <f>'01 - 2023'!D18-'01 - 2023'!D17+'01 - 2023'!E18-'01 - 2023'!E17</f>
        <v>25.520000000000437</v>
      </c>
      <c r="H12" s="13">
        <v>0.99</v>
      </c>
      <c r="I12" s="15">
        <f>'01 - 2023'!J18-'01 - 2023'!J17</f>
        <v>12848</v>
      </c>
      <c r="J12" s="13">
        <v>8.1000000000000003E-2</v>
      </c>
      <c r="K12" s="21">
        <f>'01 - 2023'!H18-'01 - 2023'!H17</f>
        <v>0</v>
      </c>
      <c r="L12" s="15">
        <f>'01 - 2023'!I18-'01 - 2023'!I17</f>
        <v>113</v>
      </c>
      <c r="M12" s="14">
        <v>4.393629424766913</v>
      </c>
      <c r="N12" s="16">
        <v>88</v>
      </c>
      <c r="W12" s="13"/>
    </row>
    <row r="13" spans="1:2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'01 - 2023'!B19-'01 - 2023'!B18+'01 - 2023'!C19-'01 - 2023'!C18</f>
        <v>9677.5</v>
      </c>
      <c r="F13" s="13">
        <v>0.11799999999999999</v>
      </c>
      <c r="G13" s="15">
        <f>'01 - 2023'!D19-'01 - 2023'!D18+'01 - 2023'!E19-'01 - 2023'!E18</f>
        <v>28.419999999999163</v>
      </c>
      <c r="H13" s="13">
        <v>0.99</v>
      </c>
      <c r="I13" s="15">
        <f>'01 - 2023'!J19-'01 - 2023'!J18</f>
        <v>12097</v>
      </c>
      <c r="J13" s="13">
        <v>8.1000000000000003E-2</v>
      </c>
      <c r="K13" s="21">
        <f>'01 - 2023'!H19-'01 - 2023'!H18</f>
        <v>0</v>
      </c>
      <c r="L13" s="15">
        <f>'01 - 2023'!I19-'01 - 2023'!I18</f>
        <v>108</v>
      </c>
      <c r="M13" s="14">
        <v>4.393629424766913</v>
      </c>
      <c r="N13" s="16">
        <v>87</v>
      </c>
    </row>
    <row r="14" spans="1:2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'01 - 2023'!B20-'01 - 2023'!B19+'01 - 2023'!C20-'01 - 2023'!C19</f>
        <v>9280</v>
      </c>
      <c r="F14" s="13">
        <v>0.11799999999999999</v>
      </c>
      <c r="G14" s="15">
        <f>'01 - 2023'!D20-'01 - 2023'!D19+'01 - 2023'!E20-'01 - 2023'!E19</f>
        <v>24.600000000000364</v>
      </c>
      <c r="H14" s="13">
        <v>0.99</v>
      </c>
      <c r="I14" s="15">
        <f>'01 - 2023'!J20-'01 - 2023'!J19</f>
        <v>11258</v>
      </c>
      <c r="J14" s="13">
        <v>8.1000000000000003E-2</v>
      </c>
      <c r="K14" s="21">
        <f>'01 - 2023'!H20-'01 - 2023'!H19</f>
        <v>0</v>
      </c>
      <c r="L14" s="15">
        <f>'01 - 2023'!I20-'01 - 2023'!I19</f>
        <v>117</v>
      </c>
      <c r="M14" s="14">
        <v>4.393629424766913</v>
      </c>
      <c r="N14" s="16">
        <v>95</v>
      </c>
      <c r="O14" s="15"/>
    </row>
    <row r="15" spans="1:2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f>'01 - 2023'!B21-'01 - 2023'!B20+'01 - 2023'!C21-'01 - 2023'!C20</f>
        <v>9779.8000000000466</v>
      </c>
      <c r="F15" s="13">
        <v>0.11799999999999999</v>
      </c>
      <c r="G15" s="15">
        <f>'01 - 2023'!D21-'01 - 2023'!D20+'01 - 2023'!E21-'01 - 2023'!E20</f>
        <v>28.630000000000109</v>
      </c>
      <c r="H15" s="13">
        <v>0.99</v>
      </c>
      <c r="I15" s="15">
        <f>'01 - 2023'!J21-'01 - 2023'!J20</f>
        <v>11322</v>
      </c>
      <c r="J15" s="13">
        <v>8.1000000000000003E-2</v>
      </c>
      <c r="K15" s="21">
        <f>'01 - 2023'!H21-'01 - 2023'!H20</f>
        <v>0</v>
      </c>
      <c r="L15" s="15">
        <f>'01 - 2023'!I21-'01 - 2023'!I20</f>
        <v>119</v>
      </c>
      <c r="M15" s="14">
        <v>4.393629424766913</v>
      </c>
      <c r="N15" s="16">
        <v>85</v>
      </c>
      <c r="R15" s="13"/>
    </row>
    <row r="16" spans="1:2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'01 - 2023'!B22-'01 - 2023'!B21+'01 - 2023'!C22-'01 - 2023'!C21</f>
        <v>9417.4000000000233</v>
      </c>
      <c r="F16" s="13">
        <v>0.11799999999999999</v>
      </c>
      <c r="G16" s="15">
        <f>'01 - 2023'!D22-'01 - 2023'!D21+'01 - 2023'!E22-'01 - 2023'!E21</f>
        <v>25.419999999999163</v>
      </c>
      <c r="H16" s="13">
        <v>0.99</v>
      </c>
      <c r="I16" s="15">
        <f>'01 - 2023'!J22-'01 - 2023'!J21</f>
        <v>11000</v>
      </c>
      <c r="J16" s="13">
        <v>8.1000000000000003E-2</v>
      </c>
      <c r="K16" s="21">
        <f>'01 - 2023'!H22-'01 - 2023'!H21</f>
        <v>0</v>
      </c>
      <c r="L16" s="15">
        <f>'01 - 2023'!I22-'01 - 2023'!I21</f>
        <v>107</v>
      </c>
      <c r="M16" s="14">
        <v>4.393629424766913</v>
      </c>
      <c r="N16" s="16">
        <v>65</v>
      </c>
      <c r="U16" s="13"/>
    </row>
    <row r="17" spans="1:19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'01 - 2023'!B23-'01 - 2023'!B22+'01 - 2023'!C23-'01 - 2023'!C22</f>
        <v>9337.6999999999534</v>
      </c>
      <c r="F17" s="13">
        <v>0.11799999999999999</v>
      </c>
      <c r="G17" s="15">
        <f>'01 - 2023'!D23-'01 - 2023'!D22+'01 - 2023'!E23-'01 - 2023'!E22</f>
        <v>25.8700000000008</v>
      </c>
      <c r="H17" s="13">
        <v>0.99</v>
      </c>
      <c r="I17" s="15">
        <f>'01 - 2023'!J23-'01 - 2023'!J22</f>
        <v>12132</v>
      </c>
      <c r="J17" s="13">
        <v>8.1000000000000003E-2</v>
      </c>
      <c r="K17" s="21">
        <f>'01 - 2023'!H23-'01 - 2023'!H22</f>
        <v>0</v>
      </c>
      <c r="L17" s="15">
        <f>'01 - 2023'!I23-'01 - 2023'!I22</f>
        <v>102</v>
      </c>
      <c r="M17" s="14">
        <v>4.393629424766913</v>
      </c>
      <c r="N17" s="16">
        <v>87</v>
      </c>
      <c r="O17" s="13"/>
    </row>
    <row r="18" spans="1:19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'01 - 2023'!B24-'01 - 2023'!B23+'01 - 2023'!C24-'01 - 2023'!C23</f>
        <v>9222.6999999999534</v>
      </c>
      <c r="F18" s="13">
        <v>0.11799999999999999</v>
      </c>
      <c r="G18" s="15">
        <f>'01 - 2023'!D24-'01 - 2023'!D23+'01 - 2023'!E24-'01 - 2023'!E23</f>
        <v>22.299999999999272</v>
      </c>
      <c r="H18" s="13">
        <v>0.99</v>
      </c>
      <c r="I18" s="15">
        <f>'01 - 2023'!J24-'01 - 2023'!J23</f>
        <v>12092</v>
      </c>
      <c r="J18" s="13">
        <v>8.1000000000000003E-2</v>
      </c>
      <c r="K18" s="21">
        <f>'01 - 2023'!H24-'01 - 2023'!H23</f>
        <v>0</v>
      </c>
      <c r="L18" s="15">
        <f>'01 - 2023'!I24-'01 - 2023'!I23</f>
        <v>112</v>
      </c>
      <c r="M18" s="14">
        <v>4.393629424766913</v>
      </c>
      <c r="N18" s="16">
        <v>90</v>
      </c>
      <c r="Q18" s="13"/>
      <c r="S18" s="13"/>
    </row>
    <row r="19" spans="1:19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'01 - 2023'!B25-'01 - 2023'!B24+'01 - 2023'!C25-'01 - 2023'!C24</f>
        <v>9097</v>
      </c>
      <c r="F19" s="13">
        <v>0.11799999999999999</v>
      </c>
      <c r="G19" s="15">
        <f>'01 - 2023'!D25-'01 - 2023'!D24+'01 - 2023'!E25-'01 - 2023'!E24</f>
        <v>24.9399999999996</v>
      </c>
      <c r="H19" s="13">
        <v>0.99</v>
      </c>
      <c r="I19" s="15">
        <f>'01 - 2023'!J25-'01 - 2023'!J24</f>
        <v>12692</v>
      </c>
      <c r="J19" s="13">
        <v>8.1000000000000003E-2</v>
      </c>
      <c r="K19" s="21">
        <f>'01 - 2023'!H25-'01 - 2023'!H24</f>
        <v>0</v>
      </c>
      <c r="L19" s="15">
        <f>'01 - 2023'!I25-'01 - 2023'!I24</f>
        <v>102</v>
      </c>
      <c r="M19" s="14">
        <v>4.393629424766913</v>
      </c>
      <c r="N19" s="16">
        <v>94</v>
      </c>
    </row>
    <row r="20" spans="1:19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f>'01 - 2023'!B26-'01 - 2023'!B25+'01 - 2023'!C26-'01 - 2023'!C25</f>
        <v>9783.5</v>
      </c>
      <c r="F20" s="13">
        <v>0.11799999999999999</v>
      </c>
      <c r="G20" s="15">
        <f>'01 - 2023'!D26-'01 - 2023'!D25+'01 - 2023'!E26-'01 - 2023'!E25</f>
        <v>27.940000000000509</v>
      </c>
      <c r="H20" s="13">
        <v>0.99</v>
      </c>
      <c r="I20" s="15">
        <f>'01 - 2023'!J26-'01 - 2023'!J25</f>
        <v>13140</v>
      </c>
      <c r="J20" s="13">
        <v>8.1000000000000003E-2</v>
      </c>
      <c r="K20" s="21">
        <f>'01 - 2023'!H26-'01 - 2023'!H25</f>
        <v>0</v>
      </c>
      <c r="L20" s="15">
        <f>'01 - 2023'!I26-'01 - 2023'!I25</f>
        <v>114</v>
      </c>
      <c r="M20" s="14">
        <v>4.393629424766913</v>
      </c>
      <c r="N20" s="16">
        <v>101</v>
      </c>
    </row>
    <row r="21" spans="1:19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v>0</v>
      </c>
      <c r="F21" s="13">
        <v>0.11799999999999999</v>
      </c>
      <c r="G21" s="15">
        <v>0</v>
      </c>
      <c r="H21" s="13">
        <v>0.99</v>
      </c>
      <c r="I21" s="15">
        <v>0</v>
      </c>
      <c r="J21" s="13">
        <v>8.1000000000000003E-2</v>
      </c>
      <c r="K21" s="21">
        <f>'01 - 2023'!H27-'01 - 2023'!H26</f>
        <v>0</v>
      </c>
      <c r="L21" s="15">
        <v>0</v>
      </c>
      <c r="M21" s="14">
        <v>4.393629424766913</v>
      </c>
      <c r="N21" s="38"/>
    </row>
    <row r="22" spans="1:19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f>'01 - 2023'!B28-'01 - 2023'!B27+'01 - 2023'!C28-'01 - 2023'!C27</f>
        <v>0</v>
      </c>
      <c r="F22" s="13">
        <v>0.11799999999999999</v>
      </c>
      <c r="G22" s="15">
        <f>'01 - 2023'!D28-'01 - 2023'!D27+'01 - 2023'!E28-'01 - 2023'!E27</f>
        <v>0</v>
      </c>
      <c r="H22" s="13">
        <v>0.99</v>
      </c>
      <c r="I22" s="15">
        <f>'01 - 2023'!J28-'01 - 2023'!J27</f>
        <v>0</v>
      </c>
      <c r="J22" s="13">
        <v>8.1000000000000003E-2</v>
      </c>
      <c r="K22" s="21">
        <f>'01 - 2023'!H28-'01 - 2023'!H27</f>
        <v>0</v>
      </c>
      <c r="L22" s="15">
        <f>'01 - 2023'!I28-'01 - 2023'!I27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'01 - 2023'!B29-'01 - 2023'!B28+'01 - 2023'!C29-'01 - 2023'!C28</f>
        <v>0</v>
      </c>
      <c r="F23" s="13">
        <v>0.11799999999999999</v>
      </c>
      <c r="G23" s="15">
        <f>'01 - 2023'!D29-'01 - 2023'!D28+'01 - 2023'!E29-'01 - 2023'!E28</f>
        <v>0</v>
      </c>
      <c r="H23" s="13">
        <v>0.99</v>
      </c>
      <c r="I23" s="15">
        <f>'01 - 2023'!J29-'01 - 2023'!J28</f>
        <v>0</v>
      </c>
      <c r="J23" s="13">
        <v>8.1000000000000003E-2</v>
      </c>
      <c r="K23" s="21">
        <f>'01 - 2023'!H29-'01 - 2023'!H28</f>
        <v>0</v>
      </c>
      <c r="L23" s="15">
        <f>'01 - 2023'!I29-'01 - 2023'!I28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'01 - 2023'!B30-'01 - 2023'!B29+'01 - 2023'!C30-'01 - 2023'!C29</f>
        <v>0</v>
      </c>
      <c r="F24" s="13">
        <v>0.11799999999999999</v>
      </c>
      <c r="G24" s="15">
        <f>'01 - 2023'!D30-'01 - 2023'!D29+'01 - 2023'!E30-'01 - 2023'!E29</f>
        <v>0</v>
      </c>
      <c r="H24" s="13">
        <v>0.99</v>
      </c>
      <c r="I24" s="15">
        <f>'01 - 2023'!J30-'01 - 2023'!J29</f>
        <v>0</v>
      </c>
      <c r="J24" s="13">
        <v>8.1000000000000003E-2</v>
      </c>
      <c r="K24" s="21">
        <f>'01 - 2023'!H30-'01 - 2023'!H29</f>
        <v>0</v>
      </c>
      <c r="L24" s="15">
        <f>'01 - 2023'!I30-'01 - 2023'!I29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f>'01 - 2023'!B31-'01 - 2023'!B30+'01 - 2023'!C31-'01 - 2023'!C30</f>
        <v>0</v>
      </c>
      <c r="F25" s="13">
        <v>0.11799999999999999</v>
      </c>
      <c r="G25" s="15">
        <f>'01 - 2023'!D31-'01 - 2023'!D30+'01 - 2023'!E31-'01 - 2023'!E30</f>
        <v>0</v>
      </c>
      <c r="H25" s="13">
        <v>0.99</v>
      </c>
      <c r="I25" s="15">
        <f>'01 - 2023'!J31-'01 - 2023'!J30</f>
        <v>0</v>
      </c>
      <c r="J25" s="13">
        <v>8.1000000000000003E-2</v>
      </c>
      <c r="K25" s="21">
        <f>'01 - 2023'!H31-'01 - 2023'!H30</f>
        <v>0</v>
      </c>
      <c r="L25" s="15">
        <f>'01 - 2023'!I31-'01 - 2023'!I30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'01 - 2023'!B32-'01 - 2023'!B31+'01 - 2023'!C32-'01 - 2023'!C31</f>
        <v>0</v>
      </c>
      <c r="F26" s="13">
        <v>0.11799999999999999</v>
      </c>
      <c r="G26" s="15">
        <f>'01 - 2023'!D32-'01 - 2023'!D31+'01 - 2023'!E32-'01 - 2023'!E31</f>
        <v>0</v>
      </c>
      <c r="H26" s="13">
        <v>0.99</v>
      </c>
      <c r="I26" s="15">
        <f>'01 - 2023'!J32-'01 - 2023'!J31</f>
        <v>0</v>
      </c>
      <c r="J26" s="13">
        <v>8.1000000000000003E-2</v>
      </c>
      <c r="K26" s="21">
        <f>'01 - 2023'!H32-'01 - 2023'!H31</f>
        <v>0</v>
      </c>
      <c r="L26" s="15">
        <f>'01 - 2023'!I32-'01 - 2023'!I31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'01 - 2023'!B33-'01 - 2023'!B32+'01 - 2023'!C33-'01 - 2023'!C32</f>
        <v>0</v>
      </c>
      <c r="F27" s="13">
        <v>0.11799999999999999</v>
      </c>
      <c r="G27" s="15">
        <f>'01 - 2023'!D33-'01 - 2023'!D32+'01 - 2023'!E33-'01 - 2023'!E32</f>
        <v>0</v>
      </c>
      <c r="H27" s="13">
        <v>0.99</v>
      </c>
      <c r="I27" s="15">
        <f>'01 - 2023'!J33-'01 - 2023'!J32</f>
        <v>0</v>
      </c>
      <c r="J27" s="13">
        <v>8.1000000000000003E-2</v>
      </c>
      <c r="K27" s="21">
        <f>'01 - 2023'!H33-'01 - 2023'!H32</f>
        <v>0</v>
      </c>
      <c r="L27" s="15">
        <f>'01 - 2023'!I33-'01 - 2023'!I32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'01 - 2023'!B34-'01 - 2023'!B33+'01 - 2023'!C34-'01 - 2023'!C33</f>
        <v>0</v>
      </c>
      <c r="F28" s="13">
        <v>0.11799999999999999</v>
      </c>
      <c r="G28" s="15">
        <f>'01 - 2023'!D34-'01 - 2023'!D33+'01 - 2023'!E34-'01 - 2023'!E33</f>
        <v>0</v>
      </c>
      <c r="H28" s="13">
        <v>0.99</v>
      </c>
      <c r="I28" s="15">
        <f>'01 - 2023'!J34-'01 - 2023'!J33</f>
        <v>0</v>
      </c>
      <c r="J28" s="13">
        <v>8.1000000000000003E-2</v>
      </c>
      <c r="K28" s="21">
        <f>'01 - 2023'!H34-'01 - 2023'!H33</f>
        <v>0</v>
      </c>
      <c r="L28" s="15">
        <f>'01 - 2023'!I34-'01 - 2023'!I33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'01 - 2023'!B35-'01 - 2023'!B34+'01 - 2023'!C35-'01 - 2023'!C34</f>
        <v>0</v>
      </c>
      <c r="F29" s="13">
        <v>0.11799999999999999</v>
      </c>
      <c r="G29" s="15">
        <f>'01 - 2023'!D35-'01 - 2023'!D34+'01 - 2023'!E35-'01 - 2023'!E34</f>
        <v>0</v>
      </c>
      <c r="H29" s="13">
        <v>0.99</v>
      </c>
      <c r="I29" s="15">
        <f>'01 - 2023'!J35-'01 - 2023'!J34</f>
        <v>0</v>
      </c>
      <c r="J29" s="13">
        <v>8.1000000000000003E-2</v>
      </c>
      <c r="K29" s="21">
        <f>'01 - 2023'!H35-'01 - 2023'!H34</f>
        <v>0</v>
      </c>
      <c r="L29" s="15">
        <f>'01 - 2023'!I35-'01 - 2023'!I34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'01 - 2023'!B36-'01 - 2023'!B35+'01 - 2023'!C36-'01 - 2023'!C35</f>
        <v>0</v>
      </c>
      <c r="F30" s="13">
        <v>0.11799999999999999</v>
      </c>
      <c r="G30" s="15">
        <f>'01 - 2023'!D36-'01 - 2023'!D35+'01 - 2023'!E36-'01 - 2023'!E35</f>
        <v>0</v>
      </c>
      <c r="H30" s="13">
        <v>0.99</v>
      </c>
      <c r="I30" s="15">
        <f>'01 - 2023'!J36-'01 - 2023'!J35</f>
        <v>0</v>
      </c>
      <c r="J30" s="13">
        <v>8.1000000000000003E-2</v>
      </c>
      <c r="K30" s="21">
        <f>'01 - 2023'!H36-'01 - 2023'!H35</f>
        <v>0</v>
      </c>
      <c r="L30" s="15">
        <f>'01 - 2023'!I36-'01 - 2023'!I35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'01 - 2023'!B37-'01 - 2023'!B36+'01 - 2023'!C37-'01 - 2023'!C36</f>
        <v>0</v>
      </c>
      <c r="F31" s="13">
        <v>0.11799999999999999</v>
      </c>
      <c r="G31" s="15">
        <f>'01 - 2023'!D37-'01 - 2023'!D36+'01 - 2023'!E37-'01 - 2023'!E36</f>
        <v>0</v>
      </c>
      <c r="H31" s="13">
        <v>0.99</v>
      </c>
      <c r="I31" s="15">
        <f>'01 - 2023'!J37-'01 - 2023'!J36</f>
        <v>0</v>
      </c>
      <c r="J31" s="13">
        <v>8.1000000000000003E-2</v>
      </c>
      <c r="K31" s="21">
        <f>'01 - 2023'!H37-'01 - 2023'!H36</f>
        <v>0</v>
      </c>
      <c r="L31" s="15">
        <f>'01 - 2023'!I37-'01 - 2023'!I36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'01 - 2023'!B38-'01 - 2023'!B37+'01 - 2023'!C38-'01 - 2023'!C37</f>
        <v>0</v>
      </c>
      <c r="F32" s="13">
        <v>0.11799999999999999</v>
      </c>
      <c r="G32" s="15">
        <f>'01 - 2023'!D38-'01 - 2023'!D37+'01 - 2023'!E38-'01 - 2023'!E37</f>
        <v>0</v>
      </c>
      <c r="H32" s="13">
        <v>0.99</v>
      </c>
      <c r="I32" s="15">
        <f>'01 - 2023'!J38-'01 - 2023'!J37</f>
        <v>0</v>
      </c>
      <c r="J32" s="13">
        <v>8.1000000000000003E-2</v>
      </c>
      <c r="K32" s="21">
        <f>'01 - 2023'!H38-'01 - 2023'!H37</f>
        <v>0</v>
      </c>
      <c r="L32" s="15">
        <f>'01 - 2023'!I38-'01 - 2023'!I37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25" sqref="J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</v>
      </c>
      <c r="D2">
        <v>2022</v>
      </c>
      <c r="E2" s="15">
        <f>'01 - 2023'!B8-'01 - 2023'!B7</f>
        <v>3899</v>
      </c>
      <c r="F2" s="15">
        <f>'01 - 2023'!C8-'01 - 2023'!C7</f>
        <v>5579</v>
      </c>
      <c r="G2" s="13">
        <v>0.11799999999999999</v>
      </c>
      <c r="H2" s="15">
        <f>'01 - 2023'!E8-'01 - 2023'!E7</f>
        <v>25.649999999999636</v>
      </c>
      <c r="I2" s="15">
        <f>'01 - 2023'!F8-'01 - 2023'!F7</f>
        <v>7.2400000000006912</v>
      </c>
      <c r="J2" s="15">
        <f>'01 - 2023'!G8-'01 - 2023'!G7</f>
        <v>41.069999999999709</v>
      </c>
      <c r="K2" s="13">
        <v>0.74</v>
      </c>
      <c r="L2" s="16">
        <v>89</v>
      </c>
      <c r="M2" s="10"/>
    </row>
    <row r="3" spans="1:1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</f>
        <v>4131</v>
      </c>
      <c r="F3" s="15">
        <f>'01 - 2023'!C9-'01 - 2023'!C8</f>
        <v>5706</v>
      </c>
      <c r="G3" s="13">
        <v>0.11799999999999999</v>
      </c>
      <c r="H3" s="15">
        <f>'01 - 2023'!E9-'01 - 2023'!E8</f>
        <v>25.930000000000291</v>
      </c>
      <c r="I3" s="15">
        <f>'01 - 2023'!F9-'01 - 2023'!F8</f>
        <v>7.5199999999995271</v>
      </c>
      <c r="J3" s="15">
        <f>'01 - 2023'!G9-'01 - 2023'!G8</f>
        <v>40.120000000002619</v>
      </c>
      <c r="K3" s="13">
        <v>0.74</v>
      </c>
      <c r="L3" s="38">
        <v>67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</f>
        <v>3937</v>
      </c>
      <c r="F4" s="15">
        <f>'01 - 2023'!C10-'01 - 2023'!C9</f>
        <v>5617</v>
      </c>
      <c r="G4" s="13">
        <v>0.11799999999999999</v>
      </c>
      <c r="H4" s="15">
        <f>'01 - 2023'!E10-'01 - 2023'!E9</f>
        <v>25.739999999999782</v>
      </c>
      <c r="I4" s="15">
        <f>'01 - 2023'!F10-'01 - 2023'!F9</f>
        <v>6.9899999999997817</v>
      </c>
      <c r="J4" s="15">
        <f>'01 - 2023'!G10-'01 - 2023'!G9</f>
        <v>38.019999999996799</v>
      </c>
      <c r="K4" s="13">
        <v>0.74</v>
      </c>
      <c r="L4" s="16">
        <v>58</v>
      </c>
      <c r="M4" s="10"/>
    </row>
    <row r="5" spans="1:1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</f>
        <v>3945</v>
      </c>
      <c r="F5" s="15">
        <f>'01 - 2023'!C11-'01 - 2023'!C10</f>
        <v>5306</v>
      </c>
      <c r="G5" s="13">
        <v>0.11799999999999999</v>
      </c>
      <c r="H5" s="15">
        <f>'01 - 2023'!E11-'01 - 2023'!E10</f>
        <v>20.149999999999636</v>
      </c>
      <c r="I5" s="15">
        <f>'01 - 2023'!F11-'01 - 2023'!F10</f>
        <v>7.0600000000004002</v>
      </c>
      <c r="J5" s="15">
        <f>'01 - 2023'!G11-'01 - 2023'!G10</f>
        <v>35.169999999998254</v>
      </c>
      <c r="K5" s="13">
        <v>0.74</v>
      </c>
      <c r="L5" s="16">
        <v>57</v>
      </c>
      <c r="M5" s="10"/>
    </row>
    <row r="6" spans="1:1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</f>
        <v>4212</v>
      </c>
      <c r="F6" s="15">
        <f>'01 - 2023'!C12-'01 - 2023'!C11</f>
        <v>5556</v>
      </c>
      <c r="G6" s="13">
        <v>0.11799999999999999</v>
      </c>
      <c r="H6" s="15">
        <f>'01 - 2023'!E12-'01 - 2023'!E11</f>
        <v>18.739999999999782</v>
      </c>
      <c r="I6" s="15">
        <f>'01 - 2023'!F12-'01 - 2023'!F11</f>
        <v>7.5199999999995271</v>
      </c>
      <c r="J6" s="15">
        <f>'01 - 2023'!G12-'01 - 2023'!G11</f>
        <v>38.150000000001455</v>
      </c>
      <c r="K6" s="13">
        <v>0.74</v>
      </c>
      <c r="L6" s="16">
        <v>64</v>
      </c>
      <c r="M6" s="11"/>
    </row>
    <row r="7" spans="1:1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f>'01 - 2023'!B13-'01 - 2023'!B12</f>
        <v>4045.4100000000326</v>
      </c>
      <c r="F7" s="15">
        <f>'01 - 2023'!C13-'01 - 2023'!C12</f>
        <v>5455</v>
      </c>
      <c r="G7" s="13">
        <v>0.11799999999999999</v>
      </c>
      <c r="H7" s="15">
        <f>'01 - 2023'!E13-'01 - 2023'!E12</f>
        <v>21.580000000000837</v>
      </c>
      <c r="I7" s="15">
        <f>'01 - 2023'!F13-'01 - 2023'!F12</f>
        <v>6.9800000000004729</v>
      </c>
      <c r="J7" s="15">
        <f>'01 - 2023'!G13-'01 - 2023'!G12</f>
        <v>38.220000000001164</v>
      </c>
      <c r="K7" s="13">
        <v>0.74</v>
      </c>
      <c r="L7" s="16">
        <v>100</v>
      </c>
      <c r="M7" s="11"/>
    </row>
    <row r="8" spans="1:1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</f>
        <v>4295.0899999999674</v>
      </c>
      <c r="F8" s="15">
        <f>'01 - 2023'!C14-'01 - 2023'!C13</f>
        <v>5855</v>
      </c>
      <c r="G8" s="13">
        <v>0.11799999999999999</v>
      </c>
      <c r="H8" s="15">
        <f>'01 - 2023'!E14-'01 - 2023'!E13</f>
        <v>29.139999999999418</v>
      </c>
      <c r="I8" s="15">
        <f>'01 - 2023'!F14-'01 - 2023'!F13</f>
        <v>7.5799999999999272</v>
      </c>
      <c r="J8" s="15">
        <f>'01 - 2023'!G14-'01 - 2023'!G13</f>
        <v>42.629999999997381</v>
      </c>
      <c r="K8" s="13">
        <v>0.74</v>
      </c>
      <c r="L8" s="16">
        <v>99</v>
      </c>
      <c r="M8" s="11"/>
    </row>
    <row r="9" spans="1:1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</f>
        <v>3997</v>
      </c>
      <c r="F9" s="15">
        <f>'01 - 2023'!C15-'01 - 2023'!C14</f>
        <v>5526</v>
      </c>
      <c r="G9" s="13">
        <v>0.11799999999999999</v>
      </c>
      <c r="H9" s="15">
        <f>'01 - 2023'!E15-'01 - 2023'!E14</f>
        <v>27</v>
      </c>
      <c r="I9" s="15">
        <f>'01 - 2023'!F15-'01 - 2023'!F14</f>
        <v>6.9200000000000728</v>
      </c>
      <c r="J9" s="15">
        <f>'01 - 2023'!G15-'01 - 2023'!G14</f>
        <v>38.090000000003783</v>
      </c>
      <c r="K9" s="13">
        <v>0.74</v>
      </c>
      <c r="L9" s="16">
        <v>88</v>
      </c>
      <c r="M9" s="11"/>
    </row>
    <row r="10" spans="1:1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</f>
        <v>4164.3000000000466</v>
      </c>
      <c r="F10" s="15">
        <f>'01 - 2023'!C16-'01 - 2023'!C15</f>
        <v>5568</v>
      </c>
      <c r="G10" s="13">
        <v>0.11799999999999999</v>
      </c>
      <c r="H10" s="15">
        <f>'01 - 2023'!E16-'01 - 2023'!E15</f>
        <v>27.079999999999927</v>
      </c>
      <c r="I10" s="15">
        <f>'01 - 2023'!F16-'01 - 2023'!F15</f>
        <v>7.6999999999998181</v>
      </c>
      <c r="J10" s="15">
        <f>'01 - 2023'!G16-'01 - 2023'!G15</f>
        <v>35.919999999998254</v>
      </c>
      <c r="K10" s="13">
        <v>0.74</v>
      </c>
      <c r="L10" s="16">
        <v>102</v>
      </c>
      <c r="M10" s="11"/>
    </row>
    <row r="11" spans="1:1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f>'01 - 2023'!B17-'01 - 2023'!B16</f>
        <v>3820.6999999999534</v>
      </c>
      <c r="F11" s="15">
        <f>'01 - 2023'!C17-'01 - 2023'!C16</f>
        <v>5197</v>
      </c>
      <c r="G11" s="13">
        <v>0.11799999999999999</v>
      </c>
      <c r="H11" s="15">
        <f>'01 - 2023'!E17-'01 - 2023'!E16</f>
        <v>21.420000000000073</v>
      </c>
      <c r="I11" s="15">
        <f>'01 - 2023'!F17-'01 - 2023'!F16</f>
        <v>7.9899999999997817</v>
      </c>
      <c r="J11" s="15">
        <f>'01 - 2023'!G17-'01 - 2023'!G16</f>
        <v>33.400000000001455</v>
      </c>
      <c r="K11" s="13">
        <v>0.74</v>
      </c>
      <c r="L11" s="16">
        <v>97</v>
      </c>
      <c r="M11" s="11"/>
    </row>
    <row r="12" spans="1:1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f>'01 - 2023'!B18-'01 - 2023'!B17</f>
        <v>3948.0999999999767</v>
      </c>
      <c r="F12" s="15">
        <f>'01 - 2023'!C18-'01 - 2023'!C17</f>
        <v>5270</v>
      </c>
      <c r="G12" s="13">
        <v>0.11799999999999999</v>
      </c>
      <c r="H12" s="15">
        <f>'01 - 2023'!E18-'01 - 2023'!E17</f>
        <v>25.600000000000364</v>
      </c>
      <c r="I12" s="15">
        <f>'01 - 2023'!F18-'01 - 2023'!F17</f>
        <v>7.2000000000007276</v>
      </c>
      <c r="J12" s="15">
        <f>'01 - 2023'!G18-'01 - 2023'!G17</f>
        <v>35.480000000003201</v>
      </c>
      <c r="K12" s="13">
        <v>0.74</v>
      </c>
      <c r="L12" s="16">
        <v>88</v>
      </c>
      <c r="M12" s="11"/>
    </row>
    <row r="13" spans="1:1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</f>
        <v>4256.5</v>
      </c>
      <c r="F13" s="15">
        <f>'01 - 2023'!C19-'01 - 2023'!C18</f>
        <v>5421</v>
      </c>
      <c r="G13" s="13">
        <v>0.11799999999999999</v>
      </c>
      <c r="H13" s="15">
        <f>'01 - 2023'!E19-'01 - 2023'!E18</f>
        <v>27.9399999999996</v>
      </c>
      <c r="I13" s="15">
        <f>'01 - 2023'!F19-'01 - 2023'!F18</f>
        <v>8.3499999999994543</v>
      </c>
      <c r="J13" s="15">
        <f>'01 - 2023'!G19-'01 - 2023'!G18</f>
        <v>35.069999999999709</v>
      </c>
      <c r="K13" s="13">
        <v>0.74</v>
      </c>
      <c r="L13" s="16">
        <v>87</v>
      </c>
      <c r="M13" s="11"/>
    </row>
    <row r="14" spans="1:1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</f>
        <v>4068</v>
      </c>
      <c r="F14" s="15">
        <f>'01 - 2023'!C20-'01 - 2023'!C19</f>
        <v>5212</v>
      </c>
      <c r="G14" s="13">
        <v>0.11799999999999999</v>
      </c>
      <c r="H14" s="15">
        <f>'01 - 2023'!E20-'01 - 2023'!E19</f>
        <v>24.680000000000291</v>
      </c>
      <c r="I14" s="15">
        <f>'01 - 2023'!F20-'01 - 2023'!F19</f>
        <v>7.819999999999709</v>
      </c>
      <c r="J14" s="15">
        <f>'01 - 2023'!G20-'01 - 2023'!G19</f>
        <v>33.789999999993597</v>
      </c>
      <c r="K14" s="13">
        <v>0.74</v>
      </c>
      <c r="L14" s="16">
        <v>95</v>
      </c>
      <c r="M14" s="11"/>
    </row>
    <row r="15" spans="1:1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f>'01 - 2023'!B21-'01 - 2023'!B20</f>
        <v>4375.8000000000466</v>
      </c>
      <c r="F15" s="15">
        <f>'01 - 2023'!C21-'01 - 2023'!C20</f>
        <v>5404</v>
      </c>
      <c r="G15" s="13">
        <v>0.11799999999999999</v>
      </c>
      <c r="H15" s="15">
        <f>'01 - 2023'!E21-'01 - 2023'!E20</f>
        <v>28.710000000000036</v>
      </c>
      <c r="I15" s="15">
        <f>'01 - 2023'!F21-'01 - 2023'!F20</f>
        <v>8.3200000000006185</v>
      </c>
      <c r="J15" s="15">
        <f>'01 - 2023'!G21-'01 - 2023'!G20</f>
        <v>37.230000000003201</v>
      </c>
      <c r="K15" s="13">
        <v>0.74</v>
      </c>
      <c r="L15" s="16">
        <v>85</v>
      </c>
      <c r="M15" s="11"/>
    </row>
    <row r="16" spans="1:1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</f>
        <v>4167.4000000000233</v>
      </c>
      <c r="F16" s="15">
        <f>'01 - 2023'!C22-'01 - 2023'!C21</f>
        <v>5250</v>
      </c>
      <c r="G16" s="13">
        <v>0.11799999999999999</v>
      </c>
      <c r="H16" s="15">
        <f>'01 - 2023'!E22-'01 - 2023'!E21</f>
        <v>25.4399999999996</v>
      </c>
      <c r="I16" s="15">
        <f>'01 - 2023'!F22-'01 - 2023'!F21</f>
        <v>7.5799999999999272</v>
      </c>
      <c r="J16" s="15">
        <f>'01 - 2023'!G22-'01 - 2023'!G21</f>
        <v>34.400000000001455</v>
      </c>
      <c r="K16" s="13">
        <v>0.74</v>
      </c>
      <c r="L16" s="16">
        <v>65</v>
      </c>
      <c r="M16" s="11"/>
    </row>
    <row r="17" spans="1:13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</f>
        <v>4044.6999999999534</v>
      </c>
      <c r="F17" s="15">
        <f>'01 - 2023'!C23-'01 - 2023'!C22</f>
        <v>5293</v>
      </c>
      <c r="G17" s="13">
        <v>0.11799999999999999</v>
      </c>
      <c r="H17" s="15">
        <f>'01 - 2023'!E23-'01 - 2023'!E22</f>
        <v>26.030000000000655</v>
      </c>
      <c r="I17" s="15">
        <f>'01 - 2023'!F23-'01 - 2023'!F22</f>
        <v>7.2100000000000364</v>
      </c>
      <c r="J17" s="15">
        <f>'01 - 2023'!G23-'01 - 2023'!G22</f>
        <v>34.430000000000291</v>
      </c>
      <c r="K17" s="13">
        <v>0.74</v>
      </c>
      <c r="L17" s="16">
        <v>87</v>
      </c>
      <c r="M17" s="11"/>
    </row>
    <row r="18" spans="1:13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</f>
        <v>3907.6999999999534</v>
      </c>
      <c r="F18" s="15">
        <f>'01 - 2023'!C24-'01 - 2023'!C23</f>
        <v>5315</v>
      </c>
      <c r="G18" s="13">
        <v>0.11799999999999999</v>
      </c>
      <c r="H18" s="15">
        <f>'01 - 2023'!E24-'01 - 2023'!E23</f>
        <v>22.3799999999992</v>
      </c>
      <c r="I18" s="15">
        <f>'01 - 2023'!F24-'01 - 2023'!F23</f>
        <v>6.6300000000001091</v>
      </c>
      <c r="J18" s="15">
        <f>'01 - 2023'!G24-'01 - 2023'!G23</f>
        <v>32.209999999999127</v>
      </c>
      <c r="K18" s="13">
        <v>0.74</v>
      </c>
      <c r="L18" s="16">
        <v>90</v>
      </c>
      <c r="M18" s="11"/>
    </row>
    <row r="19" spans="1:13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</f>
        <v>3896</v>
      </c>
      <c r="F19" s="15">
        <f>'01 - 2023'!C25-'01 - 2023'!C24</f>
        <v>5201</v>
      </c>
      <c r="G19" s="13">
        <v>0.11799999999999999</v>
      </c>
      <c r="H19" s="15">
        <f>'01 - 2023'!E25-'01 - 2023'!E24</f>
        <v>25</v>
      </c>
      <c r="I19" s="15">
        <f>'01 - 2023'!F25-'01 - 2023'!F24</f>
        <v>7.1999999999998181</v>
      </c>
      <c r="J19" s="15">
        <f>'01 - 2023'!G25-'01 - 2023'!G24</f>
        <v>35.389999999999418</v>
      </c>
      <c r="K19" s="13">
        <v>0.74</v>
      </c>
      <c r="L19" s="16">
        <v>94</v>
      </c>
      <c r="M19" s="11"/>
    </row>
    <row r="20" spans="1:13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f>'01 - 2023'!B26-'01 - 2023'!B25</f>
        <v>4281.5</v>
      </c>
      <c r="F20" s="15">
        <f>'01 - 2023'!C26-'01 - 2023'!C25</f>
        <v>5502</v>
      </c>
      <c r="G20" s="13">
        <v>0.11799999999999999</v>
      </c>
      <c r="H20" s="15">
        <f>'01 - 2023'!E26-'01 - 2023'!E25</f>
        <v>27.420000000000073</v>
      </c>
      <c r="I20" s="15">
        <f>'01 - 2023'!F26-'01 - 2023'!F25</f>
        <v>7.2699999999995271</v>
      </c>
      <c r="J20" s="15">
        <f>'01 - 2023'!G26-'01 - 2023'!G25</f>
        <v>33.230000000003201</v>
      </c>
      <c r="K20" s="13">
        <v>0.74</v>
      </c>
      <c r="L20" s="16">
        <v>101</v>
      </c>
      <c r="M20" s="11"/>
    </row>
    <row r="21" spans="1:13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v>0</v>
      </c>
      <c r="F21" s="15">
        <v>0</v>
      </c>
      <c r="G21" s="13">
        <v>0.11799999999999999</v>
      </c>
      <c r="H21" s="15">
        <v>0</v>
      </c>
      <c r="I21" s="15">
        <v>0</v>
      </c>
      <c r="J21" s="15">
        <v>0</v>
      </c>
      <c r="K21" s="13">
        <v>0.74</v>
      </c>
      <c r="L21" s="38"/>
      <c r="M21" s="11"/>
    </row>
    <row r="22" spans="1:13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f>'01 - 2023'!B28-'01 - 2023'!B27</f>
        <v>0</v>
      </c>
      <c r="F22" s="15">
        <f>'01 - 2023'!C28-'01 - 2023'!C27</f>
        <v>0</v>
      </c>
      <c r="G22" s="13">
        <v>0.11799999999999999</v>
      </c>
      <c r="H22" s="15">
        <f>'01 - 2023'!E28-'01 - 2023'!E27</f>
        <v>0</v>
      </c>
      <c r="I22" s="15">
        <f>'01 - 2023'!F28-'01 - 2023'!F27</f>
        <v>0</v>
      </c>
      <c r="J22" s="15">
        <f>'01 - 2023'!G28-'01 - 2023'!G27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</f>
        <v>0</v>
      </c>
      <c r="F23" s="15">
        <f>'01 - 2023'!C29-'01 - 2023'!C28</f>
        <v>0</v>
      </c>
      <c r="G23" s="13">
        <v>0.11799999999999999</v>
      </c>
      <c r="H23" s="15">
        <f>'01 - 2023'!E29-'01 - 2023'!E28</f>
        <v>0</v>
      </c>
      <c r="I23" s="15">
        <f>'01 - 2023'!F29-'01 - 2023'!F28</f>
        <v>0</v>
      </c>
      <c r="J23" s="15">
        <f>'01 - 2023'!G29-'01 - 2023'!G28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</f>
        <v>0</v>
      </c>
      <c r="F24" s="15">
        <f>'01 - 2023'!C30-'01 - 2023'!C29</f>
        <v>0</v>
      </c>
      <c r="G24" s="13">
        <v>0.11799999999999999</v>
      </c>
      <c r="H24" s="15">
        <f>'01 - 2023'!E30-'01 - 2023'!E29</f>
        <v>0</v>
      </c>
      <c r="I24" s="15">
        <f>'01 - 2023'!F30-'01 - 2023'!F29</f>
        <v>0</v>
      </c>
      <c r="J24" s="15">
        <f>'01 - 2023'!G30-'01 - 2023'!G29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f>'01 - 2023'!B31-'01 - 2023'!B30</f>
        <v>0</v>
      </c>
      <c r="F25" s="15">
        <f>'01 - 2023'!C31-'01 - 2023'!C30</f>
        <v>0</v>
      </c>
      <c r="G25" s="13">
        <v>0.11799999999999999</v>
      </c>
      <c r="H25" s="15">
        <f>'01 - 2023'!E31-'01 - 2023'!E30</f>
        <v>0</v>
      </c>
      <c r="I25" s="15">
        <f>'01 - 2023'!F31-'01 - 2023'!F30</f>
        <v>0</v>
      </c>
      <c r="J25" s="15">
        <f>'01 - 2023'!G31-'01 - 2023'!G30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</f>
        <v>0</v>
      </c>
      <c r="F26" s="15">
        <f>'01 - 2023'!C32-'01 - 2023'!C31</f>
        <v>0</v>
      </c>
      <c r="G26" s="13">
        <v>0.11799999999999999</v>
      </c>
      <c r="H26" s="15">
        <f>'01 - 2023'!E32-'01 - 2023'!E31</f>
        <v>0</v>
      </c>
      <c r="I26" s="15">
        <f>'01 - 2023'!F32-'01 - 2023'!F31</f>
        <v>0</v>
      </c>
      <c r="J26" s="15">
        <f>'01 - 2023'!G32-'01 - 2023'!G31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</f>
        <v>0</v>
      </c>
      <c r="F27" s="15">
        <f>'01 - 2023'!C33-'01 - 2023'!C32</f>
        <v>0</v>
      </c>
      <c r="G27" s="13">
        <v>0.11799999999999999</v>
      </c>
      <c r="H27" s="15">
        <f>'01 - 2023'!E33-'01 - 2023'!E32</f>
        <v>0</v>
      </c>
      <c r="I27" s="15">
        <f>'01 - 2023'!F33-'01 - 2023'!F32</f>
        <v>0</v>
      </c>
      <c r="J27" s="15">
        <f>'01 - 2023'!G33-'01 - 2023'!G32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</f>
        <v>0</v>
      </c>
      <c r="F28" s="15">
        <f>'01 - 2023'!C34-'01 - 2023'!C33</f>
        <v>0</v>
      </c>
      <c r="G28" s="13">
        <v>0.11799999999999999</v>
      </c>
      <c r="H28" s="15">
        <f>'01 - 2023'!E34-'01 - 2023'!E33</f>
        <v>0</v>
      </c>
      <c r="I28" s="15">
        <f>'01 - 2023'!F34-'01 - 2023'!F33</f>
        <v>0</v>
      </c>
      <c r="J28" s="15">
        <f>'01 - 2023'!G34-'01 - 2023'!G33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</f>
        <v>0</v>
      </c>
      <c r="F29" s="15">
        <f>'01 - 2023'!C35-'01 - 2023'!C34</f>
        <v>0</v>
      </c>
      <c r="G29" s="13">
        <v>0.11799999999999999</v>
      </c>
      <c r="H29" s="15">
        <f>'01 - 2023'!E35-'01 - 2023'!E34</f>
        <v>0</v>
      </c>
      <c r="I29" s="15">
        <f>'01 - 2023'!F35-'01 - 2023'!F34</f>
        <v>0</v>
      </c>
      <c r="J29" s="15">
        <f>'01 - 2023'!G35-'01 - 2023'!G34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</f>
        <v>0</v>
      </c>
      <c r="F30" s="15">
        <f>'01 - 2023'!C36-'01 - 2023'!C35</f>
        <v>0</v>
      </c>
      <c r="G30" s="13">
        <v>0.11799999999999999</v>
      </c>
      <c r="H30" s="15">
        <f>'01 - 2023'!E36-'01 - 2023'!E35</f>
        <v>0</v>
      </c>
      <c r="I30" s="15">
        <f>'01 - 2023'!F36-'01 - 2023'!F35</f>
        <v>0</v>
      </c>
      <c r="J30" s="15">
        <f>'01 - 2023'!G36-'01 - 2023'!G35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</f>
        <v>0</v>
      </c>
      <c r="F31" s="15">
        <f>'01 - 2023'!C37-'01 - 2023'!C36</f>
        <v>0</v>
      </c>
      <c r="G31" s="13">
        <v>0.11799999999999999</v>
      </c>
      <c r="H31" s="15">
        <f>'01 - 2023'!E37-'01 - 2023'!E36</f>
        <v>0</v>
      </c>
      <c r="I31" s="15">
        <f>'01 - 2023'!F37-'01 - 2023'!F36</f>
        <v>0</v>
      </c>
      <c r="J31" s="15">
        <f>'01 - 2023'!G37-'01 - 2023'!G36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</f>
        <v>0</v>
      </c>
      <c r="F32" s="15">
        <f>'01 - 2023'!C38-'01 - 2023'!C37</f>
        <v>0</v>
      </c>
      <c r="G32" s="13">
        <v>0.11799999999999999</v>
      </c>
      <c r="H32" s="15">
        <f>'01 - 2023'!E38-'01 - 2023'!E37</f>
        <v>0</v>
      </c>
      <c r="I32" s="15">
        <f>'01 - 2023'!F38-'01 - 2023'!F37</f>
        <v>0</v>
      </c>
      <c r="J32" s="15">
        <f>'01 - 2023'!G38-'01 - 2023'!G37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zoomScaleNormal="100" workbookViewId="0">
      <selection activeCell="J32" sqref="J32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A1" s="46"/>
      <c r="B1" s="46"/>
      <c r="C1" s="46"/>
      <c r="D1" s="46"/>
      <c r="E1" s="46"/>
      <c r="F1" s="46"/>
      <c r="G1" s="46"/>
      <c r="H1" s="74"/>
      <c r="I1" s="74"/>
      <c r="J1" s="46"/>
      <c r="K1" s="46"/>
      <c r="L1" s="46"/>
    </row>
    <row r="2" spans="1:17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7" ht="18.75" x14ac:dyDescent="0.25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  <c r="K3" s="46"/>
      <c r="L3" s="46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  <c r="K4" s="46"/>
      <c r="L4" s="46"/>
    </row>
    <row r="5" spans="1:17" ht="16.5" thickBot="1" x14ac:dyDescent="0.3">
      <c r="A5" s="47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24" t="s">
        <v>2</v>
      </c>
      <c r="K5" s="47"/>
      <c r="L5" s="46"/>
    </row>
    <row r="6" spans="1:17" ht="12" customHeight="1" thickBot="1" x14ac:dyDescent="0.3">
      <c r="A6" s="48" t="s">
        <v>3</v>
      </c>
      <c r="B6" s="49" t="s">
        <v>33</v>
      </c>
      <c r="C6" s="50" t="s">
        <v>34</v>
      </c>
      <c r="D6" s="50" t="s">
        <v>4</v>
      </c>
      <c r="E6" s="50" t="s">
        <v>5</v>
      </c>
      <c r="F6" s="50" t="s">
        <v>6</v>
      </c>
      <c r="G6" s="51" t="s">
        <v>7</v>
      </c>
      <c r="H6" s="50" t="s">
        <v>28</v>
      </c>
      <c r="I6" s="50" t="s">
        <v>29</v>
      </c>
      <c r="J6" s="50" t="s">
        <v>8</v>
      </c>
      <c r="K6" s="76" t="s">
        <v>31</v>
      </c>
      <c r="L6" s="77" t="s">
        <v>32</v>
      </c>
    </row>
    <row r="7" spans="1:17" s="26" customFormat="1" ht="12.95" customHeight="1" thickBot="1" x14ac:dyDescent="0.3">
      <c r="A7" s="58" t="s">
        <v>38</v>
      </c>
      <c r="B7" s="59">
        <v>979156</v>
      </c>
      <c r="C7" s="60">
        <v>163249</v>
      </c>
      <c r="D7" s="61">
        <v>0.57999999999999996</v>
      </c>
      <c r="E7" s="62">
        <v>7146.27</v>
      </c>
      <c r="F7" s="63">
        <v>4228.1099999999997</v>
      </c>
      <c r="G7" s="63">
        <v>49060.71</v>
      </c>
      <c r="H7" s="59">
        <v>14528</v>
      </c>
      <c r="I7" s="59">
        <v>182855</v>
      </c>
      <c r="J7" s="59">
        <v>62351078</v>
      </c>
      <c r="K7" s="88"/>
      <c r="L7" s="78"/>
      <c r="M7" s="25"/>
    </row>
    <row r="8" spans="1:17" s="28" customFormat="1" ht="12.95" customHeight="1" thickTop="1" x14ac:dyDescent="0.25">
      <c r="A8" s="64">
        <v>44927</v>
      </c>
      <c r="B8" s="65">
        <v>983055</v>
      </c>
      <c r="C8" s="65">
        <v>168828</v>
      </c>
      <c r="D8" s="66">
        <v>0.48</v>
      </c>
      <c r="E8" s="67">
        <v>7171.92</v>
      </c>
      <c r="F8" s="67">
        <v>4235.3500000000004</v>
      </c>
      <c r="G8" s="65">
        <v>49101.78</v>
      </c>
      <c r="H8" s="65">
        <v>14528</v>
      </c>
      <c r="I8" s="65">
        <v>182978</v>
      </c>
      <c r="J8" s="65">
        <v>62365318</v>
      </c>
      <c r="K8" s="89"/>
      <c r="L8" s="79"/>
      <c r="M8" s="27"/>
    </row>
    <row r="9" spans="1:17" s="28" customFormat="1" ht="12.95" customHeight="1" x14ac:dyDescent="0.25">
      <c r="A9" s="64">
        <v>44928</v>
      </c>
      <c r="B9" s="41">
        <v>987186</v>
      </c>
      <c r="C9" s="39">
        <v>174534</v>
      </c>
      <c r="D9" s="40">
        <v>0.4</v>
      </c>
      <c r="E9" s="39">
        <v>7197.85</v>
      </c>
      <c r="F9" s="39">
        <v>4242.87</v>
      </c>
      <c r="G9" s="39">
        <v>49141.9</v>
      </c>
      <c r="H9" s="41">
        <v>14528</v>
      </c>
      <c r="I9" s="41">
        <v>183084</v>
      </c>
      <c r="J9" s="41">
        <v>62379940</v>
      </c>
      <c r="K9" s="90"/>
      <c r="L9" s="80"/>
      <c r="M9" s="27"/>
    </row>
    <row r="10" spans="1:17" s="28" customFormat="1" ht="12.95" customHeight="1" x14ac:dyDescent="0.25">
      <c r="A10" s="64">
        <v>44929</v>
      </c>
      <c r="B10" s="41">
        <v>991123</v>
      </c>
      <c r="C10" s="41">
        <v>180151</v>
      </c>
      <c r="D10" s="40">
        <v>0.32</v>
      </c>
      <c r="E10" s="39">
        <v>7223.59</v>
      </c>
      <c r="F10" s="39">
        <v>4249.8599999999997</v>
      </c>
      <c r="G10" s="39">
        <v>49179.92</v>
      </c>
      <c r="H10" s="41">
        <v>14528</v>
      </c>
      <c r="I10" s="41">
        <v>183189</v>
      </c>
      <c r="J10" s="39">
        <v>62393270</v>
      </c>
      <c r="K10" s="90"/>
      <c r="L10" s="81"/>
      <c r="M10" s="27"/>
    </row>
    <row r="11" spans="1:17" s="28" customFormat="1" ht="12.95" customHeight="1" x14ac:dyDescent="0.25">
      <c r="A11" s="64">
        <v>44930</v>
      </c>
      <c r="B11" s="41">
        <v>995068</v>
      </c>
      <c r="C11" s="41">
        <v>185457</v>
      </c>
      <c r="D11" s="40">
        <v>0.85</v>
      </c>
      <c r="E11" s="39">
        <v>7243.74</v>
      </c>
      <c r="F11" s="39">
        <v>4256.92</v>
      </c>
      <c r="G11" s="39">
        <v>49215.09</v>
      </c>
      <c r="H11" s="41">
        <v>14528</v>
      </c>
      <c r="I11" s="41">
        <v>183285</v>
      </c>
      <c r="J11" s="41">
        <v>62406007</v>
      </c>
      <c r="K11" s="90">
        <v>4150</v>
      </c>
      <c r="L11" s="81"/>
      <c r="M11" s="27"/>
    </row>
    <row r="12" spans="1:17" s="28" customFormat="1" ht="12.95" customHeight="1" x14ac:dyDescent="0.25">
      <c r="A12" s="64">
        <v>44931</v>
      </c>
      <c r="B12" s="41">
        <v>999280</v>
      </c>
      <c r="C12" s="41">
        <v>191013</v>
      </c>
      <c r="D12" s="40">
        <v>0.77</v>
      </c>
      <c r="E12" s="41">
        <v>7262.48</v>
      </c>
      <c r="F12" s="41">
        <v>4264.4399999999996</v>
      </c>
      <c r="G12" s="41">
        <v>49253.24</v>
      </c>
      <c r="H12" s="41">
        <v>14528</v>
      </c>
      <c r="I12" s="41">
        <v>183390</v>
      </c>
      <c r="J12" s="41">
        <v>62418992</v>
      </c>
      <c r="K12" s="90"/>
      <c r="L12" s="81"/>
      <c r="M12" s="27"/>
      <c r="N12" s="29"/>
    </row>
    <row r="13" spans="1:17" s="28" customFormat="1" ht="12.95" customHeight="1" x14ac:dyDescent="0.25">
      <c r="A13" s="64">
        <v>44932</v>
      </c>
      <c r="B13" s="41">
        <v>1003325.41</v>
      </c>
      <c r="C13" s="39">
        <v>196468</v>
      </c>
      <c r="D13" s="40">
        <v>0.68</v>
      </c>
      <c r="E13" s="39">
        <v>7284.06</v>
      </c>
      <c r="F13" s="39">
        <v>4271.42</v>
      </c>
      <c r="G13" s="39">
        <v>49291.46</v>
      </c>
      <c r="H13" s="41">
        <v>14528</v>
      </c>
      <c r="I13" s="39">
        <v>183494</v>
      </c>
      <c r="J13" s="39">
        <v>62432504</v>
      </c>
      <c r="K13" s="90"/>
      <c r="L13" s="82"/>
      <c r="M13" s="27"/>
      <c r="N13" s="30"/>
      <c r="O13" s="30"/>
      <c r="P13" s="30"/>
      <c r="Q13" s="30"/>
    </row>
    <row r="14" spans="1:17" s="28" customFormat="1" ht="12.95" customHeight="1" x14ac:dyDescent="0.25">
      <c r="A14" s="64">
        <v>44933</v>
      </c>
      <c r="B14" s="41">
        <v>1007620.5</v>
      </c>
      <c r="C14" s="41">
        <v>202323</v>
      </c>
      <c r="D14" s="40">
        <v>0.6</v>
      </c>
      <c r="E14" s="39">
        <v>7313.2</v>
      </c>
      <c r="F14" s="39">
        <v>4279</v>
      </c>
      <c r="G14" s="39">
        <v>49334.09</v>
      </c>
      <c r="H14" s="41">
        <v>14528</v>
      </c>
      <c r="I14" s="41">
        <v>183608</v>
      </c>
      <c r="J14" s="41">
        <v>62446147</v>
      </c>
      <c r="K14" s="90"/>
      <c r="L14" s="81"/>
      <c r="M14" s="27"/>
      <c r="N14" s="30"/>
      <c r="O14" s="30"/>
      <c r="P14" s="30"/>
      <c r="Q14" s="30"/>
    </row>
    <row r="15" spans="1:17" s="28" customFormat="1" ht="12.95" customHeight="1" x14ac:dyDescent="0.25">
      <c r="A15" s="64">
        <v>44934</v>
      </c>
      <c r="B15" s="41">
        <v>1011617.5</v>
      </c>
      <c r="C15" s="41">
        <v>207849</v>
      </c>
      <c r="D15" s="40">
        <v>0.52</v>
      </c>
      <c r="E15" s="39">
        <v>7340.2</v>
      </c>
      <c r="F15" s="52">
        <v>4285.92</v>
      </c>
      <c r="G15" s="39">
        <v>49372.18</v>
      </c>
      <c r="H15" s="41">
        <v>14528</v>
      </c>
      <c r="I15" s="41">
        <v>183720</v>
      </c>
      <c r="J15" s="41">
        <v>62457801</v>
      </c>
      <c r="K15" s="90"/>
      <c r="L15" s="81"/>
      <c r="M15" s="27"/>
      <c r="N15" s="30"/>
      <c r="O15" s="30"/>
      <c r="P15" s="30"/>
      <c r="Q15" s="30"/>
    </row>
    <row r="16" spans="1:17" s="28" customFormat="1" ht="12.95" customHeight="1" x14ac:dyDescent="0.25">
      <c r="A16" s="64">
        <v>44935</v>
      </c>
      <c r="B16" s="41">
        <v>1015781.8</v>
      </c>
      <c r="C16" s="41">
        <v>213417</v>
      </c>
      <c r="D16" s="40">
        <v>0.44</v>
      </c>
      <c r="E16" s="39">
        <v>7367.28</v>
      </c>
      <c r="F16" s="52">
        <v>4293.62</v>
      </c>
      <c r="G16" s="39">
        <v>49408.1</v>
      </c>
      <c r="H16" s="41">
        <v>14528</v>
      </c>
      <c r="I16" s="41">
        <v>183827</v>
      </c>
      <c r="J16" s="41">
        <v>62470279</v>
      </c>
      <c r="K16" s="90"/>
      <c r="L16" s="81"/>
      <c r="M16" s="27"/>
      <c r="N16" s="30"/>
      <c r="O16" s="30"/>
      <c r="P16" s="30"/>
      <c r="Q16" s="30"/>
    </row>
    <row r="17" spans="1:19" s="28" customFormat="1" ht="12.95" customHeight="1" x14ac:dyDescent="0.25">
      <c r="A17" s="64">
        <v>44936</v>
      </c>
      <c r="B17" s="39">
        <v>1019602.5</v>
      </c>
      <c r="C17" s="39">
        <v>218614</v>
      </c>
      <c r="D17" s="40">
        <v>0.36</v>
      </c>
      <c r="E17" s="39">
        <v>7388.7</v>
      </c>
      <c r="F17" s="52">
        <v>4301.6099999999997</v>
      </c>
      <c r="G17" s="39">
        <v>49441.5</v>
      </c>
      <c r="H17" s="41">
        <v>14528</v>
      </c>
      <c r="I17" s="39">
        <v>183936</v>
      </c>
      <c r="J17" s="39">
        <v>62482171</v>
      </c>
      <c r="K17" s="90"/>
      <c r="L17" s="81"/>
      <c r="M17" s="27"/>
      <c r="N17" s="30"/>
      <c r="O17" s="30"/>
      <c r="P17" s="30"/>
      <c r="Q17" s="30"/>
    </row>
    <row r="18" spans="1:19" s="28" customFormat="1" ht="12.95" customHeight="1" x14ac:dyDescent="0.25">
      <c r="A18" s="64">
        <v>44937</v>
      </c>
      <c r="B18" s="41">
        <v>1023550.6</v>
      </c>
      <c r="C18" s="41">
        <v>223884</v>
      </c>
      <c r="D18" s="40">
        <v>0.28000000000000003</v>
      </c>
      <c r="E18" s="39">
        <v>7414.3</v>
      </c>
      <c r="F18" s="39">
        <v>4308.8100000000004</v>
      </c>
      <c r="G18" s="39">
        <v>49476.98</v>
      </c>
      <c r="H18" s="41">
        <v>14528</v>
      </c>
      <c r="I18" s="41">
        <v>184049</v>
      </c>
      <c r="J18" s="41">
        <v>62495019</v>
      </c>
      <c r="K18" s="90"/>
      <c r="L18" s="81"/>
      <c r="M18" s="27"/>
      <c r="N18" s="30"/>
      <c r="O18" s="22"/>
      <c r="P18" s="30"/>
      <c r="Q18" s="30"/>
    </row>
    <row r="19" spans="1:19" s="28" customFormat="1" ht="12.95" customHeight="1" x14ac:dyDescent="0.25">
      <c r="A19" s="64">
        <v>44938</v>
      </c>
      <c r="B19" s="41">
        <v>1027807.1</v>
      </c>
      <c r="C19" s="41">
        <v>229305</v>
      </c>
      <c r="D19" s="40">
        <v>0.76</v>
      </c>
      <c r="E19" s="39">
        <v>7442.24</v>
      </c>
      <c r="F19" s="39">
        <v>4317.16</v>
      </c>
      <c r="G19" s="39">
        <v>49512.05</v>
      </c>
      <c r="H19" s="41">
        <v>14528</v>
      </c>
      <c r="I19" s="41">
        <v>184157</v>
      </c>
      <c r="J19" s="41">
        <v>62507116</v>
      </c>
      <c r="K19" s="90"/>
      <c r="L19" s="81"/>
      <c r="M19" s="27"/>
      <c r="N19" s="30"/>
      <c r="O19" s="22"/>
      <c r="P19" s="30"/>
      <c r="Q19" s="30"/>
    </row>
    <row r="20" spans="1:19" s="28" customFormat="1" ht="12.95" customHeight="1" x14ac:dyDescent="0.25">
      <c r="A20" s="64">
        <v>44939</v>
      </c>
      <c r="B20" s="43">
        <v>1031875.1</v>
      </c>
      <c r="C20" s="43">
        <v>234517</v>
      </c>
      <c r="D20" s="40">
        <v>0.68</v>
      </c>
      <c r="E20" s="41">
        <v>7466.92</v>
      </c>
      <c r="F20" s="41">
        <v>4324.9799999999996</v>
      </c>
      <c r="G20" s="44">
        <v>49545.84</v>
      </c>
      <c r="H20" s="41">
        <v>14528</v>
      </c>
      <c r="I20" s="43">
        <v>184274</v>
      </c>
      <c r="J20" s="43">
        <v>62518374</v>
      </c>
      <c r="K20" s="90"/>
      <c r="L20" s="83"/>
      <c r="M20" s="27"/>
      <c r="N20" s="31"/>
      <c r="O20" s="30"/>
      <c r="P20" s="30"/>
      <c r="Q20" s="30"/>
    </row>
    <row r="21" spans="1:19" s="28" customFormat="1" ht="12.95" customHeight="1" x14ac:dyDescent="0.25">
      <c r="A21" s="64">
        <v>44940</v>
      </c>
      <c r="B21" s="43">
        <v>1036250.9</v>
      </c>
      <c r="C21" s="43">
        <v>239921</v>
      </c>
      <c r="D21" s="40">
        <v>0.6</v>
      </c>
      <c r="E21" s="44">
        <v>7495.63</v>
      </c>
      <c r="F21" s="39">
        <v>4333.3</v>
      </c>
      <c r="G21" s="44">
        <v>49583.07</v>
      </c>
      <c r="H21" s="41">
        <v>14528</v>
      </c>
      <c r="I21" s="43">
        <v>184393</v>
      </c>
      <c r="J21" s="43">
        <v>62529696</v>
      </c>
      <c r="K21" s="90"/>
      <c r="L21" s="83"/>
      <c r="M21" s="27"/>
      <c r="N21" s="31"/>
      <c r="O21" s="31"/>
      <c r="P21" s="32"/>
      <c r="Q21" s="32"/>
      <c r="S21" s="29"/>
    </row>
    <row r="22" spans="1:19" s="28" customFormat="1" ht="12.95" customHeight="1" x14ac:dyDescent="0.25">
      <c r="A22" s="64">
        <v>44941</v>
      </c>
      <c r="B22" s="43">
        <v>1040418.3</v>
      </c>
      <c r="C22" s="43">
        <v>245171</v>
      </c>
      <c r="D22" s="40">
        <v>0.57999999999999996</v>
      </c>
      <c r="E22" s="44">
        <v>7521.07</v>
      </c>
      <c r="F22" s="39">
        <v>4340.88</v>
      </c>
      <c r="G22" s="44">
        <v>49617.47</v>
      </c>
      <c r="H22" s="41">
        <v>14528</v>
      </c>
      <c r="I22" s="43">
        <v>184500</v>
      </c>
      <c r="J22" s="43">
        <v>62540696</v>
      </c>
      <c r="K22" s="90"/>
      <c r="L22" s="83"/>
      <c r="M22" s="27"/>
      <c r="N22" s="31"/>
      <c r="O22" s="31"/>
      <c r="P22" s="30"/>
      <c r="Q22" s="30"/>
    </row>
    <row r="23" spans="1:19" s="28" customFormat="1" ht="12.95" customHeight="1" x14ac:dyDescent="0.25">
      <c r="A23" s="64">
        <v>44942</v>
      </c>
      <c r="B23" s="43">
        <v>1044463</v>
      </c>
      <c r="C23" s="43">
        <v>250464</v>
      </c>
      <c r="D23" s="40">
        <v>0.42</v>
      </c>
      <c r="E23" s="44">
        <v>7547.1</v>
      </c>
      <c r="F23" s="39">
        <v>4348.09</v>
      </c>
      <c r="G23" s="44">
        <v>49651.9</v>
      </c>
      <c r="H23" s="41">
        <v>14528</v>
      </c>
      <c r="I23" s="43">
        <v>184602</v>
      </c>
      <c r="J23" s="43">
        <v>62552828</v>
      </c>
      <c r="K23" s="90"/>
      <c r="L23" s="83"/>
      <c r="M23" s="27"/>
      <c r="N23" s="31"/>
      <c r="O23" s="30"/>
      <c r="P23" s="30"/>
      <c r="Q23" s="30"/>
    </row>
    <row r="24" spans="1:19" s="28" customFormat="1" ht="12.95" customHeight="1" x14ac:dyDescent="0.25">
      <c r="A24" s="64">
        <v>44943</v>
      </c>
      <c r="B24" s="43">
        <v>1048370.7</v>
      </c>
      <c r="C24" s="43">
        <v>255779</v>
      </c>
      <c r="D24" s="40">
        <v>0.34</v>
      </c>
      <c r="E24" s="44">
        <v>7569.48</v>
      </c>
      <c r="F24" s="39">
        <v>4354.72</v>
      </c>
      <c r="G24" s="44">
        <v>49684.11</v>
      </c>
      <c r="H24" s="41">
        <v>14528</v>
      </c>
      <c r="I24" s="43">
        <v>184714</v>
      </c>
      <c r="J24" s="43">
        <v>62564920</v>
      </c>
      <c r="K24" s="90"/>
      <c r="L24" s="84"/>
      <c r="M24" s="27"/>
      <c r="N24" s="31"/>
      <c r="O24" s="31"/>
      <c r="P24" s="30"/>
      <c r="Q24" s="30"/>
    </row>
    <row r="25" spans="1:19" s="28" customFormat="1" ht="12.95" customHeight="1" x14ac:dyDescent="0.25">
      <c r="A25" s="64">
        <v>44944</v>
      </c>
      <c r="B25" s="44">
        <v>1052266.7</v>
      </c>
      <c r="C25" s="44">
        <v>260980</v>
      </c>
      <c r="D25" s="40">
        <v>0.28000000000000003</v>
      </c>
      <c r="E25" s="44">
        <v>7594.48</v>
      </c>
      <c r="F25" s="39">
        <v>4361.92</v>
      </c>
      <c r="G25" s="44">
        <v>49719.5</v>
      </c>
      <c r="H25" s="41">
        <v>14528</v>
      </c>
      <c r="I25" s="43">
        <v>184816</v>
      </c>
      <c r="J25" s="43">
        <v>62577612</v>
      </c>
      <c r="K25" s="91">
        <v>3600</v>
      </c>
      <c r="L25" s="84"/>
      <c r="M25" s="27"/>
      <c r="N25" s="31"/>
      <c r="O25" s="31"/>
      <c r="P25" s="30"/>
      <c r="Q25" s="30"/>
    </row>
    <row r="26" spans="1:19" s="28" customFormat="1" ht="12.95" customHeight="1" x14ac:dyDescent="0.2">
      <c r="A26" s="64">
        <v>44945</v>
      </c>
      <c r="B26" s="44">
        <v>1056548.2</v>
      </c>
      <c r="C26" s="44">
        <v>266482</v>
      </c>
      <c r="D26" s="42">
        <v>0.8</v>
      </c>
      <c r="E26" s="44">
        <v>7621.9</v>
      </c>
      <c r="F26" s="39">
        <v>4369.1899999999996</v>
      </c>
      <c r="G26" s="44">
        <v>49752.73</v>
      </c>
      <c r="H26" s="41">
        <v>14528</v>
      </c>
      <c r="I26" s="43">
        <v>184930</v>
      </c>
      <c r="J26" s="43">
        <v>62590752</v>
      </c>
      <c r="K26" s="90"/>
      <c r="L26" s="84"/>
      <c r="M26" s="27"/>
      <c r="N26" s="31"/>
      <c r="O26" s="31"/>
      <c r="P26" s="30"/>
      <c r="Q26" s="30"/>
    </row>
    <row r="27" spans="1:19" s="28" customFormat="1" ht="12.95" customHeight="1" x14ac:dyDescent="0.25">
      <c r="A27" s="64">
        <v>44946</v>
      </c>
      <c r="B27" s="43"/>
      <c r="C27" s="43"/>
      <c r="D27" s="40"/>
      <c r="E27" s="44"/>
      <c r="F27" s="39"/>
      <c r="G27" s="44"/>
      <c r="H27" s="41">
        <v>14528</v>
      </c>
      <c r="I27" s="43"/>
      <c r="J27" s="43"/>
      <c r="K27" s="90"/>
      <c r="L27" s="83"/>
      <c r="M27" s="27"/>
    </row>
    <row r="28" spans="1:19" s="28" customFormat="1" ht="12.95" customHeight="1" x14ac:dyDescent="0.25">
      <c r="A28" s="64">
        <v>44947</v>
      </c>
      <c r="B28" s="43"/>
      <c r="C28" s="43"/>
      <c r="D28" s="40"/>
      <c r="E28" s="44"/>
      <c r="F28" s="39"/>
      <c r="G28" s="44"/>
      <c r="H28" s="41">
        <v>14528</v>
      </c>
      <c r="I28" s="43"/>
      <c r="J28" s="43"/>
      <c r="K28" s="90"/>
      <c r="L28" s="83"/>
      <c r="M28" s="27"/>
    </row>
    <row r="29" spans="1:19" s="28" customFormat="1" ht="12.95" customHeight="1" x14ac:dyDescent="0.25">
      <c r="A29" s="64">
        <v>44948</v>
      </c>
      <c r="B29" s="43"/>
      <c r="C29" s="43"/>
      <c r="D29" s="40"/>
      <c r="E29" s="44"/>
      <c r="F29" s="39"/>
      <c r="G29" s="44"/>
      <c r="H29" s="41">
        <v>14528</v>
      </c>
      <c r="I29" s="43"/>
      <c r="J29" s="43"/>
      <c r="K29" s="90"/>
      <c r="L29" s="83"/>
      <c r="M29" s="27"/>
      <c r="N29" s="29"/>
    </row>
    <row r="30" spans="1:19" s="28" customFormat="1" ht="12.95" customHeight="1" x14ac:dyDescent="0.25">
      <c r="A30" s="64">
        <v>44949</v>
      </c>
      <c r="B30" s="43"/>
      <c r="C30" s="43"/>
      <c r="D30" s="40"/>
      <c r="E30" s="44"/>
      <c r="F30" s="39"/>
      <c r="G30" s="44"/>
      <c r="H30" s="41">
        <v>14528</v>
      </c>
      <c r="I30" s="43"/>
      <c r="J30" s="43"/>
      <c r="K30" s="90"/>
      <c r="L30" s="83"/>
      <c r="M30" s="27"/>
    </row>
    <row r="31" spans="1:19" s="28" customFormat="1" ht="12.95" customHeight="1" x14ac:dyDescent="0.25">
      <c r="A31" s="64">
        <v>44950</v>
      </c>
      <c r="B31" s="43"/>
      <c r="C31" s="43"/>
      <c r="D31" s="40"/>
      <c r="E31" s="44"/>
      <c r="F31" s="39"/>
      <c r="G31" s="44"/>
      <c r="H31" s="41">
        <v>14528</v>
      </c>
      <c r="I31" s="43"/>
      <c r="J31" s="43"/>
      <c r="K31" s="90"/>
      <c r="L31" s="83"/>
      <c r="M31" s="27"/>
      <c r="N31" s="29"/>
      <c r="O31" s="29"/>
    </row>
    <row r="32" spans="1:19" s="28" customFormat="1" ht="12.95" customHeight="1" x14ac:dyDescent="0.25">
      <c r="A32" s="64">
        <v>44951</v>
      </c>
      <c r="B32" s="43"/>
      <c r="C32" s="43"/>
      <c r="D32" s="40"/>
      <c r="E32" s="44"/>
      <c r="F32" s="39"/>
      <c r="G32" s="44"/>
      <c r="H32" s="41">
        <v>14528</v>
      </c>
      <c r="I32" s="43"/>
      <c r="J32" s="43"/>
      <c r="K32" s="90"/>
      <c r="L32" s="83"/>
      <c r="M32" s="27"/>
      <c r="N32" s="29"/>
      <c r="O32" s="29"/>
    </row>
    <row r="33" spans="1:16" s="28" customFormat="1" ht="12.95" customHeight="1" x14ac:dyDescent="0.25">
      <c r="A33" s="64">
        <v>44952</v>
      </c>
      <c r="B33" s="43"/>
      <c r="C33" s="43"/>
      <c r="D33" s="40"/>
      <c r="E33" s="44"/>
      <c r="F33" s="39"/>
      <c r="G33" s="44"/>
      <c r="H33" s="41">
        <v>14528</v>
      </c>
      <c r="I33" s="43"/>
      <c r="J33" s="43"/>
      <c r="K33" s="90"/>
      <c r="L33" s="83"/>
      <c r="M33" s="33"/>
      <c r="N33" s="29"/>
      <c r="O33" s="29"/>
    </row>
    <row r="34" spans="1:16" s="28" customFormat="1" ht="12.95" customHeight="1" x14ac:dyDescent="0.25">
      <c r="A34" s="64">
        <v>44953</v>
      </c>
      <c r="B34" s="43"/>
      <c r="C34" s="43"/>
      <c r="D34" s="40"/>
      <c r="E34" s="44"/>
      <c r="F34" s="39"/>
      <c r="G34" s="44"/>
      <c r="H34" s="41">
        <v>14528</v>
      </c>
      <c r="I34" s="44"/>
      <c r="J34" s="44"/>
      <c r="K34" s="90"/>
      <c r="L34" s="85"/>
      <c r="M34" s="33"/>
      <c r="N34" s="29"/>
      <c r="P34" s="29"/>
    </row>
    <row r="35" spans="1:16" s="28" customFormat="1" ht="12.95" customHeight="1" x14ac:dyDescent="0.25">
      <c r="A35" s="64">
        <v>44954</v>
      </c>
      <c r="B35" s="41"/>
      <c r="C35" s="45"/>
      <c r="D35" s="40"/>
      <c r="E35" s="44"/>
      <c r="F35" s="39"/>
      <c r="G35" s="39"/>
      <c r="H35" s="41">
        <v>14528</v>
      </c>
      <c r="I35" s="41"/>
      <c r="J35" s="41"/>
      <c r="K35" s="90"/>
      <c r="L35" s="83"/>
      <c r="M35" s="27"/>
      <c r="N35" s="29"/>
      <c r="O35" s="29"/>
    </row>
    <row r="36" spans="1:16" s="28" customFormat="1" ht="12.95" customHeight="1" x14ac:dyDescent="0.25">
      <c r="A36" s="64">
        <v>44955</v>
      </c>
      <c r="B36" s="41"/>
      <c r="C36" s="45"/>
      <c r="D36" s="40"/>
      <c r="E36" s="68"/>
      <c r="F36" s="39"/>
      <c r="G36" s="39"/>
      <c r="H36" s="41">
        <v>14528</v>
      </c>
      <c r="I36" s="41"/>
      <c r="J36" s="41"/>
      <c r="K36" s="90"/>
      <c r="L36" s="86"/>
      <c r="M36" s="27"/>
      <c r="N36" s="29"/>
      <c r="O36" s="29"/>
    </row>
    <row r="37" spans="1:16" s="28" customFormat="1" ht="12.95" customHeight="1" x14ac:dyDescent="0.25">
      <c r="A37" s="64">
        <v>44956</v>
      </c>
      <c r="B37" s="41"/>
      <c r="C37" s="45"/>
      <c r="D37" s="40"/>
      <c r="E37" s="68"/>
      <c r="F37" s="39"/>
      <c r="G37" s="39"/>
      <c r="H37" s="41">
        <v>14528</v>
      </c>
      <c r="I37" s="41"/>
      <c r="J37" s="41"/>
      <c r="K37" s="90"/>
      <c r="L37" s="83"/>
      <c r="M37" s="27"/>
      <c r="N37" s="29"/>
      <c r="O37" s="29"/>
    </row>
    <row r="38" spans="1:16" s="28" customFormat="1" ht="12.95" customHeight="1" thickBot="1" x14ac:dyDescent="0.3">
      <c r="A38" s="75">
        <v>44957</v>
      </c>
      <c r="B38" s="69"/>
      <c r="C38" s="70"/>
      <c r="D38" s="71"/>
      <c r="E38" s="72"/>
      <c r="F38" s="73"/>
      <c r="G38" s="73"/>
      <c r="H38" s="69">
        <v>14528</v>
      </c>
      <c r="I38" s="69"/>
      <c r="J38" s="69"/>
      <c r="K38" s="92"/>
      <c r="L38" s="87"/>
      <c r="M38" s="23"/>
      <c r="N38" s="29"/>
      <c r="O38" s="29"/>
    </row>
    <row r="39" spans="1:16" s="37" customFormat="1" x14ac:dyDescent="0.25">
      <c r="A39" s="34" t="s">
        <v>35</v>
      </c>
      <c r="B39" s="35"/>
      <c r="C39" s="35"/>
      <c r="D39" s="35"/>
      <c r="E39" s="35"/>
      <c r="F39" s="35"/>
      <c r="G39" s="35"/>
      <c r="H39" s="35">
        <f t="shared" ref="H39" si="0">H38-H7</f>
        <v>0</v>
      </c>
      <c r="I39" s="35"/>
      <c r="J39" s="35"/>
      <c r="K39" s="35">
        <f>SUM(K7:K37)</f>
        <v>7750</v>
      </c>
      <c r="L39" s="46"/>
      <c r="M39" s="23"/>
    </row>
    <row r="40" spans="1:16" s="37" customFormat="1" x14ac:dyDescent="0.25">
      <c r="A40" s="46"/>
      <c r="B40" s="46"/>
      <c r="C40" s="35"/>
      <c r="D40" s="46"/>
      <c r="E40" s="53"/>
      <c r="F40" s="53"/>
      <c r="G40" s="53"/>
      <c r="H40" s="36">
        <f>H39*219.969</f>
        <v>0</v>
      </c>
      <c r="I40" s="35">
        <f>I39*219.969</f>
        <v>0</v>
      </c>
      <c r="J40" s="53"/>
      <c r="K40" s="46"/>
      <c r="L40" s="46"/>
    </row>
    <row r="41" spans="1:16" x14ac:dyDescent="0.25">
      <c r="A41" s="54"/>
      <c r="B41" s="55"/>
      <c r="C41" s="55"/>
      <c r="D41" s="54"/>
      <c r="E41" s="55"/>
      <c r="F41" s="55"/>
      <c r="G41" s="55"/>
      <c r="H41" s="55"/>
      <c r="I41" s="55"/>
      <c r="J41" s="55"/>
      <c r="K41" s="54"/>
      <c r="L41" s="54"/>
    </row>
    <row r="42" spans="1:16" x14ac:dyDescent="0.25">
      <c r="A42" s="46"/>
      <c r="B42" s="46"/>
      <c r="C42" s="46"/>
      <c r="D42" s="46"/>
      <c r="E42" s="46"/>
      <c r="F42" s="46"/>
      <c r="G42" s="46"/>
      <c r="H42" s="46"/>
      <c r="I42" s="36"/>
      <c r="J42" s="46"/>
      <c r="K42" s="46"/>
      <c r="L42" s="46"/>
    </row>
    <row r="43" spans="1:16" x14ac:dyDescent="0.25">
      <c r="A43" s="46"/>
      <c r="B43" s="46"/>
      <c r="C43" s="53"/>
      <c r="D43" s="46"/>
      <c r="E43" s="46"/>
      <c r="F43" s="46"/>
      <c r="G43" s="46"/>
      <c r="H43" s="46"/>
      <c r="I43" s="46"/>
      <c r="J43" s="46"/>
      <c r="K43" s="46"/>
      <c r="L43" s="46"/>
    </row>
    <row r="44" spans="1:1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56"/>
      <c r="K44" s="46"/>
      <c r="L44" s="46"/>
    </row>
    <row r="45" spans="1:16" x14ac:dyDescent="0.25">
      <c r="A45" s="46"/>
      <c r="B45" s="46"/>
      <c r="C45" s="57"/>
      <c r="D45" s="46"/>
      <c r="E45" s="46"/>
      <c r="F45" s="46"/>
      <c r="G45" s="46"/>
      <c r="H45" s="46"/>
      <c r="I45" s="56"/>
      <c r="J45" s="46"/>
      <c r="K45" s="46"/>
      <c r="L45" s="46"/>
    </row>
    <row r="46" spans="1:1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spans="1:1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spans="1:1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1:12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spans="1:12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spans="1:12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01 - 2023</vt:lpstr>
      <vt:lpstr>'01 - 2023'!Print_Area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2023-01-19T05:45:58Z</dcterms:modified>
</cp:coreProperties>
</file>