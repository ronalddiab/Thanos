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40" windowWidth="14150" windowHeight="12090" tabRatio="581" firstSheet="3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7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7"/>
  <c r="H18" s="1"/>
  <c r="F17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7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7" i="3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8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5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6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8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8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6" i="2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6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6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6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6" i="2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6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V22" i="3"/>
  <c r="U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AY8" i="7" l="1"/>
  <c r="BJ8"/>
  <c r="Q12" i="76"/>
  <c r="BJ14" i="7"/>
  <c r="Q7" i="76"/>
  <c r="BJ9" i="7"/>
  <c r="AY11"/>
  <c r="BJ11"/>
  <c r="Q11" i="76"/>
  <c r="BJ13" i="7"/>
  <c r="Q13" i="76"/>
  <c r="BJ15" i="7"/>
  <c r="Q8" i="76"/>
  <c r="BJ10" i="7"/>
  <c r="AY15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<sst xmlns="http://schemas.openxmlformats.org/spreadsheetml/2006/main" count="652" uniqueCount="417">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</sst>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5790592"/>
        <c:axId val="89542656"/>
      </c:lineChart>
      <c:catAx>
        <c:axId val="13579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42656"/>
        <c:crosses val="autoZero"/>
        <c:auto val="1"/>
        <c:lblAlgn val="ctr"/>
        <c:lblOffset val="100"/>
      </c:catAx>
      <c:valAx>
        <c:axId val="89542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9583616"/>
        <c:axId val="89585152"/>
      </c:lineChart>
      <c:catAx>
        <c:axId val="895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5152"/>
        <c:crosses val="autoZero"/>
        <c:auto val="1"/>
        <c:lblAlgn val="ctr"/>
        <c:lblOffset val="100"/>
      </c:catAx>
      <c:valAx>
        <c:axId val="8958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3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0788992"/>
        <c:axId val="90790528"/>
      </c:lineChart>
      <c:catAx>
        <c:axId val="9078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0528"/>
        <c:crosses val="autoZero"/>
        <c:auto val="1"/>
        <c:lblAlgn val="ctr"/>
        <c:lblOffset val="100"/>
      </c:catAx>
      <c:valAx>
        <c:axId val="90790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93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0806528"/>
        <c:axId val="90816512"/>
      </c:lineChart>
      <c:catAx>
        <c:axId val="9080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16512"/>
        <c:crosses val="autoZero"/>
        <c:auto val="1"/>
        <c:lblAlgn val="ctr"/>
        <c:lblOffset val="100"/>
      </c:catAx>
      <c:valAx>
        <c:axId val="90816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5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0828160"/>
        <c:axId val="91042944"/>
      </c:lineChart>
      <c:catAx>
        <c:axId val="9082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42944"/>
        <c:crosses val="autoZero"/>
        <c:auto val="1"/>
        <c:lblAlgn val="ctr"/>
        <c:lblOffset val="100"/>
      </c:catAx>
      <c:valAx>
        <c:axId val="91042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2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9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-16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0981888"/>
        <c:axId val="90983424"/>
      </c:lineChart>
      <c:catAx>
        <c:axId val="909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3424"/>
        <c:crosses val="autoZero"/>
        <c:auto val="1"/>
        <c:lblAlgn val="ctr"/>
        <c:lblOffset val="100"/>
      </c:catAx>
      <c:valAx>
        <c:axId val="9098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007616"/>
        <c:axId val="91013504"/>
      </c:lineChart>
      <c:catAx>
        <c:axId val="9100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3504"/>
        <c:crosses val="autoZero"/>
        <c:auto val="1"/>
        <c:lblAlgn val="ctr"/>
        <c:lblOffset val="100"/>
      </c:catAx>
      <c:valAx>
        <c:axId val="9101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028864"/>
        <c:axId val="91309184"/>
      </c:lineChart>
      <c:catAx>
        <c:axId val="9102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9184"/>
        <c:crosses val="autoZero"/>
        <c:auto val="1"/>
        <c:lblAlgn val="ctr"/>
        <c:lblOffset val="100"/>
      </c:catAx>
      <c:valAx>
        <c:axId val="9130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321088"/>
        <c:axId val="91322624"/>
      </c:lineChart>
      <c:catAx>
        <c:axId val="9132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2624"/>
        <c:crosses val="autoZero"/>
        <c:auto val="1"/>
        <c:lblAlgn val="ctr"/>
        <c:lblOffset val="100"/>
      </c:catAx>
      <c:valAx>
        <c:axId val="91322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383"/>
          <c:w val="0.127240331517739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350912"/>
        <c:axId val="91352448"/>
      </c:lineChart>
      <c:catAx>
        <c:axId val="9135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2448"/>
        <c:crosses val="autoZero"/>
        <c:auto val="1"/>
        <c:lblAlgn val="ctr"/>
        <c:lblOffset val="100"/>
      </c:catAx>
      <c:valAx>
        <c:axId val="9135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1483136"/>
        <c:axId val="91484928"/>
      </c:lineChart>
      <c:catAx>
        <c:axId val="9148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4928"/>
        <c:crosses val="autoZero"/>
        <c:auto val="1"/>
        <c:lblAlgn val="ctr"/>
        <c:lblOffset val="100"/>
      </c:catAx>
      <c:valAx>
        <c:axId val="9148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383"/>
          <c:w val="0.135416885389356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378048"/>
        <c:axId val="91379584"/>
      </c:lineChart>
      <c:catAx>
        <c:axId val="913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9584"/>
        <c:crosses val="autoZero"/>
        <c:auto val="1"/>
        <c:lblAlgn val="ctr"/>
        <c:lblOffset val="100"/>
      </c:catAx>
      <c:valAx>
        <c:axId val="91379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38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1400064"/>
        <c:axId val="91401600"/>
      </c:lineChart>
      <c:catAx>
        <c:axId val="9140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01600"/>
        <c:crosses val="autoZero"/>
        <c:auto val="1"/>
        <c:lblAlgn val="ctr"/>
        <c:lblOffset val="100"/>
      </c:catAx>
      <c:valAx>
        <c:axId val="91401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1511808"/>
        <c:axId val="91517696"/>
      </c:lineChart>
      <c:catAx>
        <c:axId val="915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17696"/>
        <c:crosses val="autoZero"/>
        <c:auto val="1"/>
        <c:lblAlgn val="ctr"/>
        <c:lblOffset val="100"/>
      </c:catAx>
      <c:valAx>
        <c:axId val="9151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383"/>
          <c:w val="0.135416885389356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636096"/>
        <c:axId val="91637632"/>
      </c:lineChart>
      <c:catAx>
        <c:axId val="9163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37632"/>
        <c:crosses val="autoZero"/>
        <c:auto val="1"/>
        <c:lblAlgn val="ctr"/>
        <c:lblOffset val="100"/>
      </c:catAx>
      <c:valAx>
        <c:axId val="91637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3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167"/>
          <c:y val="0.54325368498487869"/>
          <c:w val="0.11458355205599259"/>
          <c:h val="4.49826989619499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653632"/>
        <c:axId val="91655168"/>
      </c:lineChart>
      <c:catAx>
        <c:axId val="916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5168"/>
        <c:crosses val="autoZero"/>
        <c:auto val="1"/>
        <c:lblAlgn val="ctr"/>
        <c:lblOffset val="100"/>
      </c:catAx>
      <c:valAx>
        <c:axId val="9165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57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-16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675648"/>
        <c:axId val="91562752"/>
      </c:lineChart>
      <c:catAx>
        <c:axId val="916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62752"/>
        <c:crosses val="autoZero"/>
        <c:auto val="1"/>
        <c:lblAlgn val="ctr"/>
        <c:lblOffset val="100"/>
      </c:catAx>
      <c:valAx>
        <c:axId val="9156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7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7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595136"/>
        <c:axId val="91596672"/>
      </c:lineChart>
      <c:catAx>
        <c:axId val="9159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6672"/>
        <c:crosses val="autoZero"/>
        <c:auto val="1"/>
        <c:lblAlgn val="ctr"/>
        <c:lblOffset val="100"/>
      </c:catAx>
      <c:valAx>
        <c:axId val="91596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764224"/>
        <c:axId val="91765760"/>
      </c:lineChart>
      <c:catAx>
        <c:axId val="9176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5760"/>
        <c:crosses val="autoZero"/>
        <c:auto val="1"/>
        <c:lblAlgn val="ctr"/>
        <c:lblOffset val="100"/>
      </c:catAx>
      <c:valAx>
        <c:axId val="91765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794048"/>
        <c:axId val="91804032"/>
      </c:lineChart>
      <c:catAx>
        <c:axId val="917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04032"/>
        <c:crosses val="autoZero"/>
        <c:auto val="1"/>
        <c:lblAlgn val="ctr"/>
        <c:lblOffset val="100"/>
      </c:catAx>
      <c:valAx>
        <c:axId val="918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10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688960"/>
        <c:axId val="91690496"/>
      </c:lineChart>
      <c:catAx>
        <c:axId val="9168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90496"/>
        <c:crosses val="autoZero"/>
        <c:auto val="1"/>
        <c:lblAlgn val="ctr"/>
        <c:lblOffset val="100"/>
      </c:catAx>
      <c:valAx>
        <c:axId val="9169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38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718784"/>
        <c:axId val="91720320"/>
      </c:lineChart>
      <c:catAx>
        <c:axId val="9171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20320"/>
        <c:crosses val="autoZero"/>
        <c:auto val="1"/>
        <c:lblAlgn val="ctr"/>
        <c:lblOffset val="100"/>
      </c:catAx>
      <c:valAx>
        <c:axId val="9172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1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507"/>
          <c:w val="0.123431181980931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1905024"/>
        <c:axId val="91910912"/>
      </c:lineChart>
      <c:catAx>
        <c:axId val="91905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0912"/>
        <c:crosses val="autoZero"/>
        <c:auto val="1"/>
        <c:lblAlgn val="ctr"/>
        <c:lblOffset val="100"/>
      </c:catAx>
      <c:valAx>
        <c:axId val="919109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193"/>
          <c:w val="0.1569039853282210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942912"/>
        <c:axId val="91944448"/>
      </c:lineChart>
      <c:catAx>
        <c:axId val="9194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4448"/>
        <c:crosses val="autoZero"/>
        <c:auto val="1"/>
        <c:lblAlgn val="ctr"/>
        <c:lblOffset val="100"/>
      </c:catAx>
      <c:valAx>
        <c:axId val="91944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0330624"/>
        <c:axId val="90332160"/>
      </c:lineChart>
      <c:catAx>
        <c:axId val="9033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2160"/>
        <c:crosses val="autoZero"/>
        <c:auto val="1"/>
        <c:lblAlgn val="ctr"/>
        <c:lblOffset val="100"/>
      </c:catAx>
      <c:valAx>
        <c:axId val="9033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6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650112"/>
        <c:axId val="92656000"/>
      </c:lineChart>
      <c:catAx>
        <c:axId val="9265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6000"/>
        <c:crosses val="autoZero"/>
        <c:auto val="1"/>
        <c:lblAlgn val="ctr"/>
        <c:lblOffset val="100"/>
      </c:catAx>
      <c:valAx>
        <c:axId val="92656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2713344"/>
        <c:axId val="92714880"/>
      </c:lineChart>
      <c:catAx>
        <c:axId val="927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4880"/>
        <c:crosses val="autoZero"/>
        <c:auto val="1"/>
        <c:lblAlgn val="ctr"/>
        <c:lblOffset val="100"/>
      </c:catAx>
      <c:valAx>
        <c:axId val="9271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70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2772992"/>
        <c:axId val="92782976"/>
      </c:lineChart>
      <c:catAx>
        <c:axId val="92772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2976"/>
        <c:crosses val="autoZero"/>
        <c:auto val="1"/>
        <c:lblAlgn val="ctr"/>
        <c:lblOffset val="100"/>
      </c:catAx>
      <c:valAx>
        <c:axId val="92782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1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0.29988509777210459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0.1962280600768396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0.1900060506903529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0.18666533608994448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6.0488365756935801E-2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0.18981186190532884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0.1240756865749351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0.15950008266625326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0.10694154323041169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0.16386207047579163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0.13414334823260674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0.12261294408642949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0.13411117496652086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I15" sqref="AI15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ref="D15:D33" si="29">D15</f>
        <v>32676972</v>
      </c>
      <c r="E16" s="311">
        <f t="shared" si="13"/>
        <v>0</v>
      </c>
      <c r="F16" s="445">
        <f t="shared" ref="F15:F33" si="30">F15</f>
        <v>3979517</v>
      </c>
      <c r="G16" s="312">
        <f t="shared" si="0"/>
        <v>0</v>
      </c>
      <c r="H16" s="445">
        <f t="shared" ref="H15:H33" si="31">H15</f>
        <v>17815006</v>
      </c>
      <c r="I16" s="312">
        <f t="shared" si="14"/>
        <v>0</v>
      </c>
      <c r="J16" s="445">
        <f t="shared" ref="J15:J33" si="32">J15</f>
        <v>28934822</v>
      </c>
      <c r="K16" s="312">
        <f t="shared" si="15"/>
        <v>0</v>
      </c>
      <c r="L16" s="445">
        <f t="shared" ref="L15:L33" si="33">L15</f>
        <v>24077798</v>
      </c>
      <c r="M16" s="312">
        <f t="shared" si="16"/>
        <v>0</v>
      </c>
      <c r="N16" s="310">
        <f t="shared" si="17"/>
        <v>0</v>
      </c>
      <c r="O16" s="467">
        <f t="shared" si="24"/>
        <v>0</v>
      </c>
      <c r="P16" s="591">
        <f t="shared" ref="P15:P33" si="34">P15</f>
        <v>16726.414000000001</v>
      </c>
      <c r="Q16" s="449">
        <f t="shared" si="27"/>
        <v>0</v>
      </c>
      <c r="R16" s="449">
        <f t="shared" si="28"/>
        <v>0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f t="shared" ref="AA15:AA33" si="35">AA15</f>
        <v>35740</v>
      </c>
      <c r="AB16" s="449">
        <f>AA16-AA15</f>
        <v>0</v>
      </c>
      <c r="AC16" s="445">
        <f t="shared" ref="AC15:AC33" si="36">AC15</f>
        <v>924043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25"/>
        <v>0</v>
      </c>
      <c r="AI16" s="466">
        <f>R16-'EDl log'!B14</f>
        <v>-925453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9"/>
        <v>32676972</v>
      </c>
      <c r="E17" s="311">
        <f t="shared" si="13"/>
        <v>0</v>
      </c>
      <c r="F17" s="445">
        <f t="shared" si="30"/>
        <v>3979517</v>
      </c>
      <c r="G17" s="312">
        <f t="shared" si="0"/>
        <v>0</v>
      </c>
      <c r="H17" s="445">
        <f t="shared" si="31"/>
        <v>17815006</v>
      </c>
      <c r="I17" s="312">
        <f t="shared" si="14"/>
        <v>0</v>
      </c>
      <c r="J17" s="445">
        <f t="shared" si="32"/>
        <v>28934822</v>
      </c>
      <c r="K17" s="312">
        <f t="shared" si="15"/>
        <v>0</v>
      </c>
      <c r="L17" s="445">
        <f t="shared" si="33"/>
        <v>24077798</v>
      </c>
      <c r="M17" s="312">
        <f t="shared" si="16"/>
        <v>0</v>
      </c>
      <c r="N17" s="310">
        <f t="shared" si="17"/>
        <v>0</v>
      </c>
      <c r="O17" s="467">
        <f t="shared" si="24"/>
        <v>0</v>
      </c>
      <c r="P17" s="591">
        <f t="shared" si="34"/>
        <v>16726.414000000001</v>
      </c>
      <c r="Q17" s="449">
        <f t="shared" si="27"/>
        <v>0</v>
      </c>
      <c r="R17" s="449">
        <f t="shared" si="28"/>
        <v>0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f t="shared" si="35"/>
        <v>35740</v>
      </c>
      <c r="AB17" s="449">
        <f t="shared" si="19"/>
        <v>0</v>
      </c>
      <c r="AC17" s="445">
        <f t="shared" si="36"/>
        <v>924043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25"/>
        <v>0</v>
      </c>
      <c r="AI17" s="466">
        <f>R17-'EDl log'!B15</f>
        <v>-928063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9"/>
        <v>32676972</v>
      </c>
      <c r="E18" s="311">
        <f t="shared" si="13"/>
        <v>0</v>
      </c>
      <c r="F18" s="445">
        <f t="shared" si="30"/>
        <v>3979517</v>
      </c>
      <c r="G18" s="312">
        <f t="shared" si="0"/>
        <v>0</v>
      </c>
      <c r="H18" s="445">
        <f t="shared" si="31"/>
        <v>17815006</v>
      </c>
      <c r="I18" s="312">
        <f t="shared" si="14"/>
        <v>0</v>
      </c>
      <c r="J18" s="445">
        <f t="shared" si="32"/>
        <v>28934822</v>
      </c>
      <c r="K18" s="312">
        <f t="shared" si="15"/>
        <v>0</v>
      </c>
      <c r="L18" s="445">
        <f t="shared" si="33"/>
        <v>24077798</v>
      </c>
      <c r="M18" s="312">
        <f t="shared" si="16"/>
        <v>0</v>
      </c>
      <c r="N18" s="310">
        <f t="shared" si="17"/>
        <v>0</v>
      </c>
      <c r="O18" s="467">
        <f t="shared" si="24"/>
        <v>0</v>
      </c>
      <c r="P18" s="591">
        <f t="shared" si="34"/>
        <v>16726.414000000001</v>
      </c>
      <c r="Q18" s="449">
        <f t="shared" si="27"/>
        <v>0</v>
      </c>
      <c r="R18" s="449">
        <f t="shared" si="28"/>
        <v>0</v>
      </c>
      <c r="S18" s="445">
        <f t="shared" si="7"/>
        <v>10129</v>
      </c>
      <c r="T18" s="469">
        <f t="shared" si="3"/>
        <v>0</v>
      </c>
      <c r="U18" s="445">
        <f t="shared" si="8"/>
        <v>422541</v>
      </c>
      <c r="V18" s="449">
        <f t="shared" si="18"/>
        <v>0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f t="shared" si="35"/>
        <v>35740</v>
      </c>
      <c r="AB18" s="449">
        <f t="shared" si="19"/>
        <v>0</v>
      </c>
      <c r="AC18" s="445">
        <f t="shared" si="36"/>
        <v>924043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25"/>
        <v>0</v>
      </c>
      <c r="AI18" s="466">
        <f>R18-'EDl log'!B16</f>
        <v>-930474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9"/>
        <v>32676972</v>
      </c>
      <c r="E19" s="311">
        <f t="shared" si="13"/>
        <v>0</v>
      </c>
      <c r="F19" s="445">
        <f t="shared" si="30"/>
        <v>3979517</v>
      </c>
      <c r="G19" s="312">
        <f t="shared" si="0"/>
        <v>0</v>
      </c>
      <c r="H19" s="445">
        <f t="shared" si="31"/>
        <v>17815006</v>
      </c>
      <c r="I19" s="312">
        <f t="shared" si="14"/>
        <v>0</v>
      </c>
      <c r="J19" s="445">
        <f t="shared" si="32"/>
        <v>28934822</v>
      </c>
      <c r="K19" s="312">
        <f t="shared" si="15"/>
        <v>0</v>
      </c>
      <c r="L19" s="445">
        <f t="shared" si="33"/>
        <v>24077798</v>
      </c>
      <c r="M19" s="312">
        <f t="shared" si="16"/>
        <v>0</v>
      </c>
      <c r="N19" s="310">
        <f t="shared" si="17"/>
        <v>0</v>
      </c>
      <c r="O19" s="467">
        <f t="shared" si="24"/>
        <v>0</v>
      </c>
      <c r="P19" s="591">
        <f t="shared" si="34"/>
        <v>16726.414000000001</v>
      </c>
      <c r="Q19" s="449">
        <f t="shared" si="27"/>
        <v>0</v>
      </c>
      <c r="R19" s="449">
        <f t="shared" si="28"/>
        <v>0</v>
      </c>
      <c r="S19" s="445">
        <f t="shared" si="7"/>
        <v>10129</v>
      </c>
      <c r="T19" s="469">
        <f t="shared" si="3"/>
        <v>0</v>
      </c>
      <c r="U19" s="445">
        <f t="shared" si="8"/>
        <v>422541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f t="shared" si="35"/>
        <v>35740</v>
      </c>
      <c r="AB19" s="449">
        <f t="shared" si="19"/>
        <v>0</v>
      </c>
      <c r="AC19" s="445">
        <f t="shared" si="36"/>
        <v>924043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25"/>
        <v>0</v>
      </c>
      <c r="AI19" s="466">
        <f>R19-'EDl log'!B17</f>
        <v>-930474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9"/>
        <v>32676972</v>
      </c>
      <c r="E20" s="311">
        <f t="shared" si="13"/>
        <v>0</v>
      </c>
      <c r="F20" s="445">
        <f t="shared" si="30"/>
        <v>3979517</v>
      </c>
      <c r="G20" s="312">
        <f t="shared" si="0"/>
        <v>0</v>
      </c>
      <c r="H20" s="445">
        <f t="shared" si="31"/>
        <v>17815006</v>
      </c>
      <c r="I20" s="312">
        <f t="shared" si="14"/>
        <v>0</v>
      </c>
      <c r="J20" s="445">
        <f t="shared" si="32"/>
        <v>28934822</v>
      </c>
      <c r="K20" s="312">
        <f t="shared" si="15"/>
        <v>0</v>
      </c>
      <c r="L20" s="445">
        <f t="shared" si="33"/>
        <v>24077798</v>
      </c>
      <c r="M20" s="312">
        <f t="shared" si="16"/>
        <v>0</v>
      </c>
      <c r="N20" s="310">
        <f t="shared" si="17"/>
        <v>0</v>
      </c>
      <c r="O20" s="467">
        <f t="shared" si="24"/>
        <v>0</v>
      </c>
      <c r="P20" s="591">
        <f t="shared" si="34"/>
        <v>16726.414000000001</v>
      </c>
      <c r="Q20" s="449">
        <f t="shared" si="27"/>
        <v>0</v>
      </c>
      <c r="R20" s="449">
        <f t="shared" si="28"/>
        <v>0</v>
      </c>
      <c r="S20" s="445">
        <f t="shared" si="7"/>
        <v>10129</v>
      </c>
      <c r="T20" s="469">
        <f t="shared" si="3"/>
        <v>0</v>
      </c>
      <c r="U20" s="445">
        <f t="shared" si="8"/>
        <v>422541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f t="shared" si="35"/>
        <v>35740</v>
      </c>
      <c r="AB20" s="449">
        <f t="shared" si="19"/>
        <v>0</v>
      </c>
      <c r="AC20" s="445">
        <f t="shared" si="36"/>
        <v>924043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25"/>
        <v>0</v>
      </c>
      <c r="AI20" s="466">
        <f>R20-'EDl log'!B18</f>
        <v>-930474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9"/>
        <v>32676972</v>
      </c>
      <c r="E21" s="311">
        <f t="shared" si="13"/>
        <v>0</v>
      </c>
      <c r="F21" s="445">
        <f t="shared" si="30"/>
        <v>3979517</v>
      </c>
      <c r="G21" s="312">
        <f t="shared" si="0"/>
        <v>0</v>
      </c>
      <c r="H21" s="445">
        <f t="shared" si="31"/>
        <v>17815006</v>
      </c>
      <c r="I21" s="312">
        <f t="shared" si="14"/>
        <v>0</v>
      </c>
      <c r="J21" s="445">
        <f t="shared" si="32"/>
        <v>28934822</v>
      </c>
      <c r="K21" s="312">
        <f t="shared" si="15"/>
        <v>0</v>
      </c>
      <c r="L21" s="445">
        <f t="shared" si="33"/>
        <v>24077798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si="34"/>
        <v>16726.414000000001</v>
      </c>
      <c r="Q21" s="449">
        <f t="shared" si="27"/>
        <v>0</v>
      </c>
      <c r="R21" s="449">
        <f t="shared" si="28"/>
        <v>0</v>
      </c>
      <c r="S21" s="445">
        <f t="shared" si="7"/>
        <v>10129</v>
      </c>
      <c r="T21" s="469">
        <f t="shared" si="3"/>
        <v>0</v>
      </c>
      <c r="U21" s="445">
        <f t="shared" si="8"/>
        <v>422541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f t="shared" si="35"/>
        <v>35740</v>
      </c>
      <c r="AB21" s="449">
        <f t="shared" si="19"/>
        <v>0</v>
      </c>
      <c r="AC21" s="445">
        <f t="shared" si="36"/>
        <v>924043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-930474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9"/>
        <v>32676972</v>
      </c>
      <c r="E22" s="311">
        <f t="shared" si="13"/>
        <v>0</v>
      </c>
      <c r="F22" s="445">
        <f t="shared" si="30"/>
        <v>3979517</v>
      </c>
      <c r="G22" s="312">
        <f t="shared" si="0"/>
        <v>0</v>
      </c>
      <c r="H22" s="445">
        <f t="shared" si="31"/>
        <v>17815006</v>
      </c>
      <c r="I22" s="312">
        <f t="shared" si="14"/>
        <v>0</v>
      </c>
      <c r="J22" s="445">
        <f t="shared" si="32"/>
        <v>28934822</v>
      </c>
      <c r="K22" s="312">
        <f t="shared" si="15"/>
        <v>0</v>
      </c>
      <c r="L22" s="445">
        <f t="shared" si="33"/>
        <v>24077798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4"/>
        <v>16726.414000000001</v>
      </c>
      <c r="Q22" s="449">
        <f t="shared" si="27"/>
        <v>0</v>
      </c>
      <c r="R22" s="449">
        <f t="shared" si="28"/>
        <v>0</v>
      </c>
      <c r="S22" s="445">
        <f t="shared" si="7"/>
        <v>10129</v>
      </c>
      <c r="T22" s="469">
        <f t="shared" si="3"/>
        <v>0</v>
      </c>
      <c r="U22" s="445">
        <f t="shared" si="8"/>
        <v>422541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f t="shared" si="35"/>
        <v>35740</v>
      </c>
      <c r="AB22" s="449">
        <f t="shared" si="19"/>
        <v>0</v>
      </c>
      <c r="AC22" s="445">
        <f t="shared" si="36"/>
        <v>924043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-930474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9"/>
        <v>32676972</v>
      </c>
      <c r="E23" s="311">
        <f t="shared" si="13"/>
        <v>0</v>
      </c>
      <c r="F23" s="445">
        <f t="shared" si="30"/>
        <v>3979517</v>
      </c>
      <c r="G23" s="312">
        <f t="shared" si="0"/>
        <v>0</v>
      </c>
      <c r="H23" s="445">
        <f t="shared" si="31"/>
        <v>17815006</v>
      </c>
      <c r="I23" s="438">
        <f t="shared" si="14"/>
        <v>0</v>
      </c>
      <c r="J23" s="445">
        <f t="shared" si="32"/>
        <v>28934822</v>
      </c>
      <c r="K23" s="312">
        <f t="shared" si="15"/>
        <v>0</v>
      </c>
      <c r="L23" s="445">
        <f t="shared" si="33"/>
        <v>24077798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4"/>
        <v>16726.414000000001</v>
      </c>
      <c r="Q23" s="449">
        <f t="shared" si="27"/>
        <v>0</v>
      </c>
      <c r="R23" s="449">
        <f t="shared" si="28"/>
        <v>0</v>
      </c>
      <c r="S23" s="445">
        <f t="shared" si="7"/>
        <v>10129</v>
      </c>
      <c r="T23" s="469">
        <f t="shared" si="3"/>
        <v>0</v>
      </c>
      <c r="U23" s="445">
        <f t="shared" si="8"/>
        <v>422541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f t="shared" si="35"/>
        <v>35740</v>
      </c>
      <c r="AB23" s="449">
        <f t="shared" si="19"/>
        <v>0</v>
      </c>
      <c r="AC23" s="445">
        <f t="shared" si="36"/>
        <v>924043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-930474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9"/>
        <v>32676972</v>
      </c>
      <c r="E24" s="311">
        <f t="shared" si="13"/>
        <v>0</v>
      </c>
      <c r="F24" s="445">
        <f t="shared" si="30"/>
        <v>3979517</v>
      </c>
      <c r="G24" s="312">
        <f t="shared" si="0"/>
        <v>0</v>
      </c>
      <c r="H24" s="445">
        <f t="shared" si="31"/>
        <v>17815006</v>
      </c>
      <c r="I24" s="312">
        <f t="shared" si="14"/>
        <v>0</v>
      </c>
      <c r="J24" s="445">
        <f t="shared" si="32"/>
        <v>28934822</v>
      </c>
      <c r="K24" s="312">
        <f t="shared" si="15"/>
        <v>0</v>
      </c>
      <c r="L24" s="445">
        <f t="shared" si="33"/>
        <v>24077798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4"/>
        <v>16726.414000000001</v>
      </c>
      <c r="Q24" s="449">
        <f t="shared" si="27"/>
        <v>0</v>
      </c>
      <c r="R24" s="449">
        <f t="shared" si="28"/>
        <v>0</v>
      </c>
      <c r="S24" s="445">
        <f t="shared" si="7"/>
        <v>10129</v>
      </c>
      <c r="T24" s="469">
        <f t="shared" si="3"/>
        <v>0</v>
      </c>
      <c r="U24" s="445">
        <f t="shared" si="8"/>
        <v>422541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si="35"/>
        <v>35740</v>
      </c>
      <c r="AB24" s="449">
        <f t="shared" si="19"/>
        <v>0</v>
      </c>
      <c r="AC24" s="445">
        <f t="shared" si="36"/>
        <v>924043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-930474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9"/>
        <v>32676972</v>
      </c>
      <c r="E25" s="311">
        <f t="shared" si="13"/>
        <v>0</v>
      </c>
      <c r="F25" s="445">
        <f t="shared" si="30"/>
        <v>3979517</v>
      </c>
      <c r="G25" s="312">
        <f t="shared" si="0"/>
        <v>0</v>
      </c>
      <c r="H25" s="445">
        <f t="shared" si="31"/>
        <v>17815006</v>
      </c>
      <c r="I25" s="312">
        <f t="shared" si="14"/>
        <v>0</v>
      </c>
      <c r="J25" s="445">
        <f t="shared" si="32"/>
        <v>28934822</v>
      </c>
      <c r="K25" s="312">
        <f t="shared" si="15"/>
        <v>0</v>
      </c>
      <c r="L25" s="445">
        <f t="shared" si="33"/>
        <v>24077798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4"/>
        <v>16726.414000000001</v>
      </c>
      <c r="Q25" s="449">
        <f t="shared" si="27"/>
        <v>0</v>
      </c>
      <c r="R25" s="449">
        <f t="shared" si="28"/>
        <v>0</v>
      </c>
      <c r="S25" s="445">
        <f t="shared" si="7"/>
        <v>10129</v>
      </c>
      <c r="T25" s="469">
        <f t="shared" si="3"/>
        <v>0</v>
      </c>
      <c r="U25" s="445">
        <f t="shared" si="8"/>
        <v>422541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5"/>
        <v>35740</v>
      </c>
      <c r="AB25" s="449">
        <f t="shared" si="19"/>
        <v>0</v>
      </c>
      <c r="AC25" s="445">
        <f t="shared" si="36"/>
        <v>924043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-930474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9"/>
        <v>32676972</v>
      </c>
      <c r="E26" s="311">
        <f t="shared" si="13"/>
        <v>0</v>
      </c>
      <c r="F26" s="445">
        <f t="shared" si="30"/>
        <v>3979517</v>
      </c>
      <c r="G26" s="312">
        <f t="shared" si="0"/>
        <v>0</v>
      </c>
      <c r="H26" s="445">
        <f t="shared" si="31"/>
        <v>17815006</v>
      </c>
      <c r="I26" s="312">
        <f t="shared" si="14"/>
        <v>0</v>
      </c>
      <c r="J26" s="445">
        <f t="shared" si="32"/>
        <v>28934822</v>
      </c>
      <c r="K26" s="312">
        <f t="shared" si="15"/>
        <v>0</v>
      </c>
      <c r="L26" s="445">
        <f t="shared" si="33"/>
        <v>24077798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4"/>
        <v>16726.414000000001</v>
      </c>
      <c r="Q26" s="449">
        <f t="shared" si="27"/>
        <v>0</v>
      </c>
      <c r="R26" s="449">
        <f t="shared" si="28"/>
        <v>0</v>
      </c>
      <c r="S26" s="445">
        <f t="shared" si="7"/>
        <v>10129</v>
      </c>
      <c r="T26" s="469">
        <f t="shared" si="3"/>
        <v>0</v>
      </c>
      <c r="U26" s="445">
        <f t="shared" si="8"/>
        <v>422541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5"/>
        <v>35740</v>
      </c>
      <c r="AB26" s="449">
        <f t="shared" si="19"/>
        <v>0</v>
      </c>
      <c r="AC26" s="445">
        <f t="shared" si="36"/>
        <v>924043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-930474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9"/>
        <v>32676972</v>
      </c>
      <c r="E27" s="311">
        <f t="shared" si="13"/>
        <v>0</v>
      </c>
      <c r="F27" s="445">
        <f t="shared" si="30"/>
        <v>3979517</v>
      </c>
      <c r="G27" s="312">
        <f>F27-F26</f>
        <v>0</v>
      </c>
      <c r="H27" s="445">
        <f t="shared" si="31"/>
        <v>17815006</v>
      </c>
      <c r="I27" s="312">
        <f t="shared" si="14"/>
        <v>0</v>
      </c>
      <c r="J27" s="445">
        <f t="shared" si="32"/>
        <v>28934822</v>
      </c>
      <c r="K27" s="312">
        <f t="shared" si="15"/>
        <v>0</v>
      </c>
      <c r="L27" s="445">
        <f t="shared" si="33"/>
        <v>24077798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4"/>
        <v>16726.414000000001</v>
      </c>
      <c r="Q27" s="449">
        <f t="shared" si="27"/>
        <v>0</v>
      </c>
      <c r="R27" s="449">
        <f t="shared" si="28"/>
        <v>0</v>
      </c>
      <c r="S27" s="445">
        <f t="shared" si="7"/>
        <v>10129</v>
      </c>
      <c r="T27" s="469">
        <f t="shared" si="3"/>
        <v>0</v>
      </c>
      <c r="U27" s="445">
        <f t="shared" si="8"/>
        <v>422541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5"/>
        <v>35740</v>
      </c>
      <c r="AB27" s="449">
        <f t="shared" si="19"/>
        <v>0</v>
      </c>
      <c r="AC27" s="445">
        <f t="shared" si="36"/>
        <v>924043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-930474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9"/>
        <v>32676972</v>
      </c>
      <c r="E28" s="311">
        <f t="shared" si="13"/>
        <v>0</v>
      </c>
      <c r="F28" s="445">
        <f t="shared" si="30"/>
        <v>3979517</v>
      </c>
      <c r="G28" s="312">
        <f t="shared" si="0"/>
        <v>0</v>
      </c>
      <c r="H28" s="445">
        <f t="shared" si="31"/>
        <v>17815006</v>
      </c>
      <c r="I28" s="312">
        <f t="shared" si="14"/>
        <v>0</v>
      </c>
      <c r="J28" s="445">
        <f t="shared" si="32"/>
        <v>28934822</v>
      </c>
      <c r="K28" s="312">
        <f t="shared" si="15"/>
        <v>0</v>
      </c>
      <c r="L28" s="445">
        <f t="shared" si="33"/>
        <v>24077798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4"/>
        <v>16726.414000000001</v>
      </c>
      <c r="Q28" s="449">
        <f t="shared" si="27"/>
        <v>0</v>
      </c>
      <c r="R28" s="449">
        <f t="shared" si="28"/>
        <v>0</v>
      </c>
      <c r="S28" s="445">
        <f t="shared" si="7"/>
        <v>10129</v>
      </c>
      <c r="T28" s="469">
        <f t="shared" si="3"/>
        <v>0</v>
      </c>
      <c r="U28" s="445">
        <f t="shared" si="8"/>
        <v>422541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5"/>
        <v>35740</v>
      </c>
      <c r="AB28" s="449">
        <f t="shared" si="19"/>
        <v>0</v>
      </c>
      <c r="AC28" s="445">
        <f t="shared" si="36"/>
        <v>924043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-930474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9"/>
        <v>32676972</v>
      </c>
      <c r="E29" s="311">
        <f t="shared" si="13"/>
        <v>0</v>
      </c>
      <c r="F29" s="445">
        <f t="shared" si="30"/>
        <v>3979517</v>
      </c>
      <c r="G29" s="312">
        <f t="shared" si="0"/>
        <v>0</v>
      </c>
      <c r="H29" s="445">
        <f t="shared" si="31"/>
        <v>17815006</v>
      </c>
      <c r="I29" s="312">
        <f t="shared" si="14"/>
        <v>0</v>
      </c>
      <c r="J29" s="445">
        <f t="shared" si="32"/>
        <v>28934822</v>
      </c>
      <c r="K29" s="312">
        <f t="shared" si="15"/>
        <v>0</v>
      </c>
      <c r="L29" s="445">
        <f t="shared" si="33"/>
        <v>24077798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4"/>
        <v>16726.414000000001</v>
      </c>
      <c r="Q29" s="449">
        <f t="shared" si="27"/>
        <v>0</v>
      </c>
      <c r="R29" s="449">
        <f t="shared" si="28"/>
        <v>0</v>
      </c>
      <c r="S29" s="445">
        <f t="shared" si="7"/>
        <v>10129</v>
      </c>
      <c r="T29" s="469">
        <f t="shared" si="3"/>
        <v>0</v>
      </c>
      <c r="U29" s="445">
        <f t="shared" si="8"/>
        <v>422541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5"/>
        <v>35740</v>
      </c>
      <c r="AB29" s="449">
        <f t="shared" si="19"/>
        <v>0</v>
      </c>
      <c r="AC29" s="445">
        <f t="shared" si="36"/>
        <v>924043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-930474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9"/>
        <v>32676972</v>
      </c>
      <c r="E30" s="311">
        <f t="shared" si="13"/>
        <v>0</v>
      </c>
      <c r="F30" s="445">
        <f t="shared" si="30"/>
        <v>3979517</v>
      </c>
      <c r="G30" s="312">
        <f t="shared" si="0"/>
        <v>0</v>
      </c>
      <c r="H30" s="445">
        <f t="shared" si="31"/>
        <v>17815006</v>
      </c>
      <c r="I30" s="312">
        <f t="shared" si="14"/>
        <v>0</v>
      </c>
      <c r="J30" s="445">
        <f t="shared" si="32"/>
        <v>28934822</v>
      </c>
      <c r="K30" s="312">
        <f t="shared" si="15"/>
        <v>0</v>
      </c>
      <c r="L30" s="445">
        <f t="shared" si="33"/>
        <v>24077798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4"/>
        <v>16726.414000000001</v>
      </c>
      <c r="Q30" s="449">
        <f t="shared" si="27"/>
        <v>0</v>
      </c>
      <c r="R30" s="449">
        <f t="shared" si="28"/>
        <v>0</v>
      </c>
      <c r="S30" s="445">
        <f t="shared" si="7"/>
        <v>10129</v>
      </c>
      <c r="T30" s="469">
        <f t="shared" si="3"/>
        <v>0</v>
      </c>
      <c r="U30" s="445">
        <f t="shared" si="8"/>
        <v>422541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5"/>
        <v>35740</v>
      </c>
      <c r="AB30" s="449">
        <f t="shared" si="19"/>
        <v>0</v>
      </c>
      <c r="AC30" s="445">
        <f t="shared" si="36"/>
        <v>924043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-930474</v>
      </c>
    </row>
    <row r="31" spans="1:35">
      <c r="A31" s="457"/>
      <c r="B31" s="451"/>
      <c r="C31" s="458">
        <v>44284</v>
      </c>
      <c r="D31" s="445">
        <f t="shared" si="29"/>
        <v>32676972</v>
      </c>
      <c r="E31" s="311">
        <f t="shared" si="13"/>
        <v>0</v>
      </c>
      <c r="F31" s="445">
        <f t="shared" si="30"/>
        <v>3979517</v>
      </c>
      <c r="G31" s="312">
        <f t="shared" si="0"/>
        <v>0</v>
      </c>
      <c r="H31" s="445">
        <f t="shared" si="31"/>
        <v>17815006</v>
      </c>
      <c r="I31" s="312">
        <f t="shared" si="14"/>
        <v>0</v>
      </c>
      <c r="J31" s="445">
        <f t="shared" si="32"/>
        <v>28934822</v>
      </c>
      <c r="K31" s="312">
        <f t="shared" si="15"/>
        <v>0</v>
      </c>
      <c r="L31" s="445">
        <f t="shared" si="33"/>
        <v>24077798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4"/>
        <v>16726.414000000001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10129</v>
      </c>
      <c r="T31" s="469">
        <f t="shared" ref="T31:T33" si="42">S31-S30</f>
        <v>0</v>
      </c>
      <c r="U31" s="445">
        <f t="shared" si="8"/>
        <v>422541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5"/>
        <v>35740</v>
      </c>
      <c r="AB31" s="449">
        <f t="shared" ref="AB31:AB33" si="46">AA31-AA30</f>
        <v>0</v>
      </c>
      <c r="AC31" s="445">
        <f t="shared" si="36"/>
        <v>924043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-930474</v>
      </c>
    </row>
    <row r="32" spans="1:35">
      <c r="A32" s="457"/>
      <c r="B32" s="451"/>
      <c r="C32" s="458">
        <v>44285</v>
      </c>
      <c r="D32" s="445">
        <f t="shared" si="29"/>
        <v>32676972</v>
      </c>
      <c r="E32" s="311">
        <f t="shared" si="13"/>
        <v>0</v>
      </c>
      <c r="F32" s="445">
        <f t="shared" si="30"/>
        <v>3979517</v>
      </c>
      <c r="G32" s="312">
        <f t="shared" si="0"/>
        <v>0</v>
      </c>
      <c r="H32" s="445">
        <f t="shared" si="31"/>
        <v>17815006</v>
      </c>
      <c r="I32" s="312">
        <f t="shared" si="14"/>
        <v>0</v>
      </c>
      <c r="J32" s="445">
        <f t="shared" si="32"/>
        <v>28934822</v>
      </c>
      <c r="K32" s="312">
        <f t="shared" si="15"/>
        <v>0</v>
      </c>
      <c r="L32" s="445">
        <f t="shared" si="33"/>
        <v>24077798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4"/>
        <v>16726.414000000001</v>
      </c>
      <c r="Q32" s="449">
        <f t="shared" si="40"/>
        <v>0</v>
      </c>
      <c r="R32" s="449">
        <f t="shared" si="41"/>
        <v>0</v>
      </c>
      <c r="S32" s="445">
        <f t="shared" si="7"/>
        <v>10129</v>
      </c>
      <c r="T32" s="469">
        <f t="shared" si="42"/>
        <v>0</v>
      </c>
      <c r="U32" s="445">
        <f t="shared" si="8"/>
        <v>422541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5"/>
        <v>35740</v>
      </c>
      <c r="AB32" s="449">
        <f t="shared" si="46"/>
        <v>0</v>
      </c>
      <c r="AC32" s="445">
        <f t="shared" si="36"/>
        <v>924043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-930474</v>
      </c>
    </row>
    <row r="33" spans="1:35">
      <c r="A33" s="457"/>
      <c r="B33" s="451"/>
      <c r="C33" s="458">
        <v>44286</v>
      </c>
      <c r="D33" s="445">
        <f t="shared" si="29"/>
        <v>32676972</v>
      </c>
      <c r="E33" s="311">
        <f t="shared" si="13"/>
        <v>0</v>
      </c>
      <c r="F33" s="445">
        <f t="shared" si="30"/>
        <v>3979517</v>
      </c>
      <c r="G33" s="312">
        <f t="shared" si="0"/>
        <v>0</v>
      </c>
      <c r="H33" s="445">
        <f t="shared" si="31"/>
        <v>17815006</v>
      </c>
      <c r="I33" s="312">
        <f t="shared" si="14"/>
        <v>0</v>
      </c>
      <c r="J33" s="445">
        <f t="shared" si="32"/>
        <v>28934822</v>
      </c>
      <c r="K33" s="312">
        <f t="shared" si="15"/>
        <v>0</v>
      </c>
      <c r="L33" s="445">
        <f t="shared" si="33"/>
        <v>24077798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4"/>
        <v>16726.414000000001</v>
      </c>
      <c r="Q33" s="449">
        <f t="shared" si="40"/>
        <v>0</v>
      </c>
      <c r="R33" s="449">
        <f t="shared" si="41"/>
        <v>0</v>
      </c>
      <c r="S33" s="445">
        <f t="shared" si="7"/>
        <v>10129</v>
      </c>
      <c r="T33" s="469">
        <f t="shared" si="42"/>
        <v>0</v>
      </c>
      <c r="U33" s="445">
        <f t="shared" si="8"/>
        <v>422541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5"/>
        <v>35740</v>
      </c>
      <c r="AB33" s="449">
        <f t="shared" si="46"/>
        <v>0</v>
      </c>
      <c r="AC33" s="445">
        <f t="shared" si="36"/>
        <v>924043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-930474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AF1" zoomScale="90" zoomScaleNormal="90" workbookViewId="0">
      <pane ySplit="1" topLeftCell="A5" activePane="bottomLeft" state="frozen"/>
      <selection activeCell="K1" sqref="K1"/>
      <selection pane="bottomLeft" activeCell="AX17" sqref="AX17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23" t="s">
        <v>2</v>
      </c>
      <c r="G1" s="624"/>
      <c r="H1" s="624"/>
      <c r="I1" s="625"/>
      <c r="J1" s="282">
        <f>J37</f>
        <v>66.851851851851862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397"/>
      <c r="V1" s="27" t="s">
        <v>104</v>
      </c>
      <c r="W1" s="398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f t="shared" ref="B17:B35" si="65">B17</f>
        <v>178</v>
      </c>
      <c r="C18" s="64">
        <f t="shared" ref="C17:C35" si="66">C17</f>
        <v>184</v>
      </c>
      <c r="D18" s="45">
        <f t="shared" si="27"/>
        <v>0</v>
      </c>
      <c r="E18" s="45">
        <f t="shared" si="8"/>
        <v>0</v>
      </c>
      <c r="F18" s="584">
        <f t="shared" si="28"/>
        <v>1765</v>
      </c>
      <c r="G18" s="52">
        <f t="shared" si="0"/>
        <v>0</v>
      </c>
      <c r="H18" s="584">
        <f t="shared" si="29"/>
        <v>7677</v>
      </c>
      <c r="I18" s="396">
        <f t="shared" si="1"/>
        <v>0</v>
      </c>
      <c r="J18" s="66">
        <f t="shared" si="9"/>
        <v>0</v>
      </c>
      <c r="K18" s="584">
        <f t="shared" si="41"/>
        <v>2258</v>
      </c>
      <c r="L18" s="52">
        <f t="shared" si="10"/>
        <v>0</v>
      </c>
      <c r="M18" s="584">
        <f t="shared" si="42"/>
        <v>166149</v>
      </c>
      <c r="N18" s="396">
        <f t="shared" si="2"/>
        <v>0</v>
      </c>
      <c r="O18" s="64">
        <v>1869</v>
      </c>
      <c r="P18" s="584">
        <f t="shared" ref="P18:P35" si="67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si="65"/>
        <v>178</v>
      </c>
      <c r="C19" s="64">
        <f t="shared" si="66"/>
        <v>184</v>
      </c>
      <c r="D19" s="45">
        <f t="shared" si="27"/>
        <v>0</v>
      </c>
      <c r="E19" s="45">
        <f t="shared" si="8"/>
        <v>0</v>
      </c>
      <c r="F19" s="584">
        <f t="shared" si="28"/>
        <v>1765</v>
      </c>
      <c r="G19" s="52">
        <f t="shared" si="0"/>
        <v>0</v>
      </c>
      <c r="H19" s="584">
        <f t="shared" si="29"/>
        <v>7677</v>
      </c>
      <c r="I19" s="396">
        <f t="shared" si="1"/>
        <v>0</v>
      </c>
      <c r="J19" s="66">
        <f t="shared" si="9"/>
        <v>0</v>
      </c>
      <c r="K19" s="584">
        <f t="shared" si="41"/>
        <v>2258</v>
      </c>
      <c r="L19" s="52">
        <f t="shared" si="10"/>
        <v>0</v>
      </c>
      <c r="M19" s="584">
        <f t="shared" si="42"/>
        <v>166149</v>
      </c>
      <c r="N19" s="396">
        <f t="shared" si="2"/>
        <v>0</v>
      </c>
      <c r="O19" s="64">
        <f t="shared" si="11"/>
        <v>1869</v>
      </c>
      <c r="P19" s="584">
        <f t="shared" si="67"/>
        <v>2014</v>
      </c>
      <c r="Q19" s="584">
        <f t="shared" si="49"/>
        <v>169987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65"/>
        <v>178</v>
      </c>
      <c r="C20" s="64">
        <f t="shared" si="66"/>
        <v>184</v>
      </c>
      <c r="D20" s="45">
        <f>C19-C20</f>
        <v>0</v>
      </c>
      <c r="E20" s="45">
        <f t="shared" si="8"/>
        <v>0</v>
      </c>
      <c r="F20" s="584">
        <f t="shared" si="28"/>
        <v>1765</v>
      </c>
      <c r="G20" s="52">
        <f t="shared" si="0"/>
        <v>0</v>
      </c>
      <c r="H20" s="584">
        <f t="shared" si="29"/>
        <v>7677</v>
      </c>
      <c r="I20" s="396">
        <f t="shared" si="1"/>
        <v>0</v>
      </c>
      <c r="J20" s="66">
        <f t="shared" si="9"/>
        <v>0</v>
      </c>
      <c r="K20" s="584">
        <f t="shared" si="41"/>
        <v>2258</v>
      </c>
      <c r="L20" s="52">
        <f t="shared" si="10"/>
        <v>0</v>
      </c>
      <c r="M20" s="584">
        <f t="shared" si="42"/>
        <v>166149</v>
      </c>
      <c r="N20" s="396">
        <f t="shared" si="2"/>
        <v>0</v>
      </c>
      <c r="O20" s="64">
        <f t="shared" si="11"/>
        <v>1869</v>
      </c>
      <c r="P20" s="584">
        <f t="shared" si="67"/>
        <v>2014</v>
      </c>
      <c r="Q20" s="584">
        <f t="shared" si="49"/>
        <v>169987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65"/>
        <v>178</v>
      </c>
      <c r="C21" s="64">
        <f t="shared" si="66"/>
        <v>184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1765</v>
      </c>
      <c r="G21" s="52">
        <f t="shared" si="0"/>
        <v>0</v>
      </c>
      <c r="H21" s="584">
        <f t="shared" si="29"/>
        <v>7677</v>
      </c>
      <c r="I21" s="396">
        <f t="shared" si="1"/>
        <v>0</v>
      </c>
      <c r="J21" s="66">
        <f t="shared" si="9"/>
        <v>0</v>
      </c>
      <c r="K21" s="584">
        <f t="shared" si="41"/>
        <v>2258</v>
      </c>
      <c r="L21" s="52">
        <f t="shared" si="10"/>
        <v>0</v>
      </c>
      <c r="M21" s="584">
        <f t="shared" si="42"/>
        <v>166149</v>
      </c>
      <c r="N21" s="396">
        <f t="shared" si="2"/>
        <v>0</v>
      </c>
      <c r="O21" s="64">
        <f t="shared" si="11"/>
        <v>1869</v>
      </c>
      <c r="P21" s="584">
        <f t="shared" si="67"/>
        <v>2014</v>
      </c>
      <c r="Q21" s="584">
        <f t="shared" si="49"/>
        <v>169987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65"/>
        <v>178</v>
      </c>
      <c r="C22" s="64">
        <f t="shared" si="66"/>
        <v>184</v>
      </c>
      <c r="D22" s="45">
        <f t="shared" si="75"/>
        <v>0</v>
      </c>
      <c r="E22" s="45">
        <f t="shared" si="8"/>
        <v>0</v>
      </c>
      <c r="F22" s="584">
        <f t="shared" si="28"/>
        <v>1765</v>
      </c>
      <c r="G22" s="52">
        <f t="shared" si="0"/>
        <v>0</v>
      </c>
      <c r="H22" s="584">
        <f t="shared" si="29"/>
        <v>7677</v>
      </c>
      <c r="I22" s="396">
        <f t="shared" si="1"/>
        <v>0</v>
      </c>
      <c r="J22" s="66">
        <f t="shared" si="9"/>
        <v>0</v>
      </c>
      <c r="K22" s="584">
        <f t="shared" si="41"/>
        <v>2258</v>
      </c>
      <c r="L22" s="52">
        <f t="shared" si="10"/>
        <v>0</v>
      </c>
      <c r="M22" s="584">
        <f t="shared" si="42"/>
        <v>166149</v>
      </c>
      <c r="N22" s="396">
        <f t="shared" si="2"/>
        <v>0</v>
      </c>
      <c r="O22" s="64">
        <f t="shared" si="11"/>
        <v>1869</v>
      </c>
      <c r="P22" s="584">
        <f t="shared" si="67"/>
        <v>2014</v>
      </c>
      <c r="Q22" s="584">
        <f t="shared" si="49"/>
        <v>169987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65"/>
        <v>178</v>
      </c>
      <c r="C23" s="64">
        <f t="shared" si="66"/>
        <v>184</v>
      </c>
      <c r="D23" s="45">
        <f t="shared" si="75"/>
        <v>0</v>
      </c>
      <c r="E23" s="45">
        <f t="shared" si="8"/>
        <v>0</v>
      </c>
      <c r="F23" s="584">
        <f t="shared" si="28"/>
        <v>1765</v>
      </c>
      <c r="G23" s="52">
        <f t="shared" si="0"/>
        <v>0</v>
      </c>
      <c r="H23" s="584">
        <f t="shared" si="29"/>
        <v>7677</v>
      </c>
      <c r="I23" s="396">
        <f t="shared" si="1"/>
        <v>0</v>
      </c>
      <c r="J23" s="66">
        <f t="shared" si="9"/>
        <v>0</v>
      </c>
      <c r="K23" s="584">
        <f t="shared" si="41"/>
        <v>2258</v>
      </c>
      <c r="L23" s="52">
        <f t="shared" si="10"/>
        <v>0</v>
      </c>
      <c r="M23" s="584">
        <f t="shared" si="42"/>
        <v>166149</v>
      </c>
      <c r="N23" s="396">
        <f t="shared" si="2"/>
        <v>0</v>
      </c>
      <c r="O23" s="64">
        <f t="shared" si="11"/>
        <v>1869</v>
      </c>
      <c r="P23" s="584">
        <f t="shared" si="67"/>
        <v>2014</v>
      </c>
      <c r="Q23" s="584">
        <f t="shared" si="49"/>
        <v>169987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65"/>
        <v>178</v>
      </c>
      <c r="C24" s="64">
        <f t="shared" si="66"/>
        <v>184</v>
      </c>
      <c r="D24" s="45">
        <f t="shared" si="75"/>
        <v>0</v>
      </c>
      <c r="E24" s="45">
        <f t="shared" si="8"/>
        <v>0</v>
      </c>
      <c r="F24" s="584">
        <f t="shared" si="28"/>
        <v>1765</v>
      </c>
      <c r="G24" s="52">
        <f t="shared" si="0"/>
        <v>0</v>
      </c>
      <c r="H24" s="584">
        <f t="shared" si="29"/>
        <v>7677</v>
      </c>
      <c r="I24" s="396">
        <f t="shared" si="1"/>
        <v>0</v>
      </c>
      <c r="J24" s="66">
        <f t="shared" si="9"/>
        <v>0</v>
      </c>
      <c r="K24" s="584">
        <f t="shared" si="41"/>
        <v>2258</v>
      </c>
      <c r="L24" s="52">
        <f t="shared" si="10"/>
        <v>0</v>
      </c>
      <c r="M24" s="584">
        <f t="shared" si="42"/>
        <v>166149</v>
      </c>
      <c r="N24" s="396">
        <f t="shared" si="2"/>
        <v>0</v>
      </c>
      <c r="O24" s="64">
        <f t="shared" si="11"/>
        <v>1869</v>
      </c>
      <c r="P24" s="584">
        <f t="shared" si="67"/>
        <v>2014</v>
      </c>
      <c r="Q24" s="584">
        <f t="shared" si="49"/>
        <v>169987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65"/>
        <v>178</v>
      </c>
      <c r="C25" s="64">
        <f t="shared" si="66"/>
        <v>184</v>
      </c>
      <c r="D25" s="45">
        <f t="shared" si="75"/>
        <v>0</v>
      </c>
      <c r="E25" s="45">
        <f t="shared" si="8"/>
        <v>0</v>
      </c>
      <c r="F25" s="584">
        <f t="shared" si="28"/>
        <v>1765</v>
      </c>
      <c r="G25" s="52">
        <f t="shared" si="0"/>
        <v>0</v>
      </c>
      <c r="H25" s="584">
        <f t="shared" si="29"/>
        <v>7677</v>
      </c>
      <c r="I25" s="396">
        <f t="shared" si="1"/>
        <v>0</v>
      </c>
      <c r="J25" s="66">
        <f t="shared" si="9"/>
        <v>0</v>
      </c>
      <c r="K25" s="584">
        <f t="shared" si="41"/>
        <v>2258</v>
      </c>
      <c r="L25" s="52">
        <f t="shared" si="10"/>
        <v>0</v>
      </c>
      <c r="M25" s="584">
        <f t="shared" si="42"/>
        <v>166149</v>
      </c>
      <c r="N25" s="396">
        <f t="shared" si="2"/>
        <v>0</v>
      </c>
      <c r="O25" s="64">
        <f t="shared" si="11"/>
        <v>1869</v>
      </c>
      <c r="P25" s="584">
        <f t="shared" si="67"/>
        <v>2014</v>
      </c>
      <c r="Q25" s="584">
        <f t="shared" si="49"/>
        <v>169987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65"/>
        <v>178</v>
      </c>
      <c r="C26" s="64">
        <f t="shared" si="66"/>
        <v>184</v>
      </c>
      <c r="D26" s="45">
        <f t="shared" si="75"/>
        <v>0</v>
      </c>
      <c r="E26" s="45">
        <f t="shared" si="8"/>
        <v>0</v>
      </c>
      <c r="F26" s="584">
        <f t="shared" si="28"/>
        <v>1765</v>
      </c>
      <c r="G26" s="52">
        <f t="shared" si="0"/>
        <v>0</v>
      </c>
      <c r="H26" s="584">
        <f t="shared" si="29"/>
        <v>7677</v>
      </c>
      <c r="I26" s="396">
        <f t="shared" si="1"/>
        <v>0</v>
      </c>
      <c r="J26" s="66">
        <f t="shared" si="9"/>
        <v>0</v>
      </c>
      <c r="K26" s="584">
        <f t="shared" si="41"/>
        <v>2258</v>
      </c>
      <c r="L26" s="52">
        <f t="shared" si="10"/>
        <v>0</v>
      </c>
      <c r="M26" s="584">
        <f t="shared" si="42"/>
        <v>166149</v>
      </c>
      <c r="N26" s="396">
        <f t="shared" si="2"/>
        <v>0</v>
      </c>
      <c r="O26" s="64">
        <f t="shared" si="11"/>
        <v>1869</v>
      </c>
      <c r="P26" s="584">
        <f t="shared" si="67"/>
        <v>2014</v>
      </c>
      <c r="Q26" s="584">
        <f t="shared" si="49"/>
        <v>169987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65"/>
        <v>178</v>
      </c>
      <c r="C27" s="64">
        <f t="shared" si="66"/>
        <v>184</v>
      </c>
      <c r="D27" s="45">
        <f t="shared" si="75"/>
        <v>0</v>
      </c>
      <c r="E27" s="45">
        <f t="shared" si="8"/>
        <v>0</v>
      </c>
      <c r="F27" s="584">
        <f t="shared" si="28"/>
        <v>1765</v>
      </c>
      <c r="G27" s="52">
        <f t="shared" si="0"/>
        <v>0</v>
      </c>
      <c r="H27" s="584">
        <f t="shared" si="29"/>
        <v>7677</v>
      </c>
      <c r="I27" s="396">
        <f t="shared" si="1"/>
        <v>0</v>
      </c>
      <c r="J27" s="66">
        <f t="shared" si="9"/>
        <v>0</v>
      </c>
      <c r="K27" s="584">
        <f t="shared" si="41"/>
        <v>2258</v>
      </c>
      <c r="L27" s="52">
        <f t="shared" si="10"/>
        <v>0</v>
      </c>
      <c r="M27" s="584">
        <f t="shared" si="42"/>
        <v>166149</v>
      </c>
      <c r="N27" s="396">
        <f t="shared" si="2"/>
        <v>0</v>
      </c>
      <c r="O27" s="64">
        <f t="shared" si="11"/>
        <v>1869</v>
      </c>
      <c r="P27" s="584">
        <f t="shared" si="67"/>
        <v>2014</v>
      </c>
      <c r="Q27" s="584">
        <f t="shared" si="49"/>
        <v>169987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65"/>
        <v>178</v>
      </c>
      <c r="C28" s="64">
        <f t="shared" si="66"/>
        <v>184</v>
      </c>
      <c r="D28" s="45">
        <f t="shared" si="75"/>
        <v>0</v>
      </c>
      <c r="E28" s="45">
        <f t="shared" si="8"/>
        <v>0</v>
      </c>
      <c r="F28" s="584">
        <f t="shared" si="28"/>
        <v>1765</v>
      </c>
      <c r="G28" s="52">
        <f t="shared" si="0"/>
        <v>0</v>
      </c>
      <c r="H28" s="584">
        <f t="shared" si="29"/>
        <v>7677</v>
      </c>
      <c r="I28" s="396">
        <f t="shared" si="1"/>
        <v>0</v>
      </c>
      <c r="J28" s="66">
        <f t="shared" si="9"/>
        <v>0</v>
      </c>
      <c r="K28" s="584">
        <f t="shared" si="41"/>
        <v>2258</v>
      </c>
      <c r="L28" s="52">
        <f t="shared" si="10"/>
        <v>0</v>
      </c>
      <c r="M28" s="584">
        <f t="shared" si="42"/>
        <v>166149</v>
      </c>
      <c r="N28" s="396">
        <f t="shared" si="2"/>
        <v>0</v>
      </c>
      <c r="O28" s="64">
        <f t="shared" si="11"/>
        <v>1869</v>
      </c>
      <c r="P28" s="584">
        <f t="shared" si="67"/>
        <v>2014</v>
      </c>
      <c r="Q28" s="584">
        <f t="shared" si="49"/>
        <v>169987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65"/>
        <v>178</v>
      </c>
      <c r="C29" s="64">
        <f t="shared" si="66"/>
        <v>184</v>
      </c>
      <c r="D29" s="45">
        <f t="shared" si="75"/>
        <v>0</v>
      </c>
      <c r="E29" s="45">
        <f t="shared" si="8"/>
        <v>0</v>
      </c>
      <c r="F29" s="584">
        <f t="shared" si="28"/>
        <v>1765</v>
      </c>
      <c r="G29" s="52">
        <f t="shared" si="0"/>
        <v>0</v>
      </c>
      <c r="H29" s="584">
        <f t="shared" si="29"/>
        <v>7677</v>
      </c>
      <c r="I29" s="396">
        <f t="shared" si="1"/>
        <v>0</v>
      </c>
      <c r="J29" s="66">
        <f t="shared" si="9"/>
        <v>0</v>
      </c>
      <c r="K29" s="584">
        <f t="shared" si="41"/>
        <v>2258</v>
      </c>
      <c r="L29" s="52">
        <f t="shared" si="10"/>
        <v>0</v>
      </c>
      <c r="M29" s="584">
        <f t="shared" si="42"/>
        <v>166149</v>
      </c>
      <c r="N29" s="396">
        <f t="shared" si="2"/>
        <v>0</v>
      </c>
      <c r="O29" s="64">
        <f t="shared" si="11"/>
        <v>1869</v>
      </c>
      <c r="P29" s="584">
        <f t="shared" si="67"/>
        <v>2014</v>
      </c>
      <c r="Q29" s="584">
        <f t="shared" si="49"/>
        <v>169987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65"/>
        <v>178</v>
      </c>
      <c r="C30" s="64">
        <f t="shared" si="66"/>
        <v>184</v>
      </c>
      <c r="D30" s="45">
        <f t="shared" si="75"/>
        <v>0</v>
      </c>
      <c r="E30" s="45">
        <f t="shared" si="8"/>
        <v>0</v>
      </c>
      <c r="F30" s="584">
        <f t="shared" si="28"/>
        <v>1765</v>
      </c>
      <c r="G30" s="52">
        <f t="shared" si="0"/>
        <v>0</v>
      </c>
      <c r="H30" s="584">
        <f t="shared" si="29"/>
        <v>7677</v>
      </c>
      <c r="I30" s="396">
        <f t="shared" si="1"/>
        <v>0</v>
      </c>
      <c r="J30" s="66">
        <f t="shared" si="9"/>
        <v>0</v>
      </c>
      <c r="K30" s="584">
        <f t="shared" si="41"/>
        <v>2258</v>
      </c>
      <c r="L30" s="52">
        <f t="shared" si="10"/>
        <v>0</v>
      </c>
      <c r="M30" s="584">
        <f t="shared" si="42"/>
        <v>166149</v>
      </c>
      <c r="N30" s="396">
        <f t="shared" si="2"/>
        <v>0</v>
      </c>
      <c r="O30" s="64">
        <f t="shared" si="11"/>
        <v>1869</v>
      </c>
      <c r="P30" s="584">
        <f t="shared" si="67"/>
        <v>2014</v>
      </c>
      <c r="Q30" s="584">
        <f t="shared" si="49"/>
        <v>169987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65"/>
        <v>178</v>
      </c>
      <c r="C31" s="64">
        <f t="shared" si="66"/>
        <v>184</v>
      </c>
      <c r="D31" s="45">
        <f t="shared" si="75"/>
        <v>0</v>
      </c>
      <c r="E31" s="45">
        <f t="shared" si="8"/>
        <v>0</v>
      </c>
      <c r="F31" s="584">
        <f t="shared" si="28"/>
        <v>1765</v>
      </c>
      <c r="G31" s="52">
        <f t="shared" si="0"/>
        <v>0</v>
      </c>
      <c r="H31" s="584">
        <f t="shared" si="29"/>
        <v>7677</v>
      </c>
      <c r="I31" s="396">
        <f t="shared" si="1"/>
        <v>0</v>
      </c>
      <c r="J31" s="66">
        <f t="shared" si="9"/>
        <v>0</v>
      </c>
      <c r="K31" s="584">
        <f t="shared" si="41"/>
        <v>2258</v>
      </c>
      <c r="L31" s="52">
        <f t="shared" si="10"/>
        <v>0</v>
      </c>
      <c r="M31" s="584">
        <f t="shared" si="42"/>
        <v>166149</v>
      </c>
      <c r="N31" s="396">
        <f t="shared" si="2"/>
        <v>0</v>
      </c>
      <c r="O31" s="64">
        <f t="shared" si="11"/>
        <v>1869</v>
      </c>
      <c r="P31" s="584">
        <f t="shared" si="67"/>
        <v>2014</v>
      </c>
      <c r="Q31" s="584">
        <f t="shared" si="49"/>
        <v>169987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65"/>
        <v>178</v>
      </c>
      <c r="C32" s="64">
        <f t="shared" si="66"/>
        <v>184</v>
      </c>
      <c r="D32" s="45">
        <f t="shared" si="27"/>
        <v>0</v>
      </c>
      <c r="E32" s="45">
        <f t="shared" ref="E32" si="106">D32*8.38</f>
        <v>0</v>
      </c>
      <c r="F32" s="584">
        <f t="shared" si="28"/>
        <v>1765</v>
      </c>
      <c r="G32" s="52">
        <f t="shared" si="0"/>
        <v>0</v>
      </c>
      <c r="H32" s="584">
        <f t="shared" si="29"/>
        <v>7677</v>
      </c>
      <c r="I32" s="396">
        <f t="shared" si="1"/>
        <v>0</v>
      </c>
      <c r="J32" s="66">
        <f t="shared" si="9"/>
        <v>0</v>
      </c>
      <c r="K32" s="584">
        <f t="shared" si="41"/>
        <v>2258</v>
      </c>
      <c r="L32" s="52">
        <f t="shared" si="10"/>
        <v>0</v>
      </c>
      <c r="M32" s="584">
        <f t="shared" si="42"/>
        <v>166149</v>
      </c>
      <c r="N32" s="396">
        <f t="shared" si="2"/>
        <v>0</v>
      </c>
      <c r="O32" s="64">
        <f t="shared" si="11"/>
        <v>1869</v>
      </c>
      <c r="P32" s="584">
        <f t="shared" si="67"/>
        <v>2014</v>
      </c>
      <c r="Q32" s="584">
        <f t="shared" si="49"/>
        <v>169987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65"/>
        <v>178</v>
      </c>
      <c r="C33" s="64">
        <f t="shared" si="66"/>
        <v>184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1765</v>
      </c>
      <c r="G33" s="52">
        <f t="shared" ref="G33:G35" si="111">F33-F32</f>
        <v>0</v>
      </c>
      <c r="H33" s="584">
        <f t="shared" si="29"/>
        <v>7677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2258</v>
      </c>
      <c r="L33" s="52">
        <f t="shared" ref="L33:L35" si="114">K33-K32</f>
        <v>0</v>
      </c>
      <c r="M33" s="584">
        <f t="shared" si="42"/>
        <v>166149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2014</v>
      </c>
      <c r="Q33" s="584">
        <f t="shared" si="49"/>
        <v>169987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65"/>
        <v>178</v>
      </c>
      <c r="C34" s="64">
        <f t="shared" si="66"/>
        <v>184</v>
      </c>
      <c r="D34" s="45">
        <f t="shared" si="109"/>
        <v>0</v>
      </c>
      <c r="E34" s="45">
        <f t="shared" si="110"/>
        <v>0</v>
      </c>
      <c r="F34" s="584">
        <f t="shared" si="28"/>
        <v>1765</v>
      </c>
      <c r="G34" s="52">
        <f t="shared" si="111"/>
        <v>0</v>
      </c>
      <c r="H34" s="584">
        <f t="shared" si="29"/>
        <v>7677</v>
      </c>
      <c r="I34" s="396">
        <f t="shared" si="112"/>
        <v>0</v>
      </c>
      <c r="J34" s="66">
        <f t="shared" si="113"/>
        <v>0</v>
      </c>
      <c r="K34" s="584">
        <f t="shared" si="41"/>
        <v>2258</v>
      </c>
      <c r="L34" s="52">
        <f t="shared" si="114"/>
        <v>0</v>
      </c>
      <c r="M34" s="584">
        <f t="shared" si="42"/>
        <v>166149</v>
      </c>
      <c r="N34" s="396">
        <f t="shared" si="115"/>
        <v>0</v>
      </c>
      <c r="O34" s="64">
        <f t="shared" ref="O34" si="141">O33</f>
        <v>1869</v>
      </c>
      <c r="P34" s="584">
        <f t="shared" si="67"/>
        <v>2014</v>
      </c>
      <c r="Q34" s="584">
        <f t="shared" si="49"/>
        <v>169987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65"/>
        <v>178</v>
      </c>
      <c r="C35" s="64">
        <f t="shared" si="66"/>
        <v>184</v>
      </c>
      <c r="D35" s="45">
        <f t="shared" si="109"/>
        <v>0</v>
      </c>
      <c r="E35" s="45">
        <f t="shared" si="110"/>
        <v>0</v>
      </c>
      <c r="F35" s="584">
        <f t="shared" si="28"/>
        <v>1765</v>
      </c>
      <c r="G35" s="52">
        <f t="shared" si="111"/>
        <v>0</v>
      </c>
      <c r="H35" s="584">
        <f t="shared" si="29"/>
        <v>7677</v>
      </c>
      <c r="I35" s="396">
        <f t="shared" si="112"/>
        <v>0</v>
      </c>
      <c r="J35" s="66">
        <f t="shared" si="113"/>
        <v>0</v>
      </c>
      <c r="K35" s="584">
        <f t="shared" si="41"/>
        <v>2258</v>
      </c>
      <c r="L35" s="52">
        <f t="shared" si="114"/>
        <v>0</v>
      </c>
      <c r="M35" s="584">
        <f t="shared" si="42"/>
        <v>166149</v>
      </c>
      <c r="N35" s="396">
        <f t="shared" si="115"/>
        <v>0</v>
      </c>
      <c r="O35" s="64">
        <f t="shared" ref="O35" si="144">O34</f>
        <v>1869</v>
      </c>
      <c r="P35" s="584">
        <f t="shared" si="67"/>
        <v>2014</v>
      </c>
      <c r="Q35" s="584">
        <f t="shared" si="49"/>
        <v>169987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66.851851851851862</v>
      </c>
      <c r="V37" s="62">
        <f>SUM(V5:V32)</f>
        <v>3124</v>
      </c>
      <c r="AE37" s="71" t="s">
        <v>383</v>
      </c>
      <c r="AG37" s="344"/>
      <c r="AH37" s="62">
        <f>SUM(AH5:AH32)</f>
        <v>389.20000000001164</v>
      </c>
      <c r="AL37" s="62">
        <f>SUM(AL5:AL32)</f>
        <v>41</v>
      </c>
      <c r="AM37" s="62">
        <f>SUM(AM5:AM32)</f>
        <v>6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3513.2000000000116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X1" zoomScaleNormal="100" workbookViewId="0">
      <pane ySplit="3" topLeftCell="A4" activePane="bottomLeft" state="frozen"/>
      <selection pane="bottomLeft" activeCell="BM19" sqref="BM19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8013863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9" t="s">
        <v>126</v>
      </c>
      <c r="AO3" s="630"/>
      <c r="AP3" s="63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140</v>
      </c>
      <c r="AW19" s="5">
        <v>2.9</v>
      </c>
      <c r="AX19" s="201">
        <v>155</v>
      </c>
      <c r="AY19" s="426">
        <f t="shared" ref="AY19:AY21" si="48">AS19*AT19</f>
        <v>92.7</v>
      </c>
      <c r="AZ19" s="426">
        <f t="shared" ref="AZ19:AZ21" si="49">AU19*AV19</f>
        <v>154</v>
      </c>
      <c r="BA19" s="426">
        <f t="shared" ref="BA19:BA21" si="50">AW19*AX19</f>
        <v>449.5</v>
      </c>
      <c r="BB19" s="21">
        <f t="shared" ref="BB19:BB20" si="51">AY19-AY18</f>
        <v>0</v>
      </c>
      <c r="BC19" s="21">
        <f t="shared" ref="BC19:BC20" si="52">AZ19-AZ18</f>
        <v>-4.4000000000000057</v>
      </c>
      <c r="BD19" s="21">
        <f t="shared" ref="BD19:BD20" si="53">BA19-BA18</f>
        <v>-17.399999999999977</v>
      </c>
      <c r="BE19" s="24">
        <f t="shared" ref="BE19:BE20" si="54">SUM(BB19:BD19)</f>
        <v>-21.799999999999983</v>
      </c>
      <c r="BF19" s="96">
        <f t="shared" si="8"/>
        <v>21.799999999999983</v>
      </c>
      <c r="BG19" s="82">
        <f t="shared" si="9"/>
        <v>-21.799999999999983</v>
      </c>
    </row>
    <row r="20" spans="1:61" ht="1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140</v>
      </c>
      <c r="AW20" s="5">
        <v>2.9</v>
      </c>
      <c r="AX20" s="201">
        <f t="shared" si="42"/>
        <v>155</v>
      </c>
      <c r="AY20" s="426">
        <f t="shared" si="48"/>
        <v>92.7</v>
      </c>
      <c r="AZ20" s="426">
        <f t="shared" si="49"/>
        <v>154</v>
      </c>
      <c r="BA20" s="426">
        <f t="shared" si="50"/>
        <v>449.5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f t="shared" si="6"/>
        <v>103</v>
      </c>
      <c r="AU21" s="425">
        <f t="shared" si="41"/>
        <v>1.1000000000000001</v>
      </c>
      <c r="AV21" s="201">
        <f t="shared" si="47"/>
        <v>140</v>
      </c>
      <c r="AW21" s="5">
        <v>2.9</v>
      </c>
      <c r="AX21" s="201">
        <f t="shared" si="42"/>
        <v>155</v>
      </c>
      <c r="AY21" s="426">
        <f t="shared" si="48"/>
        <v>92.7</v>
      </c>
      <c r="AZ21" s="426">
        <f t="shared" si="49"/>
        <v>154</v>
      </c>
      <c r="BA21" s="426">
        <f t="shared" si="50"/>
        <v>449.5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8"/>
        <v>0</v>
      </c>
      <c r="BG21" s="82">
        <f t="shared" si="9"/>
        <v>0</v>
      </c>
    </row>
    <row r="22" spans="1:61" ht="1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6729</v>
      </c>
      <c r="L22" s="83">
        <f t="shared" si="39"/>
        <v>0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0</v>
      </c>
      <c r="AL22" s="327">
        <f t="shared" si="30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103</v>
      </c>
      <c r="AU22" s="425">
        <f t="shared" si="41"/>
        <v>1.1000000000000001</v>
      </c>
      <c r="AV22" s="201">
        <f t="shared" si="47"/>
        <v>140</v>
      </c>
      <c r="AW22" s="5">
        <v>2.9</v>
      </c>
      <c r="AX22" s="201">
        <f t="shared" si="42"/>
        <v>155</v>
      </c>
      <c r="AY22" s="426">
        <f t="shared" si="7"/>
        <v>92.7</v>
      </c>
      <c r="AZ22" s="426">
        <f t="shared" si="32"/>
        <v>154</v>
      </c>
      <c r="BA22" s="426">
        <f t="shared" si="33"/>
        <v>449.5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616451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6729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150462</v>
      </c>
      <c r="Y23" s="324">
        <f t="shared" si="40"/>
        <v>0</v>
      </c>
      <c r="Z23" s="5">
        <f t="shared" si="46"/>
        <v>98542</v>
      </c>
      <c r="AA23" s="83">
        <f t="shared" si="21"/>
        <v>0</v>
      </c>
      <c r="AB23" s="5">
        <f t="shared" si="22"/>
        <v>251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0</v>
      </c>
      <c r="AK23" s="327">
        <f t="shared" si="38"/>
        <v>0</v>
      </c>
      <c r="AL23" s="327">
        <f t="shared" si="30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f t="shared" si="55"/>
        <v>103</v>
      </c>
      <c r="AU23" s="425">
        <f t="shared" si="41"/>
        <v>1.1000000000000001</v>
      </c>
      <c r="AV23" s="201">
        <f t="shared" si="47"/>
        <v>140</v>
      </c>
      <c r="AW23" s="5">
        <v>2.9</v>
      </c>
      <c r="AX23" s="201">
        <f t="shared" si="42"/>
        <v>155</v>
      </c>
      <c r="AY23" s="426">
        <f t="shared" si="7"/>
        <v>92.7</v>
      </c>
      <c r="AZ23" s="426">
        <f t="shared" si="32"/>
        <v>154</v>
      </c>
      <c r="BA23" s="426">
        <f t="shared" si="33"/>
        <v>449.5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616451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-16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150462</v>
      </c>
      <c r="Y24" s="324">
        <f t="shared" si="40"/>
        <v>0</v>
      </c>
      <c r="Z24" s="5">
        <f t="shared" si="46"/>
        <v>98542</v>
      </c>
      <c r="AA24" s="83">
        <f t="shared" si="21"/>
        <v>0</v>
      </c>
      <c r="AB24" s="5">
        <f t="shared" si="22"/>
        <v>251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0</v>
      </c>
      <c r="AK24" s="327">
        <f t="shared" si="38"/>
        <v>16</v>
      </c>
      <c r="AL24" s="327">
        <f t="shared" si="30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f t="shared" si="55"/>
        <v>103</v>
      </c>
      <c r="AU24" s="425">
        <f t="shared" si="41"/>
        <v>1.1000000000000001</v>
      </c>
      <c r="AV24" s="201">
        <f t="shared" si="47"/>
        <v>140</v>
      </c>
      <c r="AW24" s="5">
        <v>2.9</v>
      </c>
      <c r="AX24" s="201">
        <f t="shared" si="42"/>
        <v>155</v>
      </c>
      <c r="AY24" s="426">
        <f t="shared" si="7"/>
        <v>92.7</v>
      </c>
      <c r="AZ24" s="426">
        <f t="shared" si="32"/>
        <v>154</v>
      </c>
      <c r="BA24" s="426">
        <f t="shared" si="33"/>
        <v>449.5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616451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6729</v>
      </c>
      <c r="L25" s="274">
        <f t="shared" si="39"/>
        <v>16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150462</v>
      </c>
      <c r="Y25" s="324">
        <f t="shared" si="40"/>
        <v>0</v>
      </c>
      <c r="Z25" s="5">
        <f t="shared" si="46"/>
        <v>98542</v>
      </c>
      <c r="AA25" s="83">
        <f t="shared" si="21"/>
        <v>0</v>
      </c>
      <c r="AB25" s="5">
        <f t="shared" si="22"/>
        <v>251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-16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103</v>
      </c>
      <c r="AU25" s="425">
        <f t="shared" si="41"/>
        <v>1.1000000000000001</v>
      </c>
      <c r="AV25" s="201">
        <f t="shared" si="47"/>
        <v>140</v>
      </c>
      <c r="AW25" s="5">
        <v>2.9</v>
      </c>
      <c r="AX25" s="201">
        <f t="shared" si="42"/>
        <v>155</v>
      </c>
      <c r="AY25" s="426">
        <f t="shared" si="7"/>
        <v>92.7</v>
      </c>
      <c r="AZ25" s="426">
        <f t="shared" si="32"/>
        <v>154</v>
      </c>
      <c r="BA25" s="426">
        <f t="shared" si="33"/>
        <v>449.5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616451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6729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150462</v>
      </c>
      <c r="Y26" s="324">
        <f t="shared" si="40"/>
        <v>0</v>
      </c>
      <c r="Z26" s="5">
        <f t="shared" si="46"/>
        <v>98542</v>
      </c>
      <c r="AA26" s="83">
        <f t="shared" si="21"/>
        <v>0</v>
      </c>
      <c r="AB26" s="5">
        <f t="shared" si="22"/>
        <v>251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103</v>
      </c>
      <c r="AU26" s="425">
        <f t="shared" si="41"/>
        <v>1.1000000000000001</v>
      </c>
      <c r="AV26" s="201">
        <f t="shared" si="47"/>
        <v>140</v>
      </c>
      <c r="AW26" s="5">
        <v>2.9</v>
      </c>
      <c r="AX26" s="201">
        <f t="shared" si="42"/>
        <v>155</v>
      </c>
      <c r="AY26" s="426">
        <f t="shared" si="7"/>
        <v>92.7</v>
      </c>
      <c r="AZ26" s="426">
        <f t="shared" si="32"/>
        <v>154</v>
      </c>
      <c r="BA26" s="426">
        <f t="shared" si="33"/>
        <v>449.5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616451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6729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150462</v>
      </c>
      <c r="Y27" s="324">
        <f>SUM(X27-X26)</f>
        <v>0</v>
      </c>
      <c r="Z27" s="5">
        <f t="shared" si="46"/>
        <v>98542</v>
      </c>
      <c r="AA27" s="83">
        <f t="shared" si="21"/>
        <v>0</v>
      </c>
      <c r="AB27" s="5">
        <f t="shared" si="22"/>
        <v>251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103</v>
      </c>
      <c r="AU27" s="425">
        <f t="shared" si="41"/>
        <v>1.1000000000000001</v>
      </c>
      <c r="AV27" s="201">
        <f t="shared" si="47"/>
        <v>140</v>
      </c>
      <c r="AW27" s="5">
        <v>2.9</v>
      </c>
      <c r="AX27" s="201">
        <f t="shared" si="42"/>
        <v>155</v>
      </c>
      <c r="AY27" s="426">
        <f t="shared" si="7"/>
        <v>92.7</v>
      </c>
      <c r="AZ27" s="426">
        <f t="shared" si="32"/>
        <v>154</v>
      </c>
      <c r="BA27" s="426">
        <f t="shared" si="33"/>
        <v>449.5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616451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6729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150462</v>
      </c>
      <c r="Y28" s="324">
        <f t="shared" si="40"/>
        <v>0</v>
      </c>
      <c r="Z28" s="5">
        <f t="shared" si="46"/>
        <v>98542</v>
      </c>
      <c r="AA28" s="83">
        <f t="shared" si="21"/>
        <v>0</v>
      </c>
      <c r="AB28" s="5">
        <f t="shared" si="22"/>
        <v>251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103</v>
      </c>
      <c r="AU28" s="425">
        <f t="shared" si="41"/>
        <v>1.1000000000000001</v>
      </c>
      <c r="AV28" s="201">
        <f t="shared" si="47"/>
        <v>140</v>
      </c>
      <c r="AW28" s="5">
        <v>2.9</v>
      </c>
      <c r="AX28" s="201">
        <f t="shared" si="42"/>
        <v>155</v>
      </c>
      <c r="AY28" s="426">
        <f t="shared" si="7"/>
        <v>92.7</v>
      </c>
      <c r="AZ28" s="426">
        <f t="shared" si="32"/>
        <v>154</v>
      </c>
      <c r="BA28" s="426">
        <f t="shared" si="33"/>
        <v>449.5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616451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6729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150462</v>
      </c>
      <c r="Y29" s="324">
        <f t="shared" si="40"/>
        <v>0</v>
      </c>
      <c r="Z29" s="5">
        <f t="shared" si="46"/>
        <v>98542</v>
      </c>
      <c r="AA29" s="83">
        <f t="shared" si="21"/>
        <v>0</v>
      </c>
      <c r="AB29" s="5">
        <f t="shared" si="22"/>
        <v>251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103</v>
      </c>
      <c r="AU29" s="425">
        <f t="shared" si="41"/>
        <v>1.1000000000000001</v>
      </c>
      <c r="AV29" s="201">
        <f t="shared" si="47"/>
        <v>140</v>
      </c>
      <c r="AW29" s="5">
        <v>2.9</v>
      </c>
      <c r="AX29" s="201">
        <f t="shared" si="42"/>
        <v>155</v>
      </c>
      <c r="AY29" s="426">
        <f t="shared" si="7"/>
        <v>92.7</v>
      </c>
      <c r="AZ29" s="426">
        <f t="shared" si="32"/>
        <v>154</v>
      </c>
      <c r="BA29" s="426">
        <f t="shared" si="33"/>
        <v>449.5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616451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6729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150462</v>
      </c>
      <c r="Y30" s="324">
        <f t="shared" si="40"/>
        <v>0</v>
      </c>
      <c r="Z30" s="5">
        <f t="shared" si="46"/>
        <v>98542</v>
      </c>
      <c r="AA30" s="83">
        <f t="shared" si="21"/>
        <v>0</v>
      </c>
      <c r="AB30" s="5">
        <f t="shared" si="22"/>
        <v>251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103</v>
      </c>
      <c r="AU30" s="425">
        <f t="shared" si="41"/>
        <v>1.1000000000000001</v>
      </c>
      <c r="AV30" s="201">
        <f t="shared" si="47"/>
        <v>140</v>
      </c>
      <c r="AW30" s="5">
        <v>2.9</v>
      </c>
      <c r="AX30" s="201">
        <f t="shared" si="42"/>
        <v>155</v>
      </c>
      <c r="AY30" s="426">
        <f t="shared" si="7"/>
        <v>92.7</v>
      </c>
      <c r="AZ30" s="426">
        <f t="shared" si="32"/>
        <v>154</v>
      </c>
      <c r="BA30" s="426">
        <f t="shared" si="33"/>
        <v>449.5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616451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6729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150462</v>
      </c>
      <c r="Y31" s="324">
        <f t="shared" si="40"/>
        <v>0</v>
      </c>
      <c r="Z31" s="5">
        <f t="shared" si="46"/>
        <v>98542</v>
      </c>
      <c r="AA31" s="83">
        <f t="shared" si="21"/>
        <v>0</v>
      </c>
      <c r="AB31" s="5">
        <f t="shared" si="22"/>
        <v>251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103</v>
      </c>
      <c r="AU31" s="425">
        <f t="shared" si="41"/>
        <v>1.1000000000000001</v>
      </c>
      <c r="AV31" s="201">
        <f t="shared" si="47"/>
        <v>140</v>
      </c>
      <c r="AW31" s="5">
        <v>2.9</v>
      </c>
      <c r="AX31" s="201">
        <f t="shared" si="42"/>
        <v>155</v>
      </c>
      <c r="AY31" s="426">
        <f t="shared" si="7"/>
        <v>92.7</v>
      </c>
      <c r="AZ31" s="426">
        <f t="shared" si="32"/>
        <v>154</v>
      </c>
      <c r="BA31" s="426">
        <f t="shared" si="33"/>
        <v>449.5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616451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6729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150462</v>
      </c>
      <c r="Y32" s="324">
        <f t="shared" si="40"/>
        <v>0</v>
      </c>
      <c r="Z32" s="5">
        <f t="shared" si="46"/>
        <v>98542</v>
      </c>
      <c r="AA32" s="83">
        <f t="shared" si="21"/>
        <v>0</v>
      </c>
      <c r="AB32" s="5">
        <f t="shared" si="22"/>
        <v>251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103</v>
      </c>
      <c r="AU32" s="425">
        <f t="shared" si="41"/>
        <v>1.1000000000000001</v>
      </c>
      <c r="AV32" s="201">
        <f t="shared" si="47"/>
        <v>140</v>
      </c>
      <c r="AW32" s="5">
        <v>2.9</v>
      </c>
      <c r="AX32" s="201">
        <f t="shared" si="42"/>
        <v>155</v>
      </c>
      <c r="AY32" s="426">
        <f t="shared" si="7"/>
        <v>92.7</v>
      </c>
      <c r="AZ32" s="426">
        <f t="shared" si="32"/>
        <v>154</v>
      </c>
      <c r="BA32" s="426">
        <f t="shared" si="33"/>
        <v>449.5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616451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6729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150462</v>
      </c>
      <c r="Y33" s="324">
        <f t="shared" si="40"/>
        <v>0</v>
      </c>
      <c r="Z33" s="5">
        <f t="shared" si="46"/>
        <v>98542</v>
      </c>
      <c r="AA33" s="83">
        <f t="shared" si="21"/>
        <v>0</v>
      </c>
      <c r="AB33" s="5">
        <f t="shared" si="22"/>
        <v>251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103</v>
      </c>
      <c r="AU33" s="425">
        <f t="shared" si="41"/>
        <v>1.1000000000000001</v>
      </c>
      <c r="AV33" s="201">
        <f t="shared" si="47"/>
        <v>140</v>
      </c>
      <c r="AW33" s="5">
        <v>2.9</v>
      </c>
      <c r="AX33" s="201">
        <f t="shared" si="42"/>
        <v>155</v>
      </c>
      <c r="AY33" s="426">
        <f t="shared" si="7"/>
        <v>92.7</v>
      </c>
      <c r="AZ33" s="426">
        <f t="shared" si="32"/>
        <v>154</v>
      </c>
      <c r="BA33" s="426">
        <f t="shared" si="33"/>
        <v>449.5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616451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6729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150462</v>
      </c>
      <c r="Y34" s="324">
        <f t="shared" ref="Y34:Y36" si="67">SUM(X34-X33)</f>
        <v>0</v>
      </c>
      <c r="Z34" s="5">
        <f t="shared" si="46"/>
        <v>98542</v>
      </c>
      <c r="AA34" s="83">
        <f t="shared" ref="AA34:AA36" si="68">Z34-Z33</f>
        <v>0</v>
      </c>
      <c r="AB34" s="5">
        <f t="shared" si="22"/>
        <v>251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103</v>
      </c>
      <c r="AU34" s="425">
        <f t="shared" ref="AU34" si="78">AU33</f>
        <v>1.1000000000000001</v>
      </c>
      <c r="AV34" s="201">
        <f t="shared" si="47"/>
        <v>140</v>
      </c>
      <c r="AW34" s="5">
        <v>2.9</v>
      </c>
      <c r="AX34" s="201">
        <f t="shared" si="42"/>
        <v>155</v>
      </c>
      <c r="AY34" s="426">
        <f t="shared" ref="AY34:AY36" si="79">AS34*AT34</f>
        <v>92.7</v>
      </c>
      <c r="AZ34" s="426">
        <f t="shared" ref="AZ34:AZ36" si="80">AU34*AV34</f>
        <v>154</v>
      </c>
      <c r="BA34" s="426">
        <f t="shared" ref="BA34:BA36" si="81">AW34*AX34</f>
        <v>449.5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616451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6729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150462</v>
      </c>
      <c r="Y35" s="324">
        <f t="shared" si="67"/>
        <v>0</v>
      </c>
      <c r="Z35" s="5">
        <f t="shared" si="46"/>
        <v>98542</v>
      </c>
      <c r="AA35" s="83">
        <f t="shared" si="68"/>
        <v>0</v>
      </c>
      <c r="AB35" s="5">
        <f t="shared" si="22"/>
        <v>251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103</v>
      </c>
      <c r="AU35" s="425">
        <f t="shared" ref="AU35" si="89">AU34</f>
        <v>1.1000000000000001</v>
      </c>
      <c r="AV35" s="201">
        <f t="shared" si="47"/>
        <v>140</v>
      </c>
      <c r="AW35" s="5">
        <v>2.9</v>
      </c>
      <c r="AX35" s="201">
        <f t="shared" si="42"/>
        <v>155</v>
      </c>
      <c r="AY35" s="426">
        <f t="shared" si="79"/>
        <v>92.7</v>
      </c>
      <c r="AZ35" s="426">
        <f t="shared" si="80"/>
        <v>154</v>
      </c>
      <c r="BA35" s="426">
        <f t="shared" si="81"/>
        <v>449.5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616451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6729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150462</v>
      </c>
      <c r="Y36" s="324">
        <f t="shared" si="67"/>
        <v>0</v>
      </c>
      <c r="Z36" s="5">
        <f t="shared" si="46"/>
        <v>98542</v>
      </c>
      <c r="AA36" s="83">
        <f t="shared" si="68"/>
        <v>0</v>
      </c>
      <c r="AB36" s="5">
        <f t="shared" si="22"/>
        <v>251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103</v>
      </c>
      <c r="AU36" s="425">
        <f t="shared" ref="AU36" si="91">AU35</f>
        <v>1.1000000000000001</v>
      </c>
      <c r="AV36" s="201">
        <f t="shared" si="47"/>
        <v>140</v>
      </c>
      <c r="AW36" s="5">
        <v>2.9</v>
      </c>
      <c r="AX36" s="201">
        <f t="shared" si="42"/>
        <v>155</v>
      </c>
      <c r="AY36" s="426">
        <f t="shared" si="79"/>
        <v>92.7</v>
      </c>
      <c r="AZ36" s="426">
        <f t="shared" si="80"/>
        <v>154</v>
      </c>
      <c r="BA36" s="426">
        <f t="shared" si="81"/>
        <v>449.5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299</v>
      </c>
      <c r="I37" s="412">
        <f>SUM(I6:I33)</f>
        <v>299</v>
      </c>
      <c r="L37" s="268">
        <f>SUM(L7:L33)</f>
        <v>8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61</v>
      </c>
      <c r="AK37" s="327" t="e">
        <f>SUM(Y37-L37)</f>
        <v>#REF!</v>
      </c>
      <c r="AL37" s="322">
        <f>SUM(AL6:AL33)</f>
        <v>61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299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299</v>
      </c>
      <c r="H39" s="1">
        <f>SUM(H38+C38)</f>
        <v>7500</v>
      </c>
      <c r="K39" s="1">
        <f>SUM(H39/G39)</f>
        <v>25.083612040133779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1" activePane="bottomLeft" state="frozen"/>
      <selection pane="bottomLeft" activeCell="G18" sqref="G18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16.26923076923077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zoomScale="90" zoomScaleNormal="90" workbookViewId="0">
      <pane xSplit="1" topLeftCell="AI1" activePane="topRight" state="frozen"/>
      <selection pane="topRight" activeCell="BI22" sqref="BI22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178</v>
      </c>
      <c r="C19" s="203">
        <f t="shared" si="18"/>
        <v>3829.8709677419356</v>
      </c>
      <c r="D19">
        <f t="shared" si="19"/>
        <v>178</v>
      </c>
      <c r="E19" s="203">
        <f t="shared" si="18"/>
        <v>3829.8709677419356</v>
      </c>
      <c r="F19">
        <f t="shared" si="20"/>
        <v>178</v>
      </c>
      <c r="G19" s="203">
        <f t="shared" si="1"/>
        <v>3829.8709677419356</v>
      </c>
      <c r="H19" s="203">
        <f t="shared" si="21"/>
        <v>178</v>
      </c>
      <c r="I19" s="203">
        <f t="shared" si="2"/>
        <v>3829.8709677419356</v>
      </c>
      <c r="J19" s="203">
        <f t="shared" si="22"/>
        <v>178</v>
      </c>
      <c r="K19" s="203">
        <f t="shared" si="3"/>
        <v>3829.8709677419356</v>
      </c>
      <c r="L19" s="203">
        <f t="shared" si="23"/>
        <v>178</v>
      </c>
      <c r="M19" s="203">
        <f t="shared" si="4"/>
        <v>3829.8709677419356</v>
      </c>
      <c r="N19" s="203">
        <f t="shared" si="24"/>
        <v>178</v>
      </c>
      <c r="O19" s="203">
        <f t="shared" si="5"/>
        <v>3829.8709677419356</v>
      </c>
      <c r="P19" s="203">
        <f t="shared" si="25"/>
        <v>178</v>
      </c>
      <c r="Q19" s="203">
        <f t="shared" si="6"/>
        <v>3829.8709677419356</v>
      </c>
      <c r="R19" s="203">
        <f t="shared" si="26"/>
        <v>178</v>
      </c>
      <c r="S19" s="203">
        <f t="shared" si="7"/>
        <v>3829.8709677419356</v>
      </c>
      <c r="T19" s="203">
        <f t="shared" si="27"/>
        <v>178</v>
      </c>
      <c r="U19" s="203">
        <f t="shared" si="8"/>
        <v>3829.8709677419356</v>
      </c>
      <c r="V19" s="203">
        <f t="shared" si="28"/>
        <v>178</v>
      </c>
      <c r="W19" s="203">
        <f t="shared" si="9"/>
        <v>3829.8709677419356</v>
      </c>
      <c r="X19" s="35">
        <f t="shared" si="10"/>
        <v>0.57419354838709691</v>
      </c>
      <c r="Y19" s="36">
        <f t="shared" si="29"/>
        <v>42128.580645161303</v>
      </c>
      <c r="Z19" s="203">
        <f>'B5'!C18</f>
        <v>184</v>
      </c>
      <c r="AA19" s="203">
        <f t="shared" si="30"/>
        <v>1840</v>
      </c>
      <c r="AB19" s="203">
        <f t="shared" si="31"/>
        <v>184</v>
      </c>
      <c r="AC19" s="203">
        <f t="shared" si="30"/>
        <v>1840</v>
      </c>
      <c r="AD19" s="203">
        <f t="shared" si="32"/>
        <v>184</v>
      </c>
      <c r="AE19" s="203">
        <f t="shared" si="11"/>
        <v>1840</v>
      </c>
      <c r="AF19" s="203">
        <f t="shared" si="33"/>
        <v>184</v>
      </c>
      <c r="AG19" s="203">
        <f t="shared" si="12"/>
        <v>1840</v>
      </c>
      <c r="AH19" s="203">
        <f t="shared" si="34"/>
        <v>184</v>
      </c>
      <c r="AI19" s="203">
        <f t="shared" si="13"/>
        <v>1840</v>
      </c>
      <c r="AJ19" s="203">
        <f t="shared" si="35"/>
        <v>184</v>
      </c>
      <c r="AK19" s="203">
        <f t="shared" si="14"/>
        <v>1840</v>
      </c>
      <c r="AL19" s="203">
        <f t="shared" si="36"/>
        <v>184</v>
      </c>
      <c r="AM19" s="203">
        <f t="shared" si="15"/>
        <v>1840</v>
      </c>
      <c r="AN19" s="35">
        <f t="shared" si="16"/>
        <v>0.65714285714285714</v>
      </c>
      <c r="AO19" s="36">
        <f t="shared" si="17"/>
        <v>12880</v>
      </c>
      <c r="AQ19" s="223">
        <f t="shared" si="37"/>
        <v>0.59168097929613106</v>
      </c>
      <c r="AR19" s="38">
        <f t="shared" si="42"/>
        <v>55008.580645161303</v>
      </c>
      <c r="AS19" s="197">
        <f t="shared" si="38"/>
        <v>0</v>
      </c>
      <c r="AT19" s="271"/>
      <c r="AU19" s="436"/>
      <c r="AV19" s="518">
        <f t="shared" si="43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178</v>
      </c>
      <c r="C20" s="203">
        <f t="shared" si="18"/>
        <v>3829.8709677419356</v>
      </c>
      <c r="D20">
        <f t="shared" si="19"/>
        <v>178</v>
      </c>
      <c r="E20" s="203">
        <f t="shared" si="18"/>
        <v>3829.8709677419356</v>
      </c>
      <c r="F20">
        <f t="shared" si="20"/>
        <v>178</v>
      </c>
      <c r="G20" s="203">
        <f t="shared" si="1"/>
        <v>3829.8709677419356</v>
      </c>
      <c r="H20" s="203">
        <f t="shared" si="21"/>
        <v>178</v>
      </c>
      <c r="I20" s="203">
        <f t="shared" si="2"/>
        <v>3829.8709677419356</v>
      </c>
      <c r="J20" s="203">
        <f t="shared" si="22"/>
        <v>178</v>
      </c>
      <c r="K20" s="203">
        <f t="shared" si="3"/>
        <v>3829.8709677419356</v>
      </c>
      <c r="L20" s="203">
        <f t="shared" si="23"/>
        <v>178</v>
      </c>
      <c r="M20" s="203">
        <f t="shared" si="4"/>
        <v>3829.8709677419356</v>
      </c>
      <c r="N20" s="203">
        <f t="shared" si="24"/>
        <v>178</v>
      </c>
      <c r="O20" s="203">
        <f t="shared" si="5"/>
        <v>3829.8709677419356</v>
      </c>
      <c r="P20" s="203">
        <f t="shared" si="25"/>
        <v>178</v>
      </c>
      <c r="Q20" s="203">
        <f t="shared" si="6"/>
        <v>3829.8709677419356</v>
      </c>
      <c r="R20" s="203">
        <f t="shared" si="26"/>
        <v>178</v>
      </c>
      <c r="S20" s="203">
        <f t="shared" si="7"/>
        <v>3829.8709677419356</v>
      </c>
      <c r="T20" s="203">
        <f t="shared" si="27"/>
        <v>178</v>
      </c>
      <c r="U20" s="203">
        <f t="shared" si="8"/>
        <v>3829.8709677419356</v>
      </c>
      <c r="V20" s="203">
        <f t="shared" si="28"/>
        <v>178</v>
      </c>
      <c r="W20" s="203">
        <f t="shared" si="9"/>
        <v>3829.8709677419356</v>
      </c>
      <c r="X20" s="35">
        <f t="shared" si="10"/>
        <v>0.57419354838709691</v>
      </c>
      <c r="Y20" s="36">
        <f t="shared" si="29"/>
        <v>42128.580645161303</v>
      </c>
      <c r="Z20" s="203">
        <f>'B5'!C19</f>
        <v>184</v>
      </c>
      <c r="AA20" s="203">
        <f t="shared" si="30"/>
        <v>1840</v>
      </c>
      <c r="AB20" s="203">
        <f t="shared" si="31"/>
        <v>184</v>
      </c>
      <c r="AC20" s="203">
        <f t="shared" si="30"/>
        <v>1840</v>
      </c>
      <c r="AD20" s="203">
        <f t="shared" si="32"/>
        <v>184</v>
      </c>
      <c r="AE20" s="203">
        <f t="shared" si="11"/>
        <v>1840</v>
      </c>
      <c r="AF20" s="203">
        <f t="shared" si="33"/>
        <v>184</v>
      </c>
      <c r="AG20" s="203">
        <f t="shared" si="12"/>
        <v>1840</v>
      </c>
      <c r="AH20" s="203">
        <f t="shared" si="34"/>
        <v>184</v>
      </c>
      <c r="AI20" s="203">
        <f t="shared" si="13"/>
        <v>1840</v>
      </c>
      <c r="AJ20" s="203">
        <f t="shared" si="35"/>
        <v>184</v>
      </c>
      <c r="AK20" s="203">
        <f t="shared" si="14"/>
        <v>1840</v>
      </c>
      <c r="AL20" s="203">
        <f t="shared" si="36"/>
        <v>184</v>
      </c>
      <c r="AM20" s="203">
        <f t="shared" si="15"/>
        <v>1840</v>
      </c>
      <c r="AN20" s="35">
        <f t="shared" si="16"/>
        <v>0.65714285714285714</v>
      </c>
      <c r="AO20" s="36">
        <f t="shared" si="17"/>
        <v>12880</v>
      </c>
      <c r="AQ20" s="223">
        <f t="shared" si="37"/>
        <v>0.59168097929613106</v>
      </c>
      <c r="AR20" s="38">
        <f t="shared" si="42"/>
        <v>55008.580645161303</v>
      </c>
      <c r="AS20" s="197">
        <f t="shared" si="38"/>
        <v>0</v>
      </c>
      <c r="AT20" s="271"/>
      <c r="AU20" s="436"/>
      <c r="AV20" s="518">
        <f t="shared" si="43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178</v>
      </c>
      <c r="C21" s="203">
        <f t="shared" si="18"/>
        <v>3829.8709677419356</v>
      </c>
      <c r="D21">
        <f t="shared" si="19"/>
        <v>178</v>
      </c>
      <c r="E21" s="203">
        <f t="shared" si="18"/>
        <v>3829.8709677419356</v>
      </c>
      <c r="F21">
        <f t="shared" si="20"/>
        <v>178</v>
      </c>
      <c r="G21" s="203">
        <f t="shared" si="1"/>
        <v>3829.8709677419356</v>
      </c>
      <c r="H21" s="203">
        <f t="shared" si="21"/>
        <v>178</v>
      </c>
      <c r="I21" s="203">
        <f t="shared" si="2"/>
        <v>3829.8709677419356</v>
      </c>
      <c r="J21" s="203">
        <f t="shared" si="22"/>
        <v>178</v>
      </c>
      <c r="K21" s="203">
        <f t="shared" si="3"/>
        <v>3829.8709677419356</v>
      </c>
      <c r="L21" s="203">
        <f t="shared" si="23"/>
        <v>178</v>
      </c>
      <c r="M21" s="203">
        <f t="shared" si="4"/>
        <v>3829.8709677419356</v>
      </c>
      <c r="N21" s="203">
        <f t="shared" si="24"/>
        <v>178</v>
      </c>
      <c r="O21" s="203">
        <f t="shared" si="5"/>
        <v>3829.8709677419356</v>
      </c>
      <c r="P21" s="203">
        <f t="shared" si="25"/>
        <v>178</v>
      </c>
      <c r="Q21" s="203">
        <f t="shared" si="6"/>
        <v>3829.8709677419356</v>
      </c>
      <c r="R21" s="203">
        <f t="shared" si="26"/>
        <v>178</v>
      </c>
      <c r="S21" s="203">
        <f t="shared" si="7"/>
        <v>3829.8709677419356</v>
      </c>
      <c r="T21" s="203">
        <f t="shared" si="27"/>
        <v>178</v>
      </c>
      <c r="U21" s="203">
        <f t="shared" si="8"/>
        <v>3829.8709677419356</v>
      </c>
      <c r="V21" s="203">
        <f t="shared" si="28"/>
        <v>178</v>
      </c>
      <c r="W21" s="203">
        <f t="shared" si="9"/>
        <v>3829.8709677419356</v>
      </c>
      <c r="X21" s="35">
        <f t="shared" si="10"/>
        <v>0.57419354838709691</v>
      </c>
      <c r="Y21" s="36">
        <f t="shared" si="29"/>
        <v>42128.580645161303</v>
      </c>
      <c r="Z21" s="203">
        <f>'B5'!C20</f>
        <v>184</v>
      </c>
      <c r="AA21" s="203">
        <f t="shared" si="30"/>
        <v>1840</v>
      </c>
      <c r="AB21" s="203">
        <f t="shared" si="31"/>
        <v>184</v>
      </c>
      <c r="AC21" s="203">
        <f t="shared" si="30"/>
        <v>1840</v>
      </c>
      <c r="AD21" s="203">
        <f t="shared" si="32"/>
        <v>184</v>
      </c>
      <c r="AE21" s="203">
        <f t="shared" si="11"/>
        <v>1840</v>
      </c>
      <c r="AF21" s="203">
        <f t="shared" si="33"/>
        <v>184</v>
      </c>
      <c r="AG21" s="203">
        <f t="shared" si="12"/>
        <v>1840</v>
      </c>
      <c r="AH21" s="203">
        <f t="shared" si="34"/>
        <v>184</v>
      </c>
      <c r="AI21" s="203">
        <f t="shared" si="13"/>
        <v>1840</v>
      </c>
      <c r="AJ21" s="203">
        <f t="shared" si="35"/>
        <v>184</v>
      </c>
      <c r="AK21" s="203">
        <f t="shared" si="14"/>
        <v>1840</v>
      </c>
      <c r="AL21" s="203">
        <f t="shared" si="36"/>
        <v>184</v>
      </c>
      <c r="AM21" s="203">
        <f t="shared" si="15"/>
        <v>1840</v>
      </c>
      <c r="AN21" s="35">
        <f t="shared" si="16"/>
        <v>0.65714285714285714</v>
      </c>
      <c r="AO21" s="36">
        <f t="shared" si="17"/>
        <v>12880</v>
      </c>
      <c r="AQ21" s="223">
        <f t="shared" si="37"/>
        <v>0.59168097929613106</v>
      </c>
      <c r="AR21" s="38">
        <f t="shared" si="42"/>
        <v>55008.580645161303</v>
      </c>
      <c r="AS21" s="197">
        <f t="shared" si="38"/>
        <v>0</v>
      </c>
      <c r="AT21" s="271"/>
      <c r="AU21" s="436"/>
      <c r="AV21" s="518">
        <f t="shared" si="43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178</v>
      </c>
      <c r="C22" s="203">
        <f t="shared" si="18"/>
        <v>3829.8709677419356</v>
      </c>
      <c r="D22">
        <f t="shared" si="19"/>
        <v>178</v>
      </c>
      <c r="E22" s="203">
        <f t="shared" si="18"/>
        <v>3829.8709677419356</v>
      </c>
      <c r="F22">
        <f t="shared" si="20"/>
        <v>178</v>
      </c>
      <c r="G22" s="203">
        <f t="shared" si="1"/>
        <v>3829.8709677419356</v>
      </c>
      <c r="H22" s="203">
        <f t="shared" si="21"/>
        <v>178</v>
      </c>
      <c r="I22" s="203">
        <f t="shared" si="2"/>
        <v>3829.8709677419356</v>
      </c>
      <c r="J22" s="203">
        <f t="shared" si="22"/>
        <v>178</v>
      </c>
      <c r="K22" s="203">
        <f t="shared" si="3"/>
        <v>3829.8709677419356</v>
      </c>
      <c r="L22" s="203">
        <f t="shared" si="23"/>
        <v>178</v>
      </c>
      <c r="M22" s="203">
        <f t="shared" si="4"/>
        <v>3829.8709677419356</v>
      </c>
      <c r="N22" s="203">
        <f t="shared" si="24"/>
        <v>178</v>
      </c>
      <c r="O22" s="203">
        <f t="shared" si="5"/>
        <v>3829.8709677419356</v>
      </c>
      <c r="P22" s="203">
        <f t="shared" si="25"/>
        <v>178</v>
      </c>
      <c r="Q22" s="203">
        <f t="shared" si="6"/>
        <v>3829.8709677419356</v>
      </c>
      <c r="R22" s="203">
        <f t="shared" si="26"/>
        <v>178</v>
      </c>
      <c r="S22" s="203">
        <f t="shared" si="7"/>
        <v>3829.8709677419356</v>
      </c>
      <c r="T22" s="203">
        <f t="shared" si="27"/>
        <v>178</v>
      </c>
      <c r="U22" s="203">
        <f t="shared" si="8"/>
        <v>3829.8709677419356</v>
      </c>
      <c r="V22" s="203">
        <f t="shared" si="28"/>
        <v>178</v>
      </c>
      <c r="W22" s="203">
        <f t="shared" si="9"/>
        <v>3829.8709677419356</v>
      </c>
      <c r="X22" s="35">
        <f t="shared" si="10"/>
        <v>0.57419354838709691</v>
      </c>
      <c r="Y22" s="36">
        <f t="shared" si="29"/>
        <v>42128.580645161303</v>
      </c>
      <c r="Z22" s="203">
        <f>'B5'!C21</f>
        <v>184</v>
      </c>
      <c r="AA22" s="203">
        <f t="shared" si="30"/>
        <v>1840</v>
      </c>
      <c r="AB22" s="203">
        <f t="shared" si="31"/>
        <v>184</v>
      </c>
      <c r="AC22" s="203">
        <f t="shared" si="30"/>
        <v>1840</v>
      </c>
      <c r="AD22" s="203">
        <f t="shared" si="32"/>
        <v>184</v>
      </c>
      <c r="AE22" s="203">
        <f t="shared" si="11"/>
        <v>1840</v>
      </c>
      <c r="AF22" s="203">
        <f t="shared" si="33"/>
        <v>184</v>
      </c>
      <c r="AG22" s="203">
        <f t="shared" si="12"/>
        <v>1840</v>
      </c>
      <c r="AH22" s="203">
        <f t="shared" si="34"/>
        <v>184</v>
      </c>
      <c r="AI22" s="203">
        <f t="shared" si="13"/>
        <v>1840</v>
      </c>
      <c r="AJ22" s="203">
        <f t="shared" si="35"/>
        <v>184</v>
      </c>
      <c r="AK22" s="203">
        <f t="shared" si="14"/>
        <v>1840</v>
      </c>
      <c r="AL22" s="203">
        <f t="shared" si="36"/>
        <v>184</v>
      </c>
      <c r="AM22" s="203">
        <f t="shared" si="15"/>
        <v>1840</v>
      </c>
      <c r="AN22" s="35">
        <f t="shared" si="16"/>
        <v>0.65714285714285714</v>
      </c>
      <c r="AO22" s="36">
        <f t="shared" si="17"/>
        <v>12880</v>
      </c>
      <c r="AQ22" s="223">
        <f t="shared" si="37"/>
        <v>0.59168097929613106</v>
      </c>
      <c r="AR22" s="38">
        <f t="shared" si="42"/>
        <v>55008.580645161303</v>
      </c>
      <c r="AS22" s="197">
        <f t="shared" si="38"/>
        <v>0</v>
      </c>
      <c r="AT22" s="271"/>
      <c r="AU22" s="436"/>
      <c r="AV22" s="518">
        <f t="shared" si="43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178</v>
      </c>
      <c r="C23" s="203">
        <f t="shared" si="18"/>
        <v>3829.8709677419356</v>
      </c>
      <c r="D23">
        <f t="shared" si="19"/>
        <v>178</v>
      </c>
      <c r="E23" s="203">
        <f t="shared" si="18"/>
        <v>3829.8709677419356</v>
      </c>
      <c r="F23">
        <f t="shared" si="20"/>
        <v>178</v>
      </c>
      <c r="G23" s="203">
        <f t="shared" si="1"/>
        <v>3829.8709677419356</v>
      </c>
      <c r="H23" s="203">
        <f t="shared" si="21"/>
        <v>178</v>
      </c>
      <c r="I23" s="203">
        <f t="shared" si="2"/>
        <v>3829.8709677419356</v>
      </c>
      <c r="J23" s="203">
        <f t="shared" si="22"/>
        <v>178</v>
      </c>
      <c r="K23" s="203">
        <f t="shared" si="3"/>
        <v>3829.8709677419356</v>
      </c>
      <c r="L23" s="203">
        <f t="shared" si="23"/>
        <v>178</v>
      </c>
      <c r="M23" s="203">
        <f t="shared" si="4"/>
        <v>3829.8709677419356</v>
      </c>
      <c r="N23" s="203">
        <f t="shared" si="24"/>
        <v>178</v>
      </c>
      <c r="O23" s="203">
        <f t="shared" si="5"/>
        <v>3829.8709677419356</v>
      </c>
      <c r="P23" s="203">
        <f t="shared" si="25"/>
        <v>178</v>
      </c>
      <c r="Q23" s="203">
        <f t="shared" si="6"/>
        <v>3829.8709677419356</v>
      </c>
      <c r="R23" s="203">
        <f t="shared" si="26"/>
        <v>178</v>
      </c>
      <c r="S23" s="203">
        <f t="shared" si="7"/>
        <v>3829.8709677419356</v>
      </c>
      <c r="T23" s="203">
        <f t="shared" si="27"/>
        <v>178</v>
      </c>
      <c r="U23" s="203">
        <f t="shared" si="8"/>
        <v>3829.8709677419356</v>
      </c>
      <c r="V23" s="203">
        <f t="shared" si="28"/>
        <v>178</v>
      </c>
      <c r="W23" s="203">
        <f t="shared" si="9"/>
        <v>3829.8709677419356</v>
      </c>
      <c r="X23" s="35">
        <f t="shared" si="10"/>
        <v>0.57419354838709691</v>
      </c>
      <c r="Y23" s="36">
        <f t="shared" si="29"/>
        <v>42128.580645161303</v>
      </c>
      <c r="Z23" s="203">
        <f>'B5'!C22</f>
        <v>184</v>
      </c>
      <c r="AA23" s="203">
        <f t="shared" si="30"/>
        <v>1840</v>
      </c>
      <c r="AB23" s="203">
        <f t="shared" si="31"/>
        <v>184</v>
      </c>
      <c r="AC23" s="203">
        <f t="shared" si="30"/>
        <v>1840</v>
      </c>
      <c r="AD23" s="203">
        <f t="shared" si="32"/>
        <v>184</v>
      </c>
      <c r="AE23" s="203">
        <f t="shared" si="11"/>
        <v>1840</v>
      </c>
      <c r="AF23" s="203">
        <f t="shared" si="33"/>
        <v>184</v>
      </c>
      <c r="AG23" s="203">
        <f t="shared" si="12"/>
        <v>1840</v>
      </c>
      <c r="AH23" s="203">
        <f t="shared" si="34"/>
        <v>184</v>
      </c>
      <c r="AI23" s="203">
        <f t="shared" si="13"/>
        <v>1840</v>
      </c>
      <c r="AJ23" s="203">
        <f t="shared" si="35"/>
        <v>184</v>
      </c>
      <c r="AK23" s="203">
        <f t="shared" si="14"/>
        <v>1840</v>
      </c>
      <c r="AL23" s="203">
        <f t="shared" si="36"/>
        <v>184</v>
      </c>
      <c r="AM23" s="203">
        <f t="shared" si="15"/>
        <v>1840</v>
      </c>
      <c r="AN23" s="35">
        <f t="shared" si="16"/>
        <v>0.65714285714285714</v>
      </c>
      <c r="AO23" s="36">
        <f t="shared" si="17"/>
        <v>12880</v>
      </c>
      <c r="AQ23" s="223">
        <f t="shared" si="37"/>
        <v>0.59168097929613106</v>
      </c>
      <c r="AR23" s="38">
        <f t="shared" si="42"/>
        <v>55008.580645161303</v>
      </c>
      <c r="AS23" s="197">
        <f t="shared" si="38"/>
        <v>0</v>
      </c>
      <c r="AT23" s="271"/>
      <c r="AU23" s="436"/>
      <c r="AV23" s="518">
        <f t="shared" si="43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178</v>
      </c>
      <c r="C24" s="203">
        <f t="shared" si="18"/>
        <v>3829.8709677419356</v>
      </c>
      <c r="D24">
        <f t="shared" si="19"/>
        <v>178</v>
      </c>
      <c r="E24" s="203">
        <f t="shared" si="18"/>
        <v>3829.8709677419356</v>
      </c>
      <c r="F24">
        <f t="shared" si="20"/>
        <v>178</v>
      </c>
      <c r="G24" s="203">
        <f t="shared" si="1"/>
        <v>3829.8709677419356</v>
      </c>
      <c r="H24" s="203">
        <f t="shared" si="21"/>
        <v>178</v>
      </c>
      <c r="I24" s="203">
        <f t="shared" si="2"/>
        <v>3829.8709677419356</v>
      </c>
      <c r="J24" s="203">
        <f t="shared" si="22"/>
        <v>178</v>
      </c>
      <c r="K24" s="203">
        <f t="shared" si="3"/>
        <v>3829.8709677419356</v>
      </c>
      <c r="L24" s="203">
        <f t="shared" si="23"/>
        <v>178</v>
      </c>
      <c r="M24" s="203">
        <f t="shared" si="4"/>
        <v>3829.8709677419356</v>
      </c>
      <c r="N24" s="203">
        <f t="shared" si="24"/>
        <v>178</v>
      </c>
      <c r="O24" s="203">
        <f t="shared" si="5"/>
        <v>3829.8709677419356</v>
      </c>
      <c r="P24" s="203">
        <f t="shared" si="25"/>
        <v>178</v>
      </c>
      <c r="Q24" s="203">
        <f t="shared" si="6"/>
        <v>3829.8709677419356</v>
      </c>
      <c r="R24" s="203">
        <f t="shared" si="26"/>
        <v>178</v>
      </c>
      <c r="S24" s="203">
        <f t="shared" si="7"/>
        <v>3829.8709677419356</v>
      </c>
      <c r="T24" s="203">
        <f t="shared" si="27"/>
        <v>178</v>
      </c>
      <c r="U24" s="203">
        <f t="shared" si="8"/>
        <v>3829.8709677419356</v>
      </c>
      <c r="V24" s="203">
        <f t="shared" si="28"/>
        <v>178</v>
      </c>
      <c r="W24" s="203">
        <f t="shared" si="9"/>
        <v>3829.8709677419356</v>
      </c>
      <c r="X24" s="35">
        <f t="shared" si="10"/>
        <v>0.57419354838709691</v>
      </c>
      <c r="Y24" s="36">
        <f t="shared" si="29"/>
        <v>42128.580645161303</v>
      </c>
      <c r="Z24" s="203">
        <f>'B5'!C23</f>
        <v>184</v>
      </c>
      <c r="AA24" s="203">
        <f t="shared" si="30"/>
        <v>1840</v>
      </c>
      <c r="AB24" s="203">
        <f t="shared" si="31"/>
        <v>184</v>
      </c>
      <c r="AC24" s="203">
        <f t="shared" si="30"/>
        <v>1840</v>
      </c>
      <c r="AD24" s="203">
        <f t="shared" si="32"/>
        <v>184</v>
      </c>
      <c r="AE24" s="203">
        <f t="shared" si="11"/>
        <v>1840</v>
      </c>
      <c r="AF24" s="203">
        <f t="shared" si="33"/>
        <v>184</v>
      </c>
      <c r="AG24" s="203">
        <f t="shared" si="12"/>
        <v>1840</v>
      </c>
      <c r="AH24" s="203">
        <f t="shared" si="34"/>
        <v>184</v>
      </c>
      <c r="AI24" s="203">
        <f t="shared" si="13"/>
        <v>1840</v>
      </c>
      <c r="AJ24" s="203">
        <f t="shared" si="35"/>
        <v>184</v>
      </c>
      <c r="AK24" s="203">
        <f t="shared" si="14"/>
        <v>1840</v>
      </c>
      <c r="AL24" s="203">
        <f t="shared" si="36"/>
        <v>184</v>
      </c>
      <c r="AM24" s="203">
        <f t="shared" si="15"/>
        <v>1840</v>
      </c>
      <c r="AN24" s="35">
        <f t="shared" si="16"/>
        <v>0.65714285714285714</v>
      </c>
      <c r="AO24" s="36">
        <f t="shared" si="17"/>
        <v>12880</v>
      </c>
      <c r="AQ24" s="223">
        <f t="shared" si="37"/>
        <v>0.59168097929613106</v>
      </c>
      <c r="AR24" s="38">
        <f t="shared" si="42"/>
        <v>55008.580645161303</v>
      </c>
      <c r="AS24" s="197">
        <f t="shared" si="38"/>
        <v>0</v>
      </c>
      <c r="AT24" s="271"/>
      <c r="AU24" s="436"/>
      <c r="AV24" s="518">
        <f t="shared" si="43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178</v>
      </c>
      <c r="C25" s="203">
        <f t="shared" si="18"/>
        <v>3829.8709677419356</v>
      </c>
      <c r="D25">
        <f t="shared" si="19"/>
        <v>178</v>
      </c>
      <c r="E25" s="203">
        <f t="shared" si="18"/>
        <v>3829.8709677419356</v>
      </c>
      <c r="F25">
        <f t="shared" si="20"/>
        <v>178</v>
      </c>
      <c r="G25" s="203">
        <f t="shared" si="1"/>
        <v>3829.8709677419356</v>
      </c>
      <c r="H25" s="203">
        <f t="shared" si="21"/>
        <v>178</v>
      </c>
      <c r="I25" s="203">
        <f t="shared" si="2"/>
        <v>3829.8709677419356</v>
      </c>
      <c r="J25" s="203">
        <f t="shared" si="22"/>
        <v>178</v>
      </c>
      <c r="K25" s="203">
        <f t="shared" si="3"/>
        <v>3829.8709677419356</v>
      </c>
      <c r="L25" s="203">
        <f t="shared" si="23"/>
        <v>178</v>
      </c>
      <c r="M25" s="203">
        <f t="shared" si="4"/>
        <v>3829.8709677419356</v>
      </c>
      <c r="N25" s="203">
        <f t="shared" si="24"/>
        <v>178</v>
      </c>
      <c r="O25" s="203">
        <f t="shared" si="5"/>
        <v>3829.8709677419356</v>
      </c>
      <c r="P25" s="203">
        <f t="shared" si="25"/>
        <v>178</v>
      </c>
      <c r="Q25" s="203">
        <f t="shared" si="6"/>
        <v>3829.8709677419356</v>
      </c>
      <c r="R25" s="203">
        <f t="shared" si="26"/>
        <v>178</v>
      </c>
      <c r="S25" s="203">
        <f t="shared" si="7"/>
        <v>3829.8709677419356</v>
      </c>
      <c r="T25" s="203">
        <f t="shared" si="27"/>
        <v>178</v>
      </c>
      <c r="U25" s="203">
        <f t="shared" si="8"/>
        <v>3829.8709677419356</v>
      </c>
      <c r="V25" s="203">
        <f t="shared" si="28"/>
        <v>178</v>
      </c>
      <c r="W25" s="203">
        <f t="shared" si="9"/>
        <v>3829.8709677419356</v>
      </c>
      <c r="X25" s="35">
        <f t="shared" si="10"/>
        <v>0.57419354838709691</v>
      </c>
      <c r="Y25" s="36">
        <f t="shared" si="29"/>
        <v>42128.580645161303</v>
      </c>
      <c r="Z25" s="203">
        <f>'B5'!C24</f>
        <v>184</v>
      </c>
      <c r="AA25" s="203">
        <f t="shared" si="30"/>
        <v>1840</v>
      </c>
      <c r="AB25" s="203">
        <f t="shared" si="31"/>
        <v>184</v>
      </c>
      <c r="AC25" s="203">
        <f t="shared" si="30"/>
        <v>1840</v>
      </c>
      <c r="AD25" s="203">
        <f t="shared" si="32"/>
        <v>184</v>
      </c>
      <c r="AE25" s="203">
        <f t="shared" si="11"/>
        <v>1840</v>
      </c>
      <c r="AF25" s="203">
        <f t="shared" si="33"/>
        <v>184</v>
      </c>
      <c r="AG25" s="203">
        <f t="shared" si="12"/>
        <v>1840</v>
      </c>
      <c r="AH25" s="203">
        <f t="shared" si="34"/>
        <v>184</v>
      </c>
      <c r="AI25" s="203">
        <f t="shared" si="13"/>
        <v>1840</v>
      </c>
      <c r="AJ25" s="203">
        <f t="shared" si="35"/>
        <v>184</v>
      </c>
      <c r="AK25" s="203">
        <f t="shared" si="14"/>
        <v>1840</v>
      </c>
      <c r="AL25" s="203">
        <f t="shared" si="36"/>
        <v>184</v>
      </c>
      <c r="AM25" s="203">
        <f t="shared" si="15"/>
        <v>1840</v>
      </c>
      <c r="AN25" s="35">
        <f t="shared" si="16"/>
        <v>0.65714285714285714</v>
      </c>
      <c r="AO25" s="36">
        <f t="shared" si="17"/>
        <v>12880</v>
      </c>
      <c r="AQ25" s="223">
        <f t="shared" si="37"/>
        <v>0.59168097929613106</v>
      </c>
      <c r="AR25" s="38">
        <f t="shared" si="42"/>
        <v>55008.580645161303</v>
      </c>
      <c r="AS25" s="197">
        <f t="shared" si="38"/>
        <v>0</v>
      </c>
      <c r="AT25" s="271"/>
      <c r="AU25" s="436"/>
      <c r="AV25" s="518">
        <f t="shared" si="43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178</v>
      </c>
      <c r="C26" s="203">
        <f t="shared" si="18"/>
        <v>3829.8709677419356</v>
      </c>
      <c r="D26">
        <f t="shared" si="19"/>
        <v>178</v>
      </c>
      <c r="E26" s="203">
        <f t="shared" si="18"/>
        <v>3829.8709677419356</v>
      </c>
      <c r="F26">
        <f t="shared" si="20"/>
        <v>178</v>
      </c>
      <c r="G26" s="203">
        <f t="shared" si="1"/>
        <v>3829.8709677419356</v>
      </c>
      <c r="H26" s="203">
        <f t="shared" si="21"/>
        <v>178</v>
      </c>
      <c r="I26" s="203">
        <f t="shared" si="2"/>
        <v>3829.8709677419356</v>
      </c>
      <c r="J26" s="203">
        <f t="shared" si="22"/>
        <v>178</v>
      </c>
      <c r="K26" s="203">
        <f t="shared" si="3"/>
        <v>3829.8709677419356</v>
      </c>
      <c r="L26" s="203">
        <f t="shared" si="23"/>
        <v>178</v>
      </c>
      <c r="M26" s="203">
        <f t="shared" si="4"/>
        <v>3829.8709677419356</v>
      </c>
      <c r="N26" s="203">
        <f t="shared" si="24"/>
        <v>178</v>
      </c>
      <c r="O26" s="203">
        <f t="shared" si="5"/>
        <v>3829.8709677419356</v>
      </c>
      <c r="P26" s="203">
        <f t="shared" si="25"/>
        <v>178</v>
      </c>
      <c r="Q26" s="203">
        <f t="shared" si="6"/>
        <v>3829.8709677419356</v>
      </c>
      <c r="R26" s="203">
        <f t="shared" si="26"/>
        <v>178</v>
      </c>
      <c r="S26" s="203">
        <f t="shared" si="7"/>
        <v>3829.8709677419356</v>
      </c>
      <c r="T26" s="203">
        <f t="shared" si="27"/>
        <v>178</v>
      </c>
      <c r="U26" s="203">
        <f t="shared" si="8"/>
        <v>3829.8709677419356</v>
      </c>
      <c r="V26" s="203">
        <f t="shared" si="28"/>
        <v>178</v>
      </c>
      <c r="W26" s="203">
        <f t="shared" si="9"/>
        <v>3829.8709677419356</v>
      </c>
      <c r="X26" s="35">
        <f t="shared" si="10"/>
        <v>0.57419354838709691</v>
      </c>
      <c r="Y26" s="36">
        <f t="shared" si="29"/>
        <v>42128.580645161303</v>
      </c>
      <c r="Z26" s="203">
        <f>'B5'!C25</f>
        <v>184</v>
      </c>
      <c r="AA26" s="203">
        <f t="shared" si="30"/>
        <v>1840</v>
      </c>
      <c r="AB26" s="203">
        <f t="shared" si="31"/>
        <v>184</v>
      </c>
      <c r="AC26" s="203">
        <f t="shared" si="30"/>
        <v>1840</v>
      </c>
      <c r="AD26" s="203">
        <f t="shared" si="32"/>
        <v>184</v>
      </c>
      <c r="AE26" s="203">
        <f t="shared" si="11"/>
        <v>1840</v>
      </c>
      <c r="AF26" s="203">
        <f t="shared" si="33"/>
        <v>184</v>
      </c>
      <c r="AG26" s="203">
        <f t="shared" si="12"/>
        <v>1840</v>
      </c>
      <c r="AH26" s="203">
        <f t="shared" si="34"/>
        <v>184</v>
      </c>
      <c r="AI26" s="203">
        <f t="shared" si="13"/>
        <v>1840</v>
      </c>
      <c r="AJ26" s="203">
        <f t="shared" si="35"/>
        <v>184</v>
      </c>
      <c r="AK26" s="203">
        <f t="shared" si="14"/>
        <v>1840</v>
      </c>
      <c r="AL26" s="203">
        <f t="shared" si="36"/>
        <v>184</v>
      </c>
      <c r="AM26" s="203">
        <f t="shared" si="15"/>
        <v>1840</v>
      </c>
      <c r="AN26" s="35">
        <f t="shared" si="16"/>
        <v>0.65714285714285714</v>
      </c>
      <c r="AO26" s="36">
        <f t="shared" si="17"/>
        <v>12880</v>
      </c>
      <c r="AQ26" s="223">
        <f t="shared" si="37"/>
        <v>0.59168097929613106</v>
      </c>
      <c r="AR26" s="38">
        <f t="shared" si="42"/>
        <v>55008.580645161303</v>
      </c>
      <c r="AS26" s="197">
        <f t="shared" si="38"/>
        <v>0</v>
      </c>
      <c r="AT26" s="271"/>
      <c r="AU26" s="491"/>
      <c r="AV26" s="518">
        <f t="shared" si="43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178</v>
      </c>
      <c r="C27" s="203">
        <f t="shared" si="18"/>
        <v>3829.8709677419356</v>
      </c>
      <c r="D27">
        <f t="shared" si="19"/>
        <v>178</v>
      </c>
      <c r="E27" s="203">
        <f t="shared" si="18"/>
        <v>3829.8709677419356</v>
      </c>
      <c r="F27">
        <f t="shared" si="20"/>
        <v>178</v>
      </c>
      <c r="G27" s="203">
        <f t="shared" si="1"/>
        <v>3829.8709677419356</v>
      </c>
      <c r="H27" s="203">
        <f t="shared" si="21"/>
        <v>178</v>
      </c>
      <c r="I27" s="203">
        <f t="shared" si="2"/>
        <v>3829.8709677419356</v>
      </c>
      <c r="J27" s="203">
        <f t="shared" si="22"/>
        <v>178</v>
      </c>
      <c r="K27" s="203">
        <f t="shared" si="3"/>
        <v>3829.8709677419356</v>
      </c>
      <c r="L27" s="203">
        <f t="shared" si="23"/>
        <v>178</v>
      </c>
      <c r="M27" s="203">
        <f t="shared" si="4"/>
        <v>3829.8709677419356</v>
      </c>
      <c r="N27" s="203">
        <f t="shared" si="24"/>
        <v>178</v>
      </c>
      <c r="O27" s="203">
        <f t="shared" si="5"/>
        <v>3829.8709677419356</v>
      </c>
      <c r="P27" s="203">
        <f t="shared" si="25"/>
        <v>178</v>
      </c>
      <c r="Q27" s="203">
        <f t="shared" si="6"/>
        <v>3829.8709677419356</v>
      </c>
      <c r="R27" s="203">
        <f t="shared" si="26"/>
        <v>178</v>
      </c>
      <c r="S27" s="203">
        <f t="shared" si="7"/>
        <v>3829.8709677419356</v>
      </c>
      <c r="T27" s="203">
        <f t="shared" si="27"/>
        <v>178</v>
      </c>
      <c r="U27" s="203">
        <f t="shared" si="8"/>
        <v>3829.8709677419356</v>
      </c>
      <c r="V27" s="203">
        <f t="shared" si="28"/>
        <v>178</v>
      </c>
      <c r="W27" s="203">
        <f t="shared" si="9"/>
        <v>3829.8709677419356</v>
      </c>
      <c r="X27" s="35">
        <f t="shared" si="10"/>
        <v>0.57419354838709691</v>
      </c>
      <c r="Y27" s="36">
        <f t="shared" si="29"/>
        <v>42128.580645161303</v>
      </c>
      <c r="Z27" s="203">
        <f>'B5'!C26</f>
        <v>184</v>
      </c>
      <c r="AA27" s="203">
        <f t="shared" si="30"/>
        <v>1840</v>
      </c>
      <c r="AB27" s="203">
        <f t="shared" si="31"/>
        <v>184</v>
      </c>
      <c r="AC27" s="203">
        <f t="shared" si="30"/>
        <v>1840</v>
      </c>
      <c r="AD27" s="203">
        <f t="shared" si="32"/>
        <v>184</v>
      </c>
      <c r="AE27" s="203">
        <f t="shared" si="11"/>
        <v>1840</v>
      </c>
      <c r="AF27" s="203">
        <f t="shared" si="33"/>
        <v>184</v>
      </c>
      <c r="AG27" s="203">
        <f t="shared" si="12"/>
        <v>1840</v>
      </c>
      <c r="AH27" s="203">
        <f t="shared" si="34"/>
        <v>184</v>
      </c>
      <c r="AI27" s="203">
        <f t="shared" si="13"/>
        <v>1840</v>
      </c>
      <c r="AJ27" s="203">
        <f t="shared" si="35"/>
        <v>184</v>
      </c>
      <c r="AK27" s="203">
        <f t="shared" si="14"/>
        <v>1840</v>
      </c>
      <c r="AL27" s="203">
        <f t="shared" si="36"/>
        <v>184</v>
      </c>
      <c r="AM27" s="203">
        <f t="shared" si="15"/>
        <v>1840</v>
      </c>
      <c r="AN27" s="35">
        <f t="shared" si="16"/>
        <v>0.65714285714285714</v>
      </c>
      <c r="AO27" s="36">
        <f t="shared" si="17"/>
        <v>12880</v>
      </c>
      <c r="AQ27" s="223">
        <f t="shared" si="37"/>
        <v>0.59168097929613106</v>
      </c>
      <c r="AR27" s="38">
        <f t="shared" si="42"/>
        <v>55008.580645161303</v>
      </c>
      <c r="AS27" s="197">
        <f t="shared" si="38"/>
        <v>0</v>
      </c>
      <c r="AT27" s="271"/>
      <c r="AU27" s="436"/>
      <c r="AV27" s="518">
        <f t="shared" si="43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178</v>
      </c>
      <c r="C28" s="203">
        <f t="shared" si="18"/>
        <v>3829.8709677419356</v>
      </c>
      <c r="D28">
        <f t="shared" si="19"/>
        <v>178</v>
      </c>
      <c r="E28" s="203">
        <f t="shared" si="18"/>
        <v>3829.8709677419356</v>
      </c>
      <c r="F28">
        <f t="shared" si="20"/>
        <v>178</v>
      </c>
      <c r="G28" s="203">
        <f t="shared" si="1"/>
        <v>3829.8709677419356</v>
      </c>
      <c r="H28" s="203">
        <f t="shared" si="21"/>
        <v>178</v>
      </c>
      <c r="I28" s="203">
        <f t="shared" si="2"/>
        <v>3829.8709677419356</v>
      </c>
      <c r="J28" s="203">
        <f t="shared" si="22"/>
        <v>178</v>
      </c>
      <c r="K28" s="203">
        <f t="shared" si="3"/>
        <v>3829.8709677419356</v>
      </c>
      <c r="L28" s="203">
        <f t="shared" si="23"/>
        <v>178</v>
      </c>
      <c r="M28" s="203">
        <f t="shared" si="4"/>
        <v>3829.8709677419356</v>
      </c>
      <c r="N28" s="203">
        <f t="shared" si="24"/>
        <v>178</v>
      </c>
      <c r="O28" s="203">
        <f t="shared" si="5"/>
        <v>3829.8709677419356</v>
      </c>
      <c r="P28" s="203">
        <f t="shared" si="25"/>
        <v>178</v>
      </c>
      <c r="Q28" s="203">
        <f t="shared" si="6"/>
        <v>3829.8709677419356</v>
      </c>
      <c r="R28" s="203">
        <f t="shared" si="26"/>
        <v>178</v>
      </c>
      <c r="S28" s="203">
        <f t="shared" si="7"/>
        <v>3829.8709677419356</v>
      </c>
      <c r="T28" s="203">
        <f t="shared" si="27"/>
        <v>178</v>
      </c>
      <c r="U28" s="203">
        <f t="shared" si="8"/>
        <v>3829.8709677419356</v>
      </c>
      <c r="V28" s="203">
        <f t="shared" si="28"/>
        <v>178</v>
      </c>
      <c r="W28" s="203">
        <f t="shared" si="9"/>
        <v>3829.8709677419356</v>
      </c>
      <c r="X28" s="35">
        <f t="shared" si="10"/>
        <v>0.57419354838709691</v>
      </c>
      <c r="Y28" s="36">
        <f t="shared" si="29"/>
        <v>42128.580645161303</v>
      </c>
      <c r="Z28" s="203">
        <f>'B5'!C27</f>
        <v>184</v>
      </c>
      <c r="AA28" s="203">
        <f t="shared" si="30"/>
        <v>1840</v>
      </c>
      <c r="AB28" s="203">
        <f t="shared" si="31"/>
        <v>184</v>
      </c>
      <c r="AC28" s="203">
        <f t="shared" si="30"/>
        <v>1840</v>
      </c>
      <c r="AD28" s="203">
        <f t="shared" si="32"/>
        <v>184</v>
      </c>
      <c r="AE28" s="203">
        <f t="shared" si="11"/>
        <v>1840</v>
      </c>
      <c r="AF28" s="203">
        <f t="shared" si="33"/>
        <v>184</v>
      </c>
      <c r="AG28" s="203">
        <f t="shared" si="12"/>
        <v>1840</v>
      </c>
      <c r="AH28" s="203">
        <f t="shared" si="34"/>
        <v>184</v>
      </c>
      <c r="AI28" s="203">
        <f t="shared" si="13"/>
        <v>1840</v>
      </c>
      <c r="AJ28" s="203">
        <f t="shared" si="35"/>
        <v>184</v>
      </c>
      <c r="AK28" s="203">
        <f t="shared" si="14"/>
        <v>1840</v>
      </c>
      <c r="AL28" s="203">
        <f t="shared" si="36"/>
        <v>184</v>
      </c>
      <c r="AM28" s="203">
        <f t="shared" si="15"/>
        <v>1840</v>
      </c>
      <c r="AN28" s="35">
        <f t="shared" si="16"/>
        <v>0.65714285714285714</v>
      </c>
      <c r="AO28" s="36">
        <f t="shared" si="17"/>
        <v>12880</v>
      </c>
      <c r="AQ28" s="223">
        <f t="shared" si="37"/>
        <v>0.59168097929613106</v>
      </c>
      <c r="AR28" s="38">
        <f t="shared" si="42"/>
        <v>55008.580645161303</v>
      </c>
      <c r="AS28" s="197">
        <f t="shared" si="38"/>
        <v>0</v>
      </c>
      <c r="AT28" s="355"/>
      <c r="AU28" s="436"/>
      <c r="AV28" s="518">
        <f t="shared" si="43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178</v>
      </c>
      <c r="C29" s="203">
        <f t="shared" si="18"/>
        <v>3829.8709677419356</v>
      </c>
      <c r="D29">
        <f t="shared" si="19"/>
        <v>178</v>
      </c>
      <c r="E29" s="203">
        <f t="shared" si="18"/>
        <v>3829.8709677419356</v>
      </c>
      <c r="F29">
        <f t="shared" si="20"/>
        <v>178</v>
      </c>
      <c r="G29" s="203">
        <f t="shared" si="1"/>
        <v>3829.8709677419356</v>
      </c>
      <c r="H29" s="203">
        <f t="shared" si="21"/>
        <v>178</v>
      </c>
      <c r="I29" s="203">
        <f t="shared" si="2"/>
        <v>3829.8709677419356</v>
      </c>
      <c r="J29" s="203">
        <f t="shared" si="22"/>
        <v>178</v>
      </c>
      <c r="K29" s="203">
        <f t="shared" si="3"/>
        <v>3829.8709677419356</v>
      </c>
      <c r="L29" s="203">
        <f t="shared" si="23"/>
        <v>178</v>
      </c>
      <c r="M29" s="203">
        <f t="shared" si="4"/>
        <v>3829.8709677419356</v>
      </c>
      <c r="N29" s="203">
        <f t="shared" si="24"/>
        <v>178</v>
      </c>
      <c r="O29" s="203">
        <f t="shared" si="5"/>
        <v>3829.8709677419356</v>
      </c>
      <c r="P29" s="203">
        <f t="shared" si="25"/>
        <v>178</v>
      </c>
      <c r="Q29" s="203">
        <f t="shared" si="6"/>
        <v>3829.8709677419356</v>
      </c>
      <c r="R29" s="203">
        <f t="shared" si="26"/>
        <v>178</v>
      </c>
      <c r="S29" s="203">
        <f t="shared" si="7"/>
        <v>3829.8709677419356</v>
      </c>
      <c r="T29" s="203">
        <f t="shared" si="27"/>
        <v>178</v>
      </c>
      <c r="U29" s="203">
        <f t="shared" si="8"/>
        <v>3829.8709677419356</v>
      </c>
      <c r="V29" s="203">
        <f t="shared" si="28"/>
        <v>178</v>
      </c>
      <c r="W29" s="203">
        <f t="shared" si="9"/>
        <v>3829.8709677419356</v>
      </c>
      <c r="X29" s="35">
        <f t="shared" si="10"/>
        <v>0.57419354838709691</v>
      </c>
      <c r="Y29" s="36">
        <f t="shared" si="29"/>
        <v>42128.580645161303</v>
      </c>
      <c r="Z29" s="203">
        <f>'B5'!C28</f>
        <v>184</v>
      </c>
      <c r="AA29" s="203">
        <f t="shared" si="30"/>
        <v>1840</v>
      </c>
      <c r="AB29" s="203">
        <f t="shared" si="31"/>
        <v>184</v>
      </c>
      <c r="AC29" s="203">
        <f t="shared" si="30"/>
        <v>1840</v>
      </c>
      <c r="AD29" s="203">
        <f t="shared" si="32"/>
        <v>184</v>
      </c>
      <c r="AE29" s="203">
        <f t="shared" si="11"/>
        <v>1840</v>
      </c>
      <c r="AF29" s="203">
        <f t="shared" si="33"/>
        <v>184</v>
      </c>
      <c r="AG29" s="203">
        <f t="shared" si="12"/>
        <v>1840</v>
      </c>
      <c r="AH29" s="203">
        <f t="shared" si="34"/>
        <v>184</v>
      </c>
      <c r="AI29" s="203">
        <f t="shared" si="13"/>
        <v>1840</v>
      </c>
      <c r="AJ29" s="203">
        <f t="shared" si="35"/>
        <v>184</v>
      </c>
      <c r="AK29" s="203">
        <f t="shared" si="14"/>
        <v>1840</v>
      </c>
      <c r="AL29" s="203">
        <f t="shared" si="36"/>
        <v>184</v>
      </c>
      <c r="AM29" s="203">
        <f t="shared" si="15"/>
        <v>1840</v>
      </c>
      <c r="AN29" s="35">
        <f t="shared" si="16"/>
        <v>0.65714285714285714</v>
      </c>
      <c r="AO29" s="36">
        <f t="shared" si="17"/>
        <v>12880</v>
      </c>
      <c r="AQ29" s="223">
        <f t="shared" si="37"/>
        <v>0.59168097929613106</v>
      </c>
      <c r="AR29" s="38">
        <f t="shared" si="42"/>
        <v>55008.580645161303</v>
      </c>
      <c r="AS29" s="197">
        <f t="shared" si="38"/>
        <v>0</v>
      </c>
      <c r="AT29" s="355"/>
      <c r="AU29" s="436"/>
      <c r="AV29" s="518">
        <f t="shared" si="43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178</v>
      </c>
      <c r="C30" s="203">
        <f t="shared" si="18"/>
        <v>3829.8709677419356</v>
      </c>
      <c r="D30">
        <f t="shared" ref="D30:D33" si="45">SUM(B30)</f>
        <v>178</v>
      </c>
      <c r="E30" s="203">
        <f t="shared" si="18"/>
        <v>3829.8709677419356</v>
      </c>
      <c r="F30">
        <f t="shared" ref="F30:F33" si="46">SUM(D30)</f>
        <v>178</v>
      </c>
      <c r="G30" s="203">
        <f t="shared" si="1"/>
        <v>3829.8709677419356</v>
      </c>
      <c r="H30" s="203">
        <f t="shared" ref="H30:H33" si="47">SUM(F30)</f>
        <v>178</v>
      </c>
      <c r="I30" s="203">
        <f t="shared" si="2"/>
        <v>3829.8709677419356</v>
      </c>
      <c r="J30" s="203">
        <f t="shared" ref="J30:J33" si="48">SUM(H30)</f>
        <v>178</v>
      </c>
      <c r="K30" s="203">
        <f t="shared" si="3"/>
        <v>3829.8709677419356</v>
      </c>
      <c r="L30" s="203">
        <f t="shared" ref="L30:L33" si="49">SUM(J30)</f>
        <v>178</v>
      </c>
      <c r="M30" s="203">
        <f t="shared" si="4"/>
        <v>3829.8709677419356</v>
      </c>
      <c r="N30" s="203">
        <f t="shared" ref="N30:N33" si="50">SUM(L30)</f>
        <v>178</v>
      </c>
      <c r="O30" s="203">
        <f t="shared" si="5"/>
        <v>3829.8709677419356</v>
      </c>
      <c r="P30" s="203">
        <f t="shared" ref="P30:P33" si="51">SUM(N30)</f>
        <v>178</v>
      </c>
      <c r="Q30" s="203">
        <f t="shared" si="6"/>
        <v>3829.8709677419356</v>
      </c>
      <c r="R30" s="203">
        <f t="shared" ref="R30:R33" si="52">SUM(P30)</f>
        <v>178</v>
      </c>
      <c r="S30" s="203">
        <f t="shared" si="7"/>
        <v>3829.8709677419356</v>
      </c>
      <c r="T30" s="203">
        <f t="shared" ref="T30:T33" si="53">SUM(R30)</f>
        <v>178</v>
      </c>
      <c r="U30" s="203">
        <f t="shared" si="8"/>
        <v>3829.8709677419356</v>
      </c>
      <c r="V30" s="203">
        <f t="shared" ref="V30:V33" si="54">SUM(T30)</f>
        <v>178</v>
      </c>
      <c r="W30" s="203">
        <f t="shared" si="9"/>
        <v>3829.8709677419356</v>
      </c>
      <c r="X30" s="35">
        <f t="shared" ref="X30:X33" si="55">SUM(Y30/73370)</f>
        <v>0.57419354838709691</v>
      </c>
      <c r="Y30" s="36">
        <f t="shared" ref="Y30:Y33" si="56">SUM(C30+E30+G30+I30+K30+M30+O30+Q30+S30+U30+W30)</f>
        <v>42128.580645161303</v>
      </c>
      <c r="Z30" s="203">
        <f>'B5'!C29</f>
        <v>184</v>
      </c>
      <c r="AA30" s="203">
        <f t="shared" si="30"/>
        <v>1840</v>
      </c>
      <c r="AB30" s="203">
        <f t="shared" ref="AB30:AB33" si="57">SUM(Z30)</f>
        <v>184</v>
      </c>
      <c r="AC30" s="203">
        <f t="shared" si="30"/>
        <v>1840</v>
      </c>
      <c r="AD30" s="203">
        <f t="shared" ref="AD30:AD33" si="58">SUM(AB30)</f>
        <v>184</v>
      </c>
      <c r="AE30" s="203">
        <f t="shared" si="11"/>
        <v>1840</v>
      </c>
      <c r="AF30" s="203">
        <f t="shared" ref="AF30:AF33" si="59">SUM(AD30)</f>
        <v>184</v>
      </c>
      <c r="AG30" s="203">
        <f t="shared" si="12"/>
        <v>1840</v>
      </c>
      <c r="AH30" s="203">
        <f t="shared" ref="AH30:AH33" si="60">SUM(AF30)</f>
        <v>184</v>
      </c>
      <c r="AI30" s="203">
        <f t="shared" si="13"/>
        <v>1840</v>
      </c>
      <c r="AJ30" s="203">
        <f t="shared" ref="AJ30:AJ33" si="61">SUM(AH30)</f>
        <v>184</v>
      </c>
      <c r="AK30" s="203">
        <f t="shared" si="14"/>
        <v>1840</v>
      </c>
      <c r="AL30" s="203">
        <f t="shared" ref="AL30:AL33" si="62">SUM(AJ30)</f>
        <v>184</v>
      </c>
      <c r="AM30" s="203">
        <f t="shared" si="15"/>
        <v>1840</v>
      </c>
      <c r="AN30" s="35">
        <f t="shared" ref="AN30:AN33" si="63">SUM(AO30/19600)</f>
        <v>0.65714285714285714</v>
      </c>
      <c r="AO30" s="36">
        <f t="shared" ref="AO30:AO33" si="64">SUM(AA30+AC30+AE30+AG30+AI30+AK30+AM30)</f>
        <v>12880</v>
      </c>
      <c r="AQ30" s="223">
        <f t="shared" si="37"/>
        <v>0.59168097929613106</v>
      </c>
      <c r="AR30" s="38">
        <f t="shared" si="42"/>
        <v>55008.580645161303</v>
      </c>
      <c r="AS30" s="197">
        <f t="shared" si="38"/>
        <v>0</v>
      </c>
      <c r="AT30" s="355"/>
      <c r="AU30" s="436"/>
      <c r="AV30" s="518">
        <f t="shared" si="43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178</v>
      </c>
      <c r="C31" s="203">
        <f t="shared" si="18"/>
        <v>3829.8709677419356</v>
      </c>
      <c r="D31">
        <f t="shared" si="45"/>
        <v>178</v>
      </c>
      <c r="E31" s="203">
        <f t="shared" si="18"/>
        <v>3829.8709677419356</v>
      </c>
      <c r="F31">
        <f t="shared" si="46"/>
        <v>178</v>
      </c>
      <c r="G31" s="203">
        <f t="shared" si="1"/>
        <v>3829.8709677419356</v>
      </c>
      <c r="H31" s="203">
        <f t="shared" si="47"/>
        <v>178</v>
      </c>
      <c r="I31" s="203">
        <f t="shared" si="2"/>
        <v>3829.8709677419356</v>
      </c>
      <c r="J31" s="203">
        <f t="shared" si="48"/>
        <v>178</v>
      </c>
      <c r="K31" s="203">
        <f t="shared" si="3"/>
        <v>3829.8709677419356</v>
      </c>
      <c r="L31" s="203">
        <f t="shared" si="49"/>
        <v>178</v>
      </c>
      <c r="M31" s="203">
        <f t="shared" si="4"/>
        <v>3829.8709677419356</v>
      </c>
      <c r="N31" s="203">
        <f t="shared" si="50"/>
        <v>178</v>
      </c>
      <c r="O31" s="203">
        <f t="shared" si="5"/>
        <v>3829.8709677419356</v>
      </c>
      <c r="P31" s="203">
        <f t="shared" si="51"/>
        <v>178</v>
      </c>
      <c r="Q31" s="203">
        <f t="shared" si="6"/>
        <v>3829.8709677419356</v>
      </c>
      <c r="R31" s="203">
        <f t="shared" si="52"/>
        <v>178</v>
      </c>
      <c r="S31" s="203">
        <f t="shared" si="7"/>
        <v>3829.8709677419356</v>
      </c>
      <c r="T31" s="203">
        <f t="shared" si="53"/>
        <v>178</v>
      </c>
      <c r="U31" s="203">
        <f t="shared" si="8"/>
        <v>3829.8709677419356</v>
      </c>
      <c r="V31" s="203">
        <f t="shared" si="54"/>
        <v>178</v>
      </c>
      <c r="W31" s="203">
        <f t="shared" si="9"/>
        <v>3829.8709677419356</v>
      </c>
      <c r="X31" s="35">
        <f t="shared" si="55"/>
        <v>0.57419354838709691</v>
      </c>
      <c r="Y31" s="36">
        <f t="shared" si="56"/>
        <v>42128.580645161303</v>
      </c>
      <c r="Z31" s="203">
        <f>'B5'!C30</f>
        <v>184</v>
      </c>
      <c r="AA31" s="203">
        <f t="shared" si="30"/>
        <v>1840</v>
      </c>
      <c r="AB31" s="203">
        <f t="shared" si="57"/>
        <v>184</v>
      </c>
      <c r="AC31" s="203">
        <f t="shared" si="30"/>
        <v>1840</v>
      </c>
      <c r="AD31" s="203">
        <f t="shared" si="58"/>
        <v>184</v>
      </c>
      <c r="AE31" s="203">
        <f t="shared" si="11"/>
        <v>1840</v>
      </c>
      <c r="AF31" s="203">
        <f t="shared" si="59"/>
        <v>184</v>
      </c>
      <c r="AG31" s="203">
        <f t="shared" si="12"/>
        <v>1840</v>
      </c>
      <c r="AH31" s="203">
        <f t="shared" si="60"/>
        <v>184</v>
      </c>
      <c r="AI31" s="203">
        <f t="shared" si="13"/>
        <v>1840</v>
      </c>
      <c r="AJ31" s="203">
        <f t="shared" si="61"/>
        <v>184</v>
      </c>
      <c r="AK31" s="203">
        <f t="shared" si="14"/>
        <v>1840</v>
      </c>
      <c r="AL31" s="203">
        <f t="shared" si="62"/>
        <v>184</v>
      </c>
      <c r="AM31" s="203">
        <f t="shared" si="15"/>
        <v>1840</v>
      </c>
      <c r="AN31" s="35">
        <f t="shared" si="63"/>
        <v>0.65714285714285714</v>
      </c>
      <c r="AO31" s="36">
        <f t="shared" si="64"/>
        <v>12880</v>
      </c>
      <c r="AQ31" s="223">
        <f t="shared" si="37"/>
        <v>0.59168097929613106</v>
      </c>
      <c r="AR31" s="38">
        <f t="shared" si="42"/>
        <v>55008.580645161303</v>
      </c>
      <c r="AS31" s="197">
        <f>SUM(AR31-AR30-AT31)</f>
        <v>0</v>
      </c>
      <c r="AT31" s="355"/>
      <c r="AU31" s="436"/>
      <c r="AV31" s="518">
        <f t="shared" si="43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178</v>
      </c>
      <c r="C32" s="203">
        <f t="shared" si="18"/>
        <v>3829.8709677419356</v>
      </c>
      <c r="D32">
        <f t="shared" si="45"/>
        <v>178</v>
      </c>
      <c r="E32" s="203">
        <f t="shared" si="18"/>
        <v>3829.8709677419356</v>
      </c>
      <c r="F32">
        <f t="shared" si="46"/>
        <v>178</v>
      </c>
      <c r="G32" s="203">
        <f t="shared" si="1"/>
        <v>3829.8709677419356</v>
      </c>
      <c r="H32" s="203">
        <f t="shared" si="47"/>
        <v>178</v>
      </c>
      <c r="I32" s="203">
        <f t="shared" si="2"/>
        <v>3829.8709677419356</v>
      </c>
      <c r="J32" s="203">
        <f t="shared" si="48"/>
        <v>178</v>
      </c>
      <c r="K32" s="203">
        <f t="shared" si="3"/>
        <v>3829.8709677419356</v>
      </c>
      <c r="L32" s="203">
        <f t="shared" si="49"/>
        <v>178</v>
      </c>
      <c r="M32" s="203">
        <f t="shared" si="4"/>
        <v>3829.8709677419356</v>
      </c>
      <c r="N32" s="203">
        <f t="shared" si="50"/>
        <v>178</v>
      </c>
      <c r="O32" s="203">
        <f t="shared" si="5"/>
        <v>3829.8709677419356</v>
      </c>
      <c r="P32" s="203">
        <f t="shared" si="51"/>
        <v>178</v>
      </c>
      <c r="Q32" s="203">
        <f t="shared" si="6"/>
        <v>3829.8709677419356</v>
      </c>
      <c r="R32" s="203">
        <f t="shared" si="52"/>
        <v>178</v>
      </c>
      <c r="S32" s="203">
        <f t="shared" si="7"/>
        <v>3829.8709677419356</v>
      </c>
      <c r="T32" s="203">
        <f t="shared" si="53"/>
        <v>178</v>
      </c>
      <c r="U32" s="203">
        <f t="shared" si="8"/>
        <v>3829.8709677419356</v>
      </c>
      <c r="V32" s="203">
        <f t="shared" si="54"/>
        <v>178</v>
      </c>
      <c r="W32" s="203">
        <f t="shared" si="9"/>
        <v>3829.8709677419356</v>
      </c>
      <c r="X32" s="35">
        <f t="shared" si="55"/>
        <v>0.57419354838709691</v>
      </c>
      <c r="Y32" s="36">
        <f t="shared" si="56"/>
        <v>42128.580645161303</v>
      </c>
      <c r="Z32" s="203">
        <f>'B5'!C31</f>
        <v>184</v>
      </c>
      <c r="AA32" s="203">
        <f t="shared" si="30"/>
        <v>1840</v>
      </c>
      <c r="AB32" s="203">
        <f t="shared" si="57"/>
        <v>184</v>
      </c>
      <c r="AC32" s="203">
        <f t="shared" si="30"/>
        <v>1840</v>
      </c>
      <c r="AD32" s="203">
        <f t="shared" si="58"/>
        <v>184</v>
      </c>
      <c r="AE32" s="203">
        <f t="shared" si="11"/>
        <v>1840</v>
      </c>
      <c r="AF32" s="203">
        <f t="shared" si="59"/>
        <v>184</v>
      </c>
      <c r="AG32" s="203">
        <f t="shared" si="12"/>
        <v>1840</v>
      </c>
      <c r="AH32" s="203">
        <f t="shared" si="60"/>
        <v>184</v>
      </c>
      <c r="AI32" s="203">
        <f t="shared" si="13"/>
        <v>1840</v>
      </c>
      <c r="AJ32" s="203">
        <f t="shared" si="61"/>
        <v>184</v>
      </c>
      <c r="AK32" s="203">
        <f t="shared" si="14"/>
        <v>1840</v>
      </c>
      <c r="AL32" s="203">
        <f t="shared" si="62"/>
        <v>184</v>
      </c>
      <c r="AM32" s="203">
        <f t="shared" si="15"/>
        <v>1840</v>
      </c>
      <c r="AN32" s="35">
        <f t="shared" si="63"/>
        <v>0.65714285714285714</v>
      </c>
      <c r="AO32" s="36">
        <f t="shared" si="64"/>
        <v>12880</v>
      </c>
      <c r="AQ32" s="223">
        <f t="shared" si="37"/>
        <v>0.59168097929613106</v>
      </c>
      <c r="AR32" s="38">
        <f t="shared" si="42"/>
        <v>55008.580645161303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178</v>
      </c>
      <c r="C33" s="203">
        <f t="shared" si="18"/>
        <v>3829.8709677419356</v>
      </c>
      <c r="D33">
        <f t="shared" si="45"/>
        <v>178</v>
      </c>
      <c r="E33" s="203">
        <f t="shared" si="18"/>
        <v>3829.8709677419356</v>
      </c>
      <c r="F33">
        <f t="shared" si="46"/>
        <v>178</v>
      </c>
      <c r="G33" s="203">
        <f t="shared" si="1"/>
        <v>3829.8709677419356</v>
      </c>
      <c r="H33" s="203">
        <f t="shared" si="47"/>
        <v>178</v>
      </c>
      <c r="I33" s="203">
        <f t="shared" si="2"/>
        <v>3829.8709677419356</v>
      </c>
      <c r="J33" s="203">
        <f t="shared" si="48"/>
        <v>178</v>
      </c>
      <c r="K33" s="203">
        <f t="shared" si="3"/>
        <v>3829.8709677419356</v>
      </c>
      <c r="L33" s="203">
        <f t="shared" si="49"/>
        <v>178</v>
      </c>
      <c r="M33" s="203">
        <f t="shared" si="4"/>
        <v>3829.8709677419356</v>
      </c>
      <c r="N33" s="203">
        <f t="shared" si="50"/>
        <v>178</v>
      </c>
      <c r="O33" s="203">
        <f t="shared" si="5"/>
        <v>3829.8709677419356</v>
      </c>
      <c r="P33" s="203">
        <f t="shared" si="51"/>
        <v>178</v>
      </c>
      <c r="Q33" s="203">
        <f t="shared" si="6"/>
        <v>3829.8709677419356</v>
      </c>
      <c r="R33" s="203">
        <f t="shared" si="52"/>
        <v>178</v>
      </c>
      <c r="S33" s="203">
        <f t="shared" si="7"/>
        <v>3829.8709677419356</v>
      </c>
      <c r="T33" s="203">
        <f t="shared" si="53"/>
        <v>178</v>
      </c>
      <c r="U33" s="203">
        <f t="shared" si="8"/>
        <v>3829.8709677419356</v>
      </c>
      <c r="V33" s="203">
        <f t="shared" si="54"/>
        <v>178</v>
      </c>
      <c r="W33" s="203">
        <f t="shared" si="9"/>
        <v>3829.8709677419356</v>
      </c>
      <c r="X33" s="35">
        <f t="shared" si="55"/>
        <v>0.57419354838709691</v>
      </c>
      <c r="Y33" s="36">
        <f t="shared" si="56"/>
        <v>42128.580645161303</v>
      </c>
      <c r="Z33" s="203">
        <f>'B5'!C32</f>
        <v>184</v>
      </c>
      <c r="AA33" s="203">
        <f t="shared" si="30"/>
        <v>1840</v>
      </c>
      <c r="AB33" s="203">
        <f t="shared" si="57"/>
        <v>184</v>
      </c>
      <c r="AC33" s="203">
        <f t="shared" si="30"/>
        <v>1840</v>
      </c>
      <c r="AD33" s="203">
        <f t="shared" si="58"/>
        <v>184</v>
      </c>
      <c r="AE33" s="203">
        <f t="shared" si="11"/>
        <v>1840</v>
      </c>
      <c r="AF33" s="203">
        <f t="shared" si="59"/>
        <v>184</v>
      </c>
      <c r="AG33" s="203">
        <f t="shared" si="12"/>
        <v>1840</v>
      </c>
      <c r="AH33" s="203">
        <f t="shared" si="60"/>
        <v>184</v>
      </c>
      <c r="AI33" s="203">
        <f t="shared" si="13"/>
        <v>1840</v>
      </c>
      <c r="AJ33" s="203">
        <f t="shared" si="61"/>
        <v>184</v>
      </c>
      <c r="AK33" s="203">
        <f t="shared" si="14"/>
        <v>1840</v>
      </c>
      <c r="AL33" s="203">
        <f t="shared" si="62"/>
        <v>184</v>
      </c>
      <c r="AM33" s="203">
        <f t="shared" si="15"/>
        <v>1840</v>
      </c>
      <c r="AN33" s="35">
        <f t="shared" si="63"/>
        <v>0.65714285714285714</v>
      </c>
      <c r="AO33" s="36">
        <f t="shared" si="64"/>
        <v>12880</v>
      </c>
      <c r="AQ33" s="223">
        <f t="shared" si="37"/>
        <v>0.59168097929613106</v>
      </c>
      <c r="AR33" s="38">
        <f t="shared" si="42"/>
        <v>55008.580645161303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178</v>
      </c>
      <c r="C34" s="203">
        <f t="shared" ref="C34:C36" si="65">B34*$B$4</f>
        <v>3829.8709677419356</v>
      </c>
      <c r="D34">
        <f t="shared" ref="D34:D36" si="66">SUM(B34)</f>
        <v>178</v>
      </c>
      <c r="E34" s="203">
        <f t="shared" ref="E34:E36" si="67">D34*$B$4</f>
        <v>3829.8709677419356</v>
      </c>
      <c r="F34">
        <f t="shared" ref="F34:F36" si="68">SUM(D34)</f>
        <v>178</v>
      </c>
      <c r="G34" s="203">
        <f t="shared" ref="G34:G36" si="69">F34*$B$4</f>
        <v>3829.8709677419356</v>
      </c>
      <c r="H34" s="203">
        <f t="shared" ref="H34:H36" si="70">SUM(F34)</f>
        <v>178</v>
      </c>
      <c r="I34" s="203">
        <f t="shared" ref="I34:I36" si="71">H34*$B$4</f>
        <v>3829.8709677419356</v>
      </c>
      <c r="J34" s="203">
        <f t="shared" ref="J34:J36" si="72">SUM(H34)</f>
        <v>178</v>
      </c>
      <c r="K34" s="203">
        <f t="shared" ref="K34:K36" si="73">J34*$B$4</f>
        <v>3829.8709677419356</v>
      </c>
      <c r="L34" s="203">
        <f t="shared" ref="L34:L36" si="74">SUM(J34)</f>
        <v>178</v>
      </c>
      <c r="M34" s="203">
        <f t="shared" ref="M34:M36" si="75">L34*$B$4</f>
        <v>3829.8709677419356</v>
      </c>
      <c r="N34" s="203">
        <f t="shared" ref="N34:N36" si="76">SUM(L34)</f>
        <v>178</v>
      </c>
      <c r="O34" s="203">
        <f t="shared" ref="O34:O36" si="77">N34*$B$4</f>
        <v>3829.8709677419356</v>
      </c>
      <c r="P34" s="203">
        <f t="shared" ref="P34:P36" si="78">SUM(N34)</f>
        <v>178</v>
      </c>
      <c r="Q34" s="203">
        <f t="shared" ref="Q34:Q36" si="79">P34*$B$4</f>
        <v>3829.8709677419356</v>
      </c>
      <c r="R34" s="203">
        <f t="shared" ref="R34:R36" si="80">SUM(P34)</f>
        <v>178</v>
      </c>
      <c r="S34" s="203">
        <f t="shared" ref="S34:S36" si="81">R34*$B$4</f>
        <v>3829.8709677419356</v>
      </c>
      <c r="T34" s="203">
        <f t="shared" ref="T34:T36" si="82">SUM(R34)</f>
        <v>178</v>
      </c>
      <c r="U34" s="203">
        <f t="shared" ref="U34:U36" si="83">T34*$B$4</f>
        <v>3829.8709677419356</v>
      </c>
      <c r="V34" s="203">
        <f t="shared" ref="V34:V36" si="84">SUM(T34)</f>
        <v>178</v>
      </c>
      <c r="W34" s="203">
        <f t="shared" ref="W34:W36" si="85">V34*$B$4</f>
        <v>3829.8709677419356</v>
      </c>
      <c r="X34" s="35">
        <f t="shared" ref="X34:X36" si="86">SUM(Y34/73370)</f>
        <v>0.57419354838709691</v>
      </c>
      <c r="Y34" s="36">
        <f t="shared" ref="Y34:Y36" si="87">SUM(C34+E34+G34+I34+K34+M34+O34+Q34+S34+U34+W34)</f>
        <v>42128.580645161303</v>
      </c>
      <c r="Z34" s="203">
        <f>'B5'!C33</f>
        <v>184</v>
      </c>
      <c r="AA34" s="203">
        <f t="shared" ref="AA34:AA36" si="88">SUM(Z34*$Z$4)</f>
        <v>1840</v>
      </c>
      <c r="AB34" s="203">
        <f t="shared" ref="AB34:AB36" si="89">SUM(Z34)</f>
        <v>184</v>
      </c>
      <c r="AC34" s="203">
        <f t="shared" ref="AC34:AC36" si="90">SUM(AB34*$Z$4)</f>
        <v>1840</v>
      </c>
      <c r="AD34" s="203">
        <f t="shared" ref="AD34:AD36" si="91">SUM(AB34)</f>
        <v>184</v>
      </c>
      <c r="AE34" s="203">
        <f t="shared" ref="AE34:AE36" si="92">SUM(AD34*$Z$4)</f>
        <v>1840</v>
      </c>
      <c r="AF34" s="203">
        <f t="shared" ref="AF34:AF36" si="93">SUM(AD34)</f>
        <v>184</v>
      </c>
      <c r="AG34" s="203">
        <f t="shared" ref="AG34:AG36" si="94">SUM(AF34*$Z$4)</f>
        <v>1840</v>
      </c>
      <c r="AH34" s="203">
        <f t="shared" ref="AH34:AH36" si="95">SUM(AF34)</f>
        <v>184</v>
      </c>
      <c r="AI34" s="203">
        <f t="shared" ref="AI34:AI36" si="96">SUM(AH34*$Z$4)</f>
        <v>1840</v>
      </c>
      <c r="AJ34" s="203">
        <f t="shared" ref="AJ34:AJ36" si="97">SUM(AH34)</f>
        <v>184</v>
      </c>
      <c r="AK34" s="203">
        <f t="shared" ref="AK34:AK36" si="98">SUM(AJ34*$Z$4)</f>
        <v>1840</v>
      </c>
      <c r="AL34" s="203">
        <f t="shared" ref="AL34:AL36" si="99">SUM(AJ34)</f>
        <v>184</v>
      </c>
      <c r="AM34" s="203">
        <f t="shared" ref="AM34:AM36" si="100">SUM(AL34*$Z$4)</f>
        <v>1840</v>
      </c>
      <c r="AN34" s="35">
        <f t="shared" ref="AN34:AN36" si="101">SUM(AO34/19600)</f>
        <v>0.65714285714285714</v>
      </c>
      <c r="AO34" s="36">
        <f t="shared" ref="AO34:AO36" si="102">SUM(AA34+AC34+AE34+AG34+AI34+AK34+AM34)</f>
        <v>12880</v>
      </c>
      <c r="AQ34" s="223">
        <f t="shared" ref="AQ34:AQ36" si="103">SUM(AR34/92970)</f>
        <v>0.59168097929613106</v>
      </c>
      <c r="AR34" s="38">
        <f t="shared" si="42"/>
        <v>55008.580645161303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0.78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178</v>
      </c>
      <c r="C35" s="203">
        <f t="shared" si="65"/>
        <v>3829.8709677419356</v>
      </c>
      <c r="D35">
        <f t="shared" si="66"/>
        <v>178</v>
      </c>
      <c r="E35" s="203">
        <f t="shared" si="67"/>
        <v>3829.8709677419356</v>
      </c>
      <c r="F35">
        <f t="shared" si="68"/>
        <v>178</v>
      </c>
      <c r="G35" s="203">
        <f t="shared" si="69"/>
        <v>3829.8709677419356</v>
      </c>
      <c r="H35" s="203">
        <f t="shared" si="70"/>
        <v>178</v>
      </c>
      <c r="I35" s="203">
        <f t="shared" si="71"/>
        <v>3829.8709677419356</v>
      </c>
      <c r="J35" s="203">
        <f t="shared" si="72"/>
        <v>178</v>
      </c>
      <c r="K35" s="203">
        <f t="shared" si="73"/>
        <v>3829.8709677419356</v>
      </c>
      <c r="L35" s="203">
        <f t="shared" si="74"/>
        <v>178</v>
      </c>
      <c r="M35" s="203">
        <f t="shared" si="75"/>
        <v>3829.8709677419356</v>
      </c>
      <c r="N35" s="203">
        <f t="shared" si="76"/>
        <v>178</v>
      </c>
      <c r="O35" s="203">
        <f t="shared" si="77"/>
        <v>3829.8709677419356</v>
      </c>
      <c r="P35" s="203">
        <f t="shared" si="78"/>
        <v>178</v>
      </c>
      <c r="Q35" s="203">
        <f t="shared" si="79"/>
        <v>3829.8709677419356</v>
      </c>
      <c r="R35" s="203">
        <f t="shared" si="80"/>
        <v>178</v>
      </c>
      <c r="S35" s="203">
        <f t="shared" si="81"/>
        <v>3829.8709677419356</v>
      </c>
      <c r="T35" s="203">
        <f t="shared" si="82"/>
        <v>178</v>
      </c>
      <c r="U35" s="203">
        <f t="shared" si="83"/>
        <v>3829.8709677419356</v>
      </c>
      <c r="V35" s="203">
        <f t="shared" si="84"/>
        <v>178</v>
      </c>
      <c r="W35" s="203">
        <f t="shared" si="85"/>
        <v>3829.8709677419356</v>
      </c>
      <c r="X35" s="35">
        <f t="shared" si="86"/>
        <v>0.57419354838709691</v>
      </c>
      <c r="Y35" s="36">
        <f t="shared" si="87"/>
        <v>42128.580645161303</v>
      </c>
      <c r="Z35" s="203">
        <f>'B5'!C34</f>
        <v>184</v>
      </c>
      <c r="AA35" s="203">
        <f t="shared" si="88"/>
        <v>1840</v>
      </c>
      <c r="AB35" s="203">
        <f t="shared" si="89"/>
        <v>184</v>
      </c>
      <c r="AC35" s="203">
        <f t="shared" si="90"/>
        <v>1840</v>
      </c>
      <c r="AD35" s="203">
        <f t="shared" si="91"/>
        <v>184</v>
      </c>
      <c r="AE35" s="203">
        <f t="shared" si="92"/>
        <v>1840</v>
      </c>
      <c r="AF35" s="203">
        <f t="shared" si="93"/>
        <v>184</v>
      </c>
      <c r="AG35" s="203">
        <f t="shared" si="94"/>
        <v>1840</v>
      </c>
      <c r="AH35" s="203">
        <f t="shared" si="95"/>
        <v>184</v>
      </c>
      <c r="AI35" s="203">
        <f t="shared" si="96"/>
        <v>1840</v>
      </c>
      <c r="AJ35" s="203">
        <f t="shared" si="97"/>
        <v>184</v>
      </c>
      <c r="AK35" s="203">
        <f t="shared" si="98"/>
        <v>1840</v>
      </c>
      <c r="AL35" s="203">
        <f t="shared" si="99"/>
        <v>184</v>
      </c>
      <c r="AM35" s="203">
        <f t="shared" si="100"/>
        <v>1840</v>
      </c>
      <c r="AN35" s="35">
        <f t="shared" si="101"/>
        <v>0.65714285714285714</v>
      </c>
      <c r="AO35" s="36">
        <f t="shared" si="102"/>
        <v>12880</v>
      </c>
      <c r="AQ35" s="223">
        <f t="shared" si="103"/>
        <v>0.59168097929613106</v>
      </c>
      <c r="AR35" s="38">
        <f t="shared" si="42"/>
        <v>55008.580645161303</v>
      </c>
      <c r="AS35" s="197">
        <f t="shared" si="104"/>
        <v>0</v>
      </c>
      <c r="AT35" s="355"/>
      <c r="AU35" s="436"/>
      <c r="AV35" s="518">
        <f t="shared" si="105"/>
        <v>0.78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178</v>
      </c>
      <c r="C36" s="203">
        <f t="shared" si="65"/>
        <v>3829.8709677419356</v>
      </c>
      <c r="D36">
        <f t="shared" si="66"/>
        <v>178</v>
      </c>
      <c r="E36" s="203">
        <f t="shared" si="67"/>
        <v>3829.8709677419356</v>
      </c>
      <c r="F36">
        <f t="shared" si="68"/>
        <v>178</v>
      </c>
      <c r="G36" s="203">
        <f t="shared" si="69"/>
        <v>3829.8709677419356</v>
      </c>
      <c r="H36" s="203">
        <f t="shared" si="70"/>
        <v>178</v>
      </c>
      <c r="I36" s="203">
        <f t="shared" si="71"/>
        <v>3829.8709677419356</v>
      </c>
      <c r="J36" s="203">
        <f t="shared" si="72"/>
        <v>178</v>
      </c>
      <c r="K36" s="203">
        <f t="shared" si="73"/>
        <v>3829.8709677419356</v>
      </c>
      <c r="L36" s="203">
        <f t="shared" si="74"/>
        <v>178</v>
      </c>
      <c r="M36" s="203">
        <f t="shared" si="75"/>
        <v>3829.8709677419356</v>
      </c>
      <c r="N36" s="203">
        <f t="shared" si="76"/>
        <v>178</v>
      </c>
      <c r="O36" s="203">
        <f t="shared" si="77"/>
        <v>3829.8709677419356</v>
      </c>
      <c r="P36" s="203">
        <f t="shared" si="78"/>
        <v>178</v>
      </c>
      <c r="Q36" s="203">
        <f t="shared" si="79"/>
        <v>3829.8709677419356</v>
      </c>
      <c r="R36" s="203">
        <f t="shared" si="80"/>
        <v>178</v>
      </c>
      <c r="S36" s="203">
        <f t="shared" si="81"/>
        <v>3829.8709677419356</v>
      </c>
      <c r="T36" s="203">
        <f t="shared" si="82"/>
        <v>178</v>
      </c>
      <c r="U36" s="203">
        <f t="shared" si="83"/>
        <v>3829.8709677419356</v>
      </c>
      <c r="V36" s="203">
        <f t="shared" si="84"/>
        <v>178</v>
      </c>
      <c r="W36" s="203">
        <f t="shared" si="85"/>
        <v>3829.8709677419356</v>
      </c>
      <c r="X36" s="35">
        <f t="shared" si="86"/>
        <v>0.57419354838709691</v>
      </c>
      <c r="Y36" s="36">
        <f t="shared" si="87"/>
        <v>42128.580645161303</v>
      </c>
      <c r="Z36" s="203">
        <f>'B5'!C35</f>
        <v>184</v>
      </c>
      <c r="AA36" s="203">
        <f t="shared" si="88"/>
        <v>1840</v>
      </c>
      <c r="AB36" s="203">
        <f t="shared" si="89"/>
        <v>184</v>
      </c>
      <c r="AC36" s="203">
        <f t="shared" si="90"/>
        <v>1840</v>
      </c>
      <c r="AD36" s="203">
        <f t="shared" si="91"/>
        <v>184</v>
      </c>
      <c r="AE36" s="203">
        <f t="shared" si="92"/>
        <v>1840</v>
      </c>
      <c r="AF36" s="203">
        <f t="shared" si="93"/>
        <v>184</v>
      </c>
      <c r="AG36" s="203">
        <f t="shared" si="94"/>
        <v>1840</v>
      </c>
      <c r="AH36" s="203">
        <f t="shared" si="95"/>
        <v>184</v>
      </c>
      <c r="AI36" s="203">
        <f t="shared" si="96"/>
        <v>1840</v>
      </c>
      <c r="AJ36" s="203">
        <f t="shared" si="97"/>
        <v>184</v>
      </c>
      <c r="AK36" s="203">
        <f t="shared" si="98"/>
        <v>1840</v>
      </c>
      <c r="AL36" s="203">
        <f t="shared" si="99"/>
        <v>184</v>
      </c>
      <c r="AM36" s="203">
        <f t="shared" si="100"/>
        <v>1840</v>
      </c>
      <c r="AN36" s="35">
        <f t="shared" si="101"/>
        <v>0.65714285714285714</v>
      </c>
      <c r="AO36" s="36">
        <f t="shared" si="102"/>
        <v>12880</v>
      </c>
      <c r="AQ36" s="223">
        <f t="shared" si="103"/>
        <v>0.59168097929613106</v>
      </c>
      <c r="AR36" s="38">
        <f t="shared" si="42"/>
        <v>55008.580645161303</v>
      </c>
      <c r="AS36" s="197">
        <f t="shared" si="104"/>
        <v>0</v>
      </c>
      <c r="AT36" s="355"/>
      <c r="AU36" s="436"/>
      <c r="AV36" s="518">
        <f t="shared" si="105"/>
        <v>0.78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-15774.896774193519</v>
      </c>
      <c r="AY37" s="203">
        <f>SUM(AY6:AY33)</f>
        <v>-19288.096774193531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-1483.6997518610408</v>
      </c>
      <c r="AT40" s="203"/>
    </row>
    <row r="41" spans="1:60">
      <c r="AX41">
        <v>43309</v>
      </c>
    </row>
    <row r="42" spans="1:60">
      <c r="AR42" s="203"/>
      <c r="AX42">
        <f>AX37/AX41</f>
        <v>-0.36424061451877254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-21.799999999999983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-21.799999999999983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-16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16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8"/>
      <c r="B1" s="645" t="s">
        <v>119</v>
      </c>
      <c r="C1" s="645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53" t="s">
        <v>115</v>
      </c>
      <c r="I1" s="654" t="s">
        <v>116</v>
      </c>
      <c r="J1" s="653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49"/>
      <c r="B2" s="646"/>
      <c r="C2" s="646"/>
      <c r="D2" s="650"/>
      <c r="E2" s="650"/>
      <c r="F2" s="651"/>
      <c r="G2" s="652"/>
      <c r="H2" s="653"/>
      <c r="I2" s="655"/>
      <c r="J2" s="653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1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-21.799999999999983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-16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16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="112" zoomScaleNormal="112" workbookViewId="0">
      <pane ySplit="1" topLeftCell="A2" activePane="bottomLeft" state="frozen"/>
      <selection pane="bottomLeft" activeCell="AF15" sqref="AF15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11960</v>
      </c>
      <c r="S16" s="287">
        <f t="shared" si="4"/>
        <v>0</v>
      </c>
      <c r="T16" s="541">
        <f t="shared" si="29"/>
        <v>416163</v>
      </c>
      <c r="U16" s="287">
        <f t="shared" si="19"/>
        <v>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250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0"/>
        <v>0</v>
      </c>
    </row>
    <row r="17" spans="1:37" ht="1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ref="R15:R33" si="32">R16</f>
        <v>11960</v>
      </c>
      <c r="S17" s="287">
        <f t="shared" si="4"/>
        <v>0</v>
      </c>
      <c r="T17" s="541">
        <f t="shared" si="29"/>
        <v>416163</v>
      </c>
      <c r="U17" s="287">
        <f t="shared" si="19"/>
        <v>0</v>
      </c>
      <c r="V17" s="287">
        <f t="shared" ref="V17:V20" si="33">IF(S17&gt;0,U17/S17,0)</f>
        <v>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2"/>
        <v>11960</v>
      </c>
      <c r="S18" s="287">
        <f t="shared" si="4"/>
        <v>0</v>
      </c>
      <c r="T18" s="541">
        <f t="shared" si="29"/>
        <v>416163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2"/>
        <v>11960</v>
      </c>
      <c r="S19" s="287">
        <f t="shared" si="4"/>
        <v>0</v>
      </c>
      <c r="T19" s="541">
        <f t="shared" si="29"/>
        <v>416163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2"/>
        <v>11960</v>
      </c>
      <c r="S20" s="287">
        <f t="shared" si="4"/>
        <v>0</v>
      </c>
      <c r="T20" s="541">
        <f t="shared" si="29"/>
        <v>416163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2"/>
        <v>11960</v>
      </c>
      <c r="S21" s="287">
        <f t="shared" si="4"/>
        <v>0</v>
      </c>
      <c r="T21" s="541">
        <f t="shared" si="29"/>
        <v>416163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2"/>
        <v>11960</v>
      </c>
      <c r="S22" s="287">
        <f t="shared" si="4"/>
        <v>0</v>
      </c>
      <c r="T22" s="541">
        <f t="shared" si="29"/>
        <v>416163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2"/>
        <v>11960</v>
      </c>
      <c r="S23" s="287">
        <f t="shared" si="4"/>
        <v>0</v>
      </c>
      <c r="T23" s="541">
        <f t="shared" si="29"/>
        <v>416163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2"/>
        <v>11960</v>
      </c>
      <c r="S24" s="287">
        <f t="shared" si="4"/>
        <v>0</v>
      </c>
      <c r="T24" s="541">
        <f t="shared" si="29"/>
        <v>416163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2"/>
        <v>11960</v>
      </c>
      <c r="S25" s="287">
        <f t="shared" si="4"/>
        <v>0</v>
      </c>
      <c r="T25" s="541">
        <f t="shared" si="29"/>
        <v>416163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2"/>
        <v>11960</v>
      </c>
      <c r="S26" s="287">
        <f t="shared" si="4"/>
        <v>0</v>
      </c>
      <c r="T26" s="541">
        <f t="shared" si="29"/>
        <v>416163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2"/>
        <v>11960</v>
      </c>
      <c r="S27" s="287">
        <f t="shared" si="4"/>
        <v>0</v>
      </c>
      <c r="T27" s="541">
        <f t="shared" si="29"/>
        <v>416163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2"/>
        <v>11960</v>
      </c>
      <c r="S28" s="287">
        <f t="shared" si="4"/>
        <v>0</v>
      </c>
      <c r="T28" s="541">
        <f t="shared" si="29"/>
        <v>416163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2"/>
        <v>11960</v>
      </c>
      <c r="S29" s="287">
        <f t="shared" si="4"/>
        <v>0</v>
      </c>
      <c r="T29" s="541">
        <f t="shared" si="29"/>
        <v>416163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2"/>
        <v>11960</v>
      </c>
      <c r="S30" s="287">
        <f t="shared" si="4"/>
        <v>0</v>
      </c>
      <c r="T30" s="541">
        <f t="shared" si="29"/>
        <v>416163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2"/>
        <v>11960</v>
      </c>
      <c r="S31" s="287">
        <f t="shared" ref="S31:S33" si="49">R31-R30</f>
        <v>0</v>
      </c>
      <c r="T31" s="541">
        <f t="shared" si="29"/>
        <v>416163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2"/>
        <v>11960</v>
      </c>
      <c r="S32" s="287">
        <f t="shared" si="49"/>
        <v>0</v>
      </c>
      <c r="T32" s="541">
        <f t="shared" si="29"/>
        <v>416163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2"/>
        <v>11960</v>
      </c>
      <c r="S33" s="287">
        <f t="shared" si="49"/>
        <v>0</v>
      </c>
      <c r="T33" s="541">
        <f t="shared" si="29"/>
        <v>416163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84</v>
      </c>
      <c r="V34" s="40"/>
      <c r="X34">
        <v>341</v>
      </c>
      <c r="Z34" s="421">
        <f>SUM(Z3:Z30)</f>
        <v>84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84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K1" zoomScale="80" zoomScaleNormal="80" workbookViewId="0">
      <selection activeCell="X16" sqref="X16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64.91740327153687</v>
      </c>
      <c r="P4" s="297">
        <f>SUM(L4:O4)</f>
        <v>150.31441819691</v>
      </c>
      <c r="Q4" s="297">
        <f>SUM(-tanks!AX6*tanks!$AU$37)</f>
        <v>2371.1194838709453</v>
      </c>
      <c r="R4" s="297">
        <f>SUM(P4:Q4)</f>
        <v>2521.4339020678553</v>
      </c>
      <c r="S4" s="299">
        <f>SUM(ELEC!N3)</f>
        <v>8408</v>
      </c>
      <c r="T4" s="336">
        <f>IF(S4&gt;0,R4/S4,0)</f>
        <v>0.29988509777210459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0"/>
      <c r="AC4" s="671"/>
    </row>
    <row r="5" spans="1:32" ht="1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64.91740327153687</v>
      </c>
      <c r="P5" s="297">
        <f t="shared" ref="P5:P30" si="9">SUM(L5:O5)</f>
        <v>147.19402018695976</v>
      </c>
      <c r="Q5" s="297">
        <f>SUM(-tanks!AX7*tanks!$AU$37)</f>
        <v>1626.903870967747</v>
      </c>
      <c r="R5" s="297">
        <f t="shared" ref="R5:R30" si="10">SUM(P5:Q5)</f>
        <v>1774.0978911547068</v>
      </c>
      <c r="S5" s="299">
        <f>SUM(ELEC!N4)</f>
        <v>9041</v>
      </c>
      <c r="T5" s="336">
        <f>IF(S5&gt;0,R5/S5,0)</f>
        <v>0.1962280600768396</v>
      </c>
      <c r="U5" s="250"/>
      <c r="V5" s="664"/>
      <c r="W5" s="665"/>
      <c r="X5" s="665"/>
      <c r="Y5" s="666"/>
      <c r="Z5" s="26" t="s">
        <v>203</v>
      </c>
      <c r="AA5" s="264">
        <f>'[7]EDl log'!AA22</f>
        <v>5000</v>
      </c>
      <c r="AB5" s="672"/>
      <c r="AC5" s="673"/>
    </row>
    <row r="6" spans="1:32" ht="1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64.91740327153687</v>
      </c>
      <c r="P6" s="297">
        <f t="shared" si="9"/>
        <v>199.12635849541746</v>
      </c>
      <c r="Q6" s="297">
        <f>SUM(-tanks!AX8*tanks!$AU$37)</f>
        <v>1266.7703225806551</v>
      </c>
      <c r="R6" s="297">
        <f t="shared" si="10"/>
        <v>1465.8966810760726</v>
      </c>
      <c r="S6" s="299">
        <f>SUM(ELEC!N5)</f>
        <v>7715</v>
      </c>
      <c r="T6" s="336">
        <f t="shared" ref="T6:T30" si="12">IF(S6&gt;0,R6/S6,0)</f>
        <v>0.1900060506903529</v>
      </c>
      <c r="V6" s="667"/>
      <c r="W6" s="668"/>
      <c r="X6" s="668"/>
      <c r="Y6" s="669"/>
      <c r="Z6" s="3"/>
      <c r="AA6" s="3"/>
      <c r="AB6" s="672"/>
      <c r="AC6" s="673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64.91740327153687</v>
      </c>
      <c r="P7" s="297">
        <f t="shared" si="9"/>
        <v>244.96649116540087</v>
      </c>
      <c r="Q7" s="297">
        <f>SUM(-tanks!AX9*tanks!$AU$37)</f>
        <v>1137.2903225806381</v>
      </c>
      <c r="R7" s="297">
        <f t="shared" si="10"/>
        <v>1382.2568137460389</v>
      </c>
      <c r="S7" s="299">
        <f>SUM(ELEC!N6)</f>
        <v>7405</v>
      </c>
      <c r="T7" s="336">
        <f t="shared" si="12"/>
        <v>0.18666533608994448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64.91740327153687</v>
      </c>
      <c r="P8" s="297">
        <f t="shared" si="9"/>
        <v>201.0580334539581</v>
      </c>
      <c r="Q8" s="297">
        <f>SUM(-tanks!AX10*tanks!$AU$37)</f>
        <v>267.36387096775275</v>
      </c>
      <c r="R8" s="297">
        <f t="shared" si="10"/>
        <v>468.42190442171085</v>
      </c>
      <c r="S8" s="299">
        <f>SUM(ELEC!N7)</f>
        <v>7744</v>
      </c>
      <c r="T8" s="336">
        <f>IF(S8&gt;0,R8/S8,0)</f>
        <v>6.0488365756935801E-2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64.91740327153687</v>
      </c>
      <c r="P9" s="297">
        <f t="shared" si="9"/>
        <v>188.5764414141571</v>
      </c>
      <c r="Q9" s="297">
        <f>SUM(-tanks!AX11*tanks!$AU$37)</f>
        <v>1257.410322580638</v>
      </c>
      <c r="R9" s="297">
        <f>SUM(P9:Q9)</f>
        <v>1445.9867639947952</v>
      </c>
      <c r="S9" s="299">
        <f>SUM(ELEC!N8)</f>
        <v>7618</v>
      </c>
      <c r="T9" s="336">
        <f t="shared" si="12"/>
        <v>0.18981186190532884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64.91740327153687</v>
      </c>
      <c r="P10" s="297">
        <f t="shared" si="9"/>
        <v>250.77212963969609</v>
      </c>
      <c r="Q10" s="297">
        <f>SUM(-tanks!AX12*tanks!$AU$37)</f>
        <v>538.22516129031624</v>
      </c>
      <c r="R10" s="297">
        <f t="shared" si="10"/>
        <v>788.99729093001235</v>
      </c>
      <c r="S10" s="299">
        <f>SUM(ELEC!N9)</f>
        <v>6359</v>
      </c>
      <c r="T10" s="336">
        <f t="shared" si="12"/>
        <v>0.1240756865749351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64.91740327153687</v>
      </c>
      <c r="P11" s="297">
        <f t="shared" si="9"/>
        <v>266.7668228403594</v>
      </c>
      <c r="Q11" s="297">
        <f>SUM(-tanks!AX13*tanks!$AU$37)</f>
        <v>822.93774193548279</v>
      </c>
      <c r="R11" s="297">
        <f t="shared" si="10"/>
        <v>1089.7045647758423</v>
      </c>
      <c r="S11" s="299">
        <f>SUM(ELEC!N10)</f>
        <v>6832</v>
      </c>
      <c r="T11" s="336">
        <f t="shared" si="12"/>
        <v>0.15950008266625326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64.91740327153687</v>
      </c>
      <c r="P12" s="297">
        <f t="shared" si="9"/>
        <v>274.26002350370936</v>
      </c>
      <c r="Q12" s="297">
        <f>SUM(-tanks!AX14*tanks!$AU$37)</f>
        <v>426.42096774194812</v>
      </c>
      <c r="R12" s="297">
        <f t="shared" si="10"/>
        <v>700.68099124565742</v>
      </c>
      <c r="S12" s="299">
        <f>SUM(ELEC!N11)</f>
        <v>6552</v>
      </c>
      <c r="T12" s="336">
        <f t="shared" si="12"/>
        <v>0.10694154323041169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64.91740327153687</v>
      </c>
      <c r="P13" s="297">
        <f t="shared" si="9"/>
        <v>232.29385434948048</v>
      </c>
      <c r="Q13" s="297">
        <f>SUM(-tanks!AX15*tanks!$AU$37)</f>
        <v>861.15774193547713</v>
      </c>
      <c r="R13" s="297">
        <f t="shared" si="10"/>
        <v>1093.4515962849575</v>
      </c>
      <c r="S13" s="299">
        <f>SUM(ELEC!N12)</f>
        <v>6673</v>
      </c>
      <c r="T13" s="336">
        <f>IF(S13&gt;0,R13/S13,0)</f>
        <v>0.16386207047579163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64.91740327153687</v>
      </c>
      <c r="P14" s="297">
        <f t="shared" ref="P14:P17" si="17">SUM(L14:O14)</f>
        <v>267.99800028646223</v>
      </c>
      <c r="Q14" s="297">
        <f>SUM(-tanks!AX16*tanks!$AU$37)</f>
        <v>648.46935483870698</v>
      </c>
      <c r="R14" s="297">
        <f t="shared" ref="R14:R17" si="18">SUM(P14:Q14)</f>
        <v>916.46735512516921</v>
      </c>
      <c r="S14" s="299">
        <f>SUM(ELEC!N13)</f>
        <v>6832</v>
      </c>
      <c r="T14" s="336">
        <f t="shared" ref="T14:T17" si="19">IF(S14&gt;0,R14/S14,0)</f>
        <v>0.13414334823260674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64.91740327153687</v>
      </c>
      <c r="P15" s="297">
        <f t="shared" si="17"/>
        <v>309.61392068447219</v>
      </c>
      <c r="Q15" s="297">
        <f>SUM(-tanks!AX17*tanks!$AU$37)</f>
        <v>517.16516129032186</v>
      </c>
      <c r="R15" s="297">
        <f t="shared" si="18"/>
        <v>826.77908197479405</v>
      </c>
      <c r="S15" s="299">
        <f>SUM(ELEC!N14)</f>
        <v>6743</v>
      </c>
      <c r="T15" s="336">
        <f t="shared" si="19"/>
        <v>0.12261294408642949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64.91740327153687</v>
      </c>
      <c r="P16" s="297">
        <f t="shared" si="17"/>
        <v>295.12635849541743</v>
      </c>
      <c r="Q16" s="297">
        <f>SUM(-tanks!AX18*tanks!$AU$37)</f>
        <v>563.18516129031616</v>
      </c>
      <c r="R16" s="297">
        <f t="shared" si="18"/>
        <v>858.31151978573359</v>
      </c>
      <c r="S16" s="299">
        <f>SUM(ELEC!N15)</f>
        <v>6400</v>
      </c>
      <c r="T16" s="336">
        <f t="shared" si="19"/>
        <v>0.13411117496652086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" thickBot="1">
      <c r="A17" s="163">
        <f>ELEC!C16</f>
        <v>44269</v>
      </c>
      <c r="B17" s="539">
        <f t="shared" ref="B16:B34" si="20">B16</f>
        <v>930474</v>
      </c>
      <c r="C17" s="264">
        <f t="shared" si="0"/>
        <v>0</v>
      </c>
      <c r="D17" s="308">
        <f t="shared" si="8"/>
        <v>0</v>
      </c>
      <c r="E17" s="308">
        <f t="shared" si="11"/>
        <v>930474</v>
      </c>
      <c r="F17" s="539">
        <f t="shared" ref="F16:F34" si="21">F16</f>
        <v>140902</v>
      </c>
      <c r="G17" s="160">
        <f t="shared" si="1"/>
        <v>0</v>
      </c>
      <c r="H17" s="539">
        <f t="shared" ref="H16:H34" si="22">H16</f>
        <v>457521</v>
      </c>
      <c r="I17" s="161">
        <f t="shared" si="2"/>
        <v>0</v>
      </c>
      <c r="J17" s="539">
        <f t="shared" ref="J16:J34" si="23">J16</f>
        <v>332050</v>
      </c>
      <c r="K17" s="162">
        <f t="shared" si="13"/>
        <v>0</v>
      </c>
      <c r="L17" s="296">
        <f t="shared" si="14"/>
        <v>0</v>
      </c>
      <c r="M17" s="296">
        <f t="shared" si="15"/>
        <v>0</v>
      </c>
      <c r="N17" s="296">
        <f t="shared" si="16"/>
        <v>0</v>
      </c>
      <c r="O17" s="296">
        <f t="shared" si="7"/>
        <v>64.91740327153687</v>
      </c>
      <c r="P17" s="297">
        <f t="shared" si="17"/>
        <v>64.91740327153687</v>
      </c>
      <c r="Q17" s="297">
        <f>SUM(-tanks!AX19*tanks!$AU$37)</f>
        <v>0</v>
      </c>
      <c r="R17" s="297">
        <f t="shared" si="18"/>
        <v>64.91740327153687</v>
      </c>
      <c r="S17" s="299">
        <f>SUM(ELEC!N16)</f>
        <v>0</v>
      </c>
      <c r="T17" s="336">
        <f t="shared" si="19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" thickBot="1">
      <c r="A18" s="163">
        <f>ELEC!C17</f>
        <v>44270</v>
      </c>
      <c r="B18" s="539">
        <f t="shared" si="20"/>
        <v>930474</v>
      </c>
      <c r="C18" s="264">
        <f t="shared" si="0"/>
        <v>0</v>
      </c>
      <c r="D18" s="308">
        <f t="shared" si="8"/>
        <v>0</v>
      </c>
      <c r="E18" s="308">
        <f t="shared" si="11"/>
        <v>930474</v>
      </c>
      <c r="F18" s="539">
        <f t="shared" si="21"/>
        <v>140902</v>
      </c>
      <c r="G18" s="160">
        <f t="shared" si="1"/>
        <v>0</v>
      </c>
      <c r="H18" s="539">
        <f t="shared" si="22"/>
        <v>457521</v>
      </c>
      <c r="I18" s="161">
        <f t="shared" si="2"/>
        <v>0</v>
      </c>
      <c r="J18" s="539">
        <f t="shared" si="23"/>
        <v>332050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64.91740327153687</v>
      </c>
      <c r="P18" s="297">
        <f t="shared" si="9"/>
        <v>64.91740327153687</v>
      </c>
      <c r="Q18" s="297">
        <f>SUM(-tanks!AX20*tanks!$AU$37)</f>
        <v>0</v>
      </c>
      <c r="R18" s="297">
        <f t="shared" si="10"/>
        <v>64.91740327153687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" thickBot="1">
      <c r="A19" s="163">
        <f>ELEC!C18</f>
        <v>44271</v>
      </c>
      <c r="B19" s="539">
        <f t="shared" si="20"/>
        <v>930474</v>
      </c>
      <c r="C19" s="264">
        <f t="shared" si="0"/>
        <v>0</v>
      </c>
      <c r="D19" s="308">
        <f t="shared" si="8"/>
        <v>0</v>
      </c>
      <c r="E19" s="308">
        <f t="shared" si="11"/>
        <v>930474</v>
      </c>
      <c r="F19" s="539">
        <f t="shared" si="21"/>
        <v>140902</v>
      </c>
      <c r="G19" s="160">
        <f t="shared" si="1"/>
        <v>0</v>
      </c>
      <c r="H19" s="539">
        <f t="shared" si="22"/>
        <v>457521</v>
      </c>
      <c r="I19" s="161">
        <f t="shared" si="2"/>
        <v>0</v>
      </c>
      <c r="J19" s="539">
        <f t="shared" si="23"/>
        <v>332050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64.91740327153687</v>
      </c>
      <c r="P19" s="297">
        <f t="shared" si="9"/>
        <v>64.91740327153687</v>
      </c>
      <c r="Q19" s="297">
        <f>SUM(-tanks!AX21*tanks!$AU$37)</f>
        <v>0</v>
      </c>
      <c r="R19" s="297">
        <f t="shared" si="10"/>
        <v>64.91740327153687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" thickBot="1">
      <c r="A20" s="163">
        <f>ELEC!C19</f>
        <v>44272</v>
      </c>
      <c r="B20" s="539">
        <f t="shared" si="20"/>
        <v>930474</v>
      </c>
      <c r="C20" s="264">
        <f t="shared" si="0"/>
        <v>0</v>
      </c>
      <c r="D20" s="308">
        <f t="shared" si="8"/>
        <v>0</v>
      </c>
      <c r="E20" s="308">
        <f t="shared" si="11"/>
        <v>930474</v>
      </c>
      <c r="F20" s="539">
        <f t="shared" si="21"/>
        <v>140902</v>
      </c>
      <c r="G20" s="160">
        <f t="shared" si="1"/>
        <v>0</v>
      </c>
      <c r="H20" s="539">
        <f t="shared" si="22"/>
        <v>457521</v>
      </c>
      <c r="I20" s="161">
        <f t="shared" si="2"/>
        <v>0</v>
      </c>
      <c r="J20" s="539">
        <f t="shared" si="23"/>
        <v>332050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64.91740327153687</v>
      </c>
      <c r="P20" s="297">
        <f t="shared" si="9"/>
        <v>64.91740327153687</v>
      </c>
      <c r="Q20" s="297">
        <f>SUM(-tanks!AX22*tanks!$AU$37)</f>
        <v>0</v>
      </c>
      <c r="R20" s="297">
        <f t="shared" si="10"/>
        <v>64.91740327153687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" thickBot="1">
      <c r="A21" s="163">
        <f>ELEC!C20</f>
        <v>44273</v>
      </c>
      <c r="B21" s="539">
        <f t="shared" si="20"/>
        <v>930474</v>
      </c>
      <c r="C21" s="264">
        <f t="shared" si="0"/>
        <v>0</v>
      </c>
      <c r="D21" s="308">
        <f t="shared" si="8"/>
        <v>0</v>
      </c>
      <c r="E21" s="308">
        <f t="shared" si="11"/>
        <v>930474</v>
      </c>
      <c r="F21" s="539">
        <f t="shared" si="21"/>
        <v>140902</v>
      </c>
      <c r="G21" s="160">
        <f t="shared" si="1"/>
        <v>0</v>
      </c>
      <c r="H21" s="539">
        <f t="shared" si="22"/>
        <v>457521</v>
      </c>
      <c r="I21" s="161">
        <f t="shared" si="2"/>
        <v>0</v>
      </c>
      <c r="J21" s="539">
        <f t="shared" si="23"/>
        <v>332050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64.91740327153687</v>
      </c>
      <c r="P21" s="297">
        <f t="shared" si="9"/>
        <v>64.91740327153687</v>
      </c>
      <c r="Q21" s="297">
        <f>SUM(-tanks!AX23*tanks!$AU$37)</f>
        <v>0</v>
      </c>
      <c r="R21" s="297">
        <f t="shared" si="10"/>
        <v>64.91740327153687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0"/>
      <c r="AC21" s="671"/>
    </row>
    <row r="22" spans="1:32" ht="15" thickBot="1">
      <c r="A22" s="163">
        <f>ELEC!C21</f>
        <v>44274</v>
      </c>
      <c r="B22" s="539">
        <f t="shared" si="20"/>
        <v>930474</v>
      </c>
      <c r="C22" s="264">
        <f t="shared" si="0"/>
        <v>0</v>
      </c>
      <c r="D22" s="308">
        <f t="shared" si="8"/>
        <v>0</v>
      </c>
      <c r="E22" s="308">
        <f t="shared" si="11"/>
        <v>930474</v>
      </c>
      <c r="F22" s="539">
        <f t="shared" si="21"/>
        <v>140902</v>
      </c>
      <c r="G22" s="160">
        <f t="shared" si="1"/>
        <v>0</v>
      </c>
      <c r="H22" s="539">
        <f t="shared" si="22"/>
        <v>457521</v>
      </c>
      <c r="I22" s="161">
        <f t="shared" si="2"/>
        <v>0</v>
      </c>
      <c r="J22" s="539">
        <f t="shared" si="23"/>
        <v>332050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64.91740327153687</v>
      </c>
      <c r="P22" s="297">
        <f t="shared" si="9"/>
        <v>64.91740327153687</v>
      </c>
      <c r="Q22" s="297">
        <f>SUM(-tanks!AX24*tanks!$AU$37)</f>
        <v>0</v>
      </c>
      <c r="R22" s="297">
        <f t="shared" si="10"/>
        <v>64.91740327153687</v>
      </c>
      <c r="S22" s="299">
        <f>SUM(ELEC!N21)</f>
        <v>0</v>
      </c>
      <c r="T22" s="336">
        <f t="shared" si="12"/>
        <v>0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 ht="15" thickBot="1">
      <c r="A23" s="163">
        <f>ELEC!C22</f>
        <v>44275</v>
      </c>
      <c r="B23" s="539">
        <f t="shared" si="20"/>
        <v>930474</v>
      </c>
      <c r="C23" s="264">
        <f t="shared" si="0"/>
        <v>0</v>
      </c>
      <c r="D23" s="308">
        <f t="shared" si="8"/>
        <v>0</v>
      </c>
      <c r="E23" s="308">
        <f t="shared" si="11"/>
        <v>930474</v>
      </c>
      <c r="F23" s="539">
        <f t="shared" si="21"/>
        <v>140902</v>
      </c>
      <c r="G23" s="160">
        <f t="shared" si="1"/>
        <v>0</v>
      </c>
      <c r="H23" s="539">
        <f t="shared" si="22"/>
        <v>457521</v>
      </c>
      <c r="I23" s="161">
        <f t="shared" si="2"/>
        <v>0</v>
      </c>
      <c r="J23" s="539">
        <f t="shared" si="23"/>
        <v>332050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64.91740327153687</v>
      </c>
      <c r="P23" s="297">
        <f t="shared" si="9"/>
        <v>64.91740327153687</v>
      </c>
      <c r="Q23" s="297">
        <f>SUM(-tanks!AX25*tanks!$AU$37)</f>
        <v>0</v>
      </c>
      <c r="R23" s="297">
        <f t="shared" si="10"/>
        <v>64.91740327153687</v>
      </c>
      <c r="S23" s="299">
        <f>SUM(ELEC!N22)</f>
        <v>0</v>
      </c>
      <c r="T23" s="336">
        <f t="shared" si="12"/>
        <v>0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44276</v>
      </c>
      <c r="B24" s="539">
        <f t="shared" si="20"/>
        <v>930474</v>
      </c>
      <c r="C24" s="264">
        <f t="shared" si="0"/>
        <v>0</v>
      </c>
      <c r="D24" s="308">
        <f t="shared" si="8"/>
        <v>0</v>
      </c>
      <c r="E24" s="308">
        <f t="shared" si="11"/>
        <v>930474</v>
      </c>
      <c r="F24" s="539">
        <f t="shared" si="21"/>
        <v>140902</v>
      </c>
      <c r="G24" s="160">
        <f t="shared" si="1"/>
        <v>0</v>
      </c>
      <c r="H24" s="539">
        <f t="shared" si="22"/>
        <v>457521</v>
      </c>
      <c r="I24" s="161">
        <f t="shared" si="2"/>
        <v>0</v>
      </c>
      <c r="J24" s="539">
        <f t="shared" si="23"/>
        <v>332050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64.91740327153687</v>
      </c>
      <c r="P24" s="297">
        <f t="shared" si="9"/>
        <v>64.91740327153687</v>
      </c>
      <c r="Q24" s="297">
        <f>SUM(-tanks!AX26*tanks!$AU$37)</f>
        <v>0</v>
      </c>
      <c r="R24" s="297">
        <f t="shared" si="10"/>
        <v>64.91740327153687</v>
      </c>
      <c r="S24" s="299">
        <f>SUM(ELEC!N23)</f>
        <v>0</v>
      </c>
      <c r="T24" s="336">
        <f t="shared" si="12"/>
        <v>0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44277</v>
      </c>
      <c r="B25" s="539">
        <f t="shared" si="20"/>
        <v>930474</v>
      </c>
      <c r="C25" s="264">
        <f t="shared" si="0"/>
        <v>0</v>
      </c>
      <c r="D25" s="308">
        <f t="shared" si="8"/>
        <v>0</v>
      </c>
      <c r="E25" s="308">
        <f t="shared" si="11"/>
        <v>930474</v>
      </c>
      <c r="F25" s="539">
        <f t="shared" si="21"/>
        <v>140902</v>
      </c>
      <c r="G25" s="160">
        <f t="shared" si="1"/>
        <v>0</v>
      </c>
      <c r="H25" s="539">
        <f t="shared" si="22"/>
        <v>457521</v>
      </c>
      <c r="I25" s="161">
        <f t="shared" si="2"/>
        <v>0</v>
      </c>
      <c r="J25" s="539">
        <f t="shared" si="23"/>
        <v>332050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64.91740327153687</v>
      </c>
      <c r="P25" s="297">
        <f t="shared" si="9"/>
        <v>64.91740327153687</v>
      </c>
      <c r="Q25" s="297">
        <f>SUM(-tanks!AX27*tanks!$AU$37)</f>
        <v>0</v>
      </c>
      <c r="R25" s="297">
        <f t="shared" si="10"/>
        <v>64.91740327153687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44278</v>
      </c>
      <c r="B26" s="539">
        <f t="shared" si="20"/>
        <v>930474</v>
      </c>
      <c r="C26" s="264">
        <f t="shared" si="0"/>
        <v>0</v>
      </c>
      <c r="D26" s="308">
        <f t="shared" si="8"/>
        <v>0</v>
      </c>
      <c r="E26" s="308">
        <f t="shared" si="11"/>
        <v>930474</v>
      </c>
      <c r="F26" s="539">
        <f t="shared" si="21"/>
        <v>140902</v>
      </c>
      <c r="G26" s="160">
        <f t="shared" si="1"/>
        <v>0</v>
      </c>
      <c r="H26" s="539">
        <f t="shared" si="22"/>
        <v>457521</v>
      </c>
      <c r="I26" s="161">
        <f t="shared" si="2"/>
        <v>0</v>
      </c>
      <c r="J26" s="539">
        <f t="shared" si="23"/>
        <v>332050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64.91740327153687</v>
      </c>
      <c r="P26" s="297">
        <f t="shared" si="9"/>
        <v>64.91740327153687</v>
      </c>
      <c r="Q26" s="297">
        <f>SUM(-tanks!AX28*tanks!$AU$37)</f>
        <v>0</v>
      </c>
      <c r="R26" s="297">
        <f t="shared" si="10"/>
        <v>64.91740327153687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332050</v>
      </c>
      <c r="X26" s="172" t="s">
        <v>199</v>
      </c>
      <c r="Y26" s="172">
        <v>80</v>
      </c>
      <c r="Z26" s="172">
        <v>1</v>
      </c>
      <c r="AA26" s="338">
        <f>(W26-V26)*Z26</f>
        <v>11000</v>
      </c>
      <c r="AB26" s="338">
        <f>AA26*Y26</f>
        <v>880000</v>
      </c>
      <c r="AC26" s="249">
        <f>AC9</f>
        <v>1033333</v>
      </c>
      <c r="AD26" s="212">
        <f>SUM(K36)</f>
        <v>0.43144022591779102</v>
      </c>
    </row>
    <row r="27" spans="1:32" ht="15" thickBot="1">
      <c r="A27" s="163">
        <f>ELEC!C26</f>
        <v>44279</v>
      </c>
      <c r="B27" s="539">
        <f t="shared" si="20"/>
        <v>930474</v>
      </c>
      <c r="C27" s="264">
        <f t="shared" si="0"/>
        <v>0</v>
      </c>
      <c r="D27" s="308">
        <f t="shared" si="8"/>
        <v>0</v>
      </c>
      <c r="E27" s="308">
        <f t="shared" si="11"/>
        <v>930474</v>
      </c>
      <c r="F27" s="539">
        <f t="shared" si="21"/>
        <v>140902</v>
      </c>
      <c r="G27" s="160">
        <f t="shared" si="1"/>
        <v>0</v>
      </c>
      <c r="H27" s="539">
        <f t="shared" si="22"/>
        <v>457521</v>
      </c>
      <c r="I27" s="161">
        <f t="shared" si="2"/>
        <v>0</v>
      </c>
      <c r="J27" s="539">
        <f t="shared" si="23"/>
        <v>332050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64.91740327153687</v>
      </c>
      <c r="P27" s="297">
        <f t="shared" si="9"/>
        <v>64.91740327153687</v>
      </c>
      <c r="Q27" s="297">
        <f>SUM(-tanks!AX29*tanks!$AU$37)</f>
        <v>0</v>
      </c>
      <c r="R27" s="297">
        <f t="shared" si="10"/>
        <v>64.91740327153687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457521</v>
      </c>
      <c r="X27" s="172" t="s">
        <v>213</v>
      </c>
      <c r="Y27" s="172">
        <v>112</v>
      </c>
      <c r="Z27" s="172">
        <v>1</v>
      </c>
      <c r="AA27" s="338">
        <f>(W27-V27)*Z27</f>
        <v>10701</v>
      </c>
      <c r="AB27" s="338">
        <f>SUM(AA27*Y27)</f>
        <v>1198512</v>
      </c>
      <c r="AC27" s="249">
        <f>AC10</f>
        <v>6200000</v>
      </c>
      <c r="AD27" s="212">
        <f>SUM(I36)</f>
        <v>0.41971289614057106</v>
      </c>
    </row>
    <row r="28" spans="1:32" ht="15" thickBot="1">
      <c r="A28" s="163">
        <f>ELEC!C27</f>
        <v>44280</v>
      </c>
      <c r="B28" s="539">
        <f t="shared" si="20"/>
        <v>930474</v>
      </c>
      <c r="C28" s="264">
        <f t="shared" si="0"/>
        <v>0</v>
      </c>
      <c r="D28" s="308">
        <f t="shared" si="8"/>
        <v>0</v>
      </c>
      <c r="E28" s="308">
        <f t="shared" si="11"/>
        <v>930474</v>
      </c>
      <c r="F28" s="539">
        <f t="shared" si="21"/>
        <v>140902</v>
      </c>
      <c r="G28" s="160">
        <f t="shared" si="1"/>
        <v>0</v>
      </c>
      <c r="H28" s="539">
        <f t="shared" si="22"/>
        <v>457521</v>
      </c>
      <c r="I28" s="161">
        <f t="shared" si="2"/>
        <v>0</v>
      </c>
      <c r="J28" s="539">
        <f t="shared" si="23"/>
        <v>332050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64.91740327153687</v>
      </c>
      <c r="P28" s="297">
        <f t="shared" si="9"/>
        <v>64.91740327153687</v>
      </c>
      <c r="Q28" s="297">
        <f>SUM(-tanks!AX30*tanks!$AU$37)</f>
        <v>0</v>
      </c>
      <c r="R28" s="297">
        <f t="shared" si="10"/>
        <v>64.91740327153687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140902</v>
      </c>
      <c r="X28" s="172" t="s">
        <v>197</v>
      </c>
      <c r="Y28" s="172">
        <v>320</v>
      </c>
      <c r="Z28" s="172">
        <v>1</v>
      </c>
      <c r="AA28" s="338">
        <f>(W28-V28)*Z28</f>
        <v>3794</v>
      </c>
      <c r="AB28" s="338">
        <f>SUM(AA28*Y28)</f>
        <v>1214080</v>
      </c>
      <c r="AC28" s="249">
        <f>AC11</f>
        <v>1000</v>
      </c>
      <c r="AD28" s="212">
        <f>SUM(G36)</f>
        <v>0.1488076561029181</v>
      </c>
      <c r="AE28" s="40">
        <f>SUM(AB28*5%)</f>
        <v>60704</v>
      </c>
      <c r="AF28" s="82">
        <f>SUM(AE28/7)*31</f>
        <v>268832</v>
      </c>
    </row>
    <row r="29" spans="1:32" ht="15" thickBot="1">
      <c r="A29" s="163">
        <f>ELEC!C28</f>
        <v>44281</v>
      </c>
      <c r="B29" s="539">
        <f t="shared" si="20"/>
        <v>930474</v>
      </c>
      <c r="C29" s="264">
        <f t="shared" si="0"/>
        <v>0</v>
      </c>
      <c r="D29" s="308">
        <f t="shared" si="8"/>
        <v>0</v>
      </c>
      <c r="E29" s="308">
        <f t="shared" si="11"/>
        <v>930474</v>
      </c>
      <c r="F29" s="539">
        <f t="shared" si="21"/>
        <v>140902</v>
      </c>
      <c r="G29" s="160">
        <f t="shared" si="1"/>
        <v>0</v>
      </c>
      <c r="H29" s="539">
        <f t="shared" si="22"/>
        <v>457521</v>
      </c>
      <c r="I29" s="161">
        <f t="shared" si="2"/>
        <v>0</v>
      </c>
      <c r="J29" s="539">
        <f t="shared" si="23"/>
        <v>332050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64.91740327153687</v>
      </c>
      <c r="P29" s="297">
        <f t="shared" si="9"/>
        <v>64.91740327153687</v>
      </c>
      <c r="Q29" s="297">
        <f>SUM(-tanks!AX31*tanks!$AU$37)</f>
        <v>0</v>
      </c>
      <c r="R29" s="297">
        <f t="shared" si="10"/>
        <v>64.91740327153687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25495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0"/>
        <v>930474</v>
      </c>
      <c r="C30" s="264">
        <f t="shared" si="0"/>
        <v>0</v>
      </c>
      <c r="D30" s="308">
        <f t="shared" si="8"/>
        <v>0</v>
      </c>
      <c r="E30" s="308">
        <f t="shared" si="11"/>
        <v>930474</v>
      </c>
      <c r="F30" s="539">
        <f t="shared" si="21"/>
        <v>140902</v>
      </c>
      <c r="G30" s="160">
        <f t="shared" si="1"/>
        <v>0</v>
      </c>
      <c r="H30" s="539">
        <f t="shared" si="22"/>
        <v>457521</v>
      </c>
      <c r="I30" s="161">
        <f t="shared" si="2"/>
        <v>0</v>
      </c>
      <c r="J30" s="539">
        <f t="shared" si="23"/>
        <v>332050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64.91740327153687</v>
      </c>
      <c r="P30" s="297">
        <f t="shared" si="9"/>
        <v>64.91740327153687</v>
      </c>
      <c r="Q30" s="297">
        <f>SUM(-tanks!AX32*tanks!$AU$37)</f>
        <v>0</v>
      </c>
      <c r="R30" s="297">
        <f t="shared" si="10"/>
        <v>64.91740327153687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3292592</v>
      </c>
      <c r="AC30" s="249">
        <f>SUM(AC26:AC29)/A37*A35</f>
        <v>3033752.5483870967</v>
      </c>
    </row>
    <row r="31" spans="1:32" ht="14.25" customHeight="1" thickBot="1">
      <c r="A31" s="163">
        <f>ELEC!C30</f>
        <v>44283</v>
      </c>
      <c r="B31" s="539">
        <f t="shared" si="20"/>
        <v>930474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930474</v>
      </c>
      <c r="F31" s="539">
        <f t="shared" si="21"/>
        <v>140902</v>
      </c>
      <c r="G31" s="160">
        <f t="shared" ref="G31:G34" si="31">F31-F30</f>
        <v>0</v>
      </c>
      <c r="H31" s="539">
        <f t="shared" si="22"/>
        <v>457521</v>
      </c>
      <c r="I31" s="161">
        <f t="shared" ref="I31:I34" si="32">H31-H30</f>
        <v>0</v>
      </c>
      <c r="J31" s="539">
        <f t="shared" si="23"/>
        <v>332050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64.91740327153687</v>
      </c>
      <c r="P31" s="297">
        <f t="shared" ref="P31:P34" si="37">SUM(L31:O31)</f>
        <v>64.91740327153687</v>
      </c>
      <c r="Q31" s="297">
        <f>SUM(-tanks!AX33*tanks!$AU$37)</f>
        <v>0</v>
      </c>
      <c r="R31" s="297">
        <f t="shared" ref="R31:R34" si="38">SUM(P31:Q31)</f>
        <v>64.91740327153687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0"/>
        <v>930474</v>
      </c>
      <c r="C32" s="264">
        <f t="shared" si="28"/>
        <v>0</v>
      </c>
      <c r="D32" s="308">
        <f t="shared" si="29"/>
        <v>0</v>
      </c>
      <c r="E32" s="308">
        <f t="shared" si="30"/>
        <v>930474</v>
      </c>
      <c r="F32" s="539">
        <f t="shared" si="21"/>
        <v>140902</v>
      </c>
      <c r="G32" s="160">
        <f t="shared" si="31"/>
        <v>0</v>
      </c>
      <c r="H32" s="539">
        <f t="shared" si="22"/>
        <v>457521</v>
      </c>
      <c r="I32" s="161">
        <f t="shared" si="32"/>
        <v>0</v>
      </c>
      <c r="J32" s="539">
        <f t="shared" si="23"/>
        <v>332050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64.91740327153687</v>
      </c>
      <c r="P32" s="297">
        <f t="shared" si="37"/>
        <v>64.91740327153687</v>
      </c>
      <c r="Q32" s="297">
        <f>SUM(-tanks!AX34*tanks!$AU$37)</f>
        <v>0</v>
      </c>
      <c r="R32" s="297">
        <f t="shared" si="38"/>
        <v>64.91740327153687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" thickBot="1">
      <c r="A33" s="163">
        <f>ELEC!C32</f>
        <v>44285</v>
      </c>
      <c r="B33" s="539">
        <f t="shared" si="20"/>
        <v>930474</v>
      </c>
      <c r="C33" s="264">
        <f t="shared" si="28"/>
        <v>0</v>
      </c>
      <c r="D33" s="308">
        <f t="shared" si="29"/>
        <v>0</v>
      </c>
      <c r="E33" s="308">
        <f t="shared" si="30"/>
        <v>930474</v>
      </c>
      <c r="F33" s="539">
        <f t="shared" si="21"/>
        <v>140902</v>
      </c>
      <c r="G33" s="160">
        <f t="shared" si="31"/>
        <v>0</v>
      </c>
      <c r="H33" s="539">
        <f t="shared" si="22"/>
        <v>457521</v>
      </c>
      <c r="I33" s="161">
        <f t="shared" si="32"/>
        <v>0</v>
      </c>
      <c r="J33" s="539">
        <f t="shared" si="23"/>
        <v>332050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64.91740327153687</v>
      </c>
      <c r="P33" s="297">
        <f t="shared" si="37"/>
        <v>64.91740327153687</v>
      </c>
      <c r="Q33" s="297">
        <f>SUM(-tanks!AX35*tanks!$AU$37)</f>
        <v>0</v>
      </c>
      <c r="R33" s="297">
        <f t="shared" si="38"/>
        <v>64.91740327153687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0"/>
        <v>930474</v>
      </c>
      <c r="C34" s="264">
        <f t="shared" si="28"/>
        <v>0</v>
      </c>
      <c r="D34" s="308">
        <f t="shared" si="29"/>
        <v>0</v>
      </c>
      <c r="E34" s="308">
        <f t="shared" si="30"/>
        <v>930474</v>
      </c>
      <c r="F34" s="539">
        <f t="shared" si="21"/>
        <v>140902</v>
      </c>
      <c r="G34" s="160">
        <f t="shared" si="31"/>
        <v>0</v>
      </c>
      <c r="H34" s="539">
        <f t="shared" si="22"/>
        <v>457521</v>
      </c>
      <c r="I34" s="161">
        <f t="shared" si="32"/>
        <v>0</v>
      </c>
      <c r="J34" s="539">
        <f t="shared" si="23"/>
        <v>332050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64.91740327153687</v>
      </c>
      <c r="P34" s="297">
        <f t="shared" si="37"/>
        <v>64.91740327153687</v>
      </c>
      <c r="Q34" s="297">
        <f>SUM(-tanks!AX36*tanks!$AU$37)</f>
        <v>0</v>
      </c>
      <c r="R34" s="297">
        <f t="shared" si="38"/>
        <v>64.91740327153687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84</v>
      </c>
      <c r="X34" s="222">
        <f>SUM(W34/A35)</f>
        <v>6.4615384615384617</v>
      </c>
      <c r="Y34" s="260">
        <f>SUM(X34/2)</f>
        <v>3.2307692307692308</v>
      </c>
      <c r="Z34" s="3"/>
      <c r="AA34" s="3"/>
      <c r="AB34" s="542">
        <f>SUM(AB30+AC34)</f>
        <v>6326344.5483870972</v>
      </c>
      <c r="AC34" s="249">
        <f>SUM(AC30)</f>
        <v>3033752.5483870967</v>
      </c>
    </row>
    <row r="35" spans="1:32" ht="15" thickBot="1">
      <c r="A35" s="538">
        <f>A37-COUNTIF(C4:C34,0)</f>
        <v>13</v>
      </c>
      <c r="C35" s="173">
        <f>SUM(C4:C34)/A35</f>
        <v>1961.2307692307693</v>
      </c>
      <c r="D35" s="173"/>
      <c r="E35" s="173"/>
      <c r="G35" s="173">
        <f>SUM(G4:G34)/A35</f>
        <v>291.84615384615387</v>
      </c>
      <c r="I35" s="173">
        <f>SUM(I4:I34)/A35</f>
        <v>823.15384615384619</v>
      </c>
      <c r="K35" s="173">
        <f>SUM(K4:K34)/A35</f>
        <v>846.15384615384619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97862.985431841837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" thickBot="1">
      <c r="A36" s="210"/>
      <c r="C36" s="212">
        <f>SUM(G36:K36)</f>
        <v>0.99996077816128026</v>
      </c>
      <c r="G36" s="225">
        <f>IF(C35&gt;0,G35/C35,0)</f>
        <v>0.1488076561029181</v>
      </c>
      <c r="H36" s="212"/>
      <c r="I36" s="225">
        <f>SUM(I35/C35)</f>
        <v>0.41971289614057106</v>
      </c>
      <c r="J36" s="212"/>
      <c r="K36" s="225">
        <f>SUM(K35/C35)</f>
        <v>0.43144022591779102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4196.5801316000643</v>
      </c>
      <c r="AC36" s="578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2012.439501417643</v>
      </c>
      <c r="Z38" s="40"/>
      <c r="AA38" s="292" t="s">
        <v>215</v>
      </c>
      <c r="AB38" s="293">
        <f>SUM(AB36)</f>
        <v>4196.5801316000643</v>
      </c>
    </row>
    <row r="39" spans="1:32">
      <c r="V39" s="217"/>
      <c r="W39" s="82">
        <f>(AB30+AB54)/1507.5</f>
        <v>2184.1406301824213</v>
      </c>
      <c r="X39" s="543"/>
      <c r="Z39" s="294">
        <f>SUM(AB38)</f>
        <v>4196.5801316000643</v>
      </c>
      <c r="AA39" s="293"/>
      <c r="AB39" s="293"/>
    </row>
    <row r="40" spans="1:32">
      <c r="V40" s="17"/>
      <c r="W40" s="82">
        <f>SUM(W38:W39)</f>
        <v>4196.5801316000643</v>
      </c>
      <c r="X40" s="543"/>
      <c r="Y40" s="82"/>
      <c r="Z40" s="294">
        <f>SUM(-tanks!AX37)*tanks!AU37</f>
        <v>12304.419483870946</v>
      </c>
      <c r="AA40" s="101">
        <f>SUM(AB34/A35)</f>
        <v>486641.88833746902</v>
      </c>
      <c r="AB40" s="348">
        <f>SUM(AA40*A37)</f>
        <v>15085898.53846154</v>
      </c>
    </row>
    <row r="41" spans="1:32" ht="18.5">
      <c r="W41" s="82">
        <f>(AB30+AB54)/1507.5</f>
        <v>2184.1406301824213</v>
      </c>
      <c r="Z41" s="276">
        <f>SUM(Z39:Z40)</f>
        <v>16500.99961547101</v>
      </c>
      <c r="AA41" s="293">
        <f>SUM(AA40/1507.5)</f>
        <v>322.81385627692805</v>
      </c>
      <c r="AB41" s="347">
        <f>SUM(AB40/1507.5)</f>
        <v>10007.229544584769</v>
      </c>
    </row>
    <row r="42" spans="1:32">
      <c r="D42" s="519"/>
      <c r="E42" s="519"/>
      <c r="F42" s="519"/>
      <c r="W42" s="82">
        <f>SUM(W40:W41)</f>
        <v>6380.7207617824861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57"/>
      <c r="AC45" s="657"/>
      <c r="AD45" s="17"/>
      <c r="AE45" s="17"/>
      <c r="AF45" s="17"/>
    </row>
    <row r="46" spans="1:32">
      <c r="V46" s="657"/>
      <c r="W46" s="657"/>
      <c r="X46" s="657"/>
      <c r="Y46" s="657"/>
      <c r="Z46" s="547"/>
      <c r="AA46" s="547"/>
      <c r="AB46" s="657"/>
      <c r="AC46" s="657"/>
      <c r="AD46" s="17"/>
      <c r="AE46" s="17"/>
      <c r="AF46" s="17"/>
    </row>
    <row r="47" spans="1:32">
      <c r="V47" s="657"/>
      <c r="W47" s="657"/>
      <c r="X47" s="657"/>
      <c r="Y47" s="657"/>
      <c r="Z47" s="657"/>
      <c r="AA47" s="657"/>
      <c r="AB47" s="657"/>
      <c r="AC47" s="657"/>
      <c r="AD47" s="17"/>
      <c r="AE47" s="17"/>
      <c r="AF47" s="17"/>
    </row>
    <row r="48" spans="1:32">
      <c r="V48" s="658"/>
      <c r="W48" s="658"/>
      <c r="X48" s="659"/>
      <c r="Y48" s="659"/>
      <c r="Z48" s="659"/>
      <c r="AA48" s="548"/>
      <c r="AB48" s="657"/>
      <c r="AC48" s="657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topLeftCell="B1" workbookViewId="0">
      <pane ySplit="1" topLeftCell="A2" activePane="bottomLeft" state="frozen"/>
      <selection pane="bottomLeft" activeCell="P18" sqref="P18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89" t="s">
        <v>51</v>
      </c>
      <c r="B1" s="701" t="s">
        <v>318</v>
      </c>
      <c r="C1" s="702"/>
      <c r="D1" s="704"/>
      <c r="E1" s="701" t="s">
        <v>319</v>
      </c>
      <c r="F1" s="702"/>
      <c r="G1" s="703"/>
      <c r="H1" s="698" t="s">
        <v>324</v>
      </c>
      <c r="I1" s="695" t="s">
        <v>325</v>
      </c>
      <c r="J1" s="692" t="s">
        <v>43</v>
      </c>
    </row>
    <row r="2" spans="1:18" ht="37.5" thickBot="1">
      <c r="A2" s="69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9"/>
      <c r="I2" s="696"/>
      <c r="J2" s="693"/>
    </row>
    <row r="3" spans="1:18" ht="24" customHeight="1" thickBot="1">
      <c r="A3" s="69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0"/>
      <c r="I3" s="697"/>
      <c r="J3" s="694"/>
    </row>
    <row r="4" spans="1:18" ht="19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44269</v>
      </c>
      <c r="B19" s="537"/>
      <c r="C19" s="609"/>
      <c r="D19" s="170"/>
      <c r="E19" s="170"/>
      <c r="F19" s="170"/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6729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6729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6729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6729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6729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6729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6729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6729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6729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6729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6729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6729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6729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6729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6729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-302.60000000000008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-5375.5000000000009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13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299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3438.7096774193546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417.06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6326344.5483870972</v>
      </c>
      <c r="E10" s="182">
        <f>SUM(D10/D4/F4)</f>
        <v>322.81385627692805</v>
      </c>
      <c r="F10" s="182">
        <f>SUM(E10*F4)</f>
        <v>4196.5801316000643</v>
      </c>
      <c r="G10" s="510">
        <f>E10*$G$4</f>
        <v>10007.22954458477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1004.389985309186</v>
      </c>
      <c r="F12" s="180">
        <f>SUM(F6:F10)</f>
        <v>13057.06980901942</v>
      </c>
      <c r="G12" s="179">
        <f>SUM(G6:G10)</f>
        <v>23629.009544584769</v>
      </c>
      <c r="H12" s="179">
        <f>SUM(H6:H11)</f>
        <v>47221</v>
      </c>
      <c r="I12" s="221">
        <f>SUM(I6:I11)</f>
        <v>47221.203249462371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-23591.990455415231</v>
      </c>
      <c r="I14" s="423">
        <f>SUM(G12-I12)</f>
        <v>-23592.193704877602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16.26923076923077</v>
      </c>
      <c r="C16" s="433">
        <f>'[14]Utility Cost '!B16</f>
        <v>14.293103448275861</v>
      </c>
      <c r="D16" s="432"/>
      <c r="E16" s="433">
        <f t="shared" si="0"/>
        <v>1.9761273209549088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84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-31.420000000000073</v>
      </c>
      <c r="F18" s="528">
        <f>B18-D18</f>
        <v>-88.73885330486587</v>
      </c>
    </row>
    <row r="19" spans="1:10">
      <c r="A19" s="522" t="s">
        <v>411</v>
      </c>
      <c r="B19" s="520">
        <f>SUM(B18/$F$4)</f>
        <v>6.4615384615384617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2021-03-14T07:08:57Z</dcterms:modified>
</cp:coreProperties>
</file>