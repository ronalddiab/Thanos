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2CD7B7D9-EF71-45EA-BDDB-4410AA4619E7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R11" i="8" l="1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<sst xmlns="http://schemas.openxmlformats.org/spreadsheetml/2006/main" count="201" uniqueCount="128">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</sst>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20389.999999999418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0</v>
      </c>
      <c r="F11" s="48">
        <v>0.14000000000000001</v>
      </c>
      <c r="G11" s="107">
        <v>0</v>
      </c>
      <c r="H11" s="48">
        <v>0.4453480216384178</v>
      </c>
      <c r="I11" s="65">
        <v>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191449.99999999913</v>
      </c>
      <c r="F33" s="104">
        <v>0</v>
      </c>
      <c r="G33" s="101">
        <f>SUM(G2:G32)</f>
        <v>52415</v>
      </c>
      <c r="H33" s="102">
        <v>0</v>
      </c>
      <c r="I33" s="103">
        <f>SUM(I2:I32)</f>
        <v>2192</v>
      </c>
      <c r="J33" s="104">
        <v>0</v>
      </c>
      <c r="K33" s="105">
        <v>0</v>
      </c>
      <c r="L33" s="102">
        <v>0</v>
      </c>
      <c r="M33" s="106">
        <f t="shared" ref="M33:O33" si="1">SUM(M2:M32)</f>
        <v>239</v>
      </c>
      <c r="N33" s="106">
        <f t="shared" si="1"/>
        <v>593</v>
      </c>
      <c r="O33" s="106">
        <f t="shared" si="1"/>
        <v>1727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G1" zoomScale="78" zoomScaleNormal="78" workbookViewId="0">
      <selection activeCell="W16" sqref="W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0" t="s">
        <v>10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77"/>
      <c r="V1" s="77"/>
    </row>
    <row r="2" spans="1:25" s="17" customFormat="1" ht="33" customHeight="1" x14ac:dyDescent="0.25">
      <c r="A2" s="29" t="s">
        <v>2</v>
      </c>
      <c r="B2" s="117" t="s">
        <v>11</v>
      </c>
      <c r="C2" s="117" t="s">
        <v>12</v>
      </c>
      <c r="D2" s="117" t="s">
        <v>13</v>
      </c>
      <c r="E2" s="117" t="s">
        <v>14</v>
      </c>
      <c r="F2" s="117" t="s">
        <v>15</v>
      </c>
      <c r="G2" s="112" t="s">
        <v>16</v>
      </c>
      <c r="H2" s="114" t="s">
        <v>17</v>
      </c>
      <c r="I2" s="117" t="s">
        <v>18</v>
      </c>
      <c r="J2" s="119" t="s">
        <v>19</v>
      </c>
      <c r="K2" s="120"/>
      <c r="L2" s="121"/>
      <c r="M2" s="112" t="s">
        <v>20</v>
      </c>
      <c r="N2" s="114" t="s">
        <v>21</v>
      </c>
      <c r="O2" s="115" t="s">
        <v>22</v>
      </c>
      <c r="P2" s="114" t="s">
        <v>23</v>
      </c>
      <c r="Q2" s="122" t="s">
        <v>24</v>
      </c>
      <c r="R2" s="117" t="s">
        <v>25</v>
      </c>
      <c r="S2" s="117" t="s">
        <v>26</v>
      </c>
      <c r="T2" s="117" t="s">
        <v>27</v>
      </c>
      <c r="V2" s="124" t="s">
        <v>6</v>
      </c>
      <c r="W2" s="124" t="s">
        <v>7</v>
      </c>
      <c r="X2" s="124" t="s">
        <v>8</v>
      </c>
    </row>
    <row r="3" spans="1:25" s="17" customFormat="1" ht="45" customHeight="1" x14ac:dyDescent="0.25">
      <c r="A3" s="30"/>
      <c r="B3" s="118"/>
      <c r="C3" s="118"/>
      <c r="D3" s="118"/>
      <c r="E3" s="118"/>
      <c r="F3" s="118"/>
      <c r="G3" s="113"/>
      <c r="H3" s="114"/>
      <c r="I3" s="118"/>
      <c r="J3" s="18" t="s">
        <v>28</v>
      </c>
      <c r="K3" s="18" t="s">
        <v>29</v>
      </c>
      <c r="L3" s="18" t="s">
        <v>30</v>
      </c>
      <c r="M3" s="113"/>
      <c r="N3" s="114"/>
      <c r="O3" s="116"/>
      <c r="P3" s="114"/>
      <c r="Q3" s="123"/>
      <c r="R3" s="118"/>
      <c r="S3" s="118"/>
      <c r="T3" s="118"/>
      <c r="V3" s="124"/>
      <c r="W3" s="124"/>
      <c r="X3" s="124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/>
      <c r="W13" s="71"/>
      <c r="X13" s="71"/>
      <c r="Y13" s="17"/>
    </row>
    <row r="14" spans="1:25" ht="21" customHeight="1" x14ac:dyDescent="0.25">
      <c r="A14" s="8">
        <v>44238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239</v>
      </c>
      <c r="W35" s="78">
        <f>SUM(W4:W34)</f>
        <v>593</v>
      </c>
      <c r="X35" s="78">
        <f>SUM(X4:X34)</f>
        <v>1727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S10" sqref="S1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5" t="s">
        <v>32</v>
      </c>
      <c r="B2" s="117" t="s">
        <v>33</v>
      </c>
      <c r="C2" s="117" t="s">
        <v>34</v>
      </c>
      <c r="D2" s="117" t="s">
        <v>120</v>
      </c>
      <c r="E2" s="115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6"/>
      <c r="B3" s="118"/>
      <c r="C3" s="118"/>
      <c r="D3" s="118"/>
      <c r="E3" s="116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8210.0000000000073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-3884.8100000017184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20389.999999999418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4714.529999999806</v>
      </c>
    </row>
    <row r="13" spans="1:22" x14ac:dyDescent="0.25">
      <c r="A13" s="3">
        <f>'Kwh Reading'!A13</f>
        <v>44237</v>
      </c>
      <c r="B13" s="26">
        <f>TOTAL!E11</f>
        <v>0</v>
      </c>
      <c r="C13" s="4">
        <f>('Kwh Reading'!T14-'Kwh Reading'!T13)*1000</f>
        <v>-354740</v>
      </c>
      <c r="D13" s="2">
        <f>('Kwh Reading'!F14-'Kwh Reading'!F13)*1000000</f>
        <v>-2035699.9999999998</v>
      </c>
      <c r="E13" s="2">
        <f>('Kwh Reading'!C14-'Kwh Reading'!C13)*1000</f>
        <v>-197590</v>
      </c>
      <c r="F13" s="2">
        <f>('Kwh Reading'!J14-'Kwh Reading'!J13)*1000</f>
        <v>-284860</v>
      </c>
      <c r="G13" s="2">
        <f>('Kwh Reading'!K14-'Kwh Reading'!K13)*1000</f>
        <v>-298280</v>
      </c>
      <c r="H13" s="2">
        <f>('Kwh Reading'!L14-'Kwh Reading'!L13)*1000</f>
        <v>-204590</v>
      </c>
      <c r="I13" s="2">
        <f>('Kwh Reading'!R14-'Kwh Reading'!R13)*1000</f>
        <v>-120880</v>
      </c>
      <c r="J13" s="2">
        <f>('Kwh Reading'!S14-'Kwh Reading'!S13)*1000</f>
        <v>-96726</v>
      </c>
      <c r="K13" s="2">
        <f>('Kwh Reading'!I14-'Kwh Reading'!I13)*1000</f>
        <v>-191600</v>
      </c>
      <c r="L13" s="2">
        <f>('Kwh Reading'!B14-'Kwh Reading'!B13)*1000</f>
        <v>-800190</v>
      </c>
      <c r="M13" s="2">
        <f>('Kwh Reading'!M14-'Kwh Reading'!M13)*1000</f>
        <v>-414070</v>
      </c>
      <c r="N13" s="2">
        <f>('Kwh Reading'!H14-'Kwh Reading'!H13)*1000</f>
        <v>-515330.00000000006</v>
      </c>
      <c r="O13" s="2">
        <f>('Kwh Reading'!P14-'Kwh Reading'!P13)*1000</f>
        <v>-479050</v>
      </c>
      <c r="P13" s="2">
        <f>('Kwh Reading'!G14-'Kwh Reading'!G13)*1000</f>
        <v>-616760</v>
      </c>
      <c r="Q13" s="2">
        <f>('Kwh Reading'!Q14-'Kwh Reading'!Q13)*1000</f>
        <v>-356940</v>
      </c>
      <c r="R13" s="2">
        <f>('Kwh Reading'!N14-'Kwh Reading'!N13)*1000</f>
        <v>-360560</v>
      </c>
      <c r="S13" s="34">
        <f>'Kwh Reading'!E14-'Kwh Reading'!E13</f>
        <v>-7756079.7400000002</v>
      </c>
      <c r="T13" s="34">
        <f>'Kwh Reading'!D14-'Kwh Reading'!D13</f>
        <v>-7147129.0599999996</v>
      </c>
      <c r="U13" s="27">
        <f>('Kwh Reading'!O14-'Kwh Reading'!O13)*1000</f>
        <v>-116660</v>
      </c>
      <c r="V13" s="16">
        <f t="shared" si="0"/>
        <v>22347734.800000001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191449.99999999962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</v>
      </c>
      <c r="P35" s="75">
        <f t="shared" si="5"/>
        <v>-609180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22397840.68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8352.0000000000036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-3884.8100000017203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20389.999999999418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4714.5299999998069</v>
      </c>
    </row>
    <row r="12" spans="1:12" x14ac:dyDescent="0.25">
      <c r="A12" s="14">
        <f>'Kwh Reading'!A13</f>
        <v>44237</v>
      </c>
      <c r="B12" s="83">
        <f>TOTAL!E11</f>
        <v>0</v>
      </c>
      <c r="C12" s="1">
        <f>'Kwh Consumption'!C13</f>
        <v>-354740</v>
      </c>
      <c r="D12" s="1">
        <f>'Kwh Consumption'!D13</f>
        <v>-2035699.9999999998</v>
      </c>
      <c r="E12" s="1">
        <f>'Kwh Consumption'!E13</f>
        <v>-197590</v>
      </c>
      <c r="F12" s="1">
        <f>('Kwh Consumption'!F13+'Kwh Consumption'!G13+'Kwh Consumption'!H13)</f>
        <v>-787730</v>
      </c>
      <c r="G12" s="16">
        <f>('Kwh Consumption'!I13+'Kwh Consumption'!J13)</f>
        <v>-217606</v>
      </c>
      <c r="H12" s="1">
        <f>('Kwh Consumption'!K13+'Kwh Consumption'!L13)</f>
        <v>-991790</v>
      </c>
      <c r="I12" s="1">
        <f>('Kwh Consumption'!M13+'Kwh Consumption'!N13+'Kwh Consumption'!O13+'Kwh Consumption'!P13+'Kwh Consumption'!Q13+'Kwh Consumption'!R13)</f>
        <v>-2742710</v>
      </c>
      <c r="J12" s="1">
        <f>('Kwh Consumption'!S13+'Kwh Consumption'!T13)</f>
        <v>-14903208.800000001</v>
      </c>
      <c r="K12" s="1">
        <f>'Kwh Consumption'!U13</f>
        <v>-116660</v>
      </c>
      <c r="L12" s="32">
        <f t="shared" si="0"/>
        <v>22347734.800000001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191449.99999999913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-14857534.680000002</v>
      </c>
      <c r="K34" s="75">
        <f t="shared" si="1"/>
        <v>-114830</v>
      </c>
      <c r="L34" s="75">
        <f t="shared" si="1"/>
        <v>22397840.68</v>
      </c>
      <c r="M34" s="84">
        <f>C34+D34+E34+F34+G34+H34+I34+J34+K34+L34</f>
        <v>191450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-2080054.8552000003</v>
      </c>
      <c r="K36" s="75">
        <f>K34*B36</f>
        <v>-16076.2</v>
      </c>
      <c r="L36" s="75">
        <f>L34*B36</f>
        <v>3135697.6952000004</v>
      </c>
      <c r="M36" s="84">
        <f>C36+D36+E36+F36+G36+H36+I36+J36+K36+L36</f>
        <v>26803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1169.2800000000007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-543.87340000024062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2854.599999999919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660.03419999997288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-49663.600000000006</v>
      </c>
      <c r="E12" s="1">
        <f>'Kwh Consumption'!D13*' Kwh area wise $ '!B12</f>
        <v>-284998</v>
      </c>
      <c r="F12" s="1">
        <f>'Kwh Consumption'!E13*' Kwh area wise $ '!B12</f>
        <v>-27662.600000000002</v>
      </c>
      <c r="G12" s="1">
        <f>('Kwh Consumption'!F13+'Kwh Consumption'!G13+'Kwh Consumption'!H13)*' Kwh area wise $ '!B12</f>
        <v>-110282.20000000001</v>
      </c>
      <c r="H12" s="16">
        <f>('Kwh Consumption'!I13+'Kwh Consumption'!J13)*' Kwh area wise $ '!B12</f>
        <v>-30464.840000000004</v>
      </c>
      <c r="I12" s="1">
        <f>('Kwh Consumption'!K13+'Kwh Consumption'!L13)*' Kwh area wise $ '!B12</f>
        <v>-138850.6</v>
      </c>
      <c r="J12" s="1">
        <f>('Kwh Consumption'!M13+'Kwh Consumption'!N13+'Kwh Consumption'!O13+'Kwh Consumption'!P13+'Kwh Consumption'!Q13+'Kwh Consumption'!R13)*' Kwh area wise $ '!B12</f>
        <v>-383979.4</v>
      </c>
      <c r="K12" s="1">
        <f>('Kwh Consumption'!S13+'Kwh Consumption'!T13)*' Kwh area wise $ '!B12</f>
        <v>-2086449.2320000003</v>
      </c>
      <c r="L12" s="1">
        <f>'Kwh Consumption'!U13*' Kwh area wise $ '!B12</f>
        <v>-16332.400000000001</v>
      </c>
      <c r="M12" s="1">
        <f>'Kwh Consumption'!V13*' Kwh area wise $ '!B12</f>
        <v>3128682.8720000004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26802.999999999953</v>
      </c>
      <c r="D34" s="75">
        <f t="shared" si="0"/>
        <v>-49061.600000000006</v>
      </c>
      <c r="E34" s="75">
        <f t="shared" si="0"/>
        <v>-281918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-30072.840000000004</v>
      </c>
      <c r="I34" s="75">
        <f t="shared" si="0"/>
        <v>-137068.4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</v>
      </c>
      <c r="M34" s="75">
        <f>SUM(M3:M33)</f>
        <v>3135697.6952000004</v>
      </c>
      <c r="N34" s="84">
        <f>D34+E34+F34+G34+H34+I34+J34+K34+L34+M34</f>
        <v>26803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F13" sqref="F13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F12" sqref="A12:XFD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2" t="s">
        <v>32</v>
      </c>
      <c r="B2" s="133" t="s">
        <v>109</v>
      </c>
      <c r="C2" s="133" t="s">
        <v>110</v>
      </c>
      <c r="D2" s="133"/>
      <c r="E2" s="134" t="s">
        <v>98</v>
      </c>
      <c r="F2" s="135"/>
      <c r="G2" s="136" t="s">
        <v>113</v>
      </c>
      <c r="H2" s="135"/>
      <c r="I2" s="136" t="s">
        <v>111</v>
      </c>
      <c r="J2" s="135"/>
      <c r="K2" s="136" t="s">
        <v>112</v>
      </c>
      <c r="L2" s="135"/>
      <c r="M2" s="136" t="s">
        <v>108</v>
      </c>
      <c r="N2" s="135"/>
      <c r="O2" s="136" t="s">
        <v>107</v>
      </c>
      <c r="P2" s="135"/>
      <c r="Q2" s="136" t="s">
        <v>114</v>
      </c>
      <c r="R2" s="135"/>
      <c r="S2" s="136" t="s">
        <v>115</v>
      </c>
      <c r="T2" s="135"/>
      <c r="U2" s="136" t="s">
        <v>116</v>
      </c>
      <c r="V2" s="135"/>
      <c r="W2" s="136" t="s">
        <v>100</v>
      </c>
      <c r="X2" s="137"/>
      <c r="Y2" s="138" t="s">
        <v>53</v>
      </c>
      <c r="Z2" s="138"/>
    </row>
    <row r="3" spans="1:26" ht="30" x14ac:dyDescent="0.35">
      <c r="A3" s="132"/>
      <c r="B3" s="133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0</v>
      </c>
      <c r="C13" s="66">
        <f>('Water Reading'!B13-'Water Reading'!B12)+('Water Reading'!C13-'Water Reading'!C12)</f>
        <v>-242682</v>
      </c>
      <c r="D13" s="67" t="e">
        <f t="shared" si="2"/>
        <v>#DIV/0!</v>
      </c>
      <c r="E13" s="87">
        <f>'Water Reading'!H13-'Water Reading'!H12</f>
        <v>-45855</v>
      </c>
      <c r="F13" s="89">
        <f t="shared" si="3"/>
        <v>0.18895097287808738</v>
      </c>
      <c r="G13" s="93">
        <f>('Water Reading'!D13-'Water Reading'!D12)-('Water Reading'!R13-'Water Reading'!R12)-('Water Reading'!Q13-'Water Reading'!Q12)</f>
        <v>-183437</v>
      </c>
      <c r="H13" s="89">
        <f t="shared" si="4"/>
        <v>0.75587394203113545</v>
      </c>
      <c r="I13" s="90">
        <f>'Water Reading'!P13-'Water Reading'!P12</f>
        <v>-25866</v>
      </c>
      <c r="J13" s="68">
        <f t="shared" si="5"/>
        <v>0.10658392464212427</v>
      </c>
      <c r="K13" s="91">
        <f>('Water Reading'!I13-'Water Reading'!I12)</f>
        <v>-57765</v>
      </c>
      <c r="L13" s="68">
        <f t="shared" si="6"/>
        <v>0.2380275422157391</v>
      </c>
      <c r="M13" s="90">
        <f>'Water Reading'!R13-'Water Reading'!R12</f>
        <v>-5517</v>
      </c>
      <c r="N13" s="92">
        <f t="shared" si="7"/>
        <v>2.2733453655400894E-2</v>
      </c>
      <c r="O13" s="90">
        <f>'Water Reading'!Q13-'Water Reading'!Q12</f>
        <v>-94</v>
      </c>
      <c r="P13" s="99">
        <f t="shared" si="8"/>
        <v>3.8733816269851079E-4</v>
      </c>
      <c r="Q13" s="91">
        <f>'Water Reading'!F13-'Water Reading'!F12</f>
        <v>-66844</v>
      </c>
      <c r="R13" s="100">
        <f t="shared" si="9"/>
        <v>0.27543863986616229</v>
      </c>
      <c r="S13" s="94">
        <f>'Water Reading'!E13-'Water Reading'!E12</f>
        <v>-239464</v>
      </c>
      <c r="T13" s="100">
        <f t="shared" si="10"/>
        <v>0.9867398488557042</v>
      </c>
      <c r="U13" s="90">
        <f>'Water Reading'!G13-'Water Reading'!G12</f>
        <v>-108958</v>
      </c>
      <c r="V13" s="100">
        <f t="shared" si="11"/>
        <v>0.44897437799259937</v>
      </c>
      <c r="W13" s="90">
        <f>'Water Reading'!J13-'Water Reading'!J12</f>
        <v>-18433</v>
      </c>
      <c r="X13" s="100">
        <f t="shared" si="12"/>
        <v>7.5955365457677129E-2</v>
      </c>
      <c r="Y13" s="66">
        <f t="shared" si="0"/>
        <v>-752233</v>
      </c>
      <c r="Z13" s="67" t="e">
        <f t="shared" si="1"/>
        <v>#DIV/0!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2192</v>
      </c>
      <c r="C35" s="75">
        <f>SUM(C4:C34)</f>
        <v>-240046</v>
      </c>
      <c r="D35" s="96">
        <f>C35/B35</f>
        <v>-109.51003649635037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-342.01322992700727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2021-02-10T05:00:36Z</dcterms:modified>
  <cp:category/>
  <cp:contentStatus/>
</cp:coreProperties>
</file>