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108A8991-CDA4-4A40-BBD0-674F147D20D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EAU-ELEC'!$A$1:$K$37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10" i="2"/>
  <c r="N5" i="4"/>
  <c r="N6" i="4"/>
  <c r="O6" i="4" s="1"/>
  <c r="N7" i="4"/>
  <c r="N8" i="4"/>
  <c r="O8" i="4" s="1"/>
  <c r="N9" i="4"/>
  <c r="N10" i="4"/>
  <c r="O10" i="4" s="1"/>
  <c r="N11" i="4"/>
  <c r="N12" i="4"/>
  <c r="O12" i="4" s="1"/>
  <c r="V18" i="2" s="1"/>
  <c r="N13" i="4"/>
  <c r="N14" i="4"/>
  <c r="O14" i="4" s="1"/>
  <c r="N15" i="4"/>
  <c r="N16" i="4"/>
  <c r="O16" i="4" s="1"/>
  <c r="N17" i="4"/>
  <c r="N18" i="4"/>
  <c r="O18" i="4" s="1"/>
  <c r="N19" i="4"/>
  <c r="N20" i="4"/>
  <c r="O20" i="4" s="1"/>
  <c r="V26" i="2" s="1"/>
  <c r="N21" i="4"/>
  <c r="N22" i="4"/>
  <c r="O22" i="4" s="1"/>
  <c r="N23" i="4"/>
  <c r="N24" i="4"/>
  <c r="O24" i="4" s="1"/>
  <c r="N25" i="4"/>
  <c r="N26" i="4"/>
  <c r="O26" i="4" s="1"/>
  <c r="N27" i="4"/>
  <c r="N28" i="4"/>
  <c r="O28" i="4" s="1"/>
  <c r="P28" i="4" s="1"/>
  <c r="N29" i="4"/>
  <c r="N30" i="4"/>
  <c r="O30" i="4" s="1"/>
  <c r="N31" i="4"/>
  <c r="O5" i="4"/>
  <c r="V11" i="2" s="1"/>
  <c r="O7" i="4"/>
  <c r="O9" i="4"/>
  <c r="V15" i="2" s="1"/>
  <c r="G7" i="22" s="1"/>
  <c r="O11" i="4"/>
  <c r="V17" i="2" s="1"/>
  <c r="G9" i="22" s="1"/>
  <c r="O13" i="4"/>
  <c r="V19" i="2" s="1"/>
  <c r="O15" i="4"/>
  <c r="V21" i="2" s="1"/>
  <c r="X21" i="2" s="1"/>
  <c r="O17" i="4"/>
  <c r="P17" i="4" s="1"/>
  <c r="O19" i="4"/>
  <c r="O21" i="4"/>
  <c r="V27" i="2" s="1"/>
  <c r="O23" i="4"/>
  <c r="O25" i="4"/>
  <c r="V31" i="2" s="1"/>
  <c r="G23" i="22" s="1"/>
  <c r="O27" i="4"/>
  <c r="V33" i="2" s="1"/>
  <c r="G25" i="22" s="1"/>
  <c r="O29" i="4"/>
  <c r="V35" i="2" s="1"/>
  <c r="O31" i="4"/>
  <c r="V37" i="2" s="1"/>
  <c r="X37" i="2" s="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X38" i="2"/>
  <c r="X10" i="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F19" i="2"/>
  <c r="F27" i="2"/>
  <c r="F35" i="2"/>
  <c r="V13" i="2"/>
  <c r="X13" i="2" s="1"/>
  <c r="V23" i="2"/>
  <c r="X23" i="2" s="1"/>
  <c r="V25" i="2"/>
  <c r="G17" i="22" s="1"/>
  <c r="V29" i="2"/>
  <c r="X29" i="2" s="1"/>
  <c r="N23" i="2"/>
  <c r="K11" i="6"/>
  <c r="N12" i="2" s="1"/>
  <c r="K12" i="6"/>
  <c r="N13" i="2" s="1"/>
  <c r="K13" i="6"/>
  <c r="N14" i="2" s="1"/>
  <c r="K14" i="6"/>
  <c r="N15" i="2" s="1"/>
  <c r="K15" i="6"/>
  <c r="N16" i="2" s="1"/>
  <c r="K16" i="6"/>
  <c r="N17" i="2" s="1"/>
  <c r="K17" i="6"/>
  <c r="N18" i="2" s="1"/>
  <c r="K18" i="6"/>
  <c r="N19" i="2" s="1"/>
  <c r="K19" i="6"/>
  <c r="N20" i="2" s="1"/>
  <c r="K20" i="6"/>
  <c r="N21" i="2" s="1"/>
  <c r="K21" i="6"/>
  <c r="N22" i="2" s="1"/>
  <c r="K22" i="6"/>
  <c r="K23" i="6"/>
  <c r="N24" i="2" s="1"/>
  <c r="K24" i="6"/>
  <c r="N25" i="2" s="1"/>
  <c r="K25" i="6"/>
  <c r="N26" i="2" s="1"/>
  <c r="K26" i="6"/>
  <c r="N27" i="2" s="1"/>
  <c r="K27" i="6"/>
  <c r="N28" i="2" s="1"/>
  <c r="K28" i="6"/>
  <c r="N29" i="2" s="1"/>
  <c r="K29" i="6"/>
  <c r="N30" i="2" s="1"/>
  <c r="K30" i="6"/>
  <c r="N31" i="2" s="1"/>
  <c r="K31" i="6"/>
  <c r="N32" i="2" s="1"/>
  <c r="K32" i="6"/>
  <c r="N33" i="2" s="1"/>
  <c r="K33" i="6"/>
  <c r="N34" i="2" s="1"/>
  <c r="K34" i="6"/>
  <c r="N35" i="2" s="1"/>
  <c r="K35" i="6"/>
  <c r="N36" i="2" s="1"/>
  <c r="K36" i="6"/>
  <c r="N37" i="2" s="1"/>
  <c r="K37" i="6"/>
  <c r="I11" i="6"/>
  <c r="M12" i="2" s="1"/>
  <c r="I12" i="6"/>
  <c r="M13" i="2" s="1"/>
  <c r="I13" i="6"/>
  <c r="M14" i="2" s="1"/>
  <c r="I14" i="6"/>
  <c r="M15" i="2" s="1"/>
  <c r="I15" i="6"/>
  <c r="M16" i="2" s="1"/>
  <c r="I16" i="6"/>
  <c r="M17" i="2" s="1"/>
  <c r="I17" i="6"/>
  <c r="M18" i="2" s="1"/>
  <c r="I18" i="6"/>
  <c r="M19" i="2" s="1"/>
  <c r="I19" i="6"/>
  <c r="M20" i="2" s="1"/>
  <c r="I20" i="6"/>
  <c r="M21" i="2" s="1"/>
  <c r="I21" i="6"/>
  <c r="M22" i="2" s="1"/>
  <c r="I22" i="6"/>
  <c r="M23" i="2" s="1"/>
  <c r="I23" i="6"/>
  <c r="M24" i="2" s="1"/>
  <c r="I24" i="6"/>
  <c r="M25" i="2" s="1"/>
  <c r="I25" i="6"/>
  <c r="M26" i="2" s="1"/>
  <c r="I26" i="6"/>
  <c r="M27" i="2" s="1"/>
  <c r="I27" i="6"/>
  <c r="M28" i="2" s="1"/>
  <c r="I28" i="6"/>
  <c r="M29" i="2" s="1"/>
  <c r="I29" i="6"/>
  <c r="M30" i="2" s="1"/>
  <c r="I30" i="6"/>
  <c r="M31" i="2" s="1"/>
  <c r="I31" i="6"/>
  <c r="M32" i="2" s="1"/>
  <c r="I32" i="6"/>
  <c r="M33" i="2" s="1"/>
  <c r="I33" i="6"/>
  <c r="M34" i="2" s="1"/>
  <c r="I34" i="6"/>
  <c r="M35" i="2" s="1"/>
  <c r="I35" i="6"/>
  <c r="M36" i="2" s="1"/>
  <c r="I36" i="6"/>
  <c r="M37" i="2" s="1"/>
  <c r="I37" i="6"/>
  <c r="G11" i="6"/>
  <c r="L12" i="2" s="1"/>
  <c r="G12" i="6"/>
  <c r="L13" i="2" s="1"/>
  <c r="G13" i="6"/>
  <c r="L14" i="2" s="1"/>
  <c r="G14" i="6"/>
  <c r="L15" i="2" s="1"/>
  <c r="G15" i="6"/>
  <c r="L16" i="2" s="1"/>
  <c r="G16" i="6"/>
  <c r="L17" i="2" s="1"/>
  <c r="G17" i="6"/>
  <c r="L18" i="2" s="1"/>
  <c r="G18" i="6"/>
  <c r="L19" i="2" s="1"/>
  <c r="G19" i="6"/>
  <c r="L20" i="2" s="1"/>
  <c r="G20" i="6"/>
  <c r="L21" i="2" s="1"/>
  <c r="G21" i="6"/>
  <c r="L22" i="2" s="1"/>
  <c r="G22" i="6"/>
  <c r="L23" i="2" s="1"/>
  <c r="G23" i="6"/>
  <c r="L24" i="2" s="1"/>
  <c r="G24" i="6"/>
  <c r="L25" i="2" s="1"/>
  <c r="G25" i="6"/>
  <c r="L26" i="2" s="1"/>
  <c r="G26" i="6"/>
  <c r="L27" i="2" s="1"/>
  <c r="G27" i="6"/>
  <c r="L28" i="2" s="1"/>
  <c r="G28" i="6"/>
  <c r="L29" i="2" s="1"/>
  <c r="G29" i="6"/>
  <c r="L30" i="2" s="1"/>
  <c r="G30" i="6"/>
  <c r="L31" i="2" s="1"/>
  <c r="G31" i="6"/>
  <c r="L32" i="2" s="1"/>
  <c r="G32" i="6"/>
  <c r="L33" i="2" s="1"/>
  <c r="G33" i="6"/>
  <c r="L34" i="2" s="1"/>
  <c r="G34" i="6"/>
  <c r="L35" i="2" s="1"/>
  <c r="G35" i="6"/>
  <c r="L36" i="2" s="1"/>
  <c r="G36" i="6"/>
  <c r="L37" i="2" s="1"/>
  <c r="G37" i="6"/>
  <c r="E11" i="6"/>
  <c r="F12" i="2" s="1"/>
  <c r="E12" i="6"/>
  <c r="F13" i="2" s="1"/>
  <c r="E13" i="6"/>
  <c r="F14" i="2" s="1"/>
  <c r="E14" i="6"/>
  <c r="F15" i="2" s="1"/>
  <c r="E15" i="6"/>
  <c r="F16" i="2" s="1"/>
  <c r="E16" i="6"/>
  <c r="F17" i="2" s="1"/>
  <c r="E17" i="6"/>
  <c r="F18" i="2" s="1"/>
  <c r="E18" i="6"/>
  <c r="E19" i="6"/>
  <c r="F20" i="2" s="1"/>
  <c r="I12" i="22" s="1"/>
  <c r="E20" i="6"/>
  <c r="F21" i="2" s="1"/>
  <c r="I13" i="22" s="1"/>
  <c r="E21" i="6"/>
  <c r="F22" i="2" s="1"/>
  <c r="E22" i="6"/>
  <c r="F23" i="2" s="1"/>
  <c r="E23" i="6"/>
  <c r="F24" i="2" s="1"/>
  <c r="E24" i="6"/>
  <c r="F25" i="2" s="1"/>
  <c r="E25" i="6"/>
  <c r="F26" i="2" s="1"/>
  <c r="I18" i="22" s="1"/>
  <c r="E26" i="6"/>
  <c r="E27" i="6"/>
  <c r="F28" i="2" s="1"/>
  <c r="E28" i="6"/>
  <c r="F29" i="2" s="1"/>
  <c r="E29" i="6"/>
  <c r="F30" i="2" s="1"/>
  <c r="E30" i="6"/>
  <c r="F31" i="2" s="1"/>
  <c r="E31" i="6"/>
  <c r="F32" i="2" s="1"/>
  <c r="E32" i="6"/>
  <c r="F33" i="2" s="1"/>
  <c r="E33" i="6"/>
  <c r="F34" i="2" s="1"/>
  <c r="E34" i="6"/>
  <c r="E35" i="6"/>
  <c r="F36" i="2" s="1"/>
  <c r="E36" i="6"/>
  <c r="F37" i="2" s="1"/>
  <c r="E37" i="6"/>
  <c r="P5" i="4"/>
  <c r="P7" i="4"/>
  <c r="P11" i="4"/>
  <c r="P13" i="4"/>
  <c r="P15" i="4"/>
  <c r="P19" i="4"/>
  <c r="P23" i="4"/>
  <c r="P25" i="4"/>
  <c r="P27" i="4"/>
  <c r="P31" i="4"/>
  <c r="P4" i="4"/>
  <c r="M48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P33" i="4"/>
  <c r="P34" i="4"/>
  <c r="P35" i="4"/>
  <c r="P36" i="4"/>
  <c r="P37" i="4"/>
  <c r="P38" i="4"/>
  <c r="P39" i="4"/>
  <c r="C18" i="6"/>
  <c r="C17" i="6"/>
  <c r="K10" i="6"/>
  <c r="N11" i="2" s="1"/>
  <c r="I10" i="6"/>
  <c r="M11" i="2" s="1"/>
  <c r="G10" i="6"/>
  <c r="L11" i="2" s="1"/>
  <c r="E10" i="6"/>
  <c r="F11" i="2" s="1"/>
  <c r="I3" i="22" s="1"/>
  <c r="G4" i="4"/>
  <c r="E4" i="4"/>
  <c r="C4" i="4"/>
  <c r="F10" i="2"/>
  <c r="L10" i="2"/>
  <c r="O10" i="2" s="1"/>
  <c r="P40" i="4"/>
  <c r="C16" i="6"/>
  <c r="C15" i="6"/>
  <c r="N10" i="2"/>
  <c r="G2" i="21"/>
  <c r="M10" i="2"/>
  <c r="I2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L6" i="4" s="1"/>
  <c r="I6" i="4"/>
  <c r="AD6" i="4"/>
  <c r="AE6" i="4"/>
  <c r="AC7" i="4"/>
  <c r="G7" i="4" s="1"/>
  <c r="AD7" i="4"/>
  <c r="AE7" i="4"/>
  <c r="J8" i="4"/>
  <c r="K8" i="4"/>
  <c r="L7" i="4"/>
  <c r="AC8" i="4"/>
  <c r="L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I19" i="10"/>
  <c r="E20" i="10"/>
  <c r="D25" i="10"/>
  <c r="F25" i="10"/>
  <c r="F32" i="10"/>
  <c r="H25" i="10"/>
  <c r="I25" i="10"/>
  <c r="I32" i="10"/>
  <c r="F18" i="10"/>
  <c r="Q38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L17" i="4"/>
  <c r="L13" i="4"/>
  <c r="L10" i="4"/>
  <c r="L31" i="4"/>
  <c r="L28" i="4"/>
  <c r="L16" i="4"/>
  <c r="L14" i="4"/>
  <c r="L27" i="4"/>
  <c r="L34" i="4"/>
  <c r="N34" i="4"/>
  <c r="O34" i="4"/>
  <c r="L30" i="4"/>
  <c r="L18" i="4"/>
  <c r="L21" i="4"/>
  <c r="L29" i="4"/>
  <c r="L24" i="4"/>
  <c r="L12" i="4"/>
  <c r="L11" i="4"/>
  <c r="L32" i="4"/>
  <c r="N32" i="4"/>
  <c r="O32" i="4"/>
  <c r="P32" i="4" s="1"/>
  <c r="L26" i="4"/>
  <c r="L25" i="4"/>
  <c r="L19" i="4"/>
  <c r="L20" i="4"/>
  <c r="L33" i="4"/>
  <c r="N33" i="4"/>
  <c r="O33" i="4"/>
  <c r="L15" i="4"/>
  <c r="Q10" i="2"/>
  <c r="E2" i="21"/>
  <c r="E2" i="22" s="1"/>
  <c r="Q44" i="4"/>
  <c r="AC44" i="4"/>
  <c r="K48" i="4"/>
  <c r="L48" i="4"/>
  <c r="L9" i="4"/>
  <c r="AC43" i="4"/>
  <c r="G9" i="4"/>
  <c r="E9" i="4"/>
  <c r="C9" i="4"/>
  <c r="I9" i="4"/>
  <c r="P26" i="4" l="1"/>
  <c r="V32" i="2"/>
  <c r="G24" i="22" s="1"/>
  <c r="V24" i="2"/>
  <c r="G16" i="22" s="1"/>
  <c r="P18" i="4"/>
  <c r="V16" i="2"/>
  <c r="G8" i="22" s="1"/>
  <c r="P10" i="4"/>
  <c r="V30" i="2"/>
  <c r="P24" i="4"/>
  <c r="V22" i="2"/>
  <c r="X22" i="2" s="1"/>
  <c r="P16" i="4"/>
  <c r="V14" i="2"/>
  <c r="P8" i="4"/>
  <c r="V36" i="2"/>
  <c r="X36" i="2" s="1"/>
  <c r="P30" i="4"/>
  <c r="V28" i="2"/>
  <c r="X28" i="2" s="1"/>
  <c r="P22" i="4"/>
  <c r="P14" i="4"/>
  <c r="V20" i="2"/>
  <c r="X20" i="2" s="1"/>
  <c r="V12" i="2"/>
  <c r="X12" i="2" s="1"/>
  <c r="P6" i="4"/>
  <c r="P21" i="4"/>
  <c r="P9" i="4"/>
  <c r="P29" i="4"/>
  <c r="X35" i="2"/>
  <c r="G27" i="22"/>
  <c r="G19" i="22"/>
  <c r="X27" i="2"/>
  <c r="G11" i="22"/>
  <c r="X19" i="2"/>
  <c r="G3" i="22"/>
  <c r="X11" i="2"/>
  <c r="G18" i="22"/>
  <c r="X26" i="2"/>
  <c r="G10" i="22"/>
  <c r="X18" i="2"/>
  <c r="X30" i="2"/>
  <c r="G22" i="22"/>
  <c r="X14" i="2"/>
  <c r="G6" i="22"/>
  <c r="P20" i="4"/>
  <c r="X33" i="2"/>
  <c r="X25" i="2"/>
  <c r="X17" i="2"/>
  <c r="G29" i="22"/>
  <c r="G21" i="22"/>
  <c r="G13" i="22"/>
  <c r="G5" i="22"/>
  <c r="G15" i="22"/>
  <c r="P12" i="4"/>
  <c r="X24" i="2"/>
  <c r="X16" i="2"/>
  <c r="G20" i="22"/>
  <c r="G4" i="22"/>
  <c r="X31" i="2"/>
  <c r="X15" i="2"/>
  <c r="V34" i="2"/>
  <c r="I23" i="22"/>
  <c r="I15" i="22"/>
  <c r="I7" i="22"/>
  <c r="I22" i="22"/>
  <c r="I14" i="22"/>
  <c r="J17" i="21"/>
  <c r="Q25" i="2"/>
  <c r="I28" i="22"/>
  <c r="I20" i="22"/>
  <c r="Q23" i="2"/>
  <c r="I21" i="22"/>
  <c r="O30" i="2"/>
  <c r="J22" i="21"/>
  <c r="Q30" i="2"/>
  <c r="Q22" i="2"/>
  <c r="J14" i="21"/>
  <c r="O22" i="2"/>
  <c r="I26" i="22"/>
  <c r="Q21" i="2"/>
  <c r="O21" i="2"/>
  <c r="I25" i="22"/>
  <c r="I9" i="22"/>
  <c r="Q11" i="2"/>
  <c r="J3" i="21"/>
  <c r="O11" i="2"/>
  <c r="I24" i="22"/>
  <c r="I16" i="22"/>
  <c r="O25" i="2"/>
  <c r="J2" i="21"/>
  <c r="I10" i="22"/>
  <c r="E3" i="22"/>
  <c r="N39" i="2"/>
  <c r="I44" i="2" s="1"/>
  <c r="L44" i="2" s="1"/>
  <c r="O32" i="2"/>
  <c r="O24" i="2"/>
  <c r="Q24" i="2"/>
  <c r="J16" i="21"/>
  <c r="E8" i="22"/>
  <c r="Q16" i="2"/>
  <c r="O16" i="2"/>
  <c r="Q28" i="2"/>
  <c r="J20" i="21"/>
  <c r="Q20" i="2"/>
  <c r="E17" i="22"/>
  <c r="E20" i="22"/>
  <c r="O28" i="2"/>
  <c r="Q33" i="2"/>
  <c r="O33" i="2"/>
  <c r="O17" i="2"/>
  <c r="E9" i="22"/>
  <c r="M39" i="2"/>
  <c r="I43" i="2" s="1"/>
  <c r="L43" i="2" s="1"/>
  <c r="Q17" i="2"/>
  <c r="O31" i="2"/>
  <c r="J23" i="21"/>
  <c r="Q31" i="2"/>
  <c r="Q29" i="2"/>
  <c r="J21" i="21"/>
  <c r="O29" i="2"/>
  <c r="O36" i="2"/>
  <c r="J28" i="21"/>
  <c r="Q36" i="2"/>
  <c r="Q32" i="2"/>
  <c r="E22" i="22"/>
  <c r="E21" i="22"/>
  <c r="E14" i="22"/>
  <c r="J9" i="21"/>
  <c r="E16" i="22"/>
  <c r="E13" i="22"/>
  <c r="O23" i="2"/>
  <c r="J15" i="21"/>
  <c r="Q27" i="2"/>
  <c r="O27" i="2"/>
  <c r="J29" i="21"/>
  <c r="E29" i="22"/>
  <c r="O34" i="2"/>
  <c r="Q34" i="2"/>
  <c r="E26" i="22"/>
  <c r="Q26" i="2"/>
  <c r="O26" i="2"/>
  <c r="O18" i="2"/>
  <c r="Q18" i="2"/>
  <c r="O19" i="2"/>
  <c r="Q19" i="2"/>
  <c r="O35" i="2"/>
  <c r="Q35" i="2"/>
  <c r="J12" i="21"/>
  <c r="E12" i="22"/>
  <c r="J13" i="21"/>
  <c r="E15" i="22"/>
  <c r="O20" i="2"/>
  <c r="J26" i="21"/>
  <c r="Q37" i="2"/>
  <c r="O37" i="2"/>
  <c r="I27" i="22"/>
  <c r="I19" i="22"/>
  <c r="I11" i="22"/>
  <c r="I29" i="22"/>
  <c r="I17" i="22"/>
  <c r="V38" i="2"/>
  <c r="I4" i="22"/>
  <c r="I5" i="22"/>
  <c r="I6" i="22"/>
  <c r="I8" i="22"/>
  <c r="G26" i="4"/>
  <c r="E26" i="4"/>
  <c r="C26" i="4"/>
  <c r="I4" i="4"/>
  <c r="L4" i="4"/>
  <c r="N4" i="4" s="1"/>
  <c r="G25" i="4"/>
  <c r="E25" i="4"/>
  <c r="C25" i="4"/>
  <c r="G24" i="4"/>
  <c r="E24" i="4"/>
  <c r="C24" i="4"/>
  <c r="G28" i="22" l="1"/>
  <c r="G14" i="22"/>
  <c r="M14" i="22" s="1"/>
  <c r="G12" i="22"/>
  <c r="X32" i="2"/>
  <c r="G26" i="22"/>
  <c r="M26" i="22" s="1"/>
  <c r="X34" i="2"/>
  <c r="E23" i="22"/>
  <c r="E28" i="22"/>
  <c r="J8" i="21"/>
  <c r="E25" i="22"/>
  <c r="J25" i="21"/>
  <c r="E11" i="22"/>
  <c r="J11" i="21"/>
  <c r="J24" i="21"/>
  <c r="E24" i="22"/>
  <c r="J10" i="21"/>
  <c r="E10" i="22"/>
  <c r="E27" i="22"/>
  <c r="J27" i="21"/>
  <c r="J18" i="21"/>
  <c r="E18" i="22"/>
  <c r="E19" i="22"/>
  <c r="J19" i="21"/>
  <c r="M21" i="22"/>
  <c r="M20" i="22"/>
  <c r="M25" i="22"/>
  <c r="M16" i="22"/>
  <c r="M29" i="22"/>
  <c r="M22" i="22"/>
  <c r="M13" i="22"/>
  <c r="M15" i="22"/>
  <c r="M8" i="22"/>
  <c r="M17" i="22"/>
  <c r="M3" i="22"/>
  <c r="M9" i="22"/>
  <c r="M12" i="22"/>
  <c r="E7" i="22"/>
  <c r="O15" i="2"/>
  <c r="Q15" i="2"/>
  <c r="O14" i="2"/>
  <c r="Q14" i="2"/>
  <c r="E6" i="22"/>
  <c r="O13" i="2"/>
  <c r="Q13" i="2"/>
  <c r="E5" i="22"/>
  <c r="E4" i="22"/>
  <c r="Q12" i="2"/>
  <c r="L39" i="2"/>
  <c r="I42" i="2" s="1"/>
  <c r="L42" i="2" s="1"/>
  <c r="N42" i="2" s="1"/>
  <c r="N45" i="2" s="1"/>
  <c r="O12" i="2"/>
  <c r="F39" i="2"/>
  <c r="I46" i="2" s="1"/>
  <c r="L46" i="2" s="1"/>
  <c r="N46" i="2" s="1"/>
  <c r="O4" i="4"/>
  <c r="N43" i="4"/>
  <c r="M28" i="22" l="1"/>
  <c r="M27" i="22"/>
  <c r="M18" i="22"/>
  <c r="M23" i="22"/>
  <c r="X39" i="2"/>
  <c r="M24" i="22"/>
  <c r="M19" i="22"/>
  <c r="M11" i="22"/>
  <c r="M10" i="22"/>
  <c r="O39" i="2"/>
  <c r="Q39" i="2"/>
  <c r="H39" i="2"/>
  <c r="J4" i="21"/>
  <c r="M4" i="22"/>
  <c r="J5" i="21"/>
  <c r="M5" i="22"/>
  <c r="M6" i="22"/>
  <c r="J6" i="21"/>
  <c r="M7" i="22"/>
  <c r="J7" i="21"/>
  <c r="O43" i="4"/>
  <c r="P43" i="4" s="1"/>
  <c r="K47" i="4"/>
  <c r="V10" i="2"/>
  <c r="G2" i="22" l="1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<sst xmlns="http://schemas.openxmlformats.org/spreadsheetml/2006/main" count="474" uniqueCount="186">
  <si>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</si>
  <si>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</si>
  <si>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</si>
  <si>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</si>
  <si>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</si>
  <si>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</si>
  <si>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</si>
  <si>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</si>
  <si>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</si>
  <si>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</si>
  <si>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</si>
  <si>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</si>
  <si>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</si>
  <si>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</si>
  <si>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</si>
  <si>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</si>
  <si>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</si>
  <si>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</si>
  <si>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</si>
  <si>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</si>
  <si>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</si>
  <si>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</si>
  <si>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</si>
  <si>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</si>
  <si>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</si>
  <si>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</si>
  <si>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</si>
  <si>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</si>
  <si>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</si>
  <si>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</si>
  <si>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</si>
  <si>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</si>
  <si>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</si>
  <si>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</si>
  <si>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</si>
  <si>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</si>
  <si>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</si>
  <si>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</si>
  <si>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</si>
  <si>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</si>
  <si>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</si>
  <si>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</si>
  <si>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</si>
  <si>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</si>
  <si>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</si>
  <si>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</si>
  <si>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</si>
  <si>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</si>
  <si>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</si>
  <si>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</si>
  <si>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</si>
  <si>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</si>
  <si>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</si>
  <si>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</si>
  <si>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</si>
  <si>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</si>
  <si>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</si>
  <si>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</si>
  <si>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</si>
  <si>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</si>
  <si>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</si>
  <si>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</si>
  <si>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</si>
  <si>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</si>
  <si>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</si>
  <si>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</si>
  <si>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</si>
  <si>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</si>
  <si>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</si>
  <si>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</si>
  <si>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</si>
  <si>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</si>
  <si>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</si>
  <si>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</si>
  <si>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</si>
  <si>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</si>
  <si>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</si>
  <si>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</si>
  <si>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</si>
  <si>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</si>
  <si>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</si>
  <si>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</si>
  <si>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</si>
  <si>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</si>
  <si>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</si>
  <si>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</si>
  <si>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</si>
  <si>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</si>
  <si>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</si>
  <si>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</si>
  <si>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</si>
  <si>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</si>
  <si>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</si>
  <si>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</si>
  <si>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</si>
  <si>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</si>
  <si>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</si>
  <si>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</si>
  <si>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</si>
  <si>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</si>
  <si>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</si>
  <si>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</si>
  <si>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</si>
  <si>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</si>
  <si>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</si>
  <si>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</si>
  <si>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</si>
  <si>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</si>
  <si>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</si>
  <si>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</si>
  <si>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</si>
  <si>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</si>
  <si>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</si>
  <si>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</si>
  <si>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</si>
  <si>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</si>
  <si>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</si>
  <si>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</si>
  <si>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</si>
  <si>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</si>
  <si>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</si>
  <si>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</si>
  <si>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</si>
  <si>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</si>
  <si>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</si>
  <si>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</si>
  <si>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</si>
  <si>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</si>
  <si>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</si>
  <si>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</si>
  <si>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</si>
  <si>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27/2/2021</t>
  </si>
  <si>
    <t>28/2/2021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</si>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</sst>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EAU-ELEC'!$E$9:$E$37</c:f>
              <c:numCache>
                <c:formatCode>General</c:formatCode>
                <c:ptCount val="29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1">
                  <c:v>68.399999999994179</c:v>
                </c:pt>
                <c:pt idx="12">
                  <c:v>85.5</c:v>
                </c:pt>
                <c:pt idx="13">
                  <c:v>102.40000000000873</c:v>
                </c:pt>
                <c:pt idx="14">
                  <c:v>69.299999999988358</c:v>
                </c:pt>
                <c:pt idx="15">
                  <c:v>87.200000000011642</c:v>
                </c:pt>
                <c:pt idx="16">
                  <c:v>41.19999999999709</c:v>
                </c:pt>
                <c:pt idx="17">
                  <c:v>100.59999999999127</c:v>
                </c:pt>
                <c:pt idx="18">
                  <c:v>116.40000000000873</c:v>
                </c:pt>
                <c:pt idx="19">
                  <c:v>105</c:v>
                </c:pt>
                <c:pt idx="20">
                  <c:v>91.899999999994179</c:v>
                </c:pt>
                <c:pt idx="21">
                  <c:v>86.100000000005821</c:v>
                </c:pt>
                <c:pt idx="22">
                  <c:v>68.099999999991269</c:v>
                </c:pt>
                <c:pt idx="23">
                  <c:v>53.30000000000291</c:v>
                </c:pt>
                <c:pt idx="24">
                  <c:v>66.100000000005821</c:v>
                </c:pt>
                <c:pt idx="25">
                  <c:v>80.19999999999709</c:v>
                </c:pt>
                <c:pt idx="26">
                  <c:v>83</c:v>
                </c:pt>
                <c:pt idx="27">
                  <c:v>76</c:v>
                </c:pt>
                <c:pt idx="28">
                  <c:v>77.69999999999709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1">
                  <c:v>2618</c:v>
                </c:pt>
                <c:pt idx="12">
                  <c:v>2443</c:v>
                </c:pt>
                <c:pt idx="13">
                  <c:v>2543</c:v>
                </c:pt>
                <c:pt idx="14">
                  <c:v>2258</c:v>
                </c:pt>
                <c:pt idx="15">
                  <c:v>2497</c:v>
                </c:pt>
                <c:pt idx="16">
                  <c:v>2209</c:v>
                </c:pt>
                <c:pt idx="17">
                  <c:v>2573</c:v>
                </c:pt>
                <c:pt idx="18">
                  <c:v>2602</c:v>
                </c:pt>
                <c:pt idx="19">
                  <c:v>2750</c:v>
                </c:pt>
                <c:pt idx="20">
                  <c:v>2194</c:v>
                </c:pt>
                <c:pt idx="21">
                  <c:v>2325</c:v>
                </c:pt>
                <c:pt idx="22">
                  <c:v>2371</c:v>
                </c:pt>
                <c:pt idx="23">
                  <c:v>2508</c:v>
                </c:pt>
                <c:pt idx="24">
                  <c:v>2371</c:v>
                </c:pt>
                <c:pt idx="25">
                  <c:v>2488</c:v>
                </c:pt>
                <c:pt idx="26">
                  <c:v>2321</c:v>
                </c:pt>
                <c:pt idx="27">
                  <c:v>2740</c:v>
                </c:pt>
                <c:pt idx="28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1">
                  <c:v>3760</c:v>
                </c:pt>
                <c:pt idx="12">
                  <c:v>3578</c:v>
                </c:pt>
                <c:pt idx="13">
                  <c:v>3614</c:v>
                </c:pt>
                <c:pt idx="14">
                  <c:v>3720</c:v>
                </c:pt>
                <c:pt idx="15">
                  <c:v>4039</c:v>
                </c:pt>
                <c:pt idx="16">
                  <c:v>3944</c:v>
                </c:pt>
                <c:pt idx="17">
                  <c:v>4347</c:v>
                </c:pt>
                <c:pt idx="18">
                  <c:v>4256</c:v>
                </c:pt>
                <c:pt idx="19">
                  <c:v>4498</c:v>
                </c:pt>
                <c:pt idx="20">
                  <c:v>3582</c:v>
                </c:pt>
                <c:pt idx="21">
                  <c:v>3439</c:v>
                </c:pt>
                <c:pt idx="22">
                  <c:v>3950</c:v>
                </c:pt>
                <c:pt idx="23">
                  <c:v>3703</c:v>
                </c:pt>
                <c:pt idx="24">
                  <c:v>3808</c:v>
                </c:pt>
                <c:pt idx="25">
                  <c:v>3661</c:v>
                </c:pt>
                <c:pt idx="26">
                  <c:v>3587</c:v>
                </c:pt>
                <c:pt idx="27">
                  <c:v>3922</c:v>
                </c:pt>
                <c:pt idx="28">
                  <c:v>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1">
                  <c:v>1581</c:v>
                </c:pt>
                <c:pt idx="12">
                  <c:v>1694</c:v>
                </c:pt>
                <c:pt idx="13">
                  <c:v>1850</c:v>
                </c:pt>
                <c:pt idx="14">
                  <c:v>1836</c:v>
                </c:pt>
                <c:pt idx="15">
                  <c:v>1913</c:v>
                </c:pt>
                <c:pt idx="16">
                  <c:v>1874</c:v>
                </c:pt>
                <c:pt idx="17">
                  <c:v>1990</c:v>
                </c:pt>
                <c:pt idx="18">
                  <c:v>2053</c:v>
                </c:pt>
                <c:pt idx="19">
                  <c:v>1967</c:v>
                </c:pt>
                <c:pt idx="20">
                  <c:v>1739</c:v>
                </c:pt>
                <c:pt idx="21">
                  <c:v>1525</c:v>
                </c:pt>
                <c:pt idx="22">
                  <c:v>1822</c:v>
                </c:pt>
                <c:pt idx="23">
                  <c:v>1894</c:v>
                </c:pt>
                <c:pt idx="24">
                  <c:v>1830</c:v>
                </c:pt>
                <c:pt idx="25">
                  <c:v>1670</c:v>
                </c:pt>
                <c:pt idx="26">
                  <c:v>1552</c:v>
                </c:pt>
                <c:pt idx="27">
                  <c:v>2030</c:v>
                </c:pt>
                <c:pt idx="28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383.99052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255.99368000000001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767.98104000000001</c:v>
                </c:pt>
                <c:pt idx="14">
                  <c:v>703.98262</c:v>
                </c:pt>
                <c:pt idx="15">
                  <c:v>383.99052</c:v>
                </c:pt>
                <c:pt idx="16">
                  <c:v>447.98894000000001</c:v>
                </c:pt>
                <c:pt idx="17">
                  <c:v>543.98657000000003</c:v>
                </c:pt>
                <c:pt idx="18">
                  <c:v>575.98577999999998</c:v>
                </c:pt>
                <c:pt idx="19">
                  <c:v>287.99288999999999</c:v>
                </c:pt>
                <c:pt idx="20">
                  <c:v>255.99368000000001</c:v>
                </c:pt>
                <c:pt idx="21">
                  <c:v>927.97709000000009</c:v>
                </c:pt>
                <c:pt idx="22">
                  <c:v>575.98577999999998</c:v>
                </c:pt>
                <c:pt idx="23">
                  <c:v>575.98577999999998</c:v>
                </c:pt>
                <c:pt idx="24">
                  <c:v>127.99684000000001</c:v>
                </c:pt>
                <c:pt idx="25">
                  <c:v>511.98736000000002</c:v>
                </c:pt>
                <c:pt idx="26">
                  <c:v>447.98894000000001</c:v>
                </c:pt>
                <c:pt idx="27">
                  <c:v>511.98736000000002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43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tabSelected="1" workbookViewId="0">
      <selection activeCell="Q34" sqref="Q34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2</v>
      </c>
      <c r="D2" s="141">
        <v>2021</v>
      </c>
      <c r="E2" s="137">
        <f>submetering!E2+submetering!F2+submetering!G2</f>
        <v>7440</v>
      </c>
      <c r="F2" s="134">
        <v>1.05</v>
      </c>
      <c r="G2" s="134">
        <f>'Consommation mensuel énergie'!V10</f>
        <v>351.99131</v>
      </c>
      <c r="H2" s="134">
        <v>9.91</v>
      </c>
      <c r="I2" s="134">
        <f>'Consommation mensuel énergie'!F10</f>
        <v>103.79999999998836</v>
      </c>
      <c r="J2" s="134">
        <v>11.4</v>
      </c>
      <c r="K2" s="137">
        <f>'Consommation mensuel énergie'!D10</f>
        <v>23</v>
      </c>
      <c r="L2" s="137">
        <f>'Consommation mensuel énergie'!E10</f>
        <v>35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2</v>
      </c>
      <c r="D3" s="141">
        <v>2021</v>
      </c>
      <c r="E3" s="137">
        <f>submetering!E3+submetering!F3+submetering!G3</f>
        <v>7939</v>
      </c>
      <c r="F3" s="134">
        <v>1.05</v>
      </c>
      <c r="G3" s="134">
        <f>'Consommation mensuel énergie'!V11</f>
        <v>415.98973000000001</v>
      </c>
      <c r="H3" s="134">
        <v>9.91</v>
      </c>
      <c r="I3" s="134">
        <f>'Consommation mensuel énergie'!F11</f>
        <v>130.30000000000291</v>
      </c>
      <c r="J3" s="134">
        <v>11.4</v>
      </c>
      <c r="K3" s="137">
        <f>'Consommation mensuel énergie'!D11</f>
        <v>25</v>
      </c>
      <c r="L3" s="137">
        <f>'Consommation mensuel énergie'!E11</f>
        <v>33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9" si="0">B3+1</f>
        <v>3</v>
      </c>
      <c r="C4" s="140">
        <v>2</v>
      </c>
      <c r="D4" s="141">
        <v>2021</v>
      </c>
      <c r="E4" s="137">
        <f>submetering!E4+submetering!F4+submetering!G4</f>
        <v>8045</v>
      </c>
      <c r="F4" s="134">
        <v>1.05</v>
      </c>
      <c r="G4" s="134">
        <f>'Consommation mensuel énergie'!V12</f>
        <v>383.99052</v>
      </c>
      <c r="H4" s="134">
        <v>9.91</v>
      </c>
      <c r="I4" s="134">
        <f>'Consommation mensuel énergie'!F12</f>
        <v>55.100000000005821</v>
      </c>
      <c r="J4" s="134">
        <v>11.4</v>
      </c>
      <c r="K4" s="137">
        <f>'Consommation mensuel énergie'!D12</f>
        <v>36</v>
      </c>
      <c r="L4" s="137">
        <f>'Consommation mensuel énergie'!E12</f>
        <v>48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2</v>
      </c>
      <c r="D5" s="141">
        <v>2021</v>
      </c>
      <c r="E5" s="137">
        <f>submetering!E5+submetering!F5+submetering!G5</f>
        <v>7987</v>
      </c>
      <c r="F5" s="134">
        <v>1.05</v>
      </c>
      <c r="G5" s="134">
        <f>'Consommation mensuel énergie'!V13</f>
        <v>383.99052</v>
      </c>
      <c r="H5" s="134">
        <v>9.91</v>
      </c>
      <c r="I5" s="134">
        <f>'Consommation mensuel énergie'!F13</f>
        <v>50.30000000000291</v>
      </c>
      <c r="J5" s="134">
        <v>11.4</v>
      </c>
      <c r="K5" s="137">
        <f>'Consommation mensuel énergie'!D13</f>
        <v>34</v>
      </c>
      <c r="L5" s="137">
        <f>'Consommation mensuel énergie'!E13</f>
        <v>50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2</v>
      </c>
      <c r="D6" s="141">
        <v>2021</v>
      </c>
      <c r="E6" s="137">
        <f>submetering!E6+submetering!F6+submetering!G6</f>
        <v>8998</v>
      </c>
      <c r="F6" s="134">
        <v>1.05</v>
      </c>
      <c r="G6" s="134">
        <f>'Consommation mensuel énergie'!V14</f>
        <v>351.99131</v>
      </c>
      <c r="H6" s="134">
        <v>9.91</v>
      </c>
      <c r="I6" s="134">
        <f>'Consommation mensuel énergie'!F14</f>
        <v>71.899999999994179</v>
      </c>
      <c r="J6" s="134">
        <v>11.4</v>
      </c>
      <c r="K6" s="137">
        <f>'Consommation mensuel énergie'!D14</f>
        <v>31</v>
      </c>
      <c r="L6" s="137">
        <f>'Consommation mensuel énergie'!E14</f>
        <v>43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2</v>
      </c>
      <c r="D7" s="141">
        <v>2021</v>
      </c>
      <c r="E7" s="137">
        <f>submetering!E7+submetering!F7+submetering!G7</f>
        <v>8513</v>
      </c>
      <c r="F7" s="134">
        <v>1.05</v>
      </c>
      <c r="G7" s="134">
        <f>'Consommation mensuel énergie'!V15</f>
        <v>479.98815000000002</v>
      </c>
      <c r="H7" s="134">
        <v>9.91</v>
      </c>
      <c r="I7" s="134">
        <f>'Consommation mensuel énergie'!F15</f>
        <v>73</v>
      </c>
      <c r="J7" s="134">
        <v>11.4</v>
      </c>
      <c r="K7" s="137">
        <f>'Consommation mensuel énergie'!D15</f>
        <v>47</v>
      </c>
      <c r="L7" s="137">
        <f>'Consommation mensuel énergie'!E15</f>
        <v>69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2</v>
      </c>
      <c r="D8" s="141">
        <v>2021</v>
      </c>
      <c r="E8" s="137">
        <f>submetering!E8+submetering!F8+submetering!G8</f>
        <v>7595</v>
      </c>
      <c r="F8" s="134">
        <v>1.05</v>
      </c>
      <c r="G8" s="134">
        <f>'Consommation mensuel énergie'!V16</f>
        <v>575.98577999999998</v>
      </c>
      <c r="H8" s="134">
        <v>9.91</v>
      </c>
      <c r="I8" s="134">
        <f>'Consommation mensuel énergie'!F16</f>
        <v>51</v>
      </c>
      <c r="J8" s="134">
        <v>11.4</v>
      </c>
      <c r="K8" s="137">
        <f>'Consommation mensuel énergie'!D16</f>
        <v>33</v>
      </c>
      <c r="L8" s="137">
        <f>'Consommation mensuel énergie'!E16</f>
        <v>48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2</v>
      </c>
      <c r="D9" s="141">
        <v>2021</v>
      </c>
      <c r="E9" s="137">
        <f>submetering!E9+submetering!F9+submetering!G9</f>
        <v>7364</v>
      </c>
      <c r="F9" s="134">
        <v>1.05</v>
      </c>
      <c r="G9" s="134">
        <f>'Consommation mensuel énergie'!V17</f>
        <v>223.99447000000001</v>
      </c>
      <c r="H9" s="134">
        <v>9.91</v>
      </c>
      <c r="I9" s="134">
        <f>'Consommation mensuel énergie'!F17</f>
        <v>68</v>
      </c>
      <c r="J9" s="134">
        <v>11.4</v>
      </c>
      <c r="K9" s="137">
        <f>'Consommation mensuel énergie'!D17</f>
        <v>32</v>
      </c>
      <c r="L9" s="137">
        <f>'Consommation mensuel énergie'!E17</f>
        <v>43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2</v>
      </c>
      <c r="D10" s="141">
        <v>2021</v>
      </c>
      <c r="E10" s="137">
        <f>submetering!E10+submetering!F10+submetering!G10</f>
        <v>6811</v>
      </c>
      <c r="F10" s="134">
        <v>1.05</v>
      </c>
      <c r="G10" s="134">
        <f>'Consommation mensuel énergie'!V18</f>
        <v>287.99288999999999</v>
      </c>
      <c r="H10" s="134">
        <v>9.91</v>
      </c>
      <c r="I10" s="134">
        <f>'Consommation mensuel énergie'!F18</f>
        <v>64.80000000000291</v>
      </c>
      <c r="J10" s="134">
        <v>11.4</v>
      </c>
      <c r="K10" s="137">
        <f>'Consommation mensuel énergie'!D18</f>
        <v>28</v>
      </c>
      <c r="L10" s="137">
        <f>'Consommation mensuel énergie'!E18</f>
        <v>36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2</v>
      </c>
      <c r="D11" s="141">
        <v>2021</v>
      </c>
      <c r="E11" s="137">
        <f>submetering!E11+submetering!F11+submetering!G11</f>
        <v>7873</v>
      </c>
      <c r="F11" s="134">
        <v>1.05</v>
      </c>
      <c r="G11" s="134">
        <f>'Consommation mensuel énergie'!V19</f>
        <v>191.99526</v>
      </c>
      <c r="H11" s="134">
        <v>9.91</v>
      </c>
      <c r="I11" s="134">
        <f>'Consommation mensuel énergie'!F19</f>
        <v>32</v>
      </c>
      <c r="J11" s="134">
        <v>11.4</v>
      </c>
      <c r="K11" s="137">
        <f>'Consommation mensuel énergie'!D19</f>
        <v>33</v>
      </c>
      <c r="L11" s="137">
        <f>'Consommation mensuel énergie'!E19</f>
        <v>44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2</v>
      </c>
      <c r="D12" s="141">
        <v>2021</v>
      </c>
      <c r="E12" s="137">
        <f>submetering!E12+submetering!F12+submetering!G12</f>
        <v>8194</v>
      </c>
      <c r="F12" s="134">
        <v>1.05</v>
      </c>
      <c r="G12" s="134">
        <f>'Consommation mensuel énergie'!V20</f>
        <v>255.99368000000001</v>
      </c>
      <c r="H12" s="134">
        <v>9.91</v>
      </c>
      <c r="I12" s="134">
        <f>'Consommation mensuel énergie'!F20</f>
        <v>60.5</v>
      </c>
      <c r="J12" s="134">
        <v>11.4</v>
      </c>
      <c r="K12" s="137">
        <f>'Consommation mensuel énergie'!D20</f>
        <v>37</v>
      </c>
      <c r="L12" s="137">
        <f>'Consommation mensuel énergie'!E20</f>
        <v>56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2</v>
      </c>
      <c r="D13" s="141">
        <v>2021</v>
      </c>
      <c r="E13" s="137">
        <f>submetering!E13+submetering!F13+submetering!G13</f>
        <v>7959</v>
      </c>
      <c r="F13" s="134">
        <v>1.05</v>
      </c>
      <c r="G13" s="134">
        <f>'Consommation mensuel énergie'!V21</f>
        <v>639.98419999999999</v>
      </c>
      <c r="H13" s="134">
        <v>9.91</v>
      </c>
      <c r="I13" s="134">
        <f>'Consommation mensuel énergie'!F21</f>
        <v>68.399999999994179</v>
      </c>
      <c r="J13" s="134">
        <v>11.4</v>
      </c>
      <c r="K13" s="137">
        <f>'Consommation mensuel énergie'!D21</f>
        <v>35</v>
      </c>
      <c r="L13" s="137">
        <f>'Consommation mensuel énergie'!E21</f>
        <v>53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2</v>
      </c>
      <c r="D14" s="141">
        <v>2021</v>
      </c>
      <c r="E14" s="137">
        <f>submetering!E14+submetering!F14+submetering!G14</f>
        <v>7715</v>
      </c>
      <c r="F14" s="134">
        <v>1.05</v>
      </c>
      <c r="G14" s="134">
        <f>'Consommation mensuel énergie'!V22</f>
        <v>447.98894000000001</v>
      </c>
      <c r="H14" s="134">
        <v>9.91</v>
      </c>
      <c r="I14" s="134">
        <f>'Consommation mensuel énergie'!F22</f>
        <v>85.5</v>
      </c>
      <c r="J14" s="134">
        <v>11.4</v>
      </c>
      <c r="K14" s="137">
        <f>'Consommation mensuel énergie'!D22</f>
        <v>52</v>
      </c>
      <c r="L14" s="137">
        <f>'Consommation mensuel énergie'!E22</f>
        <v>86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2</v>
      </c>
      <c r="D15" s="141">
        <v>2021</v>
      </c>
      <c r="E15" s="137">
        <f>submetering!E15+submetering!F15+submetering!G15</f>
        <v>8007</v>
      </c>
      <c r="F15" s="134">
        <v>1.05</v>
      </c>
      <c r="G15" s="134">
        <f>'Consommation mensuel énergie'!V23</f>
        <v>767.98104000000001</v>
      </c>
      <c r="H15" s="134">
        <v>9.91</v>
      </c>
      <c r="I15" s="134">
        <f>'Consommation mensuel énergie'!F23</f>
        <v>102.40000000000873</v>
      </c>
      <c r="J15" s="134">
        <v>11.4</v>
      </c>
      <c r="K15" s="137">
        <f>'Consommation mensuel énergie'!D23</f>
        <v>51</v>
      </c>
      <c r="L15" s="137">
        <f>'Consommation mensuel énergie'!E23</f>
        <v>78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2</v>
      </c>
      <c r="D16" s="141">
        <v>2021</v>
      </c>
      <c r="E16" s="137">
        <f>submetering!E16+submetering!F16+submetering!G16</f>
        <v>7814</v>
      </c>
      <c r="F16" s="134">
        <v>1.05</v>
      </c>
      <c r="G16" s="134">
        <f>'Consommation mensuel énergie'!V24</f>
        <v>703.98262</v>
      </c>
      <c r="H16" s="134">
        <v>9.91</v>
      </c>
      <c r="I16" s="134">
        <f>'Consommation mensuel énergie'!F24</f>
        <v>69.299999999988358</v>
      </c>
      <c r="J16" s="134">
        <v>11.4</v>
      </c>
      <c r="K16" s="137">
        <f>'Consommation mensuel énergie'!D24</f>
        <v>35</v>
      </c>
      <c r="L16" s="137">
        <f>'Consommation mensuel énergie'!E24</f>
        <v>50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2</v>
      </c>
      <c r="D17" s="141">
        <v>2021</v>
      </c>
      <c r="E17" s="137">
        <f>submetering!E17+submetering!F17+submetering!G17</f>
        <v>8449</v>
      </c>
      <c r="F17" s="134">
        <v>1.05</v>
      </c>
      <c r="G17" s="134">
        <f>'Consommation mensuel énergie'!V25</f>
        <v>383.99052</v>
      </c>
      <c r="H17" s="134">
        <v>9.91</v>
      </c>
      <c r="I17" s="134">
        <f>'Consommation mensuel énergie'!F25</f>
        <v>87.200000000011642</v>
      </c>
      <c r="J17" s="134">
        <v>11.4</v>
      </c>
      <c r="K17" s="137">
        <f>'Consommation mensuel énergie'!D25</f>
        <v>50</v>
      </c>
      <c r="L17" s="137">
        <f>'Consommation mensuel énergie'!E25</f>
        <v>67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2</v>
      </c>
      <c r="D18" s="141">
        <v>2021</v>
      </c>
      <c r="E18" s="137">
        <f>submetering!E18+submetering!F18+submetering!G18</f>
        <v>8027</v>
      </c>
      <c r="F18" s="134">
        <v>1.05</v>
      </c>
      <c r="G18" s="134">
        <f>'Consommation mensuel énergie'!V26</f>
        <v>447.98894000000001</v>
      </c>
      <c r="H18" s="134">
        <v>9.91</v>
      </c>
      <c r="I18" s="134">
        <f>'Consommation mensuel énergie'!F26</f>
        <v>41.19999999999709</v>
      </c>
      <c r="J18" s="134">
        <v>11.4</v>
      </c>
      <c r="K18" s="137">
        <f>'Consommation mensuel énergie'!D26</f>
        <v>51</v>
      </c>
      <c r="L18" s="137">
        <f>'Consommation mensuel énergie'!E26</f>
        <v>70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2</v>
      </c>
      <c r="D19" s="141">
        <v>2021</v>
      </c>
      <c r="E19" s="137">
        <f>submetering!E19+submetering!F19+submetering!G19</f>
        <v>8910</v>
      </c>
      <c r="F19" s="134">
        <v>1.05</v>
      </c>
      <c r="G19" s="134">
        <f>'Consommation mensuel énergie'!V27</f>
        <v>543.98657000000003</v>
      </c>
      <c r="H19" s="134">
        <v>9.91</v>
      </c>
      <c r="I19" s="134">
        <f>'Consommation mensuel énergie'!F27</f>
        <v>100.59999999999127</v>
      </c>
      <c r="J19" s="134">
        <v>11.4</v>
      </c>
      <c r="K19" s="137">
        <f>'Consommation mensuel énergie'!D27</f>
        <v>61</v>
      </c>
      <c r="L19" s="137">
        <f>'Consommation mensuel énergie'!E27</f>
        <v>82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2</v>
      </c>
      <c r="D20" s="141">
        <v>2021</v>
      </c>
      <c r="E20" s="137">
        <f>submetering!E20+submetering!F20+submetering!G20</f>
        <v>8911</v>
      </c>
      <c r="F20" s="134">
        <v>1.05</v>
      </c>
      <c r="G20" s="134">
        <f>'Consommation mensuel énergie'!V28</f>
        <v>575.98577999999998</v>
      </c>
      <c r="H20" s="134">
        <v>9.91</v>
      </c>
      <c r="I20" s="134">
        <f>'Consommation mensuel énergie'!F28</f>
        <v>116.40000000000873</v>
      </c>
      <c r="J20" s="134">
        <v>11.4</v>
      </c>
      <c r="K20" s="137">
        <f>'Consommation mensuel énergie'!D28</f>
        <v>49</v>
      </c>
      <c r="L20" s="137">
        <f>'Consommation mensuel énergie'!E28</f>
        <v>75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2</v>
      </c>
      <c r="D21" s="141">
        <v>2021</v>
      </c>
      <c r="E21" s="137">
        <f>submetering!E21+submetering!F21+submetering!G21</f>
        <v>9215</v>
      </c>
      <c r="F21" s="134">
        <v>1.05</v>
      </c>
      <c r="G21" s="134">
        <f>'Consommation mensuel énergie'!V29</f>
        <v>287.99288999999999</v>
      </c>
      <c r="H21" s="134">
        <v>9.91</v>
      </c>
      <c r="I21" s="134">
        <f>'Consommation mensuel énergie'!F29</f>
        <v>105</v>
      </c>
      <c r="J21" s="134">
        <v>11.4</v>
      </c>
      <c r="K21" s="137">
        <f>'Consommation mensuel énergie'!D29</f>
        <v>43</v>
      </c>
      <c r="L21" s="137">
        <f>'Consommation mensuel énergie'!E29</f>
        <v>76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2</v>
      </c>
      <c r="D22" s="141">
        <v>2021</v>
      </c>
      <c r="E22" s="137">
        <f>submetering!E22+submetering!F22+submetering!G22</f>
        <v>7515</v>
      </c>
      <c r="F22" s="134">
        <v>1.05</v>
      </c>
      <c r="G22" s="134">
        <f>'Consommation mensuel énergie'!V30</f>
        <v>255.99368000000001</v>
      </c>
      <c r="H22" s="134">
        <v>9.91</v>
      </c>
      <c r="I22" s="134">
        <f>'Consommation mensuel énergie'!F30</f>
        <v>91.899999999994179</v>
      </c>
      <c r="J22" s="134">
        <v>11.4</v>
      </c>
      <c r="K22" s="137">
        <f>'Consommation mensuel énergie'!D30</f>
        <v>40</v>
      </c>
      <c r="L22" s="137">
        <f>'Consommation mensuel énergie'!E30</f>
        <v>69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2</v>
      </c>
      <c r="D23" s="141">
        <v>2021</v>
      </c>
      <c r="E23" s="137">
        <f>submetering!E23+submetering!F23+submetering!G23</f>
        <v>7289</v>
      </c>
      <c r="F23" s="134">
        <v>1.05</v>
      </c>
      <c r="G23" s="134">
        <f>'Consommation mensuel énergie'!V31</f>
        <v>927.97709000000009</v>
      </c>
      <c r="H23" s="134">
        <v>9.91</v>
      </c>
      <c r="I23" s="134">
        <f>'Consommation mensuel énergie'!F31</f>
        <v>86.100000000005821</v>
      </c>
      <c r="J23" s="134">
        <v>11.4</v>
      </c>
      <c r="K23" s="137">
        <f>'Consommation mensuel énergie'!D31</f>
        <v>34</v>
      </c>
      <c r="L23" s="137">
        <f>'Consommation mensuel énergie'!E31</f>
        <v>52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2</v>
      </c>
      <c r="D24" s="141">
        <v>2021</v>
      </c>
      <c r="E24" s="137">
        <f>submetering!E24+submetering!F24+submetering!G24</f>
        <v>8143</v>
      </c>
      <c r="F24" s="134">
        <v>1.05</v>
      </c>
      <c r="G24" s="134">
        <f>'Consommation mensuel énergie'!V32</f>
        <v>575.98577999999998</v>
      </c>
      <c r="H24" s="134">
        <v>9.91</v>
      </c>
      <c r="I24" s="134">
        <f>'Consommation mensuel énergie'!F32</f>
        <v>68.099999999991269</v>
      </c>
      <c r="J24" s="134">
        <v>11.4</v>
      </c>
      <c r="K24" s="137">
        <f>'Consommation mensuel énergie'!D32</f>
        <v>36</v>
      </c>
      <c r="L24" s="137">
        <f>'Consommation mensuel énergie'!E32</f>
        <v>58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2</v>
      </c>
      <c r="D25" s="141">
        <v>2021</v>
      </c>
      <c r="E25" s="137">
        <f>submetering!E25+submetering!F25+submetering!G25</f>
        <v>8105</v>
      </c>
      <c r="F25" s="134">
        <v>1.05</v>
      </c>
      <c r="G25" s="134">
        <f>'Consommation mensuel énergie'!V33</f>
        <v>575.98577999999998</v>
      </c>
      <c r="H25" s="134">
        <v>9.91</v>
      </c>
      <c r="I25" s="134">
        <f>'Consommation mensuel énergie'!F33</f>
        <v>53.30000000000291</v>
      </c>
      <c r="J25" s="134">
        <v>11.4</v>
      </c>
      <c r="K25" s="137">
        <f>'Consommation mensuel énergie'!D33</f>
        <v>33</v>
      </c>
      <c r="L25" s="137">
        <f>'Consommation mensuel énergie'!E33</f>
        <v>54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2</v>
      </c>
      <c r="D26" s="141">
        <v>2021</v>
      </c>
      <c r="E26" s="137">
        <f>submetering!E26+submetering!F26+submetering!G26</f>
        <v>8009</v>
      </c>
      <c r="F26" s="134">
        <v>1.05</v>
      </c>
      <c r="G26" s="134">
        <f>'Consommation mensuel énergie'!V34</f>
        <v>127.99684000000001</v>
      </c>
      <c r="H26" s="134">
        <v>9.91</v>
      </c>
      <c r="I26" s="134">
        <f>'Consommation mensuel énergie'!F34</f>
        <v>66.100000000005821</v>
      </c>
      <c r="J26" s="134">
        <v>11.4</v>
      </c>
      <c r="K26" s="137">
        <f>'Consommation mensuel énergie'!D34</f>
        <v>42</v>
      </c>
      <c r="L26" s="137">
        <f>'Consommation mensuel énergie'!E34</f>
        <v>67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si="0"/>
        <v>26</v>
      </c>
      <c r="C27" s="140">
        <v>2</v>
      </c>
      <c r="D27" s="141">
        <v>2021</v>
      </c>
      <c r="E27" s="137">
        <f>submetering!E27+submetering!F27+submetering!G27</f>
        <v>7819</v>
      </c>
      <c r="F27" s="134">
        <v>1.05</v>
      </c>
      <c r="G27" s="134">
        <f>'Consommation mensuel énergie'!V35</f>
        <v>511.98736000000002</v>
      </c>
      <c r="H27" s="134">
        <v>9.91</v>
      </c>
      <c r="I27" s="134">
        <f>'Consommation mensuel énergie'!F35</f>
        <v>80.19999999999709</v>
      </c>
      <c r="J27" s="134">
        <v>11.4</v>
      </c>
      <c r="K27" s="137">
        <f>'Consommation mensuel énergie'!D35</f>
        <v>39</v>
      </c>
      <c r="L27" s="137">
        <f>'Consommation mensuel énergie'!E35</f>
        <v>61</v>
      </c>
      <c r="M27" s="133" t="e">
        <f>E27*F27+G27*H27+#REF!*#REF!+I27*J27</f>
        <v>#REF!</v>
      </c>
    </row>
    <row r="28" spans="1:13" x14ac:dyDescent="0.2">
      <c r="A28" s="136" t="s">
        <v>13</v>
      </c>
      <c r="B28" s="140">
        <f t="shared" si="0"/>
        <v>27</v>
      </c>
      <c r="C28" s="140">
        <v>2</v>
      </c>
      <c r="D28" s="141">
        <v>2021</v>
      </c>
      <c r="E28" s="137">
        <f>submetering!E28+submetering!F28+submetering!G28</f>
        <v>7460</v>
      </c>
      <c r="F28" s="134">
        <v>1.05</v>
      </c>
      <c r="G28" s="134">
        <f>'Consommation mensuel énergie'!V36</f>
        <v>447.98894000000001</v>
      </c>
      <c r="H28" s="134">
        <v>9.91</v>
      </c>
      <c r="I28" s="134">
        <f>'Consommation mensuel énergie'!F36</f>
        <v>83</v>
      </c>
      <c r="J28" s="134">
        <v>11.4</v>
      </c>
      <c r="K28" s="137">
        <f>'Consommation mensuel énergie'!D36</f>
        <v>61</v>
      </c>
      <c r="L28" s="137">
        <f>'Consommation mensuel énergie'!E36</f>
        <v>96</v>
      </c>
      <c r="M28" s="133" t="e">
        <f>E28*F28+G28*H28+#REF!*#REF!+I28*J28</f>
        <v>#REF!</v>
      </c>
    </row>
    <row r="29" spans="1:13" x14ac:dyDescent="0.2">
      <c r="A29" s="136" t="s">
        <v>13</v>
      </c>
      <c r="B29" s="140">
        <f t="shared" si="0"/>
        <v>28</v>
      </c>
      <c r="C29" s="140">
        <v>2</v>
      </c>
      <c r="D29" s="141">
        <v>2021</v>
      </c>
      <c r="E29" s="137">
        <f>submetering!E29+submetering!F29+submetering!G29</f>
        <v>8692</v>
      </c>
      <c r="F29" s="134">
        <v>1.05</v>
      </c>
      <c r="G29" s="134">
        <f>'Consommation mensuel énergie'!V37</f>
        <v>511.98736000000002</v>
      </c>
      <c r="H29" s="134">
        <v>9.91</v>
      </c>
      <c r="I29" s="134">
        <f>'Consommation mensuel énergie'!F37</f>
        <v>76</v>
      </c>
      <c r="J29" s="134">
        <v>11.4</v>
      </c>
      <c r="K29" s="137">
        <f>'Consommation mensuel énergie'!D37</f>
        <v>67</v>
      </c>
      <c r="L29" s="137">
        <f>'Consommation mensuel énergie'!E37</f>
        <v>89</v>
      </c>
      <c r="M29" s="133" t="e">
        <f>E29*F29+G29*H29+#REF!*#REF!+I29*J29</f>
        <v>#REF!</v>
      </c>
    </row>
    <row r="30" spans="1:13" x14ac:dyDescent="0.2">
      <c r="A30" s="136"/>
      <c r="F30" s="134"/>
      <c r="G30" s="134"/>
      <c r="H30" s="134"/>
      <c r="I30" s="134"/>
      <c r="J30" s="134"/>
      <c r="M30" s="133"/>
    </row>
    <row r="31" spans="1:13" x14ac:dyDescent="0.2">
      <c r="A31" s="136"/>
      <c r="F31" s="134"/>
      <c r="G31" s="134"/>
      <c r="H31" s="134"/>
      <c r="I31" s="134"/>
      <c r="J31" s="134"/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  <row r="39" spans="6:10" x14ac:dyDescent="0.2">
      <c r="F39" s="134"/>
      <c r="G39" s="134"/>
      <c r="H39" s="134"/>
      <c r="I39" s="134"/>
      <c r="J39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G2" sqref="G2:G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2</v>
      </c>
      <c r="D2" s="141">
        <v>2021</v>
      </c>
      <c r="E2" s="137">
        <f>'Consommation mensuel énergie'!L10</f>
        <v>2393</v>
      </c>
      <c r="F2" s="137">
        <f>'Consommation mensuel énergie'!M10</f>
        <v>3449</v>
      </c>
      <c r="G2" s="137">
        <f>'Consommation mensuel énergie'!N10</f>
        <v>1598</v>
      </c>
      <c r="H2" s="137">
        <f>'Consommation mensuel énergie'!D10</f>
        <v>23</v>
      </c>
      <c r="I2" s="137">
        <f>'Consommation mensuel énergie'!E10</f>
        <v>35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2</v>
      </c>
      <c r="D3" s="141">
        <v>2021</v>
      </c>
      <c r="E3" s="137">
        <f>'Consommation mensuel énergie'!L11</f>
        <v>2368</v>
      </c>
      <c r="F3" s="137">
        <f>'Consommation mensuel énergie'!M11</f>
        <v>3683</v>
      </c>
      <c r="G3" s="137">
        <f>'Consommation mensuel énergie'!N11</f>
        <v>1888</v>
      </c>
      <c r="H3" s="137">
        <f>'Consommation mensuel énergie'!D11</f>
        <v>25</v>
      </c>
      <c r="I3" s="137">
        <f>'Consommation mensuel énergie'!E11</f>
        <v>33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9" si="0">B3+1</f>
        <v>3</v>
      </c>
      <c r="C4" s="140">
        <v>2</v>
      </c>
      <c r="D4" s="141">
        <v>2021</v>
      </c>
      <c r="E4" s="137">
        <f>'Consommation mensuel énergie'!L12</f>
        <v>2492</v>
      </c>
      <c r="F4" s="137">
        <f>'Consommation mensuel énergie'!M12</f>
        <v>3829</v>
      </c>
      <c r="G4" s="137">
        <f>'Consommation mensuel énergie'!N12</f>
        <v>1724</v>
      </c>
      <c r="H4" s="137">
        <f>'Consommation mensuel énergie'!D12</f>
        <v>36</v>
      </c>
      <c r="I4" s="137">
        <f>'Consommation mensuel énergie'!E12</f>
        <v>48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2</v>
      </c>
      <c r="D5" s="141">
        <v>2021</v>
      </c>
      <c r="E5" s="137">
        <f>'Consommation mensuel énergie'!L13</f>
        <v>2572</v>
      </c>
      <c r="F5" s="137">
        <f>'Consommation mensuel énergie'!M13</f>
        <v>3638</v>
      </c>
      <c r="G5" s="137">
        <f>'Consommation mensuel énergie'!N13</f>
        <v>1777</v>
      </c>
      <c r="H5" s="137">
        <f>'Consommation mensuel énergie'!D13</f>
        <v>34</v>
      </c>
      <c r="I5" s="137">
        <f>'Consommation mensuel énergie'!E13</f>
        <v>50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2</v>
      </c>
      <c r="D6" s="141">
        <v>2021</v>
      </c>
      <c r="E6" s="137">
        <f>'Consommation mensuel énergie'!L14</f>
        <v>2887</v>
      </c>
      <c r="F6" s="137">
        <f>'Consommation mensuel énergie'!M14</f>
        <v>4091</v>
      </c>
      <c r="G6" s="137">
        <f>'Consommation mensuel énergie'!N14</f>
        <v>2020</v>
      </c>
      <c r="H6" s="137">
        <f>'Consommation mensuel énergie'!D14</f>
        <v>31</v>
      </c>
      <c r="I6" s="137">
        <f>'Consommation mensuel énergie'!E14</f>
        <v>43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2</v>
      </c>
      <c r="D7" s="141">
        <v>2021</v>
      </c>
      <c r="E7" s="137">
        <f>'Consommation mensuel énergie'!L15</f>
        <v>2378</v>
      </c>
      <c r="F7" s="137">
        <f>'Consommation mensuel énergie'!M15</f>
        <v>4238</v>
      </c>
      <c r="G7" s="137">
        <f>'Consommation mensuel énergie'!N15</f>
        <v>1897</v>
      </c>
      <c r="H7" s="137">
        <f>'Consommation mensuel énergie'!D15</f>
        <v>47</v>
      </c>
      <c r="I7" s="137">
        <f>'Consommation mensuel énergie'!E15</f>
        <v>69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2</v>
      </c>
      <c r="D8" s="141">
        <v>2021</v>
      </c>
      <c r="E8" s="137">
        <f>'Consommation mensuel énergie'!L16</f>
        <v>2347</v>
      </c>
      <c r="F8" s="137">
        <f>'Consommation mensuel énergie'!M16</f>
        <v>3568</v>
      </c>
      <c r="G8" s="137">
        <f>'Consommation mensuel énergie'!N16</f>
        <v>1680</v>
      </c>
      <c r="H8" s="137">
        <f>'Consommation mensuel énergie'!D16</f>
        <v>33</v>
      </c>
      <c r="I8" s="137">
        <f>'Consommation mensuel énergie'!E16</f>
        <v>48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2</v>
      </c>
      <c r="D9" s="141">
        <v>2021</v>
      </c>
      <c r="E9" s="137">
        <f>'Consommation mensuel énergie'!L17</f>
        <v>2315</v>
      </c>
      <c r="F9" s="137">
        <f>'Consommation mensuel énergie'!M17</f>
        <v>3538</v>
      </c>
      <c r="G9" s="137">
        <f>'Consommation mensuel énergie'!N17</f>
        <v>1511</v>
      </c>
      <c r="H9" s="137">
        <f>'Consommation mensuel énergie'!D17</f>
        <v>32</v>
      </c>
      <c r="I9" s="137">
        <f>'Consommation mensuel énergie'!E17</f>
        <v>43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2</v>
      </c>
      <c r="D10" s="141">
        <v>2021</v>
      </c>
      <c r="E10" s="137">
        <f>'Consommation mensuel énergie'!L18</f>
        <v>1748</v>
      </c>
      <c r="F10" s="137">
        <f>'Consommation mensuel énergie'!M18</f>
        <v>3536</v>
      </c>
      <c r="G10" s="137">
        <f>'Consommation mensuel énergie'!N18</f>
        <v>1527</v>
      </c>
      <c r="H10" s="137">
        <f>'Consommation mensuel énergie'!D18</f>
        <v>28</v>
      </c>
      <c r="I10" s="137">
        <f>'Consommation mensuel énergie'!E18</f>
        <v>36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2</v>
      </c>
      <c r="D11" s="141">
        <v>2021</v>
      </c>
      <c r="E11" s="137">
        <f>'Consommation mensuel énergie'!L19</f>
        <v>2658</v>
      </c>
      <c r="F11" s="137">
        <f>'Consommation mensuel énergie'!M19</f>
        <v>3622</v>
      </c>
      <c r="G11" s="137">
        <f>'Consommation mensuel énergie'!N19</f>
        <v>1593</v>
      </c>
      <c r="H11" s="137">
        <f>'Consommation mensuel énergie'!D19</f>
        <v>33</v>
      </c>
      <c r="I11" s="137">
        <f>'Consommation mensuel énergie'!E19</f>
        <v>44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2</v>
      </c>
      <c r="D12" s="141">
        <v>2021</v>
      </c>
      <c r="E12" s="137">
        <f>'Consommation mensuel énergie'!L20</f>
        <v>2114</v>
      </c>
      <c r="F12" s="137">
        <f>'Consommation mensuel énergie'!M20</f>
        <v>4111</v>
      </c>
      <c r="G12" s="137">
        <f>'Consommation mensuel énergie'!N20</f>
        <v>1969</v>
      </c>
      <c r="H12" s="137">
        <f>'Consommation mensuel énergie'!D20</f>
        <v>37</v>
      </c>
      <c r="I12" s="137">
        <f>'Consommation mensuel énergie'!E20</f>
        <v>56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2</v>
      </c>
      <c r="D13" s="141">
        <v>2021</v>
      </c>
      <c r="E13" s="137">
        <f>'Consommation mensuel énergie'!L21</f>
        <v>2618</v>
      </c>
      <c r="F13" s="137">
        <f>'Consommation mensuel énergie'!M21</f>
        <v>3760</v>
      </c>
      <c r="G13" s="137">
        <f>'Consommation mensuel énergie'!N21</f>
        <v>1581</v>
      </c>
      <c r="H13" s="137">
        <f>'Consommation mensuel énergie'!D21</f>
        <v>35</v>
      </c>
      <c r="I13" s="137">
        <f>'Consommation mensuel énergie'!E21</f>
        <v>53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2</v>
      </c>
      <c r="D14" s="141">
        <v>2021</v>
      </c>
      <c r="E14" s="137">
        <f>'Consommation mensuel énergie'!L22</f>
        <v>2443</v>
      </c>
      <c r="F14" s="137">
        <f>'Consommation mensuel énergie'!M22</f>
        <v>3578</v>
      </c>
      <c r="G14" s="137">
        <f>'Consommation mensuel énergie'!N22</f>
        <v>1694</v>
      </c>
      <c r="H14" s="137">
        <f>'Consommation mensuel énergie'!D22</f>
        <v>52</v>
      </c>
      <c r="I14" s="137">
        <f>'Consommation mensuel énergie'!E22</f>
        <v>86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2</v>
      </c>
      <c r="D15" s="141">
        <v>2021</v>
      </c>
      <c r="E15" s="137">
        <f>'Consommation mensuel énergie'!L23</f>
        <v>2543</v>
      </c>
      <c r="F15" s="137">
        <f>'Consommation mensuel énergie'!M23</f>
        <v>3614</v>
      </c>
      <c r="G15" s="137">
        <f>'Consommation mensuel énergie'!N23</f>
        <v>1850</v>
      </c>
      <c r="H15" s="137">
        <f>'Consommation mensuel énergie'!D23</f>
        <v>51</v>
      </c>
      <c r="I15" s="137">
        <f>'Consommation mensuel énergie'!E23</f>
        <v>78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2</v>
      </c>
      <c r="D16" s="141">
        <v>2021</v>
      </c>
      <c r="E16" s="137">
        <f>'Consommation mensuel énergie'!L24</f>
        <v>2258</v>
      </c>
      <c r="F16" s="137">
        <f>'Consommation mensuel énergie'!M24</f>
        <v>3720</v>
      </c>
      <c r="G16" s="137">
        <f>'Consommation mensuel énergie'!N24</f>
        <v>1836</v>
      </c>
      <c r="H16" s="137">
        <f>'Consommation mensuel énergie'!D24</f>
        <v>35</v>
      </c>
      <c r="I16" s="137">
        <f>'Consommation mensuel énergie'!E24</f>
        <v>50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2</v>
      </c>
      <c r="D17" s="141">
        <v>2021</v>
      </c>
      <c r="E17" s="137">
        <f>'Consommation mensuel énergie'!L25</f>
        <v>2497</v>
      </c>
      <c r="F17" s="137">
        <f>'Consommation mensuel énergie'!M25</f>
        <v>4039</v>
      </c>
      <c r="G17" s="137">
        <f>'Consommation mensuel énergie'!N25</f>
        <v>1913</v>
      </c>
      <c r="H17" s="137">
        <f>'Consommation mensuel énergie'!D25</f>
        <v>50</v>
      </c>
      <c r="I17" s="137">
        <f>'Consommation mensuel énergie'!E25</f>
        <v>67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2</v>
      </c>
      <c r="D18" s="141">
        <v>2021</v>
      </c>
      <c r="E18" s="137">
        <f>'Consommation mensuel énergie'!L26</f>
        <v>2209</v>
      </c>
      <c r="F18" s="137">
        <f>'Consommation mensuel énergie'!M26</f>
        <v>3944</v>
      </c>
      <c r="G18" s="137">
        <f>'Consommation mensuel énergie'!N26</f>
        <v>1874</v>
      </c>
      <c r="H18" s="137">
        <f>'Consommation mensuel énergie'!D26</f>
        <v>51</v>
      </c>
      <c r="I18" s="137">
        <f>'Consommation mensuel énergie'!E26</f>
        <v>70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2</v>
      </c>
      <c r="D19" s="141">
        <v>2021</v>
      </c>
      <c r="E19" s="137">
        <f>'Consommation mensuel énergie'!L27</f>
        <v>2573</v>
      </c>
      <c r="F19" s="137">
        <f>'Consommation mensuel énergie'!M27</f>
        <v>4347</v>
      </c>
      <c r="G19" s="137">
        <f>'Consommation mensuel énergie'!N27</f>
        <v>1990</v>
      </c>
      <c r="H19" s="137">
        <f>'Consommation mensuel énergie'!D27</f>
        <v>61</v>
      </c>
      <c r="I19" s="137">
        <f>'Consommation mensuel énergie'!E27</f>
        <v>82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2</v>
      </c>
      <c r="D20" s="141">
        <v>2021</v>
      </c>
      <c r="E20" s="137">
        <f>'Consommation mensuel énergie'!L28</f>
        <v>2602</v>
      </c>
      <c r="F20" s="137">
        <f>'Consommation mensuel énergie'!M28</f>
        <v>4256</v>
      </c>
      <c r="G20" s="137">
        <f>'Consommation mensuel énergie'!N28</f>
        <v>2053</v>
      </c>
      <c r="H20" s="137">
        <f>'Consommation mensuel énergie'!D28</f>
        <v>49</v>
      </c>
      <c r="I20" s="137">
        <f>'Consommation mensuel énergie'!E28</f>
        <v>75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2</v>
      </c>
      <c r="D21" s="141">
        <v>2021</v>
      </c>
      <c r="E21" s="137">
        <f>'Consommation mensuel énergie'!L29</f>
        <v>2750</v>
      </c>
      <c r="F21" s="137">
        <f>'Consommation mensuel énergie'!M29</f>
        <v>4498</v>
      </c>
      <c r="G21" s="137">
        <f>'Consommation mensuel énergie'!N29</f>
        <v>1967</v>
      </c>
      <c r="H21" s="137">
        <f>'Consommation mensuel énergie'!D29</f>
        <v>43</v>
      </c>
      <c r="I21" s="137">
        <f>'Consommation mensuel énergie'!E29</f>
        <v>76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2</v>
      </c>
      <c r="D22" s="141">
        <v>2021</v>
      </c>
      <c r="E22" s="137">
        <f>'Consommation mensuel énergie'!L30</f>
        <v>2194</v>
      </c>
      <c r="F22" s="137">
        <f>'Consommation mensuel énergie'!M30</f>
        <v>3582</v>
      </c>
      <c r="G22" s="137">
        <f>'Consommation mensuel énergie'!N30</f>
        <v>1739</v>
      </c>
      <c r="H22" s="137">
        <f>'Consommation mensuel énergie'!D30</f>
        <v>40</v>
      </c>
      <c r="I22" s="137">
        <f>'Consommation mensuel énergie'!E30</f>
        <v>69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2</v>
      </c>
      <c r="D23" s="141">
        <v>2021</v>
      </c>
      <c r="E23" s="137">
        <f>'Consommation mensuel énergie'!L31</f>
        <v>2325</v>
      </c>
      <c r="F23" s="137">
        <f>'Consommation mensuel énergie'!M31</f>
        <v>3439</v>
      </c>
      <c r="G23" s="137">
        <f>'Consommation mensuel énergie'!N31</f>
        <v>1525</v>
      </c>
      <c r="H23" s="137">
        <f>'Consommation mensuel énergie'!D31</f>
        <v>34</v>
      </c>
      <c r="I23" s="137">
        <f>'Consommation mensuel énergie'!E31</f>
        <v>52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2</v>
      </c>
      <c r="D24" s="141">
        <v>2021</v>
      </c>
      <c r="E24" s="137">
        <f>'Consommation mensuel énergie'!L32</f>
        <v>2371</v>
      </c>
      <c r="F24" s="137">
        <f>'Consommation mensuel énergie'!M32</f>
        <v>3950</v>
      </c>
      <c r="G24" s="137">
        <f>'Consommation mensuel énergie'!N32</f>
        <v>1822</v>
      </c>
      <c r="H24" s="137">
        <f>'Consommation mensuel énergie'!D32</f>
        <v>36</v>
      </c>
      <c r="I24" s="137">
        <f>'Consommation mensuel énergie'!E32</f>
        <v>58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2</v>
      </c>
      <c r="D25" s="141">
        <v>2021</v>
      </c>
      <c r="E25" s="137">
        <f>'Consommation mensuel énergie'!L33</f>
        <v>2508</v>
      </c>
      <c r="F25" s="137">
        <f>'Consommation mensuel énergie'!M33</f>
        <v>3703</v>
      </c>
      <c r="G25" s="137">
        <f>'Consommation mensuel énergie'!N33</f>
        <v>1894</v>
      </c>
      <c r="H25" s="137">
        <f>'Consommation mensuel énergie'!D33</f>
        <v>33</v>
      </c>
      <c r="I25" s="137">
        <f>'Consommation mensuel énergie'!E33</f>
        <v>54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2</v>
      </c>
      <c r="D26" s="141">
        <v>2021</v>
      </c>
      <c r="E26" s="137">
        <f>'Consommation mensuel énergie'!L34</f>
        <v>2371</v>
      </c>
      <c r="F26" s="137">
        <f>'Consommation mensuel énergie'!M34</f>
        <v>3808</v>
      </c>
      <c r="G26" s="137">
        <f>'Consommation mensuel énergie'!N34</f>
        <v>1830</v>
      </c>
      <c r="H26" s="137">
        <f>'Consommation mensuel énergie'!D34</f>
        <v>42</v>
      </c>
      <c r="I26" s="137">
        <f>'Consommation mensuel énergie'!E34</f>
        <v>67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si="0"/>
        <v>26</v>
      </c>
      <c r="C27" s="140">
        <v>2</v>
      </c>
      <c r="D27" s="141">
        <v>2021</v>
      </c>
      <c r="E27" s="137">
        <f>'Consommation mensuel énergie'!L35</f>
        <v>2488</v>
      </c>
      <c r="F27" s="137">
        <f>'Consommation mensuel énergie'!M35</f>
        <v>3661</v>
      </c>
      <c r="G27" s="137">
        <f>'Consommation mensuel énergie'!N35</f>
        <v>1670</v>
      </c>
      <c r="H27" s="137">
        <f>'Consommation mensuel énergie'!D35</f>
        <v>39</v>
      </c>
      <c r="I27" s="137">
        <f>'Consommation mensuel énergie'!E35</f>
        <v>61</v>
      </c>
      <c r="J27" s="133" t="e">
        <f>E27*F27+G27*#REF!+#REF!*#REF!+#REF!*#REF!</f>
        <v>#REF!</v>
      </c>
    </row>
    <row r="28" spans="1:10" x14ac:dyDescent="0.2">
      <c r="A28" s="136" t="s">
        <v>13</v>
      </c>
      <c r="B28" s="140">
        <f t="shared" si="0"/>
        <v>27</v>
      </c>
      <c r="C28" s="140">
        <v>2</v>
      </c>
      <c r="D28" s="141">
        <v>2021</v>
      </c>
      <c r="E28" s="137">
        <f>'Consommation mensuel énergie'!L36</f>
        <v>2321</v>
      </c>
      <c r="F28" s="137">
        <f>'Consommation mensuel énergie'!M36</f>
        <v>3587</v>
      </c>
      <c r="G28" s="137">
        <f>'Consommation mensuel énergie'!N36</f>
        <v>1552</v>
      </c>
      <c r="H28" s="137">
        <f>'Consommation mensuel énergie'!D36</f>
        <v>61</v>
      </c>
      <c r="I28" s="137">
        <f>'Consommation mensuel énergie'!E36</f>
        <v>96</v>
      </c>
      <c r="J28" s="133" t="e">
        <f>E28*F28+G28*#REF!+#REF!*#REF!+#REF!*#REF!</f>
        <v>#REF!</v>
      </c>
    </row>
    <row r="29" spans="1:10" x14ac:dyDescent="0.2">
      <c r="A29" s="136" t="s">
        <v>13</v>
      </c>
      <c r="B29" s="140">
        <f t="shared" si="0"/>
        <v>28</v>
      </c>
      <c r="C29" s="140">
        <v>2</v>
      </c>
      <c r="D29" s="141">
        <v>2021</v>
      </c>
      <c r="E29" s="137">
        <f>'Consommation mensuel énergie'!L37</f>
        <v>2740</v>
      </c>
      <c r="F29" s="137">
        <f>'Consommation mensuel énergie'!M37</f>
        <v>3922</v>
      </c>
      <c r="G29" s="137">
        <f>'Consommation mensuel énergie'!N37</f>
        <v>2030</v>
      </c>
      <c r="H29" s="137">
        <f>'Consommation mensuel énergie'!D37</f>
        <v>67</v>
      </c>
      <c r="I29" s="137">
        <f>'Consommation mensuel énergie'!E37</f>
        <v>89</v>
      </c>
      <c r="J29" s="133" t="e">
        <f>E29*F29+G29*#REF!+#REF!*#REF!+#REF!*#REF!</f>
        <v>#REF!</v>
      </c>
    </row>
    <row r="30" spans="1:10" x14ac:dyDescent="0.2">
      <c r="A30" s="165"/>
      <c r="E30" s="134"/>
      <c r="F30" s="134"/>
      <c r="G30" s="134"/>
      <c r="H30" s="133"/>
      <c r="I30" s="133"/>
    </row>
    <row r="31" spans="1:10" x14ac:dyDescent="0.2">
      <c r="A31" s="165"/>
      <c r="E31" s="134"/>
      <c r="F31" s="134"/>
      <c r="G31" s="134"/>
      <c r="H31" s="133"/>
      <c r="I31" s="133"/>
    </row>
    <row r="32" spans="1:10" x14ac:dyDescent="0.2">
      <c r="A32" s="165"/>
      <c r="E32" s="134"/>
      <c r="F32" s="134"/>
      <c r="G32" s="134"/>
      <c r="H32" s="133"/>
      <c r="I32" s="133"/>
    </row>
    <row r="33" spans="1:9" x14ac:dyDescent="0.2">
      <c r="A33" s="165"/>
      <c r="E33" s="134"/>
      <c r="F33" s="134"/>
      <c r="G33" s="134"/>
      <c r="H33" s="133"/>
      <c r="I33" s="133"/>
    </row>
    <row r="34" spans="1:9" x14ac:dyDescent="0.2">
      <c r="A34" s="165"/>
      <c r="E34" s="134"/>
      <c r="F34" s="134"/>
      <c r="G34" s="134"/>
      <c r="H34" s="133"/>
      <c r="I34" s="133"/>
    </row>
    <row r="35" spans="1:9" x14ac:dyDescent="0.2">
      <c r="A35" s="165"/>
      <c r="E35" s="134"/>
      <c r="F35" s="134"/>
      <c r="G35" s="134"/>
      <c r="H35" s="133"/>
      <c r="I35" s="133"/>
    </row>
    <row r="36" spans="1:9" x14ac:dyDescent="0.2">
      <c r="A36" s="165"/>
      <c r="E36" s="134"/>
      <c r="F36" s="134"/>
      <c r="G36" s="134"/>
      <c r="H36" s="133"/>
      <c r="I36" s="133"/>
    </row>
    <row r="37" spans="1:9" x14ac:dyDescent="0.2">
      <c r="A37" s="165"/>
      <c r="E37" s="165"/>
      <c r="F37" s="165"/>
      <c r="G37" s="165"/>
    </row>
    <row r="38" spans="1:9" x14ac:dyDescent="0.2">
      <c r="A38" s="165"/>
      <c r="E38" s="165"/>
      <c r="F38" s="165"/>
      <c r="G38" s="165"/>
    </row>
    <row r="39" spans="1:9" x14ac:dyDescent="0.2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X12" sqref="X12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 x14ac:dyDescent="0.25">
      <c r="A2" s="223"/>
      <c r="B2" s="224"/>
      <c r="C2" s="224"/>
      <c r="D2" s="224"/>
      <c r="E2" s="224"/>
      <c r="F2" s="224"/>
      <c r="G2" s="224"/>
      <c r="H2" s="225"/>
      <c r="I2" s="234" t="s">
        <v>17</v>
      </c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4" ht="15" hidden="1" customHeight="1" thickBot="1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 x14ac:dyDescent="0.25">
      <c r="A4" s="226"/>
      <c r="B4" s="226"/>
      <c r="C4" s="226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26"/>
      <c r="B5" s="226"/>
      <c r="C5" s="226"/>
      <c r="D5" s="156"/>
      <c r="E5" s="156"/>
      <c r="F5" s="156"/>
      <c r="G5" s="156"/>
      <c r="H5" s="156"/>
      <c r="I5" s="156"/>
      <c r="J5" s="156"/>
      <c r="K5" s="156"/>
      <c r="L5" s="156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</row>
    <row r="6" spans="1:24" s="5" customFormat="1" ht="44.25" hidden="1" customHeight="1" thickBot="1" x14ac:dyDescent="0.25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</row>
    <row r="7" spans="1:24" s="5" customFormat="1" ht="18.75" hidden="1" customHeight="1" thickBot="1" x14ac:dyDescent="0.25">
      <c r="A7" s="156"/>
      <c r="B7" s="156"/>
      <c r="C7" s="156"/>
      <c r="D7" s="156"/>
      <c r="E7" s="156"/>
      <c r="F7" s="227"/>
      <c r="G7" s="227"/>
      <c r="H7" s="227"/>
      <c r="I7" s="227"/>
      <c r="J7" s="227"/>
      <c r="K7" s="227"/>
      <c r="L7" s="227"/>
      <c r="M7" s="227"/>
      <c r="N7" s="236"/>
      <c r="O7" s="236"/>
      <c r="P7" s="227"/>
      <c r="Q7" s="227"/>
      <c r="R7" s="227"/>
      <c r="S7" s="227"/>
      <c r="T7" s="227"/>
      <c r="U7" s="227"/>
      <c r="V7" s="227"/>
      <c r="W7" s="227"/>
      <c r="X7" s="227"/>
    </row>
    <row r="8" spans="1:24" ht="18.75" customHeight="1" thickBot="1" x14ac:dyDescent="0.25">
      <c r="A8" s="227"/>
      <c r="B8" s="241" t="s">
        <v>19</v>
      </c>
      <c r="C8" s="4"/>
      <c r="D8" s="242" t="s">
        <v>20</v>
      </c>
      <c r="E8" s="242" t="s">
        <v>21</v>
      </c>
      <c r="F8" s="246" t="s">
        <v>22</v>
      </c>
      <c r="G8" s="2"/>
      <c r="H8" s="228" t="s">
        <v>23</v>
      </c>
      <c r="I8" s="229"/>
      <c r="J8" s="230"/>
      <c r="K8" s="248" t="s">
        <v>24</v>
      </c>
      <c r="L8" s="239" t="s">
        <v>25</v>
      </c>
      <c r="M8" s="239"/>
      <c r="N8" s="239"/>
      <c r="O8" s="239" t="s">
        <v>26</v>
      </c>
      <c r="P8" s="2"/>
      <c r="Q8" s="237" t="s">
        <v>23</v>
      </c>
      <c r="R8" s="2"/>
      <c r="S8" s="237" t="s">
        <v>27</v>
      </c>
      <c r="T8" s="2"/>
      <c r="U8" s="237" t="s">
        <v>28</v>
      </c>
      <c r="V8" s="244" t="s">
        <v>29</v>
      </c>
      <c r="W8" s="2"/>
      <c r="X8" s="237" t="s">
        <v>23</v>
      </c>
    </row>
    <row r="9" spans="1:24" ht="59.25" customHeight="1" thickBot="1" x14ac:dyDescent="0.25">
      <c r="A9" s="227"/>
      <c r="B9" s="241"/>
      <c r="C9" s="4"/>
      <c r="D9" s="243"/>
      <c r="E9" s="243"/>
      <c r="F9" s="247"/>
      <c r="G9" s="2"/>
      <c r="H9" s="231"/>
      <c r="I9" s="232"/>
      <c r="J9" s="233"/>
      <c r="K9" s="249"/>
      <c r="L9" s="155" t="s">
        <v>30</v>
      </c>
      <c r="M9" s="155" t="s">
        <v>31</v>
      </c>
      <c r="N9" s="155" t="s">
        <v>32</v>
      </c>
      <c r="O9" s="240"/>
      <c r="P9" s="2"/>
      <c r="Q9" s="238"/>
      <c r="R9" s="2"/>
      <c r="S9" s="238"/>
      <c r="T9" s="2"/>
      <c r="U9" s="238"/>
      <c r="V9" s="245"/>
      <c r="W9" s="2"/>
      <c r="X9" s="238"/>
    </row>
    <row r="10" spans="1:24" ht="32.25" customHeight="1" thickBot="1" x14ac:dyDescent="0.25">
      <c r="A10" s="2"/>
      <c r="B10" s="6">
        <v>44228</v>
      </c>
      <c r="C10" s="7"/>
      <c r="D10" s="143">
        <v>23</v>
      </c>
      <c r="E10" s="143">
        <v>35</v>
      </c>
      <c r="F10" s="13">
        <f>'Suivi EAU-ELEC'!E9</f>
        <v>103.79999999998836</v>
      </c>
      <c r="G10" s="11"/>
      <c r="H10" s="205">
        <f>F10*11.4</f>
        <v>1183.3199999998674</v>
      </c>
      <c r="I10" s="206"/>
      <c r="J10" s="206"/>
      <c r="K10" s="60">
        <v>42278</v>
      </c>
      <c r="L10" s="90">
        <f>'Suivi EAU-ELEC'!G9</f>
        <v>2393</v>
      </c>
      <c r="M10" s="91">
        <f>'Suivi EAU-ELEC'!I9</f>
        <v>3449</v>
      </c>
      <c r="N10" s="91">
        <f>'Suivi EAU-ELEC'!K9</f>
        <v>1598</v>
      </c>
      <c r="O10" s="91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47">
        <f>'Suvi Gaz'!O4</f>
        <v>351.99131</v>
      </c>
      <c r="W10" s="11"/>
      <c r="X10" s="34">
        <f>V10*9.91</f>
        <v>3488.2338820999998</v>
      </c>
    </row>
    <row r="11" spans="1:24" ht="32.25" customHeight="1" thickBot="1" x14ac:dyDescent="0.25">
      <c r="A11" s="2"/>
      <c r="B11" s="6">
        <v>44229</v>
      </c>
      <c r="C11" s="7"/>
      <c r="D11" s="143">
        <v>25</v>
      </c>
      <c r="E11" s="143">
        <v>33</v>
      </c>
      <c r="F11" s="13">
        <f>'Suivi EAU-ELEC'!E10</f>
        <v>130.30000000000291</v>
      </c>
      <c r="G11" s="11"/>
      <c r="H11" s="205">
        <f t="shared" ref="H11:H38" si="0">F11*11.4</f>
        <v>1485.4200000000333</v>
      </c>
      <c r="I11" s="206"/>
      <c r="J11" s="206"/>
      <c r="K11" s="60">
        <v>42279</v>
      </c>
      <c r="L11" s="90">
        <f>'Suivi EAU-ELEC'!G10</f>
        <v>2368</v>
      </c>
      <c r="M11" s="91">
        <f>'Suivi EAU-ELEC'!I10</f>
        <v>3683</v>
      </c>
      <c r="N11" s="91">
        <f>'Suivi EAU-ELEC'!K10</f>
        <v>1888</v>
      </c>
      <c r="O11" s="91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47">
        <f>'Suvi Gaz'!O5</f>
        <v>415.98973000000001</v>
      </c>
      <c r="W11" s="11"/>
      <c r="X11" s="34">
        <f t="shared" ref="X11:X38" si="1">V11*9.91</f>
        <v>4122.4582243000004</v>
      </c>
    </row>
    <row r="12" spans="1:24" ht="32.25" customHeight="1" thickBot="1" x14ac:dyDescent="0.25">
      <c r="A12" s="2"/>
      <c r="B12" s="6">
        <v>44230</v>
      </c>
      <c r="C12" s="7"/>
      <c r="D12" s="143">
        <v>36</v>
      </c>
      <c r="E12" s="143">
        <v>48</v>
      </c>
      <c r="F12" s="13">
        <f>'Suivi EAU-ELEC'!E11</f>
        <v>55.100000000005821</v>
      </c>
      <c r="G12" s="11"/>
      <c r="H12" s="205">
        <f t="shared" si="0"/>
        <v>628.14000000006638</v>
      </c>
      <c r="I12" s="206"/>
      <c r="J12" s="206"/>
      <c r="K12" s="60">
        <v>42280</v>
      </c>
      <c r="L12" s="90">
        <f>'Suivi EAU-ELEC'!G11</f>
        <v>2492</v>
      </c>
      <c r="M12" s="91">
        <f>'Suivi EAU-ELEC'!I11</f>
        <v>3829</v>
      </c>
      <c r="N12" s="91">
        <f>'Suivi EAU-ELEC'!K11</f>
        <v>1724</v>
      </c>
      <c r="O12" s="91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47">
        <f>'Suvi Gaz'!O6</f>
        <v>383.99052</v>
      </c>
      <c r="W12" s="11"/>
      <c r="X12" s="34">
        <f t="shared" si="1"/>
        <v>3805.3460531999999</v>
      </c>
    </row>
    <row r="13" spans="1:24" ht="32.25" customHeight="1" thickBot="1" x14ac:dyDescent="0.25">
      <c r="A13" s="2"/>
      <c r="B13" s="6">
        <v>44231</v>
      </c>
      <c r="C13" s="7"/>
      <c r="D13" s="143">
        <v>34</v>
      </c>
      <c r="E13" s="143">
        <v>50</v>
      </c>
      <c r="F13" s="13">
        <f>'Suivi EAU-ELEC'!E12</f>
        <v>50.30000000000291</v>
      </c>
      <c r="G13" s="11"/>
      <c r="H13" s="205">
        <f t="shared" si="0"/>
        <v>573.42000000003316</v>
      </c>
      <c r="I13" s="206"/>
      <c r="J13" s="206"/>
      <c r="K13" s="60">
        <v>42281</v>
      </c>
      <c r="L13" s="90">
        <f>'Suivi EAU-ELEC'!G12</f>
        <v>2572</v>
      </c>
      <c r="M13" s="91">
        <f>'Suivi EAU-ELEC'!I12</f>
        <v>3638</v>
      </c>
      <c r="N13" s="91">
        <f>'Suivi EAU-ELEC'!K12</f>
        <v>1777</v>
      </c>
      <c r="O13" s="91">
        <f t="shared" ref="O13:O37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47">
        <f>'Suvi Gaz'!O7</f>
        <v>383.99052</v>
      </c>
      <c r="W13" s="11"/>
      <c r="X13" s="34">
        <f t="shared" si="1"/>
        <v>3805.3460531999999</v>
      </c>
    </row>
    <row r="14" spans="1:24" ht="32.25" customHeight="1" thickBot="1" x14ac:dyDescent="0.25">
      <c r="A14" s="2"/>
      <c r="B14" s="6">
        <v>44232</v>
      </c>
      <c r="C14" s="7"/>
      <c r="D14" s="143">
        <v>31</v>
      </c>
      <c r="E14" s="143">
        <v>43</v>
      </c>
      <c r="F14" s="13">
        <f>'Suivi EAU-ELEC'!E13</f>
        <v>71.899999999994179</v>
      </c>
      <c r="G14" s="12"/>
      <c r="H14" s="205">
        <f t="shared" si="0"/>
        <v>819.65999999993369</v>
      </c>
      <c r="I14" s="206"/>
      <c r="J14" s="206"/>
      <c r="K14" s="60">
        <v>42282</v>
      </c>
      <c r="L14" s="90">
        <f>'Suivi EAU-ELEC'!G13</f>
        <v>2887</v>
      </c>
      <c r="M14" s="91">
        <f>'Suivi EAU-ELEC'!I13</f>
        <v>4091</v>
      </c>
      <c r="N14" s="91">
        <f>'Suivi EAU-ELEC'!K13</f>
        <v>2020</v>
      </c>
      <c r="O14" s="91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47">
        <f>'Suvi Gaz'!O8</f>
        <v>351.99131</v>
      </c>
      <c r="W14" s="11"/>
      <c r="X14" s="34">
        <f t="shared" si="1"/>
        <v>3488.2338820999998</v>
      </c>
    </row>
    <row r="15" spans="1:24" ht="32.25" customHeight="1" thickBot="1" x14ac:dyDescent="0.25">
      <c r="A15" s="156"/>
      <c r="B15" s="6">
        <v>44233</v>
      </c>
      <c r="C15" s="7"/>
      <c r="D15" s="143">
        <v>47</v>
      </c>
      <c r="E15" s="143">
        <v>69</v>
      </c>
      <c r="F15" s="13">
        <f>'Suivi EAU-ELEC'!E14</f>
        <v>73</v>
      </c>
      <c r="G15" s="11"/>
      <c r="H15" s="205">
        <f t="shared" si="0"/>
        <v>832.2</v>
      </c>
      <c r="I15" s="206"/>
      <c r="J15" s="206"/>
      <c r="K15" s="60">
        <v>42283</v>
      </c>
      <c r="L15" s="90">
        <f>'Suivi EAU-ELEC'!G14</f>
        <v>2378</v>
      </c>
      <c r="M15" s="91">
        <f>'Suivi EAU-ELEC'!I14</f>
        <v>4238</v>
      </c>
      <c r="N15" s="91">
        <f>'Suivi EAU-ELEC'!K14</f>
        <v>1897</v>
      </c>
      <c r="O15" s="91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47">
        <f>'Suvi Gaz'!O9</f>
        <v>479.98815000000002</v>
      </c>
      <c r="W15" s="11"/>
      <c r="X15" s="34">
        <f t="shared" si="1"/>
        <v>4756.6825665000006</v>
      </c>
    </row>
    <row r="16" spans="1:24" ht="32.25" customHeight="1" thickBot="1" x14ac:dyDescent="0.25">
      <c r="A16" s="156"/>
      <c r="B16" s="6">
        <v>44234</v>
      </c>
      <c r="C16" s="7"/>
      <c r="D16" s="143">
        <v>33</v>
      </c>
      <c r="E16" s="143">
        <v>48</v>
      </c>
      <c r="F16" s="13">
        <f>'Suivi EAU-ELEC'!E15</f>
        <v>51</v>
      </c>
      <c r="G16" s="11"/>
      <c r="H16" s="205">
        <f t="shared" si="0"/>
        <v>581.4</v>
      </c>
      <c r="I16" s="206"/>
      <c r="J16" s="206"/>
      <c r="K16" s="60">
        <v>42284</v>
      </c>
      <c r="L16" s="90">
        <f>'Suivi EAU-ELEC'!G15</f>
        <v>2347</v>
      </c>
      <c r="M16" s="91">
        <f>'Suivi EAU-ELEC'!I15</f>
        <v>3568</v>
      </c>
      <c r="N16" s="91">
        <f>'Suivi EAU-ELEC'!K15</f>
        <v>1680</v>
      </c>
      <c r="O16" s="91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47">
        <f>'Suvi Gaz'!O10</f>
        <v>575.98577999999998</v>
      </c>
      <c r="W16" s="11"/>
      <c r="X16" s="34">
        <f t="shared" si="1"/>
        <v>5708.0190797999994</v>
      </c>
    </row>
    <row r="17" spans="1:24" s="5" customFormat="1" ht="32.25" customHeight="1" thickBot="1" x14ac:dyDescent="0.25">
      <c r="A17" s="2"/>
      <c r="B17" s="6">
        <v>44235</v>
      </c>
      <c r="C17" s="7"/>
      <c r="D17" s="143">
        <v>32</v>
      </c>
      <c r="E17" s="143">
        <v>43</v>
      </c>
      <c r="F17" s="13">
        <f>'Suivi EAU-ELEC'!E16</f>
        <v>68</v>
      </c>
      <c r="G17" s="11"/>
      <c r="H17" s="205">
        <f t="shared" si="0"/>
        <v>775.2</v>
      </c>
      <c r="I17" s="206"/>
      <c r="J17" s="206"/>
      <c r="K17" s="60">
        <v>42285</v>
      </c>
      <c r="L17" s="90">
        <f>'Suivi EAU-ELEC'!G16</f>
        <v>2315</v>
      </c>
      <c r="M17" s="91">
        <f>'Suivi EAU-ELEC'!I16</f>
        <v>3538</v>
      </c>
      <c r="N17" s="91">
        <f>'Suivi EAU-ELEC'!K16</f>
        <v>1511</v>
      </c>
      <c r="O17" s="91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47">
        <f>'Suvi Gaz'!O11</f>
        <v>223.99447000000001</v>
      </c>
      <c r="W17" s="11"/>
      <c r="X17" s="34">
        <f t="shared" si="1"/>
        <v>2219.7851977</v>
      </c>
    </row>
    <row r="18" spans="1:24" ht="32.25" customHeight="1" thickBot="1" x14ac:dyDescent="0.25">
      <c r="A18" s="2"/>
      <c r="B18" s="6">
        <v>44236</v>
      </c>
      <c r="C18" s="7"/>
      <c r="D18" s="143">
        <v>28</v>
      </c>
      <c r="E18" s="143">
        <v>36</v>
      </c>
      <c r="F18" s="13">
        <f>'Suivi EAU-ELEC'!E17</f>
        <v>64.80000000000291</v>
      </c>
      <c r="G18" s="11"/>
      <c r="H18" s="205">
        <f t="shared" si="0"/>
        <v>738.72000000003322</v>
      </c>
      <c r="I18" s="206"/>
      <c r="J18" s="206"/>
      <c r="K18" s="60">
        <v>42286</v>
      </c>
      <c r="L18" s="90">
        <f>'Suivi EAU-ELEC'!G17</f>
        <v>1748</v>
      </c>
      <c r="M18" s="91">
        <f>'Suivi EAU-ELEC'!I17</f>
        <v>3536</v>
      </c>
      <c r="N18" s="91">
        <f>'Suivi EAU-ELEC'!K17</f>
        <v>1527</v>
      </c>
      <c r="O18" s="91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47">
        <f>'Suvi Gaz'!O12</f>
        <v>287.99288999999999</v>
      </c>
      <c r="W18" s="11"/>
      <c r="X18" s="34">
        <f t="shared" si="1"/>
        <v>2854.0095398999997</v>
      </c>
    </row>
    <row r="19" spans="1:24" ht="32.25" customHeight="1" thickBot="1" x14ac:dyDescent="0.25">
      <c r="A19" s="2"/>
      <c r="B19" s="6">
        <v>44237</v>
      </c>
      <c r="C19" s="7"/>
      <c r="D19" s="143">
        <v>33</v>
      </c>
      <c r="E19" s="143">
        <v>44</v>
      </c>
      <c r="F19" s="13">
        <f>'Suivi EAU-ELEC'!E18</f>
        <v>32</v>
      </c>
      <c r="G19" s="12"/>
      <c r="H19" s="205">
        <f t="shared" si="0"/>
        <v>364.8</v>
      </c>
      <c r="I19" s="206"/>
      <c r="J19" s="206"/>
      <c r="K19" s="60">
        <v>42287</v>
      </c>
      <c r="L19" s="90">
        <f>'Suivi EAU-ELEC'!G18</f>
        <v>2658</v>
      </c>
      <c r="M19" s="91">
        <f>'Suivi EAU-ELEC'!I18</f>
        <v>3622</v>
      </c>
      <c r="N19" s="91">
        <f>'Suivi EAU-ELEC'!K18</f>
        <v>1593</v>
      </c>
      <c r="O19" s="91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47">
        <f>'Suvi Gaz'!O13</f>
        <v>191.99526</v>
      </c>
      <c r="W19" s="11"/>
      <c r="X19" s="34">
        <f t="shared" si="1"/>
        <v>1902.6730266</v>
      </c>
    </row>
    <row r="20" spans="1:24" ht="32.25" customHeight="1" thickBot="1" x14ac:dyDescent="0.25">
      <c r="A20" s="2"/>
      <c r="B20" s="6">
        <v>44238</v>
      </c>
      <c r="C20" s="7"/>
      <c r="D20" s="143">
        <v>37</v>
      </c>
      <c r="E20" s="143">
        <v>56</v>
      </c>
      <c r="F20" s="13">
        <f>'Suivi EAU-ELEC'!E19</f>
        <v>60.5</v>
      </c>
      <c r="G20" s="12"/>
      <c r="H20" s="205">
        <f t="shared" si="0"/>
        <v>689.7</v>
      </c>
      <c r="I20" s="206"/>
      <c r="J20" s="206"/>
      <c r="K20" s="60">
        <v>42288</v>
      </c>
      <c r="L20" s="90">
        <f>'Suivi EAU-ELEC'!G19</f>
        <v>2114</v>
      </c>
      <c r="M20" s="91">
        <f>'Suivi EAU-ELEC'!I19</f>
        <v>4111</v>
      </c>
      <c r="N20" s="91">
        <f>'Suivi EAU-ELEC'!K19</f>
        <v>1969</v>
      </c>
      <c r="O20" s="91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2536.8973688000001</v>
      </c>
    </row>
    <row r="21" spans="1:24" ht="32.25" customHeight="1" thickBot="1" x14ac:dyDescent="0.25">
      <c r="A21" s="2"/>
      <c r="B21" s="6">
        <v>44239</v>
      </c>
      <c r="C21" s="7"/>
      <c r="D21" s="143">
        <v>35</v>
      </c>
      <c r="E21" s="143">
        <v>53</v>
      </c>
      <c r="F21" s="13">
        <f>'Suivi EAU-ELEC'!E20</f>
        <v>68.399999999994179</v>
      </c>
      <c r="G21" s="12"/>
      <c r="H21" s="205">
        <f t="shared" si="0"/>
        <v>779.75999999993371</v>
      </c>
      <c r="I21" s="206"/>
      <c r="J21" s="206"/>
      <c r="K21" s="60">
        <v>42289</v>
      </c>
      <c r="L21" s="90">
        <f>'Suivi EAU-ELEC'!G20</f>
        <v>2618</v>
      </c>
      <c r="M21" s="91">
        <f>'Suivi EAU-ELEC'!I20</f>
        <v>3760</v>
      </c>
      <c r="N21" s="91">
        <f>'Suivi EAU-ELEC'!K20</f>
        <v>1581</v>
      </c>
      <c r="O21" s="91">
        <f>L21+M21+N21</f>
        <v>7959</v>
      </c>
      <c r="P21" s="12"/>
      <c r="Q21" s="34">
        <f t="shared" si="3"/>
        <v>7509.2993999999999</v>
      </c>
      <c r="R21" s="12"/>
      <c r="S21" s="28"/>
      <c r="T21" s="12"/>
      <c r="U21" s="28"/>
      <c r="V21" s="147">
        <f>'Suvi Gaz'!O15</f>
        <v>639.98419999999999</v>
      </c>
      <c r="W21" s="11"/>
      <c r="X21" s="34">
        <f t="shared" si="1"/>
        <v>6342.2434219999996</v>
      </c>
    </row>
    <row r="22" spans="1:24" ht="32.25" customHeight="1" thickBot="1" x14ac:dyDescent="0.25">
      <c r="A22" s="2"/>
      <c r="B22" s="6">
        <v>44240</v>
      </c>
      <c r="C22" s="7"/>
      <c r="D22" s="143">
        <v>52</v>
      </c>
      <c r="E22" s="143">
        <v>86</v>
      </c>
      <c r="F22" s="13">
        <f>'Suivi EAU-ELEC'!E21</f>
        <v>85.5</v>
      </c>
      <c r="G22" s="12"/>
      <c r="H22" s="205">
        <f t="shared" si="0"/>
        <v>974.7</v>
      </c>
      <c r="I22" s="206"/>
      <c r="J22" s="206"/>
      <c r="K22" s="60">
        <v>42290</v>
      </c>
      <c r="L22" s="90">
        <f>'Suivi EAU-ELEC'!G21</f>
        <v>2443</v>
      </c>
      <c r="M22" s="91">
        <f>'Suivi EAU-ELEC'!I21</f>
        <v>3578</v>
      </c>
      <c r="N22" s="91">
        <f>'Suivi EAU-ELEC'!K21</f>
        <v>1694</v>
      </c>
      <c r="O22" s="91">
        <f t="shared" si="2"/>
        <v>7715</v>
      </c>
      <c r="P22" s="12"/>
      <c r="Q22" s="34">
        <f t="shared" si="3"/>
        <v>7364.2422999999999</v>
      </c>
      <c r="R22" s="12"/>
      <c r="S22" s="28"/>
      <c r="T22" s="12"/>
      <c r="U22" s="28"/>
      <c r="V22" s="147">
        <f>'Suvi Gaz'!O16</f>
        <v>447.98894000000001</v>
      </c>
      <c r="W22" s="11"/>
      <c r="X22" s="34">
        <f t="shared" si="1"/>
        <v>4439.5703954000001</v>
      </c>
    </row>
    <row r="23" spans="1:24" ht="32.25" customHeight="1" thickBot="1" x14ac:dyDescent="0.25">
      <c r="A23" s="2"/>
      <c r="B23" s="6">
        <v>44241</v>
      </c>
      <c r="C23" s="7"/>
      <c r="D23" s="143">
        <v>51</v>
      </c>
      <c r="E23" s="143">
        <v>78</v>
      </c>
      <c r="F23" s="13">
        <f>'Suivi EAU-ELEC'!E22</f>
        <v>102.40000000000873</v>
      </c>
      <c r="G23" s="14"/>
      <c r="H23" s="205">
        <f t="shared" si="0"/>
        <v>1167.3600000000995</v>
      </c>
      <c r="I23" s="206"/>
      <c r="J23" s="206"/>
      <c r="K23" s="60">
        <v>42291</v>
      </c>
      <c r="L23" s="90">
        <f>'Suivi EAU-ELEC'!G22</f>
        <v>2543</v>
      </c>
      <c r="M23" s="91">
        <f>'Suivi EAU-ELEC'!I22</f>
        <v>3614</v>
      </c>
      <c r="N23" s="91">
        <f>'Suivi EAU-ELEC'!K22</f>
        <v>1850</v>
      </c>
      <c r="O23" s="91">
        <f t="shared" si="2"/>
        <v>8007</v>
      </c>
      <c r="P23" s="12"/>
      <c r="Q23" s="34">
        <f t="shared" si="3"/>
        <v>7675.8850999999995</v>
      </c>
      <c r="R23" s="12"/>
      <c r="S23" s="28"/>
      <c r="T23" s="14"/>
      <c r="U23" s="28"/>
      <c r="V23" s="147">
        <f>'Suvi Gaz'!O17</f>
        <v>767.98104000000001</v>
      </c>
      <c r="W23" s="11"/>
      <c r="X23" s="34">
        <f t="shared" si="1"/>
        <v>7610.6921063999998</v>
      </c>
    </row>
    <row r="24" spans="1:24" ht="32.25" customHeight="1" thickBot="1" x14ac:dyDescent="0.25">
      <c r="A24" s="2"/>
      <c r="B24" s="6">
        <v>44242</v>
      </c>
      <c r="C24" s="7"/>
      <c r="D24" s="143">
        <v>35</v>
      </c>
      <c r="E24" s="143">
        <v>50</v>
      </c>
      <c r="F24" s="13">
        <f>'Suivi EAU-ELEC'!E23</f>
        <v>69.299999999988358</v>
      </c>
      <c r="G24" s="14"/>
      <c r="H24" s="205">
        <f t="shared" si="0"/>
        <v>790.01999999986731</v>
      </c>
      <c r="I24" s="206"/>
      <c r="J24" s="206"/>
      <c r="K24" s="60">
        <v>42292</v>
      </c>
      <c r="L24" s="90">
        <f>'Suivi EAU-ELEC'!G23</f>
        <v>2258</v>
      </c>
      <c r="M24" s="91">
        <f>'Suivi EAU-ELEC'!I23</f>
        <v>3720</v>
      </c>
      <c r="N24" s="91">
        <f>'Suivi EAU-ELEC'!K23</f>
        <v>1836</v>
      </c>
      <c r="O24" s="91">
        <f t="shared" si="2"/>
        <v>7814</v>
      </c>
      <c r="P24" s="12"/>
      <c r="Q24" s="34">
        <f t="shared" si="3"/>
        <v>7559.0354000000007</v>
      </c>
      <c r="R24" s="12"/>
      <c r="S24" s="28"/>
      <c r="T24" s="14"/>
      <c r="U24" s="28"/>
      <c r="V24" s="147">
        <f>'Suvi Gaz'!O18</f>
        <v>703.98262</v>
      </c>
      <c r="W24" s="11"/>
      <c r="X24" s="34">
        <f t="shared" si="1"/>
        <v>6976.4677641999997</v>
      </c>
    </row>
    <row r="25" spans="1:24" ht="32.25" customHeight="1" thickBot="1" x14ac:dyDescent="0.25">
      <c r="A25" s="2"/>
      <c r="B25" s="6">
        <v>44243</v>
      </c>
      <c r="C25" s="7"/>
      <c r="D25" s="143">
        <v>50</v>
      </c>
      <c r="E25" s="143">
        <v>67</v>
      </c>
      <c r="F25" s="13">
        <f>'Suivi EAU-ELEC'!E24</f>
        <v>87.200000000011642</v>
      </c>
      <c r="G25" s="14"/>
      <c r="H25" s="205">
        <f t="shared" si="0"/>
        <v>994.08000000013271</v>
      </c>
      <c r="I25" s="206"/>
      <c r="J25" s="206"/>
      <c r="K25" s="60">
        <v>42293</v>
      </c>
      <c r="L25" s="90">
        <f>'Suivi EAU-ELEC'!G24</f>
        <v>2497</v>
      </c>
      <c r="M25" s="91">
        <f>'Suivi EAU-ELEC'!I24</f>
        <v>4039</v>
      </c>
      <c r="N25" s="91">
        <f>'Suivi EAU-ELEC'!K24</f>
        <v>1913</v>
      </c>
      <c r="O25" s="91">
        <f t="shared" si="2"/>
        <v>8449</v>
      </c>
      <c r="P25" s="12"/>
      <c r="Q25" s="34">
        <f t="shared" si="3"/>
        <v>8131.9143000000004</v>
      </c>
      <c r="R25" s="12"/>
      <c r="S25" s="28"/>
      <c r="T25" s="14"/>
      <c r="U25" s="28"/>
      <c r="V25" s="147">
        <f>'Suvi Gaz'!O19</f>
        <v>383.99052</v>
      </c>
      <c r="W25" s="11"/>
      <c r="X25" s="34">
        <f t="shared" si="1"/>
        <v>3805.3460531999999</v>
      </c>
    </row>
    <row r="26" spans="1:24" ht="32.25" customHeight="1" thickBot="1" x14ac:dyDescent="0.25">
      <c r="A26" s="2"/>
      <c r="B26" s="6">
        <v>44244</v>
      </c>
      <c r="C26" s="7"/>
      <c r="D26" s="143">
        <v>51</v>
      </c>
      <c r="E26" s="143">
        <v>70</v>
      </c>
      <c r="F26" s="13">
        <f>'Suivi EAU-ELEC'!E25</f>
        <v>41.19999999999709</v>
      </c>
      <c r="G26" s="14"/>
      <c r="H26" s="205">
        <f t="shared" si="0"/>
        <v>469.67999999996681</v>
      </c>
      <c r="I26" s="206"/>
      <c r="J26" s="206"/>
      <c r="K26" s="60">
        <v>42294</v>
      </c>
      <c r="L26" s="90">
        <f>'Suivi EAU-ELEC'!G25</f>
        <v>2209</v>
      </c>
      <c r="M26" s="91">
        <f>'Suivi EAU-ELEC'!I25</f>
        <v>3944</v>
      </c>
      <c r="N26" s="91">
        <f>'Suivi EAU-ELEC'!K25</f>
        <v>1874</v>
      </c>
      <c r="O26" s="91">
        <f t="shared" si="2"/>
        <v>8027</v>
      </c>
      <c r="P26" s="14"/>
      <c r="Q26" s="34">
        <f t="shared" si="3"/>
        <v>7788.4777000000004</v>
      </c>
      <c r="R26" s="14"/>
      <c r="S26" s="28"/>
      <c r="T26" s="14"/>
      <c r="U26" s="28"/>
      <c r="V26" s="147">
        <f>'Suvi Gaz'!O20</f>
        <v>447.98894000000001</v>
      </c>
      <c r="W26" s="11"/>
      <c r="X26" s="34">
        <f t="shared" si="1"/>
        <v>4439.5703954000001</v>
      </c>
    </row>
    <row r="27" spans="1:24" ht="32.25" customHeight="1" thickBot="1" x14ac:dyDescent="0.25">
      <c r="A27" s="2"/>
      <c r="B27" s="6">
        <v>44245</v>
      </c>
      <c r="C27" s="7"/>
      <c r="D27" s="143">
        <v>61</v>
      </c>
      <c r="E27" s="143">
        <v>82</v>
      </c>
      <c r="F27" s="13">
        <f>'Suivi EAU-ELEC'!E26</f>
        <v>100.59999999999127</v>
      </c>
      <c r="G27" s="14"/>
      <c r="H27" s="205">
        <f t="shared" si="0"/>
        <v>1146.8399999999006</v>
      </c>
      <c r="I27" s="206"/>
      <c r="J27" s="206"/>
      <c r="K27" s="60">
        <v>42295</v>
      </c>
      <c r="L27" s="90">
        <f>'Suivi EAU-ELEC'!G26</f>
        <v>2573</v>
      </c>
      <c r="M27" s="91">
        <f>'Suivi EAU-ELEC'!I26</f>
        <v>4347</v>
      </c>
      <c r="N27" s="91">
        <f>'Suivi EAU-ELEC'!K26</f>
        <v>1990</v>
      </c>
      <c r="O27" s="91">
        <f t="shared" si="2"/>
        <v>8910</v>
      </c>
      <c r="P27" s="14"/>
      <c r="Q27" s="34">
        <f t="shared" si="3"/>
        <v>8580.4723000000013</v>
      </c>
      <c r="R27" s="14"/>
      <c r="S27" s="28"/>
      <c r="T27" s="14"/>
      <c r="U27" s="28"/>
      <c r="V27" s="147">
        <f>'Suvi Gaz'!O21</f>
        <v>543.98657000000003</v>
      </c>
      <c r="W27" s="11"/>
      <c r="X27" s="34">
        <f t="shared" si="1"/>
        <v>5390.9069087000007</v>
      </c>
    </row>
    <row r="28" spans="1:24" ht="32.25" customHeight="1" thickBot="1" x14ac:dyDescent="0.25">
      <c r="A28" s="2"/>
      <c r="B28" s="6">
        <v>44246</v>
      </c>
      <c r="C28" s="7"/>
      <c r="D28" s="143">
        <v>49</v>
      </c>
      <c r="E28" s="143">
        <v>75</v>
      </c>
      <c r="F28" s="13">
        <f>'Suivi EAU-ELEC'!E27</f>
        <v>116.40000000000873</v>
      </c>
      <c r="G28" s="11"/>
      <c r="H28" s="205">
        <f t="shared" si="0"/>
        <v>1326.9600000000996</v>
      </c>
      <c r="I28" s="206"/>
      <c r="J28" s="206"/>
      <c r="K28" s="60">
        <v>42296</v>
      </c>
      <c r="L28" s="90">
        <f>'Suivi EAU-ELEC'!G27</f>
        <v>2602</v>
      </c>
      <c r="M28" s="91">
        <f>'Suivi EAU-ELEC'!I27</f>
        <v>4256</v>
      </c>
      <c r="N28" s="91">
        <f>'Suivi EAU-ELEC'!K27</f>
        <v>2053</v>
      </c>
      <c r="O28" s="91">
        <f t="shared" si="2"/>
        <v>8911</v>
      </c>
      <c r="P28" s="11"/>
      <c r="Q28" s="34">
        <f>L28*0.6985+M28*0.9514+N28*1.3304</f>
        <v>8597.9665999999997</v>
      </c>
      <c r="R28" s="11"/>
      <c r="S28" s="28"/>
      <c r="T28" s="11"/>
      <c r="U28" s="28"/>
      <c r="V28" s="147">
        <f>'Suvi Gaz'!O22</f>
        <v>575.98577999999998</v>
      </c>
      <c r="W28" s="11"/>
      <c r="X28" s="34">
        <f t="shared" si="1"/>
        <v>5708.0190797999994</v>
      </c>
    </row>
    <row r="29" spans="1:24" ht="32.25" customHeight="1" thickBot="1" x14ac:dyDescent="0.25">
      <c r="A29" s="2"/>
      <c r="B29" s="6">
        <v>44247</v>
      </c>
      <c r="C29" s="7"/>
      <c r="D29" s="143">
        <v>43</v>
      </c>
      <c r="E29" s="143">
        <v>76</v>
      </c>
      <c r="F29" s="13">
        <f>'Suivi EAU-ELEC'!E28</f>
        <v>105</v>
      </c>
      <c r="G29" s="11"/>
      <c r="H29" s="205">
        <f t="shared" si="0"/>
        <v>1197</v>
      </c>
      <c r="I29" s="206"/>
      <c r="J29" s="206"/>
      <c r="K29" s="60">
        <v>42297</v>
      </c>
      <c r="L29" s="90">
        <f>'Suivi EAU-ELEC'!G28</f>
        <v>2750</v>
      </c>
      <c r="M29" s="91">
        <f>'Suivi EAU-ELEC'!I28</f>
        <v>4498</v>
      </c>
      <c r="N29" s="91">
        <f>'Suivi EAU-ELEC'!K28</f>
        <v>1967</v>
      </c>
      <c r="O29" s="91">
        <f>L29+M29+N29</f>
        <v>9215</v>
      </c>
      <c r="P29" s="11"/>
      <c r="Q29" s="34">
        <f t="shared" si="3"/>
        <v>8817.1689999999999</v>
      </c>
      <c r="R29" s="11"/>
      <c r="S29" s="28"/>
      <c r="T29" s="11"/>
      <c r="U29" s="28"/>
      <c r="V29" s="147">
        <f>'Suvi Gaz'!O23</f>
        <v>287.99288999999999</v>
      </c>
      <c r="W29" s="11"/>
      <c r="X29" s="34">
        <f t="shared" si="1"/>
        <v>2854.0095398999997</v>
      </c>
    </row>
    <row r="30" spans="1:24" ht="32.25" customHeight="1" thickBot="1" x14ac:dyDescent="0.25">
      <c r="A30" s="2"/>
      <c r="B30" s="6">
        <v>44248</v>
      </c>
      <c r="C30" s="7"/>
      <c r="D30" s="143">
        <v>40</v>
      </c>
      <c r="E30" s="143">
        <v>69</v>
      </c>
      <c r="F30" s="13">
        <f>'Suivi EAU-ELEC'!E29</f>
        <v>91.899999999994179</v>
      </c>
      <c r="G30" s="11"/>
      <c r="H30" s="205">
        <f t="shared" si="0"/>
        <v>1047.6599999999337</v>
      </c>
      <c r="I30" s="206"/>
      <c r="J30" s="206"/>
      <c r="K30" s="60">
        <v>42298</v>
      </c>
      <c r="L30" s="90">
        <f>'Suivi EAU-ELEC'!G29</f>
        <v>2194</v>
      </c>
      <c r="M30" s="91">
        <f>'Suivi EAU-ELEC'!I29</f>
        <v>3582</v>
      </c>
      <c r="N30" s="91">
        <f>'Suivi EAU-ELEC'!K29</f>
        <v>1739</v>
      </c>
      <c r="O30" s="91">
        <f t="shared" si="2"/>
        <v>7515</v>
      </c>
      <c r="P30" s="11"/>
      <c r="Q30" s="34">
        <f t="shared" si="3"/>
        <v>7253.9894000000004</v>
      </c>
      <c r="R30" s="11"/>
      <c r="S30" s="28"/>
      <c r="T30" s="11"/>
      <c r="U30" s="28"/>
      <c r="V30" s="147">
        <f>'Suvi Gaz'!O24</f>
        <v>255.99368000000001</v>
      </c>
      <c r="W30" s="11"/>
      <c r="X30" s="34">
        <f t="shared" si="1"/>
        <v>2536.8973688000001</v>
      </c>
    </row>
    <row r="31" spans="1:24" ht="27.75" customHeight="1" thickBot="1" x14ac:dyDescent="0.25">
      <c r="A31" s="2"/>
      <c r="B31" s="6">
        <v>44249</v>
      </c>
      <c r="C31" s="7"/>
      <c r="D31" s="143">
        <v>34</v>
      </c>
      <c r="E31" s="143">
        <v>52</v>
      </c>
      <c r="F31" s="13">
        <f>'Suivi EAU-ELEC'!E30</f>
        <v>86.100000000005821</v>
      </c>
      <c r="G31" s="11"/>
      <c r="H31" s="205">
        <f t="shared" si="0"/>
        <v>981.54000000006636</v>
      </c>
      <c r="I31" s="206"/>
      <c r="J31" s="206"/>
      <c r="K31" s="60">
        <v>42299</v>
      </c>
      <c r="L31" s="90">
        <f>'Suivi EAU-ELEC'!G30</f>
        <v>2325</v>
      </c>
      <c r="M31" s="91">
        <f>'Suivi EAU-ELEC'!I30</f>
        <v>3439</v>
      </c>
      <c r="N31" s="91">
        <f>'Suivi EAU-ELEC'!K30</f>
        <v>1525</v>
      </c>
      <c r="O31" s="91">
        <f>L31+M31+N31</f>
        <v>7289</v>
      </c>
      <c r="P31" s="11"/>
      <c r="Q31" s="34">
        <f>L31*0.6985+M31*0.9514+N31*1.3304</f>
        <v>6924.7371000000003</v>
      </c>
      <c r="R31" s="11"/>
      <c r="S31" s="28"/>
      <c r="T31" s="11"/>
      <c r="U31" s="28"/>
      <c r="V31" s="147">
        <f>'Suvi Gaz'!O25</f>
        <v>927.97709000000009</v>
      </c>
      <c r="W31" s="11"/>
      <c r="X31" s="34">
        <f t="shared" si="1"/>
        <v>9196.2529619000015</v>
      </c>
    </row>
    <row r="32" spans="1:24" ht="37.5" customHeight="1" thickBot="1" x14ac:dyDescent="0.25">
      <c r="A32" s="2"/>
      <c r="B32" s="6">
        <v>44250</v>
      </c>
      <c r="C32" s="7"/>
      <c r="D32" s="143">
        <v>36</v>
      </c>
      <c r="E32" s="143">
        <v>58</v>
      </c>
      <c r="F32" s="13">
        <f>'Suivi EAU-ELEC'!E31</f>
        <v>68.099999999991269</v>
      </c>
      <c r="G32" s="11"/>
      <c r="H32" s="205">
        <f t="shared" si="0"/>
        <v>776.33999999990044</v>
      </c>
      <c r="I32" s="206"/>
      <c r="J32" s="206"/>
      <c r="K32" s="60">
        <v>42300</v>
      </c>
      <c r="L32" s="90">
        <f>'Suivi EAU-ELEC'!G31</f>
        <v>2371</v>
      </c>
      <c r="M32" s="91">
        <f>'Suivi EAU-ELEC'!I31</f>
        <v>3950</v>
      </c>
      <c r="N32" s="91">
        <f>'Suivi EAU-ELEC'!K31</f>
        <v>1822</v>
      </c>
      <c r="O32" s="91">
        <f t="shared" si="2"/>
        <v>8143</v>
      </c>
      <c r="P32" s="11"/>
      <c r="Q32" s="34">
        <f t="shared" si="3"/>
        <v>7838.1623000000009</v>
      </c>
      <c r="R32" s="11"/>
      <c r="S32" s="28"/>
      <c r="T32" s="11"/>
      <c r="U32" s="28"/>
      <c r="V32" s="147">
        <f>'Suvi Gaz'!O26</f>
        <v>575.98577999999998</v>
      </c>
      <c r="W32" s="11"/>
      <c r="X32" s="34">
        <f t="shared" si="1"/>
        <v>5708.0190797999994</v>
      </c>
    </row>
    <row r="33" spans="1:24" ht="37.5" customHeight="1" thickBot="1" x14ac:dyDescent="0.25">
      <c r="A33" s="2"/>
      <c r="B33" s="6">
        <v>44251</v>
      </c>
      <c r="C33" s="7"/>
      <c r="D33" s="143">
        <v>33</v>
      </c>
      <c r="E33" s="143">
        <v>54</v>
      </c>
      <c r="F33" s="13">
        <f>'Suivi EAU-ELEC'!E32</f>
        <v>53.30000000000291</v>
      </c>
      <c r="G33" s="11"/>
      <c r="H33" s="205">
        <f t="shared" si="0"/>
        <v>607.6200000000332</v>
      </c>
      <c r="I33" s="206"/>
      <c r="J33" s="206"/>
      <c r="K33" s="60">
        <v>42301</v>
      </c>
      <c r="L33" s="90">
        <f>'Suivi EAU-ELEC'!G32</f>
        <v>2508</v>
      </c>
      <c r="M33" s="91">
        <f>'Suivi EAU-ELEC'!I32</f>
        <v>3703</v>
      </c>
      <c r="N33" s="91">
        <f>'Suivi EAU-ELEC'!K32</f>
        <v>1894</v>
      </c>
      <c r="O33" s="91">
        <f t="shared" si="2"/>
        <v>8105</v>
      </c>
      <c r="P33" s="11"/>
      <c r="Q33" s="34">
        <f t="shared" si="3"/>
        <v>7794.6497999999992</v>
      </c>
      <c r="R33" s="11"/>
      <c r="S33" s="28"/>
      <c r="T33" s="11"/>
      <c r="U33" s="28"/>
      <c r="V33" s="147">
        <f>'Suvi Gaz'!O27</f>
        <v>575.98577999999998</v>
      </c>
      <c r="W33" s="11"/>
      <c r="X33" s="34">
        <f t="shared" si="1"/>
        <v>5708.0190797999994</v>
      </c>
    </row>
    <row r="34" spans="1:24" ht="37.5" customHeight="1" thickBot="1" x14ac:dyDescent="0.25">
      <c r="A34" s="2"/>
      <c r="B34" s="6">
        <v>44252</v>
      </c>
      <c r="C34" s="7"/>
      <c r="D34" s="143">
        <v>42</v>
      </c>
      <c r="E34" s="143">
        <v>67</v>
      </c>
      <c r="F34" s="13">
        <f>'Suivi EAU-ELEC'!E33</f>
        <v>66.100000000005821</v>
      </c>
      <c r="G34" s="11"/>
      <c r="H34" s="205">
        <f t="shared" si="0"/>
        <v>753.54000000006636</v>
      </c>
      <c r="I34" s="206"/>
      <c r="J34" s="206"/>
      <c r="K34" s="60">
        <v>42302</v>
      </c>
      <c r="L34" s="90">
        <f>'Suivi EAU-ELEC'!G33</f>
        <v>2371</v>
      </c>
      <c r="M34" s="91">
        <f>'Suivi EAU-ELEC'!I33</f>
        <v>3808</v>
      </c>
      <c r="N34" s="91">
        <f>'Suivi EAU-ELEC'!K33</f>
        <v>1830</v>
      </c>
      <c r="O34" s="91">
        <f t="shared" si="2"/>
        <v>8009</v>
      </c>
      <c r="P34" s="11"/>
      <c r="Q34" s="34">
        <f t="shared" si="3"/>
        <v>7713.7067000000006</v>
      </c>
      <c r="R34" s="11"/>
      <c r="S34" s="28"/>
      <c r="T34" s="11"/>
      <c r="U34" s="28"/>
      <c r="V34" s="147">
        <f>'Suvi Gaz'!O28</f>
        <v>127.99684000000001</v>
      </c>
      <c r="W34" s="11"/>
      <c r="X34" s="34">
        <f t="shared" si="1"/>
        <v>1268.4486844</v>
      </c>
    </row>
    <row r="35" spans="1:24" ht="33.75" customHeight="1" thickBot="1" x14ac:dyDescent="0.25">
      <c r="A35" s="2"/>
      <c r="B35" s="6">
        <v>44253</v>
      </c>
      <c r="C35" s="7"/>
      <c r="D35" s="143">
        <v>39</v>
      </c>
      <c r="E35" s="143">
        <v>61</v>
      </c>
      <c r="F35" s="13">
        <f>'Suivi EAU-ELEC'!E34</f>
        <v>80.19999999999709</v>
      </c>
      <c r="G35" s="11"/>
      <c r="H35" s="205">
        <f t="shared" si="0"/>
        <v>914.27999999996689</v>
      </c>
      <c r="I35" s="206"/>
      <c r="J35" s="206"/>
      <c r="K35" s="60">
        <v>42303</v>
      </c>
      <c r="L35" s="90">
        <f>'Suivi EAU-ELEC'!G34</f>
        <v>2488</v>
      </c>
      <c r="M35" s="91">
        <f>'Suivi EAU-ELEC'!I34</f>
        <v>3661</v>
      </c>
      <c r="N35" s="91">
        <f>'Suivi EAU-ELEC'!K34</f>
        <v>1670</v>
      </c>
      <c r="O35" s="91">
        <f t="shared" si="2"/>
        <v>7819</v>
      </c>
      <c r="P35" s="11"/>
      <c r="Q35" s="34">
        <f t="shared" si="3"/>
        <v>7442.7114000000001</v>
      </c>
      <c r="R35" s="11"/>
      <c r="S35" s="28"/>
      <c r="T35" s="11"/>
      <c r="U35" s="28"/>
      <c r="V35" s="147">
        <f>'Suvi Gaz'!O29</f>
        <v>511.98736000000002</v>
      </c>
      <c r="W35" s="11"/>
      <c r="X35" s="34">
        <f t="shared" si="1"/>
        <v>5073.7947376000002</v>
      </c>
    </row>
    <row r="36" spans="1:24" ht="33.75" customHeight="1" thickBot="1" x14ac:dyDescent="0.25">
      <c r="A36" s="2"/>
      <c r="B36" s="6">
        <v>44254</v>
      </c>
      <c r="C36" s="7"/>
      <c r="D36" s="143">
        <v>61</v>
      </c>
      <c r="E36" s="143">
        <v>96</v>
      </c>
      <c r="F36" s="13">
        <f>'Suivi EAU-ELEC'!E35</f>
        <v>83</v>
      </c>
      <c r="G36" s="11"/>
      <c r="H36" s="205">
        <f t="shared" si="0"/>
        <v>946.2</v>
      </c>
      <c r="I36" s="206"/>
      <c r="J36" s="206"/>
      <c r="K36" s="60">
        <v>42304</v>
      </c>
      <c r="L36" s="90">
        <f>'Suivi EAU-ELEC'!G35</f>
        <v>2321</v>
      </c>
      <c r="M36" s="91">
        <f>'Suivi EAU-ELEC'!I35</f>
        <v>3587</v>
      </c>
      <c r="N36" s="91">
        <f>'Suivi EAU-ELEC'!K35</f>
        <v>1552</v>
      </c>
      <c r="O36" s="91">
        <f t="shared" si="2"/>
        <v>7460</v>
      </c>
      <c r="P36" s="11"/>
      <c r="Q36" s="34">
        <f t="shared" si="3"/>
        <v>7098.6710999999996</v>
      </c>
      <c r="R36" s="11"/>
      <c r="S36" s="28"/>
      <c r="T36" s="11"/>
      <c r="U36" s="28"/>
      <c r="V36" s="147">
        <f>'Suvi Gaz'!O30</f>
        <v>447.98894000000001</v>
      </c>
      <c r="W36" s="11"/>
      <c r="X36" s="34">
        <f t="shared" si="1"/>
        <v>4439.5703954000001</v>
      </c>
    </row>
    <row r="37" spans="1:24" ht="33.75" customHeight="1" thickBot="1" x14ac:dyDescent="0.25">
      <c r="A37" s="2"/>
      <c r="B37" s="6">
        <v>44255</v>
      </c>
      <c r="C37" s="7"/>
      <c r="D37" s="143">
        <v>67</v>
      </c>
      <c r="E37" s="143">
        <v>89</v>
      </c>
      <c r="F37" s="13">
        <f>'Suivi EAU-ELEC'!E36</f>
        <v>76</v>
      </c>
      <c r="G37" s="11"/>
      <c r="H37" s="205">
        <f t="shared" si="0"/>
        <v>866.4</v>
      </c>
      <c r="I37" s="206"/>
      <c r="J37" s="206"/>
      <c r="K37" s="60">
        <v>42305</v>
      </c>
      <c r="L37" s="90">
        <f>'Suivi EAU-ELEC'!G36</f>
        <v>2740</v>
      </c>
      <c r="M37" s="91">
        <f>'Suivi EAU-ELEC'!I36</f>
        <v>3922</v>
      </c>
      <c r="N37" s="91">
        <f>'Suivi EAU-ELEC'!K36</f>
        <v>2030</v>
      </c>
      <c r="O37" s="91">
        <f t="shared" si="2"/>
        <v>8692</v>
      </c>
      <c r="P37" s="11"/>
      <c r="Q37" s="34">
        <f t="shared" si="3"/>
        <v>8345.9928</v>
      </c>
      <c r="R37" s="11"/>
      <c r="S37" s="28"/>
      <c r="T37" s="11"/>
      <c r="U37" s="28"/>
      <c r="V37" s="147">
        <f>'Suvi Gaz'!O31</f>
        <v>511.98736000000002</v>
      </c>
      <c r="W37" s="11"/>
      <c r="X37" s="34">
        <f t="shared" si="1"/>
        <v>5073.7947376000002</v>
      </c>
    </row>
    <row r="38" spans="1:24" ht="33.75" customHeight="1" thickBot="1" x14ac:dyDescent="0.25">
      <c r="A38" s="2"/>
      <c r="B38" s="6">
        <v>44256</v>
      </c>
      <c r="C38" s="7"/>
      <c r="D38" s="143"/>
      <c r="E38" s="143"/>
      <c r="F38" s="13"/>
      <c r="G38" s="11"/>
      <c r="H38" s="205"/>
      <c r="I38" s="206"/>
      <c r="J38" s="206"/>
      <c r="K38" s="60"/>
      <c r="L38" s="90"/>
      <c r="M38" s="91"/>
      <c r="N38" s="91"/>
      <c r="O38" s="91"/>
      <c r="P38" s="11"/>
      <c r="Q38" s="34">
        <f t="shared" si="3"/>
        <v>0</v>
      </c>
      <c r="R38" s="11"/>
      <c r="S38" s="28"/>
      <c r="T38" s="11"/>
      <c r="U38" s="28"/>
      <c r="V38" s="147">
        <f>'Suvi Gaz'!O32</f>
        <v>0</v>
      </c>
      <c r="W38" s="11"/>
      <c r="X38" s="34">
        <f t="shared" si="1"/>
        <v>0</v>
      </c>
    </row>
    <row r="39" spans="1:24" ht="42.75" customHeight="1" thickBot="1" x14ac:dyDescent="0.25">
      <c r="A39" s="2"/>
      <c r="B39" s="10"/>
      <c r="C39" s="10"/>
      <c r="D39" s="8">
        <f>SUM(D10:D38)</f>
        <v>1138</v>
      </c>
      <c r="E39" s="8">
        <f>SUM(E10:E38)</f>
        <v>1688</v>
      </c>
      <c r="F39" s="8">
        <f>SUM(F10:F38)</f>
        <v>2141.3999999999942</v>
      </c>
      <c r="G39" s="1"/>
      <c r="H39" s="250">
        <f>SUM(H10:H38)</f>
        <v>24411.959999999937</v>
      </c>
      <c r="I39" s="251"/>
      <c r="J39" s="252"/>
      <c r="K39" s="1"/>
      <c r="L39" s="53">
        <f>SUM(L10:L38)</f>
        <v>68083</v>
      </c>
      <c r="M39" s="53">
        <f>SUM(M10:M38)</f>
        <v>106711</v>
      </c>
      <c r="N39" s="54">
        <f>SUM(N10:N38)</f>
        <v>50004</v>
      </c>
      <c r="O39" s="55">
        <f>SUM(O10:O38)</f>
        <v>224798</v>
      </c>
      <c r="P39" s="31"/>
      <c r="Q39" s="32">
        <f>SUM(Q10:Q38)</f>
        <v>215606.14249999999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12639.687949999996</v>
      </c>
      <c r="W39" s="31"/>
      <c r="X39" s="32">
        <f>SUM(X10:X38)</f>
        <v>125259.30758449998</v>
      </c>
    </row>
    <row r="40" spans="1:24" s="5" customFormat="1" ht="12.75" customHeight="1" x14ac:dyDescent="0.2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56"/>
      <c r="M40" s="156"/>
      <c r="N40" s="156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 x14ac:dyDescent="0.25">
      <c r="A41" s="185" t="s">
        <v>33</v>
      </c>
      <c r="B41" s="186"/>
      <c r="C41" s="186"/>
      <c r="D41" s="186"/>
      <c r="E41" s="186"/>
      <c r="F41" s="187"/>
      <c r="G41" s="26"/>
      <c r="H41" s="27" t="s">
        <v>34</v>
      </c>
      <c r="I41" s="197" t="s">
        <v>35</v>
      </c>
      <c r="J41" s="198"/>
      <c r="K41" s="199"/>
      <c r="L41" s="221" t="s">
        <v>36</v>
      </c>
      <c r="M41" s="222"/>
      <c r="N41" s="185" t="s">
        <v>37</v>
      </c>
      <c r="O41" s="186"/>
      <c r="P41" s="186"/>
      <c r="Q41" s="186"/>
      <c r="R41" s="186"/>
      <c r="S41" s="186"/>
      <c r="T41" s="186"/>
      <c r="U41" s="186"/>
      <c r="V41" s="186"/>
      <c r="W41" s="186"/>
      <c r="X41" s="187"/>
    </row>
    <row r="42" spans="1:24" s="18" customFormat="1" ht="29.25" customHeight="1" thickBot="1" x14ac:dyDescent="0.25">
      <c r="A42" s="215" t="s">
        <v>38</v>
      </c>
      <c r="B42" s="216"/>
      <c r="C42" s="217"/>
      <c r="D42" s="158" t="s">
        <v>30</v>
      </c>
      <c r="E42" s="158" t="s">
        <v>30</v>
      </c>
      <c r="F42" s="158" t="s">
        <v>30</v>
      </c>
      <c r="G42" s="16"/>
      <c r="H42" s="17">
        <v>0.69850000000000001</v>
      </c>
      <c r="I42" s="212">
        <f>L39</f>
        <v>68083</v>
      </c>
      <c r="J42" s="213"/>
      <c r="K42" s="214"/>
      <c r="L42" s="203">
        <f>I42*H42</f>
        <v>47555.9755</v>
      </c>
      <c r="M42" s="204"/>
      <c r="N42" s="176">
        <f>L42+L43+L44</f>
        <v>215606.14249999999</v>
      </c>
      <c r="O42" s="177"/>
      <c r="P42" s="177"/>
      <c r="Q42" s="177"/>
      <c r="R42" s="177"/>
      <c r="S42" s="177"/>
      <c r="T42" s="177"/>
      <c r="U42" s="177"/>
      <c r="V42" s="177"/>
      <c r="W42" s="177"/>
      <c r="X42" s="178"/>
    </row>
    <row r="43" spans="1:24" s="18" customFormat="1" ht="29.25" customHeight="1" thickBot="1" x14ac:dyDescent="0.25">
      <c r="A43" s="218"/>
      <c r="B43" s="219"/>
      <c r="C43" s="220"/>
      <c r="D43" s="157" t="s">
        <v>31</v>
      </c>
      <c r="E43" s="157" t="s">
        <v>31</v>
      </c>
      <c r="F43" s="157" t="s">
        <v>31</v>
      </c>
      <c r="G43" s="16"/>
      <c r="H43" s="19">
        <v>0.95140000000000002</v>
      </c>
      <c r="I43" s="212">
        <f>M39</f>
        <v>106711</v>
      </c>
      <c r="J43" s="213"/>
      <c r="K43" s="214"/>
      <c r="L43" s="203">
        <f>I43*H43</f>
        <v>101524.84540000001</v>
      </c>
      <c r="M43" s="204"/>
      <c r="N43" s="179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4.75" customHeight="1" thickBot="1" x14ac:dyDescent="0.25">
      <c r="A44" s="218"/>
      <c r="B44" s="219"/>
      <c r="C44" s="220"/>
      <c r="D44" s="164" t="s">
        <v>32</v>
      </c>
      <c r="E44" s="164" t="s">
        <v>32</v>
      </c>
      <c r="F44" s="164" t="s">
        <v>32</v>
      </c>
      <c r="G44" s="20"/>
      <c r="H44" s="20">
        <v>1.3304</v>
      </c>
      <c r="I44" s="194">
        <f>N39</f>
        <v>50004</v>
      </c>
      <c r="J44" s="195"/>
      <c r="K44" s="196"/>
      <c r="L44" s="203">
        <f>I44*H44</f>
        <v>66525.321599999996</v>
      </c>
      <c r="M44" s="204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43.5" customHeight="1" thickBot="1" x14ac:dyDescent="0.25">
      <c r="A45" s="159"/>
      <c r="B45" s="160"/>
      <c r="C45" s="160"/>
      <c r="D45" s="164"/>
      <c r="E45" s="164"/>
      <c r="F45" s="164"/>
      <c r="G45" s="16"/>
      <c r="H45" s="16"/>
      <c r="I45" s="162"/>
      <c r="J45" s="163"/>
      <c r="K45" s="164"/>
      <c r="L45" s="153"/>
      <c r="M45" s="154"/>
      <c r="N45" s="200">
        <f>N42*1.3</f>
        <v>280287.98524999997</v>
      </c>
      <c r="O45" s="201"/>
      <c r="P45" s="201"/>
      <c r="Q45" s="201"/>
      <c r="R45" s="201"/>
      <c r="S45" s="201"/>
      <c r="T45" s="201"/>
      <c r="U45" s="201"/>
      <c r="V45" s="201"/>
      <c r="W45" s="201"/>
      <c r="X45" s="202"/>
    </row>
    <row r="46" spans="1:24" s="23" customFormat="1" ht="32.25" customHeight="1" thickBot="1" x14ac:dyDescent="0.25">
      <c r="A46" s="207" t="s">
        <v>39</v>
      </c>
      <c r="B46" s="208"/>
      <c r="C46" s="208"/>
      <c r="D46" s="208"/>
      <c r="E46" s="208"/>
      <c r="F46" s="209"/>
      <c r="G46" s="21"/>
      <c r="H46" s="22">
        <v>8.7899999999999991</v>
      </c>
      <c r="I46" s="207">
        <f>F39</f>
        <v>2141.3999999999942</v>
      </c>
      <c r="J46" s="208"/>
      <c r="K46" s="209"/>
      <c r="L46" s="210">
        <f>I46*H46</f>
        <v>18822.905999999948</v>
      </c>
      <c r="M46" s="211"/>
      <c r="N46" s="173">
        <f>L46</f>
        <v>18822.905999999948</v>
      </c>
      <c r="O46" s="174"/>
      <c r="P46" s="174"/>
      <c r="Q46" s="174"/>
      <c r="R46" s="174"/>
      <c r="S46" s="174"/>
      <c r="T46" s="174"/>
      <c r="U46" s="174"/>
      <c r="V46" s="174"/>
      <c r="W46" s="174"/>
      <c r="X46" s="175"/>
    </row>
    <row r="47" spans="1:24" s="23" customFormat="1" ht="36.75" customHeight="1" x14ac:dyDescent="0.2">
      <c r="A47" s="188" t="s">
        <v>40</v>
      </c>
      <c r="B47" s="189"/>
      <c r="C47" s="189"/>
      <c r="D47" s="189"/>
      <c r="E47" s="189"/>
      <c r="F47" s="190"/>
      <c r="G47" s="24"/>
      <c r="H47" s="25">
        <v>9.8209</v>
      </c>
      <c r="I47" s="191">
        <f>V39</f>
        <v>12639.687949999996</v>
      </c>
      <c r="J47" s="192"/>
      <c r="K47" s="193"/>
      <c r="L47" s="191">
        <f>I47*H47</f>
        <v>124133.11138815495</v>
      </c>
      <c r="M47" s="193"/>
      <c r="N47" s="170">
        <f>L47</f>
        <v>124133.11138815495</v>
      </c>
      <c r="O47" s="171"/>
      <c r="P47" s="171"/>
      <c r="Q47" s="171"/>
      <c r="R47" s="171"/>
      <c r="S47" s="171"/>
      <c r="T47" s="171"/>
      <c r="U47" s="171"/>
      <c r="V47" s="171"/>
      <c r="W47" s="171"/>
      <c r="X47" s="172"/>
    </row>
    <row r="48" spans="1:24" ht="27" customHeight="1" x14ac:dyDescent="0.2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 x14ac:dyDescent="0.2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</row>
    <row r="53" spans="1:24" ht="39" customHeight="1" x14ac:dyDescent="0.2">
      <c r="A53" s="161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</row>
    <row r="54" spans="1:24" x14ac:dyDescent="0.2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</row>
    <row r="55" spans="1:24" x14ac:dyDescent="0.2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</sheetData>
  <mergeCells count="71">
    <mergeCell ref="H39:J39"/>
    <mergeCell ref="H30:J30"/>
    <mergeCell ref="H38:J38"/>
    <mergeCell ref="H36:J36"/>
    <mergeCell ref="L42:M42"/>
    <mergeCell ref="H33:J33"/>
    <mergeCell ref="H31:J31"/>
    <mergeCell ref="H35:J35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6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 x14ac:dyDescent="0.2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 x14ac:dyDescent="0.2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 x14ac:dyDescent="0.25">
      <c r="A6" s="165"/>
      <c r="B6" s="165"/>
      <c r="C6" s="165"/>
    </row>
    <row r="7" spans="1:12" ht="16.5" customHeight="1" x14ac:dyDescent="0.2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 x14ac:dyDescent="0.2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44228</v>
      </c>
      <c r="B9" s="116">
        <v>2559</v>
      </c>
      <c r="C9" s="115">
        <v>0</v>
      </c>
      <c r="D9" s="57">
        <v>101789.4</v>
      </c>
      <c r="E9" s="152">
        <v>103.79999999998836</v>
      </c>
      <c r="F9" s="51">
        <v>10308480</v>
      </c>
      <c r="G9" s="50">
        <v>2393</v>
      </c>
      <c r="H9" s="51">
        <v>17320621</v>
      </c>
      <c r="I9" s="50">
        <v>3449</v>
      </c>
      <c r="J9" s="51">
        <v>7670453</v>
      </c>
      <c r="K9" s="50">
        <v>1598</v>
      </c>
    </row>
    <row r="10" spans="1:12" ht="19.5" x14ac:dyDescent="0.3">
      <c r="A10" s="59">
        <v>44229</v>
      </c>
      <c r="B10" s="116">
        <v>2559</v>
      </c>
      <c r="C10" s="115">
        <v>0</v>
      </c>
      <c r="D10" s="57">
        <v>101919.7</v>
      </c>
      <c r="E10" s="146">
        <f>D10-D9</f>
        <v>130.30000000000291</v>
      </c>
      <c r="F10" s="51">
        <v>10310848</v>
      </c>
      <c r="G10" s="50">
        <f t="shared" ref="G10:G37" si="0">F10-F9</f>
        <v>2368</v>
      </c>
      <c r="H10" s="51">
        <v>17324304</v>
      </c>
      <c r="I10" s="50">
        <f t="shared" ref="I10:I37" si="1">H10-H9</f>
        <v>3683</v>
      </c>
      <c r="J10" s="51">
        <v>7672341</v>
      </c>
      <c r="K10" s="50">
        <f t="shared" ref="K10:K37" si="2">J10-J9</f>
        <v>1888</v>
      </c>
    </row>
    <row r="11" spans="1:12" ht="19.5" x14ac:dyDescent="0.3">
      <c r="A11" s="59">
        <v>44230</v>
      </c>
      <c r="B11" s="116">
        <v>2559</v>
      </c>
      <c r="C11" s="115">
        <v>0</v>
      </c>
      <c r="D11" s="57">
        <v>101974.8</v>
      </c>
      <c r="E11" s="146">
        <f t="shared" ref="E11:E37" si="3">D11-D10</f>
        <v>55.100000000005821</v>
      </c>
      <c r="F11" s="51">
        <v>10313340</v>
      </c>
      <c r="G11" s="50">
        <f t="shared" si="0"/>
        <v>2492</v>
      </c>
      <c r="H11" s="51">
        <v>17328133</v>
      </c>
      <c r="I11" s="50">
        <f t="shared" si="1"/>
        <v>3829</v>
      </c>
      <c r="J11" s="51">
        <v>7674065</v>
      </c>
      <c r="K11" s="50">
        <f t="shared" si="2"/>
        <v>1724</v>
      </c>
    </row>
    <row r="12" spans="1:12" ht="19.5" x14ac:dyDescent="0.3">
      <c r="A12" s="59">
        <v>44231</v>
      </c>
      <c r="B12" s="116">
        <v>2559</v>
      </c>
      <c r="C12" s="115">
        <v>0</v>
      </c>
      <c r="D12" s="57">
        <v>102025.1</v>
      </c>
      <c r="E12" s="146">
        <f t="shared" si="3"/>
        <v>50.30000000000291</v>
      </c>
      <c r="F12" s="51">
        <v>10315912</v>
      </c>
      <c r="G12" s="50">
        <f t="shared" si="0"/>
        <v>2572</v>
      </c>
      <c r="H12" s="51">
        <v>17331771</v>
      </c>
      <c r="I12" s="50">
        <f t="shared" si="1"/>
        <v>3638</v>
      </c>
      <c r="J12" s="51">
        <v>7675842</v>
      </c>
      <c r="K12" s="50">
        <f t="shared" si="2"/>
        <v>1777</v>
      </c>
    </row>
    <row r="13" spans="1:12" ht="19.5" x14ac:dyDescent="0.3">
      <c r="A13" s="59">
        <v>44232</v>
      </c>
      <c r="B13" s="116">
        <v>2559</v>
      </c>
      <c r="C13" s="115">
        <v>0</v>
      </c>
      <c r="D13" s="57">
        <v>102097</v>
      </c>
      <c r="E13" s="146">
        <f t="shared" si="3"/>
        <v>71.899999999994179</v>
      </c>
      <c r="F13" s="51">
        <v>10318799</v>
      </c>
      <c r="G13" s="50">
        <f t="shared" si="0"/>
        <v>2887</v>
      </c>
      <c r="H13" s="51">
        <v>17335862</v>
      </c>
      <c r="I13" s="50">
        <f t="shared" si="1"/>
        <v>4091</v>
      </c>
      <c r="J13" s="51">
        <v>7677862</v>
      </c>
      <c r="K13" s="50">
        <f t="shared" si="2"/>
        <v>2020</v>
      </c>
    </row>
    <row r="14" spans="1:12" ht="19.5" x14ac:dyDescent="0.3">
      <c r="A14" s="59">
        <v>44233</v>
      </c>
      <c r="B14" s="116">
        <v>2559</v>
      </c>
      <c r="C14" s="115">
        <v>0</v>
      </c>
      <c r="D14" s="57">
        <v>102170</v>
      </c>
      <c r="E14" s="146">
        <f t="shared" si="3"/>
        <v>73</v>
      </c>
      <c r="F14" s="51">
        <v>10321177</v>
      </c>
      <c r="G14" s="50">
        <f t="shared" si="0"/>
        <v>2378</v>
      </c>
      <c r="H14" s="51">
        <v>17340100</v>
      </c>
      <c r="I14" s="50">
        <f t="shared" si="1"/>
        <v>4238</v>
      </c>
      <c r="J14" s="51">
        <v>7679759</v>
      </c>
      <c r="K14" s="50">
        <f t="shared" si="2"/>
        <v>1897</v>
      </c>
    </row>
    <row r="15" spans="1:12" ht="19.5" x14ac:dyDescent="0.3">
      <c r="A15" s="59">
        <v>44234</v>
      </c>
      <c r="B15" s="116">
        <v>2559</v>
      </c>
      <c r="C15" s="115">
        <f t="shared" ref="C15:C37" si="4">B15-B14</f>
        <v>0</v>
      </c>
      <c r="D15" s="57">
        <v>102221</v>
      </c>
      <c r="E15" s="146">
        <f t="shared" si="3"/>
        <v>51</v>
      </c>
      <c r="F15" s="51">
        <v>10323524</v>
      </c>
      <c r="G15" s="50">
        <f t="shared" si="0"/>
        <v>2347</v>
      </c>
      <c r="H15" s="51">
        <v>17343668</v>
      </c>
      <c r="I15" s="50">
        <f t="shared" si="1"/>
        <v>3568</v>
      </c>
      <c r="J15" s="51">
        <v>7681439</v>
      </c>
      <c r="K15" s="50">
        <f t="shared" si="2"/>
        <v>1680</v>
      </c>
    </row>
    <row r="16" spans="1:12" ht="19.5" x14ac:dyDescent="0.3">
      <c r="A16" s="59">
        <v>44235</v>
      </c>
      <c r="B16" s="116">
        <v>2559</v>
      </c>
      <c r="C16" s="115">
        <f t="shared" si="4"/>
        <v>0</v>
      </c>
      <c r="D16" s="57">
        <v>102289</v>
      </c>
      <c r="E16" s="146">
        <f t="shared" si="3"/>
        <v>68</v>
      </c>
      <c r="F16" s="51">
        <v>10325839</v>
      </c>
      <c r="G16" s="50">
        <f t="shared" si="0"/>
        <v>2315</v>
      </c>
      <c r="H16" s="51">
        <v>17347206</v>
      </c>
      <c r="I16" s="50">
        <f t="shared" si="1"/>
        <v>3538</v>
      </c>
      <c r="J16" s="51">
        <v>7682950</v>
      </c>
      <c r="K16" s="50">
        <f t="shared" si="2"/>
        <v>1511</v>
      </c>
    </row>
    <row r="17" spans="1:29" ht="19.5" x14ac:dyDescent="0.3">
      <c r="A17" s="59">
        <v>44236</v>
      </c>
      <c r="B17" s="116">
        <v>2559</v>
      </c>
      <c r="C17" s="115">
        <f t="shared" si="4"/>
        <v>0</v>
      </c>
      <c r="D17" s="57">
        <v>102353.8</v>
      </c>
      <c r="E17" s="146">
        <f t="shared" si="3"/>
        <v>64.80000000000291</v>
      </c>
      <c r="F17" s="51">
        <v>10327587</v>
      </c>
      <c r="G17" s="50">
        <f t="shared" si="0"/>
        <v>1748</v>
      </c>
      <c r="H17" s="51">
        <v>17350742</v>
      </c>
      <c r="I17" s="50">
        <f t="shared" si="1"/>
        <v>3536</v>
      </c>
      <c r="J17" s="51">
        <v>7684477</v>
      </c>
      <c r="K17" s="50">
        <f t="shared" si="2"/>
        <v>1527</v>
      </c>
    </row>
    <row r="18" spans="1:29" ht="19.5" x14ac:dyDescent="0.3">
      <c r="A18" s="59">
        <v>44237</v>
      </c>
      <c r="B18" s="116">
        <v>2559</v>
      </c>
      <c r="C18" s="115">
        <f t="shared" si="4"/>
        <v>0</v>
      </c>
      <c r="D18" s="57">
        <v>102385.8</v>
      </c>
      <c r="E18" s="146">
        <f t="shared" si="3"/>
        <v>32</v>
      </c>
      <c r="F18" s="51">
        <v>10330245</v>
      </c>
      <c r="G18" s="50">
        <f t="shared" si="0"/>
        <v>2658</v>
      </c>
      <c r="H18" s="51">
        <v>17354364</v>
      </c>
      <c r="I18" s="50">
        <f t="shared" si="1"/>
        <v>3622</v>
      </c>
      <c r="J18" s="51">
        <v>7686070</v>
      </c>
      <c r="K18" s="50">
        <f t="shared" si="2"/>
        <v>1593</v>
      </c>
    </row>
    <row r="19" spans="1:29" ht="19.5" x14ac:dyDescent="0.3">
      <c r="A19" s="59">
        <v>44238</v>
      </c>
      <c r="B19" s="116">
        <v>2559</v>
      </c>
      <c r="C19" s="115">
        <f t="shared" si="4"/>
        <v>0</v>
      </c>
      <c r="D19" s="57">
        <v>102446.3</v>
      </c>
      <c r="E19" s="146">
        <f t="shared" si="3"/>
        <v>60.5</v>
      </c>
      <c r="F19" s="51">
        <v>10332359</v>
      </c>
      <c r="G19" s="50">
        <f t="shared" si="0"/>
        <v>2114</v>
      </c>
      <c r="H19" s="51">
        <v>17358475</v>
      </c>
      <c r="I19" s="50">
        <f t="shared" si="1"/>
        <v>4111</v>
      </c>
      <c r="J19" s="51">
        <v>7688039</v>
      </c>
      <c r="K19" s="50">
        <f t="shared" si="2"/>
        <v>1969</v>
      </c>
    </row>
    <row r="20" spans="1:29" ht="21" customHeight="1" x14ac:dyDescent="0.35">
      <c r="A20" s="59">
        <v>44239</v>
      </c>
      <c r="B20" s="116">
        <v>2559</v>
      </c>
      <c r="C20" s="115">
        <f t="shared" si="4"/>
        <v>0</v>
      </c>
      <c r="D20" s="57">
        <v>102514.7</v>
      </c>
      <c r="E20" s="146">
        <f t="shared" si="3"/>
        <v>68.399999999994179</v>
      </c>
      <c r="F20" s="51">
        <v>10334977</v>
      </c>
      <c r="G20" s="50">
        <f t="shared" si="0"/>
        <v>2618</v>
      </c>
      <c r="H20" s="51">
        <v>17362235</v>
      </c>
      <c r="I20" s="50">
        <f t="shared" si="1"/>
        <v>3760</v>
      </c>
      <c r="J20" s="51">
        <v>7689620</v>
      </c>
      <c r="K20" s="50">
        <f t="shared" si="2"/>
        <v>1581</v>
      </c>
      <c r="L20" s="117" t="s">
        <v>18</v>
      </c>
      <c r="AC20" t="s">
        <v>56</v>
      </c>
    </row>
    <row r="21" spans="1:29" ht="19.5" x14ac:dyDescent="0.3">
      <c r="A21" s="59">
        <v>44240</v>
      </c>
      <c r="B21" s="116">
        <v>2559</v>
      </c>
      <c r="C21" s="115">
        <f t="shared" si="4"/>
        <v>0</v>
      </c>
      <c r="D21" s="57">
        <v>102600.2</v>
      </c>
      <c r="E21" s="146">
        <f t="shared" si="3"/>
        <v>85.5</v>
      </c>
      <c r="F21" s="51">
        <v>10337420</v>
      </c>
      <c r="G21" s="50">
        <f t="shared" si="0"/>
        <v>2443</v>
      </c>
      <c r="H21" s="51">
        <v>17365813</v>
      </c>
      <c r="I21" s="50">
        <f t="shared" si="1"/>
        <v>3578</v>
      </c>
      <c r="J21" s="51">
        <v>7691314</v>
      </c>
      <c r="K21" s="50">
        <f t="shared" si="2"/>
        <v>1694</v>
      </c>
    </row>
    <row r="22" spans="1:29" ht="19.5" x14ac:dyDescent="0.3">
      <c r="A22" s="59">
        <v>44241</v>
      </c>
      <c r="B22" s="116">
        <v>2559</v>
      </c>
      <c r="C22" s="115">
        <f t="shared" si="4"/>
        <v>0</v>
      </c>
      <c r="D22" s="57">
        <v>102702.6</v>
      </c>
      <c r="E22" s="146">
        <f t="shared" si="3"/>
        <v>102.40000000000873</v>
      </c>
      <c r="F22" s="51">
        <v>10339963</v>
      </c>
      <c r="G22" s="50">
        <f t="shared" si="0"/>
        <v>2543</v>
      </c>
      <c r="H22" s="51">
        <v>17369427</v>
      </c>
      <c r="I22" s="50">
        <f t="shared" si="1"/>
        <v>3614</v>
      </c>
      <c r="J22" s="51">
        <v>7693164</v>
      </c>
      <c r="K22" s="50">
        <f t="shared" si="2"/>
        <v>1850</v>
      </c>
    </row>
    <row r="23" spans="1:29" ht="19.5" x14ac:dyDescent="0.3">
      <c r="A23" s="59">
        <v>44242</v>
      </c>
      <c r="B23" s="116">
        <v>2559</v>
      </c>
      <c r="C23" s="115">
        <f t="shared" si="4"/>
        <v>0</v>
      </c>
      <c r="D23" s="57">
        <v>102771.9</v>
      </c>
      <c r="E23" s="146">
        <f t="shared" si="3"/>
        <v>69.299999999988358</v>
      </c>
      <c r="F23" s="51">
        <v>10342221</v>
      </c>
      <c r="G23" s="50">
        <f t="shared" si="0"/>
        <v>2258</v>
      </c>
      <c r="H23" s="51">
        <v>17373147</v>
      </c>
      <c r="I23" s="50">
        <f t="shared" si="1"/>
        <v>3720</v>
      </c>
      <c r="J23" s="51">
        <v>7695000</v>
      </c>
      <c r="K23" s="50">
        <f t="shared" si="2"/>
        <v>1836</v>
      </c>
    </row>
    <row r="24" spans="1:29" ht="19.5" x14ac:dyDescent="0.3">
      <c r="A24" s="59">
        <v>44243</v>
      </c>
      <c r="B24" s="116">
        <v>2559</v>
      </c>
      <c r="C24" s="115">
        <f t="shared" si="4"/>
        <v>0</v>
      </c>
      <c r="D24" s="57">
        <v>102859.1</v>
      </c>
      <c r="E24" s="146">
        <f t="shared" si="3"/>
        <v>87.200000000011642</v>
      </c>
      <c r="F24" s="51">
        <v>10344718</v>
      </c>
      <c r="G24" s="50">
        <f t="shared" si="0"/>
        <v>2497</v>
      </c>
      <c r="H24" s="51">
        <v>17377186</v>
      </c>
      <c r="I24" s="50">
        <f t="shared" si="1"/>
        <v>4039</v>
      </c>
      <c r="J24" s="51">
        <v>7696913</v>
      </c>
      <c r="K24" s="50">
        <f t="shared" si="2"/>
        <v>1913</v>
      </c>
    </row>
    <row r="25" spans="1:29" ht="19.5" x14ac:dyDescent="0.3">
      <c r="A25" s="59">
        <v>44244</v>
      </c>
      <c r="B25" s="116">
        <v>2559</v>
      </c>
      <c r="C25" s="115">
        <f t="shared" si="4"/>
        <v>0</v>
      </c>
      <c r="D25" s="57">
        <v>102900.3</v>
      </c>
      <c r="E25" s="146">
        <f t="shared" si="3"/>
        <v>41.19999999999709</v>
      </c>
      <c r="F25" s="51">
        <v>10346927</v>
      </c>
      <c r="G25" s="50">
        <f t="shared" si="0"/>
        <v>2209</v>
      </c>
      <c r="H25" s="51">
        <v>17381130</v>
      </c>
      <c r="I25" s="50">
        <f t="shared" si="1"/>
        <v>3944</v>
      </c>
      <c r="J25" s="51">
        <v>7698787</v>
      </c>
      <c r="K25" s="50">
        <f t="shared" si="2"/>
        <v>1874</v>
      </c>
    </row>
    <row r="26" spans="1:29" ht="19.5" x14ac:dyDescent="0.3">
      <c r="A26" s="59">
        <v>44245</v>
      </c>
      <c r="B26" s="116">
        <v>2559</v>
      </c>
      <c r="C26" s="115">
        <f t="shared" si="4"/>
        <v>0</v>
      </c>
      <c r="D26" s="57">
        <v>103000.9</v>
      </c>
      <c r="E26" s="146">
        <f t="shared" si="3"/>
        <v>100.59999999999127</v>
      </c>
      <c r="F26" s="51">
        <v>10349500</v>
      </c>
      <c r="G26" s="50">
        <f t="shared" si="0"/>
        <v>2573</v>
      </c>
      <c r="H26" s="51">
        <v>17385477</v>
      </c>
      <c r="I26" s="50">
        <f t="shared" si="1"/>
        <v>4347</v>
      </c>
      <c r="J26" s="51">
        <v>7700777</v>
      </c>
      <c r="K26" s="50">
        <f t="shared" si="2"/>
        <v>1990</v>
      </c>
    </row>
    <row r="27" spans="1:29" ht="19.5" x14ac:dyDescent="0.3">
      <c r="A27" s="59">
        <v>44246</v>
      </c>
      <c r="B27" s="116">
        <v>2559</v>
      </c>
      <c r="C27" s="115">
        <f t="shared" si="4"/>
        <v>0</v>
      </c>
      <c r="D27" s="57">
        <v>103117.3</v>
      </c>
      <c r="E27" s="146">
        <f t="shared" si="3"/>
        <v>116.40000000000873</v>
      </c>
      <c r="F27" s="51">
        <v>10352102</v>
      </c>
      <c r="G27" s="50">
        <f t="shared" si="0"/>
        <v>2602</v>
      </c>
      <c r="H27" s="51">
        <v>17389733</v>
      </c>
      <c r="I27" s="50">
        <f t="shared" si="1"/>
        <v>4256</v>
      </c>
      <c r="J27" s="51">
        <v>7702830</v>
      </c>
      <c r="K27" s="50">
        <f t="shared" si="2"/>
        <v>2053</v>
      </c>
    </row>
    <row r="28" spans="1:29" ht="19.5" x14ac:dyDescent="0.3">
      <c r="A28" s="59">
        <v>44247</v>
      </c>
      <c r="B28" s="116">
        <v>2559</v>
      </c>
      <c r="C28" s="115">
        <f t="shared" si="4"/>
        <v>0</v>
      </c>
      <c r="D28" s="57">
        <v>103222.3</v>
      </c>
      <c r="E28" s="146">
        <f t="shared" si="3"/>
        <v>105</v>
      </c>
      <c r="F28" s="51">
        <v>10354852</v>
      </c>
      <c r="G28" s="50">
        <f t="shared" si="0"/>
        <v>2750</v>
      </c>
      <c r="H28" s="51">
        <v>17394231</v>
      </c>
      <c r="I28" s="50">
        <f t="shared" si="1"/>
        <v>4498</v>
      </c>
      <c r="J28" s="51">
        <v>7704797</v>
      </c>
      <c r="K28" s="50">
        <f t="shared" si="2"/>
        <v>1967</v>
      </c>
    </row>
    <row r="29" spans="1:29" ht="19.5" x14ac:dyDescent="0.3">
      <c r="A29" s="59">
        <v>44248</v>
      </c>
      <c r="B29" s="116">
        <v>2559</v>
      </c>
      <c r="C29" s="115">
        <f t="shared" si="4"/>
        <v>0</v>
      </c>
      <c r="D29" s="57">
        <v>103314.2</v>
      </c>
      <c r="E29" s="146">
        <f t="shared" si="3"/>
        <v>91.899999999994179</v>
      </c>
      <c r="F29" s="51">
        <v>10357046</v>
      </c>
      <c r="G29" s="50">
        <f t="shared" si="0"/>
        <v>2194</v>
      </c>
      <c r="H29" s="51">
        <v>17397813</v>
      </c>
      <c r="I29" s="50">
        <f t="shared" si="1"/>
        <v>3582</v>
      </c>
      <c r="J29" s="51">
        <v>7706536</v>
      </c>
      <c r="K29" s="50">
        <f t="shared" si="2"/>
        <v>1739</v>
      </c>
    </row>
    <row r="30" spans="1:29" ht="19.5" x14ac:dyDescent="0.3">
      <c r="A30" s="59">
        <v>44249</v>
      </c>
      <c r="B30" s="116">
        <v>2559</v>
      </c>
      <c r="C30" s="115">
        <f t="shared" si="4"/>
        <v>0</v>
      </c>
      <c r="D30" s="57">
        <v>103400.3</v>
      </c>
      <c r="E30" s="146">
        <f t="shared" si="3"/>
        <v>86.100000000005821</v>
      </c>
      <c r="F30" s="51">
        <v>10359371</v>
      </c>
      <c r="G30" s="50">
        <f t="shared" si="0"/>
        <v>2325</v>
      </c>
      <c r="H30" s="51">
        <v>17401252</v>
      </c>
      <c r="I30" s="50">
        <f t="shared" si="1"/>
        <v>3439</v>
      </c>
      <c r="J30" s="51">
        <v>7708061</v>
      </c>
      <c r="K30" s="50">
        <f t="shared" si="2"/>
        <v>1525</v>
      </c>
    </row>
    <row r="31" spans="1:29" ht="19.5" x14ac:dyDescent="0.3">
      <c r="A31" s="59">
        <v>44250</v>
      </c>
      <c r="B31" s="116">
        <v>2559</v>
      </c>
      <c r="C31" s="115">
        <f t="shared" si="4"/>
        <v>0</v>
      </c>
      <c r="D31" s="57">
        <v>103468.4</v>
      </c>
      <c r="E31" s="146">
        <f t="shared" si="3"/>
        <v>68.099999999991269</v>
      </c>
      <c r="F31" s="51">
        <v>10361742</v>
      </c>
      <c r="G31" s="50">
        <f t="shared" si="0"/>
        <v>2371</v>
      </c>
      <c r="H31" s="51">
        <v>17405202</v>
      </c>
      <c r="I31" s="50">
        <f t="shared" si="1"/>
        <v>3950</v>
      </c>
      <c r="J31" s="51">
        <v>7709883</v>
      </c>
      <c r="K31" s="50">
        <f t="shared" si="2"/>
        <v>1822</v>
      </c>
    </row>
    <row r="32" spans="1:29" ht="19.5" x14ac:dyDescent="0.3">
      <c r="A32" s="59">
        <v>44251</v>
      </c>
      <c r="B32" s="116">
        <v>2559</v>
      </c>
      <c r="C32" s="115">
        <f t="shared" si="4"/>
        <v>0</v>
      </c>
      <c r="D32" s="57">
        <v>103521.7</v>
      </c>
      <c r="E32" s="146">
        <f t="shared" si="3"/>
        <v>53.30000000000291</v>
      </c>
      <c r="F32" s="51">
        <v>10364250</v>
      </c>
      <c r="G32" s="50">
        <f t="shared" si="0"/>
        <v>2508</v>
      </c>
      <c r="H32" s="51">
        <v>17408905</v>
      </c>
      <c r="I32" s="50">
        <f t="shared" si="1"/>
        <v>3703</v>
      </c>
      <c r="J32" s="51">
        <v>7711777</v>
      </c>
      <c r="K32" s="50">
        <f t="shared" si="2"/>
        <v>1894</v>
      </c>
    </row>
    <row r="33" spans="1:11" ht="19.5" x14ac:dyDescent="0.3">
      <c r="A33" s="59">
        <v>44252</v>
      </c>
      <c r="B33" s="116">
        <v>2559</v>
      </c>
      <c r="C33" s="115">
        <f t="shared" si="4"/>
        <v>0</v>
      </c>
      <c r="D33" s="57">
        <v>103587.8</v>
      </c>
      <c r="E33" s="146">
        <f t="shared" si="3"/>
        <v>66.100000000005821</v>
      </c>
      <c r="F33" s="51">
        <v>10366621</v>
      </c>
      <c r="G33" s="50">
        <f t="shared" si="0"/>
        <v>2371</v>
      </c>
      <c r="H33" s="51">
        <v>17412713</v>
      </c>
      <c r="I33" s="50">
        <f t="shared" si="1"/>
        <v>3808</v>
      </c>
      <c r="J33" s="51">
        <v>7713607</v>
      </c>
      <c r="K33" s="50">
        <f t="shared" si="2"/>
        <v>1830</v>
      </c>
    </row>
    <row r="34" spans="1:11" ht="19.5" x14ac:dyDescent="0.3">
      <c r="A34" s="59">
        <v>44253</v>
      </c>
      <c r="B34" s="116">
        <v>2559</v>
      </c>
      <c r="C34" s="115">
        <f t="shared" si="4"/>
        <v>0</v>
      </c>
      <c r="D34" s="57">
        <v>103668</v>
      </c>
      <c r="E34" s="146">
        <f t="shared" si="3"/>
        <v>80.19999999999709</v>
      </c>
      <c r="F34" s="51">
        <v>10369109</v>
      </c>
      <c r="G34" s="50">
        <f t="shared" si="0"/>
        <v>2488</v>
      </c>
      <c r="H34" s="51">
        <v>17416374</v>
      </c>
      <c r="I34" s="50">
        <f t="shared" si="1"/>
        <v>3661</v>
      </c>
      <c r="J34" s="51">
        <v>7715277</v>
      </c>
      <c r="K34" s="50">
        <f t="shared" si="2"/>
        <v>1670</v>
      </c>
    </row>
    <row r="35" spans="1:11" ht="19.5" x14ac:dyDescent="0.3">
      <c r="A35" s="59">
        <v>44254</v>
      </c>
      <c r="B35" s="116">
        <v>2559</v>
      </c>
      <c r="C35" s="115">
        <f t="shared" si="4"/>
        <v>0</v>
      </c>
      <c r="D35" s="57">
        <v>103751</v>
      </c>
      <c r="E35" s="146">
        <f t="shared" si="3"/>
        <v>83</v>
      </c>
      <c r="F35" s="51">
        <v>10371430</v>
      </c>
      <c r="G35" s="50">
        <f t="shared" si="0"/>
        <v>2321</v>
      </c>
      <c r="H35" s="51">
        <v>17419961</v>
      </c>
      <c r="I35" s="50">
        <f t="shared" si="1"/>
        <v>3587</v>
      </c>
      <c r="J35" s="51">
        <v>7716829</v>
      </c>
      <c r="K35" s="50">
        <f t="shared" si="2"/>
        <v>1552</v>
      </c>
    </row>
    <row r="36" spans="1:11" ht="19.5" x14ac:dyDescent="0.3">
      <c r="A36" s="59">
        <v>44255</v>
      </c>
      <c r="B36" s="116">
        <v>2559</v>
      </c>
      <c r="C36" s="115">
        <f t="shared" si="4"/>
        <v>0</v>
      </c>
      <c r="D36" s="57">
        <v>103827</v>
      </c>
      <c r="E36" s="146">
        <f t="shared" si="3"/>
        <v>76</v>
      </c>
      <c r="F36" s="51">
        <v>10374170</v>
      </c>
      <c r="G36" s="50">
        <f t="shared" si="0"/>
        <v>2740</v>
      </c>
      <c r="H36" s="51">
        <v>17423883</v>
      </c>
      <c r="I36" s="50">
        <f t="shared" si="1"/>
        <v>3922</v>
      </c>
      <c r="J36" s="51">
        <v>7718859</v>
      </c>
      <c r="K36" s="50">
        <f t="shared" si="2"/>
        <v>2030</v>
      </c>
    </row>
    <row r="37" spans="1:11" ht="21" thickTop="1" thickBot="1" x14ac:dyDescent="0.35">
      <c r="A37" s="59">
        <v>44256</v>
      </c>
      <c r="B37" s="116">
        <v>2559</v>
      </c>
      <c r="C37" s="115">
        <f t="shared" si="4"/>
        <v>0</v>
      </c>
      <c r="D37" s="57">
        <v>103904.7</v>
      </c>
      <c r="E37" s="146">
        <f t="shared" si="3"/>
        <v>77.69999999999709</v>
      </c>
      <c r="F37" s="51">
        <v>10376672</v>
      </c>
      <c r="G37" s="50">
        <f t="shared" si="0"/>
        <v>2502</v>
      </c>
      <c r="H37" s="51">
        <v>17427936</v>
      </c>
      <c r="I37" s="50">
        <f t="shared" si="1"/>
        <v>4053</v>
      </c>
      <c r="J37" s="51">
        <v>7720843</v>
      </c>
      <c r="K37" s="50">
        <f t="shared" si="2"/>
        <v>1984</v>
      </c>
    </row>
    <row r="38" spans="1:11" ht="24" customHeight="1" thickTop="1" x14ac:dyDescent="0.3">
      <c r="A38" s="52"/>
      <c r="B38" s="52"/>
      <c r="C38" s="52"/>
    </row>
    <row r="39" spans="1:11" x14ac:dyDescent="0.25">
      <c r="A39" s="48"/>
      <c r="B39" s="48"/>
      <c r="C39" s="48"/>
    </row>
    <row r="40" spans="1:11" x14ac:dyDescent="0.25">
      <c r="A40" s="48"/>
      <c r="B40" s="48"/>
      <c r="C40" s="48"/>
    </row>
    <row r="41" spans="1:11" x14ac:dyDescent="0.25">
      <c r="A41" s="165"/>
      <c r="B41" s="165"/>
      <c r="C41" s="165"/>
    </row>
    <row r="42" spans="1:11" x14ac:dyDescent="0.25">
      <c r="A42" s="165"/>
      <c r="B42" s="165"/>
      <c r="C42" s="165"/>
    </row>
    <row r="43" spans="1:11" x14ac:dyDescent="0.25">
      <c r="A43" s="165"/>
      <c r="B43" s="165"/>
      <c r="C43" s="16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0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8" sqref="P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 x14ac:dyDescent="0.4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49">
        <f>6049*4</f>
        <v>24196</v>
      </c>
      <c r="N4" s="39">
        <f>L4*M4/100</f>
        <v>665.39</v>
      </c>
      <c r="O4" s="39">
        <f>N4*0.529</f>
        <v>351.99131</v>
      </c>
      <c r="P4" s="42">
        <f>O4*9.91</f>
        <v>3488.2338820999998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49">
        <f>6049*4</f>
        <v>24196</v>
      </c>
      <c r="N5" s="39">
        <f t="shared" ref="N5:N31" si="6">L5*M5/100</f>
        <v>786.37</v>
      </c>
      <c r="O5" s="39">
        <f t="shared" ref="O5:O31" si="7">N5*0.529</f>
        <v>415.98973000000001</v>
      </c>
      <c r="P5" s="42">
        <f t="shared" ref="P5:P31" si="8">O5*9.91</f>
        <v>4122.4582243000004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44230</v>
      </c>
      <c r="B6" s="41">
        <v>74</v>
      </c>
      <c r="C6" s="39">
        <f t="shared" ref="C6:C19" si="9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10">IF(AC6&gt;0,((F6-X6)+(Y6-F7)),IF(F7=0, ,(F6-F7)))</f>
        <v>3</v>
      </c>
      <c r="H6" s="41">
        <v>70</v>
      </c>
      <c r="I6" s="39">
        <f t="shared" ref="I6:I36" si="11">IF(AC6&gt;0,((H6-AA6)+(AB6-H7)),IF(H7=0, ,(H6-H7)))</f>
        <v>1</v>
      </c>
      <c r="J6" s="39">
        <f t="shared" ref="J6:J42" si="12">B6+D6+F6+H6</f>
        <v>293</v>
      </c>
      <c r="K6" s="39">
        <f t="shared" ref="K6:K42" si="13">J6/4</f>
        <v>73.25</v>
      </c>
      <c r="L6" s="39">
        <f t="shared" ref="L6:L19" si="14">IF(AC6&gt;0,((K6-AD6)+(AE6-K7)),IF(K7=0, ,(K6-K7)))</f>
        <v>3</v>
      </c>
      <c r="M6" s="149">
        <f>6049*4</f>
        <v>24196</v>
      </c>
      <c r="N6" s="39">
        <f t="shared" si="6"/>
        <v>725.88</v>
      </c>
      <c r="O6" s="39">
        <f t="shared" si="7"/>
        <v>383.99052</v>
      </c>
      <c r="P6" s="42">
        <f t="shared" si="8"/>
        <v>3805.3460531999999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44231</v>
      </c>
      <c r="B7" s="41">
        <v>70</v>
      </c>
      <c r="C7" s="39">
        <f t="shared" si="9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11"/>
        <v>4</v>
      </c>
      <c r="J7" s="39">
        <f t="shared" si="12"/>
        <v>281</v>
      </c>
      <c r="K7" s="39">
        <f t="shared" si="13"/>
        <v>70.25</v>
      </c>
      <c r="L7" s="39">
        <f t="shared" si="14"/>
        <v>3</v>
      </c>
      <c r="M7" s="149">
        <f>6049*4</f>
        <v>24196</v>
      </c>
      <c r="N7" s="39">
        <f t="shared" si="6"/>
        <v>725.88</v>
      </c>
      <c r="O7" s="39">
        <f t="shared" si="7"/>
        <v>383.99052</v>
      </c>
      <c r="P7" s="42">
        <f t="shared" si="8"/>
        <v>3805.3460531999999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11"/>
        <v>3</v>
      </c>
      <c r="J8" s="39">
        <f t="shared" si="12"/>
        <v>269</v>
      </c>
      <c r="K8" s="39">
        <f t="shared" si="13"/>
        <v>67.25</v>
      </c>
      <c r="L8" s="39">
        <f t="shared" si="14"/>
        <v>2.75</v>
      </c>
      <c r="M8" s="149">
        <f>6049*4</f>
        <v>24196</v>
      </c>
      <c r="N8" s="39">
        <f t="shared" si="6"/>
        <v>665.39</v>
      </c>
      <c r="O8" s="39">
        <f t="shared" si="7"/>
        <v>351.99131</v>
      </c>
      <c r="P8" s="42">
        <f t="shared" si="8"/>
        <v>3488.2338820999998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11"/>
        <v>3</v>
      </c>
      <c r="J9" s="39">
        <f t="shared" si="12"/>
        <v>258</v>
      </c>
      <c r="K9" s="39">
        <f t="shared" si="13"/>
        <v>64.5</v>
      </c>
      <c r="L9" s="39">
        <f t="shared" si="14"/>
        <v>3.75</v>
      </c>
      <c r="M9" s="149">
        <f t="shared" ref="M9:M42" si="15">6049*4</f>
        <v>24196</v>
      </c>
      <c r="N9" s="39">
        <f t="shared" si="6"/>
        <v>907.35</v>
      </c>
      <c r="O9" s="39">
        <f t="shared" si="7"/>
        <v>479.98815000000002</v>
      </c>
      <c r="P9" s="42">
        <f t="shared" si="8"/>
        <v>4756.6825665000006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11"/>
        <v>4</v>
      </c>
      <c r="J10" s="39">
        <f t="shared" si="12"/>
        <v>243</v>
      </c>
      <c r="K10" s="39">
        <f t="shared" si="13"/>
        <v>60.75</v>
      </c>
      <c r="L10" s="39">
        <f t="shared" si="14"/>
        <v>4.5</v>
      </c>
      <c r="M10" s="149">
        <f t="shared" si="15"/>
        <v>24196</v>
      </c>
      <c r="N10" s="39">
        <f t="shared" si="6"/>
        <v>1088.82</v>
      </c>
      <c r="O10" s="39">
        <f t="shared" si="7"/>
        <v>575.98577999999998</v>
      </c>
      <c r="P10" s="42">
        <f t="shared" si="8"/>
        <v>5708.0190797999994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44235</v>
      </c>
      <c r="B11" s="41">
        <v>55</v>
      </c>
      <c r="C11" s="39">
        <f t="shared" si="9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10"/>
        <v>6</v>
      </c>
      <c r="H11" s="41">
        <v>55</v>
      </c>
      <c r="I11" s="39">
        <f t="shared" si="11"/>
        <v>0</v>
      </c>
      <c r="J11" s="39">
        <f t="shared" si="12"/>
        <v>225</v>
      </c>
      <c r="K11" s="39">
        <f t="shared" si="13"/>
        <v>56.25</v>
      </c>
      <c r="L11" s="39">
        <f t="shared" si="14"/>
        <v>1.75</v>
      </c>
      <c r="M11" s="149">
        <f t="shared" si="15"/>
        <v>24196</v>
      </c>
      <c r="N11" s="39">
        <f t="shared" si="6"/>
        <v>423.43</v>
      </c>
      <c r="O11" s="39">
        <f t="shared" si="7"/>
        <v>223.99447000000001</v>
      </c>
      <c r="P11" s="42">
        <f t="shared" si="8"/>
        <v>2219.7851977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 x14ac:dyDescent="0.3">
      <c r="A12" s="40">
        <v>44236</v>
      </c>
      <c r="B12" s="41">
        <v>75</v>
      </c>
      <c r="C12" s="39">
        <f t="shared" si="9"/>
        <v>3</v>
      </c>
      <c r="D12" s="41">
        <v>75</v>
      </c>
      <c r="E12" s="39">
        <f t="shared" si="16"/>
        <v>2</v>
      </c>
      <c r="F12" s="41">
        <v>76</v>
      </c>
      <c r="G12" s="39">
        <f t="shared" si="10"/>
        <v>2</v>
      </c>
      <c r="H12" s="41">
        <v>75</v>
      </c>
      <c r="I12" s="39">
        <f t="shared" si="11"/>
        <v>2</v>
      </c>
      <c r="J12" s="39">
        <f t="shared" si="12"/>
        <v>301</v>
      </c>
      <c r="K12" s="39">
        <f t="shared" si="13"/>
        <v>75.25</v>
      </c>
      <c r="L12" s="39">
        <f t="shared" si="14"/>
        <v>2.25</v>
      </c>
      <c r="M12" s="149">
        <f t="shared" si="15"/>
        <v>24196</v>
      </c>
      <c r="N12" s="39">
        <f t="shared" si="6"/>
        <v>544.41</v>
      </c>
      <c r="O12" s="39">
        <f t="shared" si="7"/>
        <v>287.99288999999999</v>
      </c>
      <c r="P12" s="42">
        <f t="shared" si="8"/>
        <v>2854.0095398999997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44237</v>
      </c>
      <c r="B13" s="41">
        <v>72</v>
      </c>
      <c r="C13" s="39">
        <f t="shared" si="9"/>
        <v>1</v>
      </c>
      <c r="D13" s="41">
        <v>73</v>
      </c>
      <c r="E13" s="39">
        <f t="shared" si="16"/>
        <v>2</v>
      </c>
      <c r="F13" s="41">
        <v>74</v>
      </c>
      <c r="G13" s="39">
        <f t="shared" si="10"/>
        <v>1</v>
      </c>
      <c r="H13" s="41">
        <v>73</v>
      </c>
      <c r="I13" s="39">
        <f t="shared" si="11"/>
        <v>2</v>
      </c>
      <c r="J13" s="39">
        <f t="shared" si="12"/>
        <v>292</v>
      </c>
      <c r="K13" s="39">
        <f t="shared" si="13"/>
        <v>73</v>
      </c>
      <c r="L13" s="39">
        <f t="shared" si="14"/>
        <v>1.5</v>
      </c>
      <c r="M13" s="149">
        <f t="shared" si="15"/>
        <v>24196</v>
      </c>
      <c r="N13" s="39">
        <f t="shared" si="6"/>
        <v>362.94</v>
      </c>
      <c r="O13" s="39">
        <f t="shared" si="7"/>
        <v>191.99526</v>
      </c>
      <c r="P13" s="42">
        <f t="shared" si="8"/>
        <v>1902.6730266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44238</v>
      </c>
      <c r="B14" s="41">
        <v>71</v>
      </c>
      <c r="C14" s="39">
        <f>IF(AC14&gt;0,((B14-R14)+(S14-B15)),IF(B15=0, ,(B14-B15)))</f>
        <v>2</v>
      </c>
      <c r="D14" s="41">
        <v>71</v>
      </c>
      <c r="E14" s="39">
        <f>IF(AC14&gt;0,((D14-U14)+(V14-D15)),IF(D15=0, ,(D14-D15)))</f>
        <v>1</v>
      </c>
      <c r="F14" s="41">
        <v>73</v>
      </c>
      <c r="G14" s="39">
        <f>IF(AC14&gt;0,((F14-X14)+(Y14-F15)),IF(F15=0, ,(F14-F15)))</f>
        <v>3</v>
      </c>
      <c r="H14" s="41">
        <v>71</v>
      </c>
      <c r="I14" s="39">
        <f>IF(AC14&gt;0,((H14-AA14)+(AB14-H15)),IF(H15=0, ,(H14-H15)))</f>
        <v>2</v>
      </c>
      <c r="J14" s="39">
        <f t="shared" si="12"/>
        <v>286</v>
      </c>
      <c r="K14" s="39">
        <f t="shared" si="13"/>
        <v>71.5</v>
      </c>
      <c r="L14" s="39">
        <f t="shared" si="14"/>
        <v>2</v>
      </c>
      <c r="M14" s="149">
        <f t="shared" si="15"/>
        <v>24196</v>
      </c>
      <c r="N14" s="39">
        <f t="shared" si="6"/>
        <v>483.92</v>
      </c>
      <c r="O14" s="39">
        <f t="shared" si="7"/>
        <v>255.99368000000001</v>
      </c>
      <c r="P14" s="42">
        <f t="shared" si="8"/>
        <v>2536.8973688000001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44239</v>
      </c>
      <c r="B15" s="41">
        <v>69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6</v>
      </c>
      <c r="F15" s="41">
        <v>70</v>
      </c>
      <c r="G15" s="39">
        <f>IF(AC15&gt;0,((F15-X15)+(Y15-F16)),IF(F16=0, ,(F15-F16)))</f>
        <v>4</v>
      </c>
      <c r="H15" s="41">
        <v>69</v>
      </c>
      <c r="I15" s="39">
        <f>IF(AC15&gt;0,((H15-AA15)+(AB15-H16)),IF(H16=0, ,(H15-H16)))</f>
        <v>5</v>
      </c>
      <c r="J15" s="39">
        <f t="shared" si="12"/>
        <v>278</v>
      </c>
      <c r="K15" s="39">
        <f t="shared" si="13"/>
        <v>69.5</v>
      </c>
      <c r="L15" s="39">
        <f t="shared" si="14"/>
        <v>5</v>
      </c>
      <c r="M15" s="149">
        <f>6049*4</f>
        <v>24196</v>
      </c>
      <c r="N15" s="39">
        <f t="shared" si="6"/>
        <v>1209.8</v>
      </c>
      <c r="O15" s="39">
        <f t="shared" si="7"/>
        <v>639.98419999999999</v>
      </c>
      <c r="P15" s="42">
        <f t="shared" si="8"/>
        <v>6342.2434219999996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44240</v>
      </c>
      <c r="B16" s="41">
        <v>64</v>
      </c>
      <c r="C16" s="39">
        <f t="shared" si="9"/>
        <v>4</v>
      </c>
      <c r="D16" s="41">
        <v>64</v>
      </c>
      <c r="E16" s="39">
        <f t="shared" si="16"/>
        <v>2</v>
      </c>
      <c r="F16" s="41">
        <v>66</v>
      </c>
      <c r="G16" s="39">
        <f t="shared" si="10"/>
        <v>4</v>
      </c>
      <c r="H16" s="41">
        <v>64</v>
      </c>
      <c r="I16" s="39">
        <f t="shared" si="11"/>
        <v>4</v>
      </c>
      <c r="J16" s="39">
        <f t="shared" si="12"/>
        <v>258</v>
      </c>
      <c r="K16" s="39">
        <f t="shared" si="13"/>
        <v>64.5</v>
      </c>
      <c r="L16" s="39">
        <f t="shared" si="14"/>
        <v>3.5</v>
      </c>
      <c r="M16" s="149">
        <f t="shared" si="15"/>
        <v>24196</v>
      </c>
      <c r="N16" s="39">
        <f t="shared" si="6"/>
        <v>846.86</v>
      </c>
      <c r="O16" s="39">
        <f t="shared" si="7"/>
        <v>447.98894000000001</v>
      </c>
      <c r="P16" s="42">
        <f t="shared" si="8"/>
        <v>4439.5703954000001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44241</v>
      </c>
      <c r="B17" s="41">
        <v>60</v>
      </c>
      <c r="C17" s="39">
        <f t="shared" si="9"/>
        <v>5</v>
      </c>
      <c r="D17" s="41">
        <v>62</v>
      </c>
      <c r="E17" s="39">
        <f t="shared" si="16"/>
        <v>8</v>
      </c>
      <c r="F17" s="41">
        <v>62</v>
      </c>
      <c r="G17" s="39">
        <f t="shared" si="10"/>
        <v>7</v>
      </c>
      <c r="H17" s="41">
        <v>60</v>
      </c>
      <c r="I17" s="39">
        <f t="shared" si="11"/>
        <v>4</v>
      </c>
      <c r="J17" s="39">
        <f t="shared" si="12"/>
        <v>244</v>
      </c>
      <c r="K17" s="39">
        <f t="shared" si="13"/>
        <v>61</v>
      </c>
      <c r="L17" s="39">
        <f t="shared" si="14"/>
        <v>6</v>
      </c>
      <c r="M17" s="39">
        <f t="shared" si="15"/>
        <v>24196</v>
      </c>
      <c r="N17" s="39">
        <f t="shared" si="6"/>
        <v>1451.76</v>
      </c>
      <c r="O17" s="39">
        <f t="shared" si="7"/>
        <v>767.98104000000001</v>
      </c>
      <c r="P17" s="42">
        <f t="shared" si="8"/>
        <v>7610.6921063999998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44242</v>
      </c>
      <c r="B18" s="41">
        <v>55</v>
      </c>
      <c r="C18" s="39">
        <f t="shared" si="9"/>
        <v>5</v>
      </c>
      <c r="D18" s="41">
        <v>54</v>
      </c>
      <c r="E18" s="39">
        <f t="shared" si="16"/>
        <v>5</v>
      </c>
      <c r="F18" s="41">
        <v>55</v>
      </c>
      <c r="G18" s="39">
        <f t="shared" si="10"/>
        <v>6</v>
      </c>
      <c r="H18" s="41">
        <v>56</v>
      </c>
      <c r="I18" s="39">
        <f t="shared" si="11"/>
        <v>6</v>
      </c>
      <c r="J18" s="39">
        <f t="shared" si="12"/>
        <v>220</v>
      </c>
      <c r="K18" s="39">
        <f t="shared" si="13"/>
        <v>55</v>
      </c>
      <c r="L18" s="39">
        <f t="shared" si="14"/>
        <v>5.5</v>
      </c>
      <c r="M18" s="39">
        <f t="shared" si="15"/>
        <v>24196</v>
      </c>
      <c r="N18" s="39">
        <f t="shared" si="6"/>
        <v>1330.78</v>
      </c>
      <c r="O18" s="39">
        <f t="shared" si="7"/>
        <v>703.98262</v>
      </c>
      <c r="P18" s="42">
        <f t="shared" si="8"/>
        <v>6976.4677641999997</v>
      </c>
      <c r="Q18" s="39">
        <v>2202</v>
      </c>
      <c r="R18" s="39">
        <v>50</v>
      </c>
      <c r="S18" s="39">
        <v>80</v>
      </c>
      <c r="T18" s="39">
        <v>2177</v>
      </c>
      <c r="U18" s="39">
        <v>50</v>
      </c>
      <c r="V18" s="39">
        <v>82</v>
      </c>
      <c r="W18" s="39">
        <v>2226</v>
      </c>
      <c r="X18" s="39">
        <v>50</v>
      </c>
      <c r="Y18" s="39">
        <v>82</v>
      </c>
      <c r="Z18" s="39">
        <v>2294</v>
      </c>
      <c r="AA18" s="39">
        <v>50</v>
      </c>
      <c r="AB18" s="39">
        <v>83</v>
      </c>
      <c r="AC18" s="39">
        <f t="shared" si="3"/>
        <v>8899</v>
      </c>
      <c r="AD18" s="38">
        <f t="shared" si="4"/>
        <v>50</v>
      </c>
      <c r="AE18" s="38">
        <f t="shared" si="5"/>
        <v>81.75</v>
      </c>
    </row>
    <row r="19" spans="1:31" ht="32.25" customHeight="1" x14ac:dyDescent="0.3">
      <c r="A19" s="40">
        <v>44243</v>
      </c>
      <c r="B19" s="41">
        <v>80</v>
      </c>
      <c r="C19" s="39">
        <f t="shared" si="9"/>
        <v>3</v>
      </c>
      <c r="D19" s="41">
        <v>81</v>
      </c>
      <c r="E19" s="39">
        <f>IF(AC19&gt;0,((D19-U19)+(V19-D20)),IF(D20=0, ,(D19-D20)))</f>
        <v>3</v>
      </c>
      <c r="F19" s="41">
        <v>81</v>
      </c>
      <c r="G19" s="39">
        <f t="shared" si="10"/>
        <v>3</v>
      </c>
      <c r="H19" s="41">
        <v>83</v>
      </c>
      <c r="I19" s="39">
        <f t="shared" si="11"/>
        <v>3</v>
      </c>
      <c r="J19" s="39">
        <f t="shared" si="12"/>
        <v>325</v>
      </c>
      <c r="K19" s="39">
        <f t="shared" si="13"/>
        <v>81.25</v>
      </c>
      <c r="L19" s="39">
        <f t="shared" si="14"/>
        <v>3</v>
      </c>
      <c r="M19" s="39">
        <f t="shared" si="15"/>
        <v>24196</v>
      </c>
      <c r="N19" s="39">
        <f t="shared" si="6"/>
        <v>725.88</v>
      </c>
      <c r="O19" s="39">
        <f t="shared" si="7"/>
        <v>383.99052</v>
      </c>
      <c r="P19" s="42">
        <f t="shared" si="8"/>
        <v>3805.3460531999999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44244</v>
      </c>
      <c r="B20" s="41">
        <v>77</v>
      </c>
      <c r="C20" s="39">
        <f>IF(AC20&gt;0,((B20-R20)+(S20-B21)),IF(B21=0, ,(B20-B21)))</f>
        <v>4</v>
      </c>
      <c r="D20" s="41">
        <v>78</v>
      </c>
      <c r="E20" s="39">
        <f t="shared" si="16"/>
        <v>4</v>
      </c>
      <c r="F20" s="41">
        <v>78</v>
      </c>
      <c r="G20" s="39">
        <f t="shared" si="10"/>
        <v>3</v>
      </c>
      <c r="H20" s="41">
        <v>80</v>
      </c>
      <c r="I20" s="39">
        <f t="shared" si="11"/>
        <v>3</v>
      </c>
      <c r="J20" s="39">
        <f t="shared" si="12"/>
        <v>313</v>
      </c>
      <c r="K20" s="39">
        <f t="shared" si="13"/>
        <v>78.25</v>
      </c>
      <c r="L20" s="39">
        <f t="shared" ref="L20:L42" si="17">IF(AC20&gt;0,((K20-AD20)+(AE20-K21)),IF(K21=0, ,(K20-K21)))</f>
        <v>3.5</v>
      </c>
      <c r="M20" s="39">
        <f t="shared" si="15"/>
        <v>24196</v>
      </c>
      <c r="N20" s="39">
        <f t="shared" si="6"/>
        <v>846.86</v>
      </c>
      <c r="O20" s="39">
        <f t="shared" si="7"/>
        <v>447.98894000000001</v>
      </c>
      <c r="P20" s="42">
        <f t="shared" si="8"/>
        <v>4439.5703954000001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44245</v>
      </c>
      <c r="B21" s="41">
        <v>73</v>
      </c>
      <c r="C21" s="39">
        <f t="shared" ref="C21:C35" si="18">IF(AC21&gt;0,((B21-R21)+(S21-B22)),IF(B22=0, ,(B21-B22)))</f>
        <v>3</v>
      </c>
      <c r="D21" s="41">
        <v>74</v>
      </c>
      <c r="E21" s="39">
        <f t="shared" si="16"/>
        <v>4</v>
      </c>
      <c r="F21" s="41">
        <v>75</v>
      </c>
      <c r="G21" s="39">
        <f>IF(AC21&gt;0,((F21-X21)+(Y21-F22)),IF(F22=0, ,(F21-F22)))</f>
        <v>4</v>
      </c>
      <c r="H21" s="41">
        <v>77</v>
      </c>
      <c r="I21" s="39">
        <f t="shared" si="11"/>
        <v>6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4.25</v>
      </c>
      <c r="M21" s="39">
        <f t="shared" si="15"/>
        <v>24196</v>
      </c>
      <c r="N21" s="39">
        <f t="shared" si="6"/>
        <v>1028.33</v>
      </c>
      <c r="O21" s="39">
        <f t="shared" si="7"/>
        <v>543.98657000000003</v>
      </c>
      <c r="P21" s="42">
        <f t="shared" si="8"/>
        <v>5390.9069087000007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44246</v>
      </c>
      <c r="B22" s="41">
        <v>70</v>
      </c>
      <c r="C22" s="39">
        <f t="shared" si="18"/>
        <v>5</v>
      </c>
      <c r="D22" s="41">
        <v>70</v>
      </c>
      <c r="E22" s="39">
        <f t="shared" si="16"/>
        <v>5</v>
      </c>
      <c r="F22" s="41">
        <v>71</v>
      </c>
      <c r="G22" s="39">
        <f t="shared" si="10"/>
        <v>5</v>
      </c>
      <c r="H22" s="41">
        <v>71</v>
      </c>
      <c r="I22" s="39">
        <f t="shared" si="11"/>
        <v>3</v>
      </c>
      <c r="J22" s="39">
        <f t="shared" si="12"/>
        <v>282</v>
      </c>
      <c r="K22" s="39">
        <f t="shared" si="13"/>
        <v>70.5</v>
      </c>
      <c r="L22" s="39">
        <f>IF(AC22&gt;0,((K22-AD22)+(AE22-K23)),IF(K23=0, ,(K22-K23)))</f>
        <v>4.5</v>
      </c>
      <c r="M22" s="39">
        <f t="shared" si="15"/>
        <v>24196</v>
      </c>
      <c r="N22" s="39">
        <f t="shared" si="6"/>
        <v>1088.82</v>
      </c>
      <c r="O22" s="39">
        <f t="shared" si="7"/>
        <v>575.98577999999998</v>
      </c>
      <c r="P22" s="42">
        <f t="shared" si="8"/>
        <v>5708.0190797999994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44247</v>
      </c>
      <c r="B23" s="41">
        <v>65</v>
      </c>
      <c r="C23" s="39">
        <f t="shared" si="18"/>
        <v>3</v>
      </c>
      <c r="D23" s="41">
        <v>65</v>
      </c>
      <c r="E23" s="39">
        <f t="shared" si="16"/>
        <v>2</v>
      </c>
      <c r="F23" s="41">
        <v>66</v>
      </c>
      <c r="G23" s="39">
        <f t="shared" si="10"/>
        <v>1</v>
      </c>
      <c r="H23" s="41">
        <v>68</v>
      </c>
      <c r="I23" s="39">
        <f t="shared" si="11"/>
        <v>3</v>
      </c>
      <c r="J23" s="39">
        <f t="shared" si="12"/>
        <v>264</v>
      </c>
      <c r="K23" s="39">
        <f t="shared" si="13"/>
        <v>66</v>
      </c>
      <c r="L23" s="39">
        <f t="shared" si="17"/>
        <v>2.25</v>
      </c>
      <c r="M23" s="39">
        <f t="shared" si="15"/>
        <v>24196</v>
      </c>
      <c r="N23" s="39">
        <f t="shared" si="6"/>
        <v>544.41</v>
      </c>
      <c r="O23" s="39">
        <f t="shared" si="7"/>
        <v>287.99288999999999</v>
      </c>
      <c r="P23" s="42">
        <f t="shared" si="8"/>
        <v>2854.0095398999997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44248</v>
      </c>
      <c r="B24" s="41">
        <v>62</v>
      </c>
      <c r="C24" s="39">
        <f>IF(AC24&gt;0,((B24-R24)+(S24-B25)),IF(B25=0, ,(B24-B25)))</f>
        <v>2</v>
      </c>
      <c r="D24" s="41">
        <v>63</v>
      </c>
      <c r="E24" s="39">
        <f t="shared" si="16"/>
        <v>3</v>
      </c>
      <c r="F24" s="41">
        <v>65</v>
      </c>
      <c r="G24" s="39">
        <f t="shared" si="10"/>
        <v>1</v>
      </c>
      <c r="H24" s="41">
        <v>65</v>
      </c>
      <c r="I24" s="39">
        <f t="shared" si="11"/>
        <v>2</v>
      </c>
      <c r="J24" s="39">
        <f t="shared" si="12"/>
        <v>255</v>
      </c>
      <c r="K24" s="39">
        <f t="shared" si="13"/>
        <v>63.75</v>
      </c>
      <c r="L24" s="39">
        <f t="shared" si="17"/>
        <v>2</v>
      </c>
      <c r="M24" s="39">
        <f t="shared" si="15"/>
        <v>24196</v>
      </c>
      <c r="N24" s="39">
        <f t="shared" si="6"/>
        <v>483.92</v>
      </c>
      <c r="O24" s="39">
        <f t="shared" si="7"/>
        <v>255.99368000000001</v>
      </c>
      <c r="P24" s="42">
        <f t="shared" si="8"/>
        <v>2536.8973688000001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44249</v>
      </c>
      <c r="B25" s="41">
        <v>60</v>
      </c>
      <c r="C25" s="39">
        <f>IF(AC25&gt;0,((B25-R25)+(S25-B26)),IF(B26=0, ,(B25-B26)))</f>
        <v>6</v>
      </c>
      <c r="D25" s="41">
        <v>60</v>
      </c>
      <c r="E25" s="39">
        <f t="shared" si="16"/>
        <v>6</v>
      </c>
      <c r="F25" s="41">
        <v>64</v>
      </c>
      <c r="G25" s="39">
        <f t="shared" si="10"/>
        <v>9</v>
      </c>
      <c r="H25" s="41">
        <v>63</v>
      </c>
      <c r="I25" s="39">
        <f t="shared" si="11"/>
        <v>8</v>
      </c>
      <c r="J25" s="39">
        <f t="shared" si="12"/>
        <v>247</v>
      </c>
      <c r="K25" s="39">
        <f t="shared" si="13"/>
        <v>61.75</v>
      </c>
      <c r="L25" s="39">
        <f t="shared" si="17"/>
        <v>7.25</v>
      </c>
      <c r="M25" s="39">
        <f t="shared" si="15"/>
        <v>24196</v>
      </c>
      <c r="N25" s="39">
        <f t="shared" si="6"/>
        <v>1754.21</v>
      </c>
      <c r="O25" s="39">
        <f t="shared" si="7"/>
        <v>927.97709000000009</v>
      </c>
      <c r="P25" s="42">
        <f t="shared" si="8"/>
        <v>9196.2529619000015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44250</v>
      </c>
      <c r="B26" s="41">
        <v>54</v>
      </c>
      <c r="C26" s="39">
        <f>IF(AC26&gt;0,((B26-R26)+(S26-B27)),IF(B27=0, ,(B26-B27)))</f>
        <v>4</v>
      </c>
      <c r="D26" s="41">
        <v>54</v>
      </c>
      <c r="E26" s="39">
        <f t="shared" si="16"/>
        <v>4</v>
      </c>
      <c r="F26" s="41">
        <v>55</v>
      </c>
      <c r="G26" s="39">
        <f t="shared" si="10"/>
        <v>5</v>
      </c>
      <c r="H26" s="41">
        <v>55</v>
      </c>
      <c r="I26" s="39">
        <f t="shared" si="11"/>
        <v>5</v>
      </c>
      <c r="J26" s="39">
        <f t="shared" si="12"/>
        <v>218</v>
      </c>
      <c r="K26" s="39">
        <f t="shared" si="13"/>
        <v>54.5</v>
      </c>
      <c r="L26" s="39">
        <f t="shared" si="17"/>
        <v>4.5</v>
      </c>
      <c r="M26" s="39">
        <f t="shared" si="15"/>
        <v>24196</v>
      </c>
      <c r="N26" s="39">
        <f t="shared" si="6"/>
        <v>1088.82</v>
      </c>
      <c r="O26" s="39">
        <f t="shared" si="7"/>
        <v>575.98577999999998</v>
      </c>
      <c r="P26" s="42">
        <f t="shared" si="8"/>
        <v>5708.0190797999994</v>
      </c>
      <c r="Q26" s="39">
        <v>2643</v>
      </c>
      <c r="R26" s="39">
        <v>50</v>
      </c>
      <c r="S26" s="39">
        <v>85</v>
      </c>
      <c r="T26" s="39">
        <v>2609</v>
      </c>
      <c r="U26" s="39">
        <v>50</v>
      </c>
      <c r="V26" s="39">
        <v>85</v>
      </c>
      <c r="W26" s="39">
        <v>2485</v>
      </c>
      <c r="X26" s="39">
        <v>50</v>
      </c>
      <c r="Y26" s="39">
        <v>85</v>
      </c>
      <c r="Z26" s="39">
        <v>2392</v>
      </c>
      <c r="AA26" s="39">
        <v>50</v>
      </c>
      <c r="AB26" s="39">
        <v>85</v>
      </c>
      <c r="AC26" s="39">
        <f t="shared" ref="AC26:AC43" si="20">Q26+T26+W26+Z26</f>
        <v>10129</v>
      </c>
      <c r="AD26" s="38">
        <f t="shared" si="19"/>
        <v>50</v>
      </c>
      <c r="AE26" s="38">
        <f>(S26+V26+Y26+AB26)/4</f>
        <v>85</v>
      </c>
    </row>
    <row r="27" spans="1:31" ht="32.25" customHeight="1" x14ac:dyDescent="0.3">
      <c r="A27" s="40">
        <v>44251</v>
      </c>
      <c r="B27" s="41">
        <v>85</v>
      </c>
      <c r="C27" s="39">
        <f t="shared" si="18"/>
        <v>3</v>
      </c>
      <c r="D27" s="41">
        <v>85</v>
      </c>
      <c r="E27" s="39">
        <f t="shared" ref="E27:E36" si="21">IF(AC27&gt;0,((D27-U27)+(V27-D28)),IF(D28=0, ,(D27-D28)))</f>
        <v>5</v>
      </c>
      <c r="F27" s="41">
        <v>85</v>
      </c>
      <c r="G27" s="39">
        <f t="shared" ref="G27:G36" si="22">IF(AC27&gt;0,((F27-X27)+(Y27-F28)),IF(F28=0, ,(F27-F28)))</f>
        <v>5</v>
      </c>
      <c r="H27" s="41">
        <v>85</v>
      </c>
      <c r="I27" s="39">
        <f t="shared" si="11"/>
        <v>5</v>
      </c>
      <c r="J27" s="39">
        <f t="shared" si="12"/>
        <v>340</v>
      </c>
      <c r="K27" s="39">
        <f t="shared" si="13"/>
        <v>85</v>
      </c>
      <c r="L27" s="39">
        <f t="shared" si="17"/>
        <v>4.5</v>
      </c>
      <c r="M27" s="39">
        <f t="shared" si="15"/>
        <v>24196</v>
      </c>
      <c r="N27" s="39">
        <f t="shared" si="6"/>
        <v>1088.82</v>
      </c>
      <c r="O27" s="39">
        <f t="shared" si="7"/>
        <v>575.98577999999998</v>
      </c>
      <c r="P27" s="42">
        <f t="shared" si="8"/>
        <v>5708.0190797999994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44252</v>
      </c>
      <c r="B28" s="41">
        <v>82</v>
      </c>
      <c r="C28" s="39">
        <f t="shared" si="18"/>
        <v>3</v>
      </c>
      <c r="D28" s="41">
        <v>80</v>
      </c>
      <c r="E28" s="39">
        <f t="shared" si="21"/>
        <v>0</v>
      </c>
      <c r="F28" s="41">
        <v>80</v>
      </c>
      <c r="G28" s="39">
        <f t="shared" si="22"/>
        <v>1</v>
      </c>
      <c r="H28" s="41">
        <v>80</v>
      </c>
      <c r="I28" s="39">
        <f>IF(AC28&gt;0,((H28-AA28)+(AB28-H29)),IF(H29=0, ,(H28-H29)))</f>
        <v>0</v>
      </c>
      <c r="J28" s="39">
        <f t="shared" si="12"/>
        <v>322</v>
      </c>
      <c r="K28" s="39">
        <f t="shared" si="13"/>
        <v>80.5</v>
      </c>
      <c r="L28" s="39">
        <f t="shared" si="17"/>
        <v>1</v>
      </c>
      <c r="M28" s="39">
        <f t="shared" si="15"/>
        <v>24196</v>
      </c>
      <c r="N28" s="39">
        <f t="shared" si="6"/>
        <v>241.96</v>
      </c>
      <c r="O28" s="39">
        <f t="shared" si="7"/>
        <v>127.99684000000001</v>
      </c>
      <c r="P28" s="42">
        <f t="shared" si="8"/>
        <v>1268.4486844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44253</v>
      </c>
      <c r="B29" s="41">
        <v>79</v>
      </c>
      <c r="C29" s="39">
        <f t="shared" si="18"/>
        <v>4</v>
      </c>
      <c r="D29" s="41">
        <v>80</v>
      </c>
      <c r="E29" s="39">
        <f t="shared" si="21"/>
        <v>4</v>
      </c>
      <c r="F29" s="41">
        <v>79</v>
      </c>
      <c r="G29" s="39">
        <f t="shared" si="22"/>
        <v>4</v>
      </c>
      <c r="H29" s="41">
        <v>80</v>
      </c>
      <c r="I29" s="39">
        <f t="shared" si="11"/>
        <v>4</v>
      </c>
      <c r="J29" s="39">
        <f t="shared" si="12"/>
        <v>318</v>
      </c>
      <c r="K29" s="39">
        <f t="shared" si="13"/>
        <v>79.5</v>
      </c>
      <c r="L29" s="39">
        <f t="shared" si="17"/>
        <v>4</v>
      </c>
      <c r="M29" s="39">
        <f t="shared" si="15"/>
        <v>24196</v>
      </c>
      <c r="N29" s="39">
        <f t="shared" si="6"/>
        <v>967.84</v>
      </c>
      <c r="O29" s="39">
        <f t="shared" si="7"/>
        <v>511.98736000000002</v>
      </c>
      <c r="P29" s="42">
        <f t="shared" si="8"/>
        <v>5073.7947376000002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44254</v>
      </c>
      <c r="B30" s="41">
        <v>75</v>
      </c>
      <c r="C30" s="39">
        <f t="shared" si="18"/>
        <v>5</v>
      </c>
      <c r="D30" s="41">
        <v>76</v>
      </c>
      <c r="E30" s="39">
        <f t="shared" si="21"/>
        <v>2</v>
      </c>
      <c r="F30" s="41">
        <v>75</v>
      </c>
      <c r="G30" s="39">
        <f t="shared" si="22"/>
        <v>3</v>
      </c>
      <c r="H30" s="41">
        <v>76</v>
      </c>
      <c r="I30" s="39">
        <f t="shared" si="11"/>
        <v>4</v>
      </c>
      <c r="J30" s="39">
        <f t="shared" si="12"/>
        <v>302</v>
      </c>
      <c r="K30" s="39">
        <f t="shared" si="13"/>
        <v>75.5</v>
      </c>
      <c r="L30" s="39">
        <f t="shared" si="17"/>
        <v>3.5</v>
      </c>
      <c r="M30" s="39">
        <f t="shared" si="15"/>
        <v>24196</v>
      </c>
      <c r="N30" s="39">
        <f t="shared" si="6"/>
        <v>846.86</v>
      </c>
      <c r="O30" s="39">
        <f t="shared" si="7"/>
        <v>447.98894000000001</v>
      </c>
      <c r="P30" s="42">
        <f t="shared" si="8"/>
        <v>4439.5703954000001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 x14ac:dyDescent="0.3">
      <c r="A31" s="40">
        <v>44255</v>
      </c>
      <c r="B31" s="41">
        <v>70</v>
      </c>
      <c r="C31" s="39">
        <f t="shared" si="18"/>
        <v>5</v>
      </c>
      <c r="D31" s="41">
        <v>74</v>
      </c>
      <c r="E31" s="39">
        <f t="shared" si="21"/>
        <v>6</v>
      </c>
      <c r="F31" s="41">
        <v>72</v>
      </c>
      <c r="G31" s="39">
        <f>IF(AC31&gt;0,((F31-X31)+(Y31-F32)),IF(F32=0, ,(F31-F32)))</f>
        <v>3</v>
      </c>
      <c r="H31" s="41">
        <v>72</v>
      </c>
      <c r="I31" s="39">
        <f t="shared" si="11"/>
        <v>2</v>
      </c>
      <c r="J31" s="39">
        <f t="shared" si="12"/>
        <v>288</v>
      </c>
      <c r="K31" s="39">
        <f t="shared" si="13"/>
        <v>72</v>
      </c>
      <c r="L31" s="39">
        <f t="shared" si="17"/>
        <v>4</v>
      </c>
      <c r="M31" s="39">
        <f t="shared" si="15"/>
        <v>24196</v>
      </c>
      <c r="N31" s="39">
        <f t="shared" si="6"/>
        <v>967.84</v>
      </c>
      <c r="O31" s="39">
        <f t="shared" si="7"/>
        <v>511.98736000000002</v>
      </c>
      <c r="P31" s="42">
        <f t="shared" si="8"/>
        <v>5073.7947376000002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 x14ac:dyDescent="0.3">
      <c r="A32" s="40">
        <v>44256</v>
      </c>
      <c r="B32" s="41">
        <v>65</v>
      </c>
      <c r="C32" s="39">
        <f t="shared" si="18"/>
        <v>0</v>
      </c>
      <c r="D32" s="41">
        <v>68</v>
      </c>
      <c r="E32" s="39">
        <f t="shared" si="21"/>
        <v>0</v>
      </c>
      <c r="F32" s="41">
        <v>69</v>
      </c>
      <c r="G32" s="39">
        <f t="shared" si="22"/>
        <v>0</v>
      </c>
      <c r="H32" s="41">
        <v>70</v>
      </c>
      <c r="I32" s="39">
        <f t="shared" si="11"/>
        <v>0</v>
      </c>
      <c r="J32" s="39">
        <f t="shared" si="12"/>
        <v>272</v>
      </c>
      <c r="K32" s="39">
        <f t="shared" si="13"/>
        <v>68</v>
      </c>
      <c r="L32" s="39">
        <f t="shared" si="17"/>
        <v>0</v>
      </c>
      <c r="M32" s="39">
        <f t="shared" si="15"/>
        <v>24196</v>
      </c>
      <c r="N32" s="39">
        <f t="shared" ref="N32:N42" si="24">L32*M32/100</f>
        <v>0</v>
      </c>
      <c r="O32" s="149">
        <f t="shared" ref="O32:O37" si="25">N32*0.529</f>
        <v>0</v>
      </c>
      <c r="P32" s="42">
        <f t="shared" ref="P32:P39" si="26">O32*9.8209</f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 x14ac:dyDescent="0.3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7"/>
        <v>0</v>
      </c>
      <c r="M33" s="39">
        <f t="shared" si="15"/>
        <v>24196</v>
      </c>
      <c r="N33" s="39">
        <f t="shared" si="24"/>
        <v>0</v>
      </c>
      <c r="O33" s="39">
        <f t="shared" si="25"/>
        <v>0</v>
      </c>
      <c r="P33" s="42">
        <f t="shared" si="2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 x14ac:dyDescent="0.3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2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 x14ac:dyDescent="0.3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24"/>
        <v>0</v>
      </c>
      <c r="O35" s="39">
        <f t="shared" si="25"/>
        <v>0</v>
      </c>
      <c r="P35" s="42">
        <f t="shared" si="2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7"/>
        <v>0</v>
      </c>
      <c r="M36" s="39">
        <f t="shared" si="15"/>
        <v>24196</v>
      </c>
      <c r="N36" s="39">
        <f t="shared" si="24"/>
        <v>0</v>
      </c>
      <c r="O36" s="39">
        <f t="shared" si="25"/>
        <v>0</v>
      </c>
      <c r="P36" s="42">
        <f t="shared" si="2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7"/>
        <v>0</v>
      </c>
      <c r="M37" s="39">
        <f t="shared" si="15"/>
        <v>24196</v>
      </c>
      <c r="N37" s="39">
        <f t="shared" si="24"/>
        <v>0</v>
      </c>
      <c r="O37" s="39">
        <f t="shared" si="25"/>
        <v>0</v>
      </c>
      <c r="P37" s="42">
        <f t="shared" si="2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7"/>
        <v>0</v>
      </c>
      <c r="M38" s="39">
        <f t="shared" si="15"/>
        <v>24196</v>
      </c>
      <c r="N38" s="39">
        <f t="shared" si="24"/>
        <v>0</v>
      </c>
      <c r="O38" s="39">
        <f>N38*0.53</f>
        <v>0</v>
      </c>
      <c r="P38" s="42">
        <f t="shared" si="2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7"/>
        <v>0</v>
      </c>
      <c r="M39" s="39">
        <f t="shared" si="15"/>
        <v>24196</v>
      </c>
      <c r="N39" s="39">
        <f t="shared" si="24"/>
        <v>0</v>
      </c>
      <c r="O39" s="39">
        <f>N39*0.53</f>
        <v>0</v>
      </c>
      <c r="P39" s="42">
        <f t="shared" si="2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7"/>
        <v>0</v>
      </c>
      <c r="M40" s="39">
        <f t="shared" si="15"/>
        <v>24196</v>
      </c>
      <c r="N40" s="39">
        <f t="shared" si="24"/>
        <v>0</v>
      </c>
      <c r="O40" s="39">
        <f>N40*0.53</f>
        <v>0</v>
      </c>
      <c r="P40" s="42">
        <f t="shared" ref="P40" si="30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7"/>
        <v>0</v>
      </c>
      <c r="M41" s="39">
        <f t="shared" si="15"/>
        <v>24196</v>
      </c>
      <c r="N41" s="39">
        <f t="shared" si="2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7"/>
        <v>0</v>
      </c>
      <c r="M42" s="39">
        <f t="shared" si="15"/>
        <v>24196</v>
      </c>
      <c r="N42" s="39">
        <f t="shared" si="2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23893.55</v>
      </c>
      <c r="O43" s="39">
        <f>N43*0.529</f>
        <v>12639.68795</v>
      </c>
      <c r="P43" s="42">
        <f>O43*9.91</f>
        <v>125259.3075845</v>
      </c>
      <c r="Q43" s="287">
        <f>SUM(Q4:Q42)</f>
        <v>6578</v>
      </c>
      <c r="R43" s="288"/>
      <c r="S43" s="289"/>
      <c r="T43" s="290">
        <f>SUM(T4:T42)</f>
        <v>6370</v>
      </c>
      <c r="U43" s="288"/>
      <c r="V43" s="289"/>
      <c r="W43" s="290">
        <f>SUM(W4:W42)</f>
        <v>6371</v>
      </c>
      <c r="X43" s="288"/>
      <c r="Y43" s="289"/>
      <c r="Z43" s="290">
        <f>SUM(Z4:Z42)</f>
        <v>6350</v>
      </c>
      <c r="AA43" s="288"/>
      <c r="AB43" s="289"/>
      <c r="AC43" s="39">
        <f t="shared" si="20"/>
        <v>25669</v>
      </c>
    </row>
    <row r="44" spans="1:31" ht="35.25" customHeight="1" thickBot="1" x14ac:dyDescent="0.35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25669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25669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3" t="s">
        <v>85</v>
      </c>
      <c r="I47" s="284"/>
      <c r="J47" s="285"/>
      <c r="K47" s="45">
        <f>N43</f>
        <v>23893.55</v>
      </c>
      <c r="L47" s="46">
        <f>O43</f>
        <v>12639.68795</v>
      </c>
      <c r="M47" s="46">
        <f>P43</f>
        <v>125259.3075845</v>
      </c>
    </row>
    <row r="48" spans="1:31" ht="54.75" customHeight="1" thickBot="1" x14ac:dyDescent="0.35">
      <c r="H48" s="283" t="s">
        <v>86</v>
      </c>
      <c r="I48" s="284"/>
      <c r="J48" s="285"/>
      <c r="K48" s="43">
        <f>AC44</f>
        <v>25669</v>
      </c>
      <c r="L48" s="44">
        <f>K48*0.529</f>
        <v>13578.901</v>
      </c>
      <c r="M48" s="44">
        <f>L48*9.91</f>
        <v>134566.90891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 x14ac:dyDescent="0.25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 x14ac:dyDescent="0.2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 x14ac:dyDescent="0.25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 x14ac:dyDescent="0.25"/>
    <row r="7" spans="1:10" ht="36.75" thickTop="1" x14ac:dyDescent="0.2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 x14ac:dyDescent="0.2">
      <c r="A8" s="348">
        <v>95670781</v>
      </c>
      <c r="B8" s="348"/>
      <c r="C8" s="353">
        <v>44224</v>
      </c>
      <c r="D8" s="354"/>
      <c r="E8" s="113">
        <v>44255</v>
      </c>
      <c r="F8" s="166" t="s">
        <v>97</v>
      </c>
      <c r="G8" s="62"/>
      <c r="H8" s="62"/>
      <c r="I8" s="355"/>
      <c r="J8" s="356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 x14ac:dyDescent="0.2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596</v>
      </c>
      <c r="H12" s="349"/>
      <c r="I12" s="350"/>
      <c r="J12" s="350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 x14ac:dyDescent="0.2">
      <c r="A17" s="337" t="s">
        <v>110</v>
      </c>
      <c r="B17" s="338"/>
      <c r="C17" s="66">
        <v>17423883</v>
      </c>
      <c r="D17" s="66">
        <v>17306409</v>
      </c>
      <c r="E17" s="67">
        <f>MIN(C17-D17)</f>
        <v>117474</v>
      </c>
      <c r="F17" s="67">
        <f>+E17</f>
        <v>117474</v>
      </c>
      <c r="G17" s="339"/>
      <c r="H17" s="340"/>
      <c r="I17" s="339">
        <f>+E17</f>
        <v>117474</v>
      </c>
      <c r="J17" s="340"/>
    </row>
    <row r="18" spans="1:10" x14ac:dyDescent="0.2">
      <c r="A18" s="337" t="s">
        <v>111</v>
      </c>
      <c r="B18" s="338"/>
      <c r="C18" s="66">
        <v>10372574</v>
      </c>
      <c r="D18" s="66">
        <v>10297358</v>
      </c>
      <c r="E18" s="67">
        <f>MIN(C18-D18)</f>
        <v>75216</v>
      </c>
      <c r="F18" s="67">
        <f>+E18</f>
        <v>75216</v>
      </c>
      <c r="G18" s="339"/>
      <c r="H18" s="340"/>
      <c r="I18" s="339">
        <f>+E18</f>
        <v>75216</v>
      </c>
      <c r="J18" s="340"/>
    </row>
    <row r="19" spans="1:10" x14ac:dyDescent="0.2">
      <c r="A19" s="337" t="s">
        <v>112</v>
      </c>
      <c r="B19" s="338"/>
      <c r="C19" s="66">
        <v>7718859</v>
      </c>
      <c r="D19" s="66">
        <v>7663857</v>
      </c>
      <c r="E19" s="67">
        <f>AVERAGE(C19-D19)</f>
        <v>55002</v>
      </c>
      <c r="F19" s="67">
        <f>+E19</f>
        <v>55002</v>
      </c>
      <c r="G19" s="339"/>
      <c r="H19" s="340"/>
      <c r="I19" s="339">
        <f>+E19</f>
        <v>55002</v>
      </c>
      <c r="J19" s="340"/>
    </row>
    <row r="20" spans="1:10" ht="15" x14ac:dyDescent="0.25">
      <c r="A20" s="341" t="s">
        <v>113</v>
      </c>
      <c r="B20" s="342"/>
      <c r="C20" s="68"/>
      <c r="D20" s="69"/>
      <c r="E20" s="68">
        <f>SUM(E17:E19)</f>
        <v>247692</v>
      </c>
      <c r="F20" s="70"/>
      <c r="G20" s="343"/>
      <c r="H20" s="344"/>
      <c r="I20" s="343"/>
      <c r="J20" s="344"/>
    </row>
    <row r="21" spans="1:10" x14ac:dyDescent="0.2">
      <c r="C21" s="110" t="s">
        <v>18</v>
      </c>
      <c r="D21" t="s">
        <v>114</v>
      </c>
      <c r="G21" s="324"/>
      <c r="H21" s="324"/>
    </row>
    <row r="22" spans="1:10" ht="13.5" thickBot="1" x14ac:dyDescent="0.25">
      <c r="G22" s="325"/>
      <c r="H22" s="325"/>
    </row>
    <row r="23" spans="1:10" ht="13.5" thickTop="1" x14ac:dyDescent="0.2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 x14ac:dyDescent="0.2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 x14ac:dyDescent="0.25">
      <c r="A25" s="321" t="s">
        <v>123</v>
      </c>
      <c r="B25" s="322"/>
      <c r="C25" s="323"/>
      <c r="D25" s="67">
        <f>+E17</f>
        <v>117474</v>
      </c>
      <c r="E25" s="72">
        <v>0.95140000000000002</v>
      </c>
      <c r="F25" s="73">
        <f>PRODUCT(D25*E25)</f>
        <v>111764.76360000001</v>
      </c>
      <c r="G25" s="151">
        <v>14</v>
      </c>
      <c r="H25" s="65">
        <f>PRODUCT(0.14,F25)</f>
        <v>15647.066904000003</v>
      </c>
      <c r="I25" s="305">
        <f>SUM(H25,F25)</f>
        <v>127411.83050400001</v>
      </c>
      <c r="J25" s="306"/>
    </row>
    <row r="26" spans="1:10" ht="15" x14ac:dyDescent="0.25">
      <c r="A26" s="302" t="s">
        <v>124</v>
      </c>
      <c r="B26" s="303"/>
      <c r="C26" s="304"/>
      <c r="D26" s="67">
        <f>+E18</f>
        <v>75216</v>
      </c>
      <c r="E26" s="74">
        <v>0.69850000000000001</v>
      </c>
      <c r="F26" s="73">
        <f>PRODUCT(D26*E26)</f>
        <v>52538.376000000004</v>
      </c>
      <c r="G26">
        <v>14</v>
      </c>
      <c r="H26" s="67">
        <f>PRODUCT(0.14,F26)</f>
        <v>7355.3726400000014</v>
      </c>
      <c r="I26" s="305">
        <f t="shared" ref="I26:I31" si="0">SUM(H26,F26)</f>
        <v>59893.748640000005</v>
      </c>
      <c r="J26" s="306"/>
    </row>
    <row r="27" spans="1:10" ht="15" x14ac:dyDescent="0.25">
      <c r="A27" s="302" t="s">
        <v>125</v>
      </c>
      <c r="B27" s="303"/>
      <c r="C27" s="304"/>
      <c r="D27" s="67">
        <f>+E19</f>
        <v>55002</v>
      </c>
      <c r="E27" s="74">
        <v>1.3304</v>
      </c>
      <c r="F27" s="73">
        <f>PRODUCT(D27*E27)</f>
        <v>73174.660799999998</v>
      </c>
      <c r="G27">
        <v>14</v>
      </c>
      <c r="H27" s="67">
        <f>PRODUCT(0.14,F27)</f>
        <v>10244.452512</v>
      </c>
      <c r="I27" s="305">
        <f>SUM(H27,F27)</f>
        <v>83419.113312000001</v>
      </c>
      <c r="J27" s="306"/>
    </row>
    <row r="28" spans="1:10" ht="15" x14ac:dyDescent="0.2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 x14ac:dyDescent="0.25">
      <c r="A29" s="315" t="s">
        <v>127</v>
      </c>
      <c r="B29" s="316"/>
      <c r="C29" s="31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 x14ac:dyDescent="0.2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 x14ac:dyDescent="0.3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 x14ac:dyDescent="0.2">
      <c r="A32" s="310" t="s">
        <v>130</v>
      </c>
      <c r="B32" s="311"/>
      <c r="C32" s="311"/>
      <c r="D32" s="311"/>
      <c r="E32" s="311"/>
      <c r="F32" s="84">
        <f>SUM(F25:F31)</f>
        <v>283692.47039999999</v>
      </c>
      <c r="G32" s="85"/>
      <c r="H32" s="86"/>
      <c r="I32" s="314">
        <f>SUM(I25:J31)</f>
        <v>323355.43625600002</v>
      </c>
      <c r="J32" s="314"/>
    </row>
    <row r="33" spans="1:10" ht="21.75" thickBot="1" x14ac:dyDescent="0.25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 x14ac:dyDescent="0.25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 x14ac:dyDescent="0.2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 x14ac:dyDescent="0.25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 x14ac:dyDescent="0.25"/>
    <row r="7" spans="1:10" ht="36.75" thickTop="1" x14ac:dyDescent="0.2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 x14ac:dyDescent="0.2">
      <c r="A8" s="348">
        <v>95670781</v>
      </c>
      <c r="B8" s="348"/>
      <c r="C8" s="353" t="s">
        <v>131</v>
      </c>
      <c r="D8" s="354"/>
      <c r="E8" s="113" t="s">
        <v>132</v>
      </c>
      <c r="F8" s="166" t="s">
        <v>97</v>
      </c>
      <c r="G8" s="62"/>
      <c r="H8" s="62"/>
      <c r="I8" s="355"/>
      <c r="J8" s="356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 x14ac:dyDescent="0.2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1070</v>
      </c>
      <c r="H12" s="349"/>
      <c r="I12" s="350"/>
      <c r="J12" s="350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 x14ac:dyDescent="0.2">
      <c r="A17" s="337" t="s">
        <v>110</v>
      </c>
      <c r="B17" s="338"/>
      <c r="C17" s="66">
        <v>17423883</v>
      </c>
      <c r="D17" s="66">
        <v>17419961</v>
      </c>
      <c r="E17" s="67">
        <f>MIN(C17-D17)</f>
        <v>3922</v>
      </c>
      <c r="F17" s="67">
        <f>+E17</f>
        <v>3922</v>
      </c>
      <c r="G17" s="339"/>
      <c r="H17" s="340"/>
      <c r="I17" s="339">
        <f>+E17</f>
        <v>3922</v>
      </c>
      <c r="J17" s="340"/>
    </row>
    <row r="18" spans="1:10" x14ac:dyDescent="0.2">
      <c r="A18" s="337" t="s">
        <v>111</v>
      </c>
      <c r="B18" s="338"/>
      <c r="C18" s="66">
        <v>10374170</v>
      </c>
      <c r="D18" s="66">
        <v>10371430</v>
      </c>
      <c r="E18" s="67">
        <f>MIN(C18-D18)</f>
        <v>2740</v>
      </c>
      <c r="F18" s="67">
        <f>+E18</f>
        <v>2740</v>
      </c>
      <c r="G18" s="339"/>
      <c r="H18" s="340"/>
      <c r="I18" s="339">
        <f>+E18</f>
        <v>2740</v>
      </c>
      <c r="J18" s="340"/>
    </row>
    <row r="19" spans="1:10" x14ac:dyDescent="0.2">
      <c r="A19" s="337" t="s">
        <v>112</v>
      </c>
      <c r="B19" s="338"/>
      <c r="C19" s="66">
        <v>7718859</v>
      </c>
      <c r="D19" s="66">
        <v>7716829</v>
      </c>
      <c r="E19" s="67">
        <f>AVERAGE(C19-D19)</f>
        <v>2030</v>
      </c>
      <c r="F19" s="67">
        <f>+E19</f>
        <v>2030</v>
      </c>
      <c r="G19" s="339"/>
      <c r="H19" s="340"/>
      <c r="I19" s="339">
        <f>+E19</f>
        <v>2030</v>
      </c>
      <c r="J19" s="340"/>
    </row>
    <row r="20" spans="1:10" ht="15" x14ac:dyDescent="0.25">
      <c r="A20" s="341" t="s">
        <v>113</v>
      </c>
      <c r="B20" s="342"/>
      <c r="C20" s="68"/>
      <c r="D20" s="69"/>
      <c r="E20" s="68">
        <f>SUM(E17:E19)</f>
        <v>8692</v>
      </c>
      <c r="F20" s="70"/>
      <c r="G20" s="343"/>
      <c r="H20" s="344"/>
      <c r="I20" s="343"/>
      <c r="J20" s="344"/>
    </row>
    <row r="21" spans="1:10" x14ac:dyDescent="0.2">
      <c r="C21" s="110" t="s">
        <v>18</v>
      </c>
      <c r="D21" t="s">
        <v>114</v>
      </c>
      <c r="G21" s="324"/>
      <c r="H21" s="324"/>
    </row>
    <row r="22" spans="1:10" ht="13.5" thickBot="1" x14ac:dyDescent="0.25">
      <c r="G22" s="325"/>
      <c r="H22" s="325"/>
    </row>
    <row r="23" spans="1:10" ht="13.5" thickTop="1" x14ac:dyDescent="0.2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 x14ac:dyDescent="0.2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 x14ac:dyDescent="0.25">
      <c r="A25" s="321" t="s">
        <v>123</v>
      </c>
      <c r="B25" s="322"/>
      <c r="C25" s="323"/>
      <c r="D25" s="67">
        <f>+E17</f>
        <v>3922</v>
      </c>
      <c r="E25" s="72">
        <v>0.95140000000000002</v>
      </c>
      <c r="F25" s="73">
        <f>PRODUCT(D25*E25)</f>
        <v>3731.3908000000001</v>
      </c>
      <c r="G25" s="151">
        <v>14</v>
      </c>
      <c r="H25" s="65">
        <f>PRODUCT(0.14,F25)</f>
        <v>522.39471200000003</v>
      </c>
      <c r="I25" s="305">
        <f>SUM(H25,F25)</f>
        <v>4253.7855120000004</v>
      </c>
      <c r="J25" s="306"/>
    </row>
    <row r="26" spans="1:10" ht="15" x14ac:dyDescent="0.25">
      <c r="A26" s="302" t="s">
        <v>124</v>
      </c>
      <c r="B26" s="303"/>
      <c r="C26" s="304"/>
      <c r="D26" s="67">
        <f>+E18</f>
        <v>2740</v>
      </c>
      <c r="E26" s="74">
        <v>0.69850000000000001</v>
      </c>
      <c r="F26" s="73">
        <f>PRODUCT(D26*E26)</f>
        <v>1913.89</v>
      </c>
      <c r="G26">
        <v>14</v>
      </c>
      <c r="H26" s="67">
        <f>PRODUCT(0.14,F26)</f>
        <v>267.94460000000004</v>
      </c>
      <c r="I26" s="305">
        <f t="shared" ref="I26:I31" si="0">SUM(H26,F26)</f>
        <v>2181.8346000000001</v>
      </c>
      <c r="J26" s="306"/>
    </row>
    <row r="27" spans="1:10" ht="15" x14ac:dyDescent="0.25">
      <c r="A27" s="302" t="s">
        <v>125</v>
      </c>
      <c r="B27" s="303"/>
      <c r="C27" s="304"/>
      <c r="D27" s="67">
        <f>+E19</f>
        <v>2030</v>
      </c>
      <c r="E27" s="74">
        <v>1.3304</v>
      </c>
      <c r="F27" s="73">
        <f>PRODUCT(D27*E27)</f>
        <v>2700.712</v>
      </c>
      <c r="G27">
        <v>14</v>
      </c>
      <c r="H27" s="67">
        <f>PRODUCT(0.14,F27)</f>
        <v>378.09968000000003</v>
      </c>
      <c r="I27" s="305">
        <f>SUM(H27,F27)</f>
        <v>3078.8116799999998</v>
      </c>
      <c r="J27" s="306"/>
    </row>
    <row r="28" spans="1:10" ht="15" x14ac:dyDescent="0.2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 x14ac:dyDescent="0.25">
      <c r="A29" s="315" t="s">
        <v>127</v>
      </c>
      <c r="B29" s="316"/>
      <c r="C29" s="317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18">
        <f t="shared" si="0"/>
        <v>3908.0047020000002</v>
      </c>
      <c r="J29" s="319"/>
    </row>
    <row r="30" spans="1:10" ht="15" x14ac:dyDescent="0.2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 x14ac:dyDescent="0.3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 x14ac:dyDescent="0.2">
      <c r="A32" s="310" t="s">
        <v>130</v>
      </c>
      <c r="B32" s="311"/>
      <c r="C32" s="311"/>
      <c r="D32" s="311"/>
      <c r="E32" s="311"/>
      <c r="F32" s="84">
        <f>SUM(F25:F31)</f>
        <v>57988.737099999998</v>
      </c>
      <c r="G32" s="85"/>
      <c r="H32" s="86"/>
      <c r="I32" s="314">
        <f>SUM(I25:J31)</f>
        <v>66053.180293999991</v>
      </c>
      <c r="J32" s="314"/>
    </row>
    <row r="33" spans="1:10" ht="21.75" thickBot="1" x14ac:dyDescent="0.25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6"/>
      <c r="B1" s="360" t="s">
        <v>133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 x14ac:dyDescent="0.25">
      <c r="A2" s="407"/>
      <c r="B2" s="362"/>
      <c r="C2" s="363"/>
      <c r="D2" s="363"/>
      <c r="E2" s="363"/>
      <c r="F2" s="412"/>
      <c r="G2" s="413"/>
      <c r="H2" s="414"/>
    </row>
    <row r="3" spans="1:8" ht="15" customHeight="1" x14ac:dyDescent="0.2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 x14ac:dyDescent="0.25">
      <c r="A4" s="408"/>
      <c r="B4" s="364"/>
      <c r="C4" s="365"/>
      <c r="D4" s="365"/>
      <c r="E4" s="365"/>
      <c r="F4" s="415"/>
      <c r="G4" s="416"/>
      <c r="H4" s="41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8"/>
      <c r="B8" s="95" t="s">
        <v>138</v>
      </c>
      <c r="C8" s="96">
        <v>101789.4</v>
      </c>
      <c r="D8" s="97">
        <v>43862</v>
      </c>
      <c r="E8" s="96">
        <v>103904.7</v>
      </c>
      <c r="F8" s="97">
        <v>44256</v>
      </c>
      <c r="G8" s="98">
        <f>E8-C8</f>
        <v>2115.3000000000029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8" t="s">
        <v>116</v>
      </c>
      <c r="C10" s="419"/>
      <c r="D10" s="420" t="s">
        <v>139</v>
      </c>
      <c r="E10" s="420"/>
      <c r="F10" s="418" t="s">
        <v>140</v>
      </c>
      <c r="G10" s="421"/>
      <c r="H10" s="419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143</v>
      </c>
      <c r="B13" s="398">
        <f>G8</f>
        <v>2115.3000000000029</v>
      </c>
      <c r="C13" s="398"/>
      <c r="D13" s="398">
        <v>8.7899999999999991</v>
      </c>
      <c r="E13" s="398"/>
      <c r="F13" s="405">
        <f>PRODUCT(D13,B13)</f>
        <v>18593.487000000023</v>
      </c>
      <c r="G13" s="405"/>
      <c r="H13" s="405"/>
    </row>
    <row r="14" spans="1:8" ht="45" customHeight="1" x14ac:dyDescent="0.2">
      <c r="A14" s="402" t="s">
        <v>144</v>
      </c>
      <c r="B14" s="402"/>
      <c r="C14" s="402"/>
      <c r="D14" s="402"/>
      <c r="E14" s="402"/>
      <c r="F14" s="402"/>
      <c r="G14" s="402"/>
      <c r="H14" s="402"/>
    </row>
    <row r="15" spans="1:8" x14ac:dyDescent="0.2">
      <c r="A15" s="403"/>
      <c r="B15" s="403"/>
      <c r="C15" s="403"/>
      <c r="D15" s="403"/>
      <c r="E15" s="403"/>
      <c r="F15" s="403"/>
      <c r="G15" s="403"/>
      <c r="H15" s="403"/>
    </row>
    <row r="16" spans="1:8" ht="15" x14ac:dyDescent="0.25">
      <c r="A16" s="103" t="s">
        <v>145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146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147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148</v>
      </c>
      <c r="B19" s="398">
        <f>G8</f>
        <v>2115.3000000000029</v>
      </c>
      <c r="C19" s="398"/>
      <c r="D19" s="398">
        <v>2.61</v>
      </c>
      <c r="E19" s="398"/>
      <c r="F19" s="398">
        <f>PRODUCT(D19,B19)</f>
        <v>5520.9330000000073</v>
      </c>
      <c r="G19" s="398"/>
      <c r="H19" s="398"/>
    </row>
    <row r="20" spans="1:8" ht="18.75" x14ac:dyDescent="0.3">
      <c r="A20" s="394" t="s">
        <v>149</v>
      </c>
      <c r="B20" s="395"/>
      <c r="C20" s="395"/>
      <c r="D20" s="395"/>
      <c r="E20" s="396"/>
      <c r="F20" s="397">
        <f>SUM(F11+F13+F16+F17+F18+F19)</f>
        <v>24137.420000000031</v>
      </c>
      <c r="G20" s="397"/>
      <c r="H20" s="397"/>
    </row>
    <row r="21" spans="1:8" ht="15" x14ac:dyDescent="0.25">
      <c r="A21" s="383" t="s">
        <v>150</v>
      </c>
      <c r="B21" s="384"/>
      <c r="C21" s="384"/>
      <c r="D21" s="384"/>
      <c r="E21" s="385"/>
      <c r="F21" s="398">
        <f>PRODUCT(F20,0.07)</f>
        <v>1689.6194000000023</v>
      </c>
      <c r="G21" s="398"/>
      <c r="H21" s="398"/>
    </row>
    <row r="22" spans="1:8" ht="15" x14ac:dyDescent="0.25">
      <c r="A22" s="399" t="s">
        <v>151</v>
      </c>
      <c r="B22" s="400"/>
      <c r="C22" s="400"/>
      <c r="D22" s="400"/>
      <c r="E22" s="401"/>
      <c r="F22" s="398">
        <v>208.26</v>
      </c>
      <c r="G22" s="398"/>
      <c r="H22" s="398"/>
    </row>
    <row r="23" spans="1:8" ht="15.75" x14ac:dyDescent="0.25">
      <c r="A23" s="383" t="s">
        <v>152</v>
      </c>
      <c r="B23" s="384"/>
      <c r="C23" s="384"/>
      <c r="D23" s="384"/>
      <c r="E23" s="385"/>
      <c r="F23" s="386">
        <f>SUM(F21:H22)</f>
        <v>1897.8794000000023</v>
      </c>
      <c r="G23" s="386"/>
      <c r="H23" s="386"/>
    </row>
    <row r="24" spans="1:8" x14ac:dyDescent="0.2">
      <c r="A24" s="387" t="s">
        <v>153</v>
      </c>
      <c r="B24" s="388"/>
      <c r="C24" s="388"/>
      <c r="D24" s="388"/>
      <c r="E24" s="389"/>
      <c r="F24" s="393">
        <f>SUM(F20,F23)</f>
        <v>26035.299400000033</v>
      </c>
      <c r="G24" s="393"/>
      <c r="H24" s="393"/>
    </row>
    <row r="25" spans="1:8" x14ac:dyDescent="0.2">
      <c r="A25" s="390"/>
      <c r="B25" s="391"/>
      <c r="C25" s="391"/>
      <c r="D25" s="391"/>
      <c r="E25" s="392"/>
      <c r="F25" s="393"/>
      <c r="G25" s="393"/>
      <c r="H25" s="39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6"/>
      <c r="B1" s="360" t="s">
        <v>133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 x14ac:dyDescent="0.25">
      <c r="A2" s="407"/>
      <c r="B2" s="362"/>
      <c r="C2" s="363"/>
      <c r="D2" s="363"/>
      <c r="E2" s="363"/>
      <c r="F2" s="412"/>
      <c r="G2" s="413"/>
      <c r="H2" s="414"/>
    </row>
    <row r="3" spans="1:8" ht="15" customHeight="1" x14ac:dyDescent="0.2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 x14ac:dyDescent="0.25">
      <c r="A4" s="408"/>
      <c r="B4" s="364"/>
      <c r="C4" s="365"/>
      <c r="D4" s="365"/>
      <c r="E4" s="365"/>
      <c r="F4" s="415"/>
      <c r="G4" s="416"/>
      <c r="H4" s="41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8"/>
      <c r="B8" s="95" t="s">
        <v>138</v>
      </c>
      <c r="C8" s="96">
        <v>103751</v>
      </c>
      <c r="D8" s="97">
        <v>44254</v>
      </c>
      <c r="E8" s="96">
        <v>103827</v>
      </c>
      <c r="F8" s="97">
        <v>44255</v>
      </c>
      <c r="G8" s="98">
        <f>E8-C8</f>
        <v>76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8" t="s">
        <v>116</v>
      </c>
      <c r="C10" s="419"/>
      <c r="D10" s="420" t="s">
        <v>139</v>
      </c>
      <c r="E10" s="420"/>
      <c r="F10" s="418" t="s">
        <v>140</v>
      </c>
      <c r="G10" s="421"/>
      <c r="H10" s="419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143</v>
      </c>
      <c r="B13" s="398">
        <f>G8</f>
        <v>76</v>
      </c>
      <c r="C13" s="398"/>
      <c r="D13" s="398">
        <v>8.5</v>
      </c>
      <c r="E13" s="398"/>
      <c r="F13" s="405">
        <f>PRODUCT(D13,B13)</f>
        <v>646</v>
      </c>
      <c r="G13" s="405"/>
      <c r="H13" s="405"/>
    </row>
    <row r="14" spans="1:8" ht="45" customHeight="1" x14ac:dyDescent="0.2">
      <c r="A14" s="402" t="s">
        <v>144</v>
      </c>
      <c r="B14" s="402"/>
      <c r="C14" s="402"/>
      <c r="D14" s="402"/>
      <c r="E14" s="402"/>
      <c r="F14" s="402"/>
      <c r="G14" s="402"/>
      <c r="H14" s="402"/>
    </row>
    <row r="15" spans="1:8" x14ac:dyDescent="0.2">
      <c r="A15" s="403"/>
      <c r="B15" s="403"/>
      <c r="C15" s="403"/>
      <c r="D15" s="403"/>
      <c r="E15" s="403"/>
      <c r="F15" s="403"/>
      <c r="G15" s="403"/>
      <c r="H15" s="403"/>
    </row>
    <row r="16" spans="1:8" ht="15" x14ac:dyDescent="0.25">
      <c r="A16" s="103" t="s">
        <v>145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146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147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148</v>
      </c>
      <c r="B19" s="398">
        <v>0</v>
      </c>
      <c r="C19" s="398"/>
      <c r="D19" s="422">
        <v>0</v>
      </c>
      <c r="E19" s="423"/>
      <c r="F19" s="422">
        <v>0</v>
      </c>
      <c r="G19" s="423"/>
      <c r="H19" s="168"/>
    </row>
    <row r="20" spans="1:8" ht="15" x14ac:dyDescent="0.25">
      <c r="A20" s="103" t="s">
        <v>154</v>
      </c>
      <c r="B20" s="398">
        <f>G8</f>
        <v>76</v>
      </c>
      <c r="C20" s="398"/>
      <c r="D20" s="398">
        <v>2.54</v>
      </c>
      <c r="E20" s="398"/>
      <c r="F20" s="398">
        <f>PRODUCT(D20,B20)</f>
        <v>193.04</v>
      </c>
      <c r="G20" s="398"/>
      <c r="H20" s="398"/>
    </row>
    <row r="21" spans="1:8" ht="18.75" x14ac:dyDescent="0.3">
      <c r="A21" s="394" t="s">
        <v>149</v>
      </c>
      <c r="B21" s="395"/>
      <c r="C21" s="395"/>
      <c r="D21" s="395"/>
      <c r="E21" s="396"/>
      <c r="F21" s="397">
        <f>SUM(F11+F13+F16+F17+F18+F20)</f>
        <v>862.04</v>
      </c>
      <c r="G21" s="397"/>
      <c r="H21" s="397"/>
    </row>
    <row r="22" spans="1:8" ht="15" x14ac:dyDescent="0.25">
      <c r="A22" s="383" t="s">
        <v>150</v>
      </c>
      <c r="B22" s="384"/>
      <c r="C22" s="384"/>
      <c r="D22" s="384"/>
      <c r="E22" s="385"/>
      <c r="F22" s="398">
        <f>PRODUCT(F21,0.07)</f>
        <v>60.342800000000004</v>
      </c>
      <c r="G22" s="398"/>
      <c r="H22" s="398"/>
    </row>
    <row r="23" spans="1:8" ht="15" x14ac:dyDescent="0.25">
      <c r="A23" s="399" t="s">
        <v>151</v>
      </c>
      <c r="B23" s="400"/>
      <c r="C23" s="400"/>
      <c r="D23" s="400"/>
      <c r="E23" s="401"/>
      <c r="F23" s="398">
        <v>208.26</v>
      </c>
      <c r="G23" s="398"/>
      <c r="H23" s="398"/>
    </row>
    <row r="24" spans="1:8" ht="15.75" x14ac:dyDescent="0.25">
      <c r="A24" s="383" t="s">
        <v>152</v>
      </c>
      <c r="B24" s="384"/>
      <c r="C24" s="384"/>
      <c r="D24" s="384"/>
      <c r="E24" s="385"/>
      <c r="F24" s="386">
        <f>SUM(F22:H23)</f>
        <v>268.6028</v>
      </c>
      <c r="G24" s="386"/>
      <c r="H24" s="386"/>
    </row>
    <row r="25" spans="1:8" x14ac:dyDescent="0.2">
      <c r="A25" s="387" t="s">
        <v>153</v>
      </c>
      <c r="B25" s="388"/>
      <c r="C25" s="388"/>
      <c r="D25" s="388"/>
      <c r="E25" s="389"/>
      <c r="F25" s="393">
        <f>SUM(F21,F24)</f>
        <v>1130.6428000000001</v>
      </c>
      <c r="G25" s="393"/>
      <c r="H25" s="393"/>
    </row>
    <row r="26" spans="1:8" x14ac:dyDescent="0.2">
      <c r="A26" s="390"/>
      <c r="B26" s="391"/>
      <c r="C26" s="391"/>
      <c r="D26" s="391"/>
      <c r="E26" s="392"/>
      <c r="F26" s="393"/>
      <c r="G26" s="393"/>
      <c r="H26" s="39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6"/>
      <c r="B1" s="360" t="s">
        <v>155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 x14ac:dyDescent="0.25">
      <c r="A2" s="407"/>
      <c r="B2" s="362"/>
      <c r="C2" s="363"/>
      <c r="D2" s="363"/>
      <c r="E2" s="363"/>
      <c r="F2" s="412"/>
      <c r="G2" s="413"/>
      <c r="H2" s="414"/>
    </row>
    <row r="3" spans="1:8" ht="15" customHeight="1" x14ac:dyDescent="0.2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 x14ac:dyDescent="0.25">
      <c r="A4" s="408"/>
      <c r="B4" s="364"/>
      <c r="C4" s="365"/>
      <c r="D4" s="365"/>
      <c r="E4" s="365"/>
      <c r="F4" s="415"/>
      <c r="G4" s="416"/>
      <c r="H4" s="41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8"/>
      <c r="B8" s="95" t="s">
        <v>138</v>
      </c>
      <c r="C8" s="96">
        <v>2559</v>
      </c>
      <c r="D8" s="97">
        <v>44228</v>
      </c>
      <c r="E8" s="96">
        <v>2559</v>
      </c>
      <c r="F8" s="97">
        <v>44256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8" t="s">
        <v>116</v>
      </c>
      <c r="C10" s="419"/>
      <c r="D10" s="420" t="s">
        <v>139</v>
      </c>
      <c r="E10" s="420"/>
      <c r="F10" s="418" t="s">
        <v>140</v>
      </c>
      <c r="G10" s="421"/>
      <c r="H10" s="419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156</v>
      </c>
      <c r="B13" s="398">
        <f>G8</f>
        <v>0</v>
      </c>
      <c r="C13" s="398"/>
      <c r="D13" s="398">
        <v>16.48</v>
      </c>
      <c r="E13" s="398"/>
      <c r="F13" s="405">
        <f>PRODUCT(D13,B13)</f>
        <v>0</v>
      </c>
      <c r="G13" s="405"/>
      <c r="H13" s="405"/>
    </row>
    <row r="14" spans="1:8" ht="15" x14ac:dyDescent="0.25">
      <c r="A14" s="102" t="s">
        <v>157</v>
      </c>
      <c r="B14" s="422"/>
      <c r="C14" s="423"/>
      <c r="D14" s="422"/>
      <c r="E14" s="423"/>
      <c r="F14" s="422"/>
      <c r="G14" s="423"/>
      <c r="H14" s="111"/>
    </row>
    <row r="15" spans="1:8" ht="15" x14ac:dyDescent="0.25">
      <c r="A15" s="102" t="s">
        <v>158</v>
      </c>
      <c r="B15" s="422"/>
      <c r="C15" s="423"/>
      <c r="D15" s="422"/>
      <c r="E15" s="423"/>
      <c r="F15" s="422"/>
      <c r="G15" s="423"/>
      <c r="H15" s="111"/>
    </row>
    <row r="16" spans="1:8" ht="15" x14ac:dyDescent="0.25">
      <c r="A16" s="102" t="s">
        <v>159</v>
      </c>
      <c r="B16" s="422"/>
      <c r="C16" s="423"/>
      <c r="D16" s="422"/>
      <c r="E16" s="423"/>
      <c r="F16" s="422"/>
      <c r="G16" s="423"/>
      <c r="H16" s="111"/>
    </row>
    <row r="17" spans="1:8" ht="15" x14ac:dyDescent="0.25">
      <c r="A17" s="102" t="s">
        <v>160</v>
      </c>
      <c r="B17" s="422"/>
      <c r="C17" s="423"/>
      <c r="D17" s="422"/>
      <c r="E17" s="423"/>
      <c r="F17" s="422"/>
      <c r="G17" s="423"/>
      <c r="H17" s="111"/>
    </row>
    <row r="18" spans="1:8" ht="45" customHeight="1" x14ac:dyDescent="0.2">
      <c r="A18" s="402" t="s">
        <v>144</v>
      </c>
      <c r="B18" s="402"/>
      <c r="C18" s="402"/>
      <c r="D18" s="402"/>
      <c r="E18" s="402"/>
      <c r="F18" s="402"/>
      <c r="G18" s="402"/>
      <c r="H18" s="402"/>
    </row>
    <row r="19" spans="1:8" x14ac:dyDescent="0.2">
      <c r="A19" s="403"/>
      <c r="B19" s="403"/>
      <c r="C19" s="403"/>
      <c r="D19" s="403"/>
      <c r="E19" s="403"/>
      <c r="F19" s="403"/>
      <c r="G19" s="403"/>
      <c r="H19" s="403"/>
    </row>
    <row r="20" spans="1:8" ht="15" x14ac:dyDescent="0.25">
      <c r="A20" s="103" t="s">
        <v>145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146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147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148</v>
      </c>
      <c r="B23" s="398">
        <f>G8</f>
        <v>0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154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 x14ac:dyDescent="0.3">
      <c r="A25" s="394" t="s">
        <v>149</v>
      </c>
      <c r="B25" s="395"/>
      <c r="C25" s="395"/>
      <c r="D25" s="395"/>
      <c r="E25" s="396"/>
      <c r="F25" s="424">
        <f>SUM(F11+F13+F20+F21+F22+F23)</f>
        <v>15</v>
      </c>
      <c r="G25" s="397"/>
      <c r="H25" s="397"/>
    </row>
    <row r="26" spans="1:8" ht="15" x14ac:dyDescent="0.25">
      <c r="A26" s="383" t="s">
        <v>150</v>
      </c>
      <c r="B26" s="384"/>
      <c r="C26" s="384"/>
      <c r="D26" s="384"/>
      <c r="E26" s="385"/>
      <c r="F26" s="398">
        <v>63.63</v>
      </c>
      <c r="G26" s="398"/>
      <c r="H26" s="398"/>
    </row>
    <row r="27" spans="1:8" ht="15" x14ac:dyDescent="0.25">
      <c r="A27" s="399" t="s">
        <v>151</v>
      </c>
      <c r="B27" s="400"/>
      <c r="C27" s="400"/>
      <c r="D27" s="400"/>
      <c r="E27" s="401"/>
      <c r="F27" s="398">
        <v>2.4300000000000002</v>
      </c>
      <c r="G27" s="398"/>
      <c r="H27" s="398"/>
    </row>
    <row r="28" spans="1:8" ht="15.75" x14ac:dyDescent="0.25">
      <c r="A28" s="383" t="s">
        <v>152</v>
      </c>
      <c r="B28" s="384"/>
      <c r="C28" s="384"/>
      <c r="D28" s="384"/>
      <c r="E28" s="385"/>
      <c r="F28" s="386">
        <f>SUM(F26:H27)</f>
        <v>66.06</v>
      </c>
      <c r="G28" s="386"/>
      <c r="H28" s="386"/>
    </row>
    <row r="29" spans="1:8" x14ac:dyDescent="0.2">
      <c r="A29" s="387" t="s">
        <v>153</v>
      </c>
      <c r="B29" s="388"/>
      <c r="C29" s="388"/>
      <c r="D29" s="388"/>
      <c r="E29" s="389"/>
      <c r="F29" s="393">
        <f>SUM(F25,F28)</f>
        <v>81.06</v>
      </c>
      <c r="G29" s="393"/>
      <c r="H29" s="393"/>
    </row>
    <row r="30" spans="1:8" x14ac:dyDescent="0.2">
      <c r="A30" s="390"/>
      <c r="B30" s="391"/>
      <c r="C30" s="391"/>
      <c r="D30" s="391"/>
      <c r="E30" s="392"/>
      <c r="F30" s="393"/>
      <c r="G30" s="393"/>
      <c r="H30" s="39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5" t="s">
        <v>161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8" t="s">
        <v>181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180</v>
      </c>
      <c r="C24" s="104">
        <v>274561.56439999997</v>
      </c>
      <c r="D24" s="104">
        <v>283692.47039999999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5" t="s">
        <v>182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8" t="s">
        <v>183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180</v>
      </c>
      <c r="C24" s="104">
        <v>23771.479999999963</v>
      </c>
      <c r="D24" s="104">
        <v>24137.420000000031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5" t="s">
        <v>184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8" t="s">
        <v>185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2023-02-21T15:14:13Z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