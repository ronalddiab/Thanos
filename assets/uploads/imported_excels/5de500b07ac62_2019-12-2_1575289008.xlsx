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Serengeti\"/>
    </mc:Choice>
  </mc:AlternateContent>
  <bookViews>
    <workbookView xWindow="0" yWindow="0" windowWidth="28800" windowHeight="12435"/>
  </bookViews>
  <sheets>
    <sheet name="Total" sheetId="24" r:id="rId1"/>
    <sheet name="Utility summery" sheetId="14" r:id="rId2"/>
    <sheet name="Utility report" sheetId="13" r:id="rId3"/>
    <sheet name="Kit report" sheetId="18" r:id="rId4"/>
    <sheet name="Summery Report" sheetId="11" r:id="rId5"/>
    <sheet name="Daily report Gen" sheetId="12" r:id="rId6"/>
    <sheet name="Gen" sheetId="1" r:id="rId7"/>
    <sheet name="Energy Graph" sheetId="7" r:id="rId8"/>
    <sheet name="Lpg (2)" sheetId="15" r:id="rId9"/>
    <sheet name="LPG_Graph" sheetId="8" r:id="rId10"/>
    <sheet name="Water-Meter" sheetId="3" r:id="rId11"/>
    <sheet name="Water_Graph " sheetId="9" r:id="rId12"/>
    <sheet name="WTL-Softner" sheetId="5" r:id="rId13"/>
    <sheet name="Sheet1" sheetId="10" r:id="rId14"/>
    <sheet name="PRINT" sheetId="19" r:id="rId15"/>
    <sheet name="VODACOM AND AIRTEL" sheetId="20" r:id="rId16"/>
    <sheet name="SABASABA GENERATOR " sheetId="21" r:id="rId17"/>
    <sheet name="FUEL METER READING" sheetId="22" r:id="rId18"/>
    <sheet name="fuel meter " sheetId="23" r:id="rId19"/>
  </sheets>
  <externalReferences>
    <externalReference r:id="rId20"/>
    <externalReference r:id="rId21"/>
    <externalReference r:id="rId22"/>
    <externalReference r:id="rId23"/>
  </externalReferences>
  <calcPr calcId="152511"/>
</workbook>
</file>

<file path=xl/calcChain.xml><?xml version="1.0" encoding="utf-8"?>
<calcChain xmlns="http://schemas.openxmlformats.org/spreadsheetml/2006/main">
  <c r="K3" i="24" l="1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2" i="24"/>
  <c r="I3" i="24"/>
  <c r="I4" i="24"/>
  <c r="I5" i="24"/>
  <c r="I6" i="24"/>
  <c r="I7" i="24"/>
  <c r="I8" i="24"/>
  <c r="I9" i="24"/>
  <c r="I10" i="24"/>
  <c r="I11" i="24"/>
  <c r="I12" i="24"/>
  <c r="L12" i="24" s="1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L16" i="24" s="1"/>
  <c r="G17" i="24"/>
  <c r="L17" i="24" s="1"/>
  <c r="G18" i="24"/>
  <c r="G19" i="24"/>
  <c r="G20" i="24"/>
  <c r="G21" i="24"/>
  <c r="G22" i="24"/>
  <c r="G23" i="24"/>
  <c r="G24" i="24"/>
  <c r="L24" i="24" s="1"/>
  <c r="G25" i="24"/>
  <c r="L25" i="24" s="1"/>
  <c r="G26" i="24"/>
  <c r="G27" i="24"/>
  <c r="G28" i="24"/>
  <c r="G29" i="24"/>
  <c r="G30" i="24"/>
  <c r="G31" i="24"/>
  <c r="G3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2" i="24"/>
  <c r="B32" i="24"/>
  <c r="L31" i="24"/>
  <c r="L28" i="24"/>
  <c r="L27" i="24"/>
  <c r="L23" i="24"/>
  <c r="L19" i="24"/>
  <c r="L15" i="24"/>
  <c r="L11" i="24"/>
  <c r="L7" i="24"/>
  <c r="L4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L3" i="24"/>
  <c r="B3" i="24"/>
  <c r="S40" i="1"/>
  <c r="S41" i="1"/>
  <c r="S42" i="1"/>
  <c r="S43" i="1"/>
  <c r="AR43" i="1" s="1"/>
  <c r="AS43" i="1" s="1"/>
  <c r="S44" i="1"/>
  <c r="D33" i="11"/>
  <c r="D34" i="11"/>
  <c r="D35" i="11"/>
  <c r="D36" i="11"/>
  <c r="S39" i="1"/>
  <c r="S37" i="1"/>
  <c r="S38" i="1"/>
  <c r="V31" i="12"/>
  <c r="S36" i="1"/>
  <c r="AH45" i="1"/>
  <c r="AI45" i="1"/>
  <c r="S35" i="1"/>
  <c r="S34" i="1"/>
  <c r="S33" i="1"/>
  <c r="S28" i="3"/>
  <c r="S31" i="1"/>
  <c r="C25" i="19" s="1"/>
  <c r="S32" i="1"/>
  <c r="K26" i="3"/>
  <c r="K27" i="3"/>
  <c r="K28" i="3"/>
  <c r="K29" i="3"/>
  <c r="K30" i="3"/>
  <c r="K31" i="3"/>
  <c r="K32" i="3"/>
  <c r="K33" i="3"/>
  <c r="K34" i="3"/>
  <c r="K35" i="3"/>
  <c r="K36" i="3"/>
  <c r="K37" i="3"/>
  <c r="K25" i="3"/>
  <c r="S29" i="1"/>
  <c r="S30" i="1"/>
  <c r="Y23" i="12"/>
  <c r="S28" i="1"/>
  <c r="S27" i="1"/>
  <c r="S26" i="1"/>
  <c r="S25" i="1"/>
  <c r="E21" i="15"/>
  <c r="E22" i="15"/>
  <c r="E23" i="15"/>
  <c r="F23" i="15" s="1"/>
  <c r="G23" i="15" s="1"/>
  <c r="H23" i="15" s="1"/>
  <c r="S24" i="1"/>
  <c r="S23" i="1"/>
  <c r="S22" i="1"/>
  <c r="S21" i="1"/>
  <c r="S20" i="1"/>
  <c r="W45" i="1"/>
  <c r="X45" i="1"/>
  <c r="Y45" i="1"/>
  <c r="Z45" i="1"/>
  <c r="AA45" i="1"/>
  <c r="AB45" i="1"/>
  <c r="AC45" i="1"/>
  <c r="AD45" i="1"/>
  <c r="AE45" i="1"/>
  <c r="AF45" i="1"/>
  <c r="AG45" i="1"/>
  <c r="S13" i="1"/>
  <c r="C7" i="19" s="1"/>
  <c r="X3" i="18"/>
  <c r="S11" i="1"/>
  <c r="C9" i="1"/>
  <c r="AJ16" i="3"/>
  <c r="S19" i="1"/>
  <c r="S18" i="1"/>
  <c r="S15" i="1"/>
  <c r="S16" i="1"/>
  <c r="S17" i="1"/>
  <c r="S14" i="1"/>
  <c r="S12" i="1"/>
  <c r="AJ24" i="1"/>
  <c r="AJ25" i="1"/>
  <c r="AJ26" i="1"/>
  <c r="AJ27" i="1"/>
  <c r="AJ28" i="1"/>
  <c r="AJ29" i="1"/>
  <c r="AJ30" i="1"/>
  <c r="AJ31" i="1"/>
  <c r="AJ32" i="1"/>
  <c r="E26" i="19" s="1"/>
  <c r="AJ33" i="1"/>
  <c r="AJ34" i="1"/>
  <c r="AJ35" i="1"/>
  <c r="AJ36" i="1"/>
  <c r="AJ37" i="1"/>
  <c r="AJ38" i="1"/>
  <c r="AJ39" i="1"/>
  <c r="AJ40" i="1"/>
  <c r="AJ41" i="1"/>
  <c r="AJ42" i="1"/>
  <c r="AJ43" i="1"/>
  <c r="AJ12" i="1"/>
  <c r="AJ13" i="1"/>
  <c r="AJ14" i="1"/>
  <c r="AJ15" i="1"/>
  <c r="AJ16" i="1"/>
  <c r="E10" i="19" s="1"/>
  <c r="AJ17" i="1"/>
  <c r="AJ18" i="1"/>
  <c r="AJ19" i="1"/>
  <c r="AJ20" i="1"/>
  <c r="AJ21" i="1"/>
  <c r="AJ22" i="1"/>
  <c r="AJ23" i="1"/>
  <c r="G6" i="14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7" i="13"/>
  <c r="S6" i="19"/>
  <c r="G61" i="20"/>
  <c r="E61" i="20"/>
  <c r="B61" i="20"/>
  <c r="D61" i="20"/>
  <c r="G60" i="20"/>
  <c r="E60" i="20"/>
  <c r="B60" i="20"/>
  <c r="D60" i="20"/>
  <c r="G59" i="20"/>
  <c r="E59" i="20"/>
  <c r="B59" i="20"/>
  <c r="D59" i="20"/>
  <c r="G58" i="20"/>
  <c r="E58" i="20"/>
  <c r="B58" i="20"/>
  <c r="D58" i="20"/>
  <c r="G57" i="20"/>
  <c r="E57" i="20"/>
  <c r="B57" i="20"/>
  <c r="D57" i="20"/>
  <c r="G56" i="20"/>
  <c r="E56" i="20"/>
  <c r="B56" i="20"/>
  <c r="D56" i="20"/>
  <c r="G55" i="20"/>
  <c r="E55" i="20"/>
  <c r="B55" i="20"/>
  <c r="D55" i="20"/>
  <c r="G54" i="20"/>
  <c r="E54" i="20"/>
  <c r="B54" i="20"/>
  <c r="D54" i="20"/>
  <c r="G53" i="20"/>
  <c r="E53" i="20"/>
  <c r="B53" i="20"/>
  <c r="D53" i="20"/>
  <c r="G52" i="20"/>
  <c r="E52" i="20"/>
  <c r="B52" i="20"/>
  <c r="D52" i="20"/>
  <c r="G51" i="20"/>
  <c r="E51" i="20"/>
  <c r="B51" i="20"/>
  <c r="D51" i="20"/>
  <c r="G50" i="20"/>
  <c r="E50" i="20"/>
  <c r="B50" i="20"/>
  <c r="D50" i="20"/>
  <c r="G49" i="20"/>
  <c r="E49" i="20"/>
  <c r="B49" i="20"/>
  <c r="D49" i="20"/>
  <c r="G48" i="20"/>
  <c r="E48" i="20"/>
  <c r="B48" i="20"/>
  <c r="D48" i="20"/>
  <c r="G47" i="20"/>
  <c r="E47" i="20"/>
  <c r="B47" i="20"/>
  <c r="D47" i="20"/>
  <c r="G46" i="20"/>
  <c r="E46" i="20"/>
  <c r="B46" i="20"/>
  <c r="D46" i="20"/>
  <c r="G45" i="20"/>
  <c r="E45" i="20"/>
  <c r="B45" i="20"/>
  <c r="D45" i="20"/>
  <c r="G44" i="20"/>
  <c r="E44" i="20"/>
  <c r="B44" i="20"/>
  <c r="D44" i="20"/>
  <c r="G43" i="20"/>
  <c r="E43" i="20"/>
  <c r="B43" i="20"/>
  <c r="D43" i="20"/>
  <c r="G42" i="20"/>
  <c r="E42" i="20"/>
  <c r="B42" i="20"/>
  <c r="D42" i="20"/>
  <c r="G41" i="20"/>
  <c r="E41" i="20"/>
  <c r="B41" i="20"/>
  <c r="D41" i="20"/>
  <c r="G40" i="20"/>
  <c r="E40" i="20"/>
  <c r="B40" i="20"/>
  <c r="D40" i="20"/>
  <c r="G39" i="20"/>
  <c r="E39" i="20"/>
  <c r="B39" i="20"/>
  <c r="D39" i="20"/>
  <c r="G38" i="20"/>
  <c r="E38" i="20"/>
  <c r="B38" i="20"/>
  <c r="D38" i="20"/>
  <c r="G37" i="20"/>
  <c r="E37" i="20"/>
  <c r="B37" i="20"/>
  <c r="D37" i="20"/>
  <c r="G36" i="20"/>
  <c r="E36" i="20"/>
  <c r="B36" i="20"/>
  <c r="D36" i="20"/>
  <c r="G35" i="20"/>
  <c r="E35" i="20"/>
  <c r="B35" i="20"/>
  <c r="D35" i="20"/>
  <c r="G34" i="20"/>
  <c r="E34" i="20"/>
  <c r="B34" i="20"/>
  <c r="D34" i="20"/>
  <c r="G33" i="20"/>
  <c r="E33" i="20"/>
  <c r="B33" i="20"/>
  <c r="D33" i="20"/>
  <c r="G32" i="20"/>
  <c r="E32" i="20"/>
  <c r="B32" i="20"/>
  <c r="D32" i="20"/>
  <c r="G31" i="20"/>
  <c r="E31" i="20"/>
  <c r="B31" i="20"/>
  <c r="D31" i="20"/>
  <c r="G30" i="20"/>
  <c r="E30" i="20"/>
  <c r="B30" i="20"/>
  <c r="D30" i="20"/>
  <c r="G29" i="20"/>
  <c r="E29" i="20"/>
  <c r="B29" i="20"/>
  <c r="D29" i="20"/>
  <c r="G28" i="20"/>
  <c r="E28" i="20"/>
  <c r="B28" i="20"/>
  <c r="D28" i="20"/>
  <c r="G27" i="20"/>
  <c r="E27" i="20"/>
  <c r="B27" i="20"/>
  <c r="D27" i="20"/>
  <c r="G26" i="20"/>
  <c r="E26" i="20"/>
  <c r="B26" i="20"/>
  <c r="D26" i="20"/>
  <c r="G25" i="20"/>
  <c r="E25" i="20"/>
  <c r="B25" i="20"/>
  <c r="D25" i="20"/>
  <c r="G24" i="20"/>
  <c r="E24" i="20"/>
  <c r="B24" i="20"/>
  <c r="D24" i="20"/>
  <c r="G23" i="20"/>
  <c r="E23" i="20"/>
  <c r="B23" i="20"/>
  <c r="D23" i="20"/>
  <c r="G22" i="20"/>
  <c r="E22" i="20"/>
  <c r="B22" i="20"/>
  <c r="D22" i="20"/>
  <c r="G21" i="20"/>
  <c r="E21" i="20"/>
  <c r="B21" i="20"/>
  <c r="D21" i="20"/>
  <c r="G20" i="20"/>
  <c r="E20" i="20"/>
  <c r="B20" i="20"/>
  <c r="D20" i="20"/>
  <c r="G19" i="20"/>
  <c r="E19" i="20"/>
  <c r="B19" i="20"/>
  <c r="D19" i="20"/>
  <c r="G18" i="20"/>
  <c r="E18" i="20"/>
  <c r="B18" i="20"/>
  <c r="D18" i="20"/>
  <c r="G17" i="20"/>
  <c r="E17" i="20"/>
  <c r="B17" i="20"/>
  <c r="D17" i="20"/>
  <c r="G16" i="20"/>
  <c r="E16" i="20"/>
  <c r="B16" i="20"/>
  <c r="D16" i="20"/>
  <c r="G15" i="20"/>
  <c r="E15" i="20"/>
  <c r="B15" i="20"/>
  <c r="D15" i="20"/>
  <c r="G14" i="20"/>
  <c r="E14" i="20"/>
  <c r="B14" i="20"/>
  <c r="D14" i="20"/>
  <c r="G13" i="20"/>
  <c r="E13" i="20"/>
  <c r="B13" i="20"/>
  <c r="D13" i="20"/>
  <c r="G12" i="20"/>
  <c r="E12" i="20"/>
  <c r="B12" i="20"/>
  <c r="D12" i="20"/>
  <c r="G11" i="20"/>
  <c r="E11" i="20"/>
  <c r="B11" i="20"/>
  <c r="D11" i="20"/>
  <c r="G10" i="20"/>
  <c r="E10" i="20"/>
  <c r="B10" i="20"/>
  <c r="D10" i="20"/>
  <c r="G9" i="20"/>
  <c r="E9" i="20"/>
  <c r="B9" i="20"/>
  <c r="D9" i="20"/>
  <c r="G8" i="20"/>
  <c r="E8" i="20"/>
  <c r="B8" i="20"/>
  <c r="D8" i="20"/>
  <c r="G7" i="20"/>
  <c r="E7" i="20"/>
  <c r="B7" i="20"/>
  <c r="D7" i="20"/>
  <c r="G6" i="20"/>
  <c r="E6" i="20"/>
  <c r="B6" i="20"/>
  <c r="D6" i="20"/>
  <c r="G5" i="20"/>
  <c r="B5" i="20"/>
  <c r="D5" i="20" s="1"/>
  <c r="G4" i="20"/>
  <c r="D4" i="20"/>
  <c r="G54" i="22"/>
  <c r="I54" i="22" s="1"/>
  <c r="B54" i="22"/>
  <c r="D54" i="22" s="1"/>
  <c r="F54" i="22" s="1"/>
  <c r="I53" i="22"/>
  <c r="G53" i="22"/>
  <c r="B53" i="22"/>
  <c r="D53" i="22"/>
  <c r="F53" i="22" s="1"/>
  <c r="G52" i="22"/>
  <c r="I52" i="22" s="1"/>
  <c r="B52" i="22"/>
  <c r="D52" i="22" s="1"/>
  <c r="F52" i="22" s="1"/>
  <c r="G51" i="22"/>
  <c r="I51" i="22"/>
  <c r="K51" i="22" s="1"/>
  <c r="B51" i="22"/>
  <c r="D51" i="22" s="1"/>
  <c r="F51" i="22" s="1"/>
  <c r="K50" i="22"/>
  <c r="G50" i="22"/>
  <c r="I50" i="22" s="1"/>
  <c r="D50" i="22"/>
  <c r="F50" i="22" s="1"/>
  <c r="B50" i="22"/>
  <c r="G49" i="22"/>
  <c r="I49" i="22" s="1"/>
  <c r="B49" i="22"/>
  <c r="D49" i="22" s="1"/>
  <c r="F49" i="22" s="1"/>
  <c r="G48" i="22"/>
  <c r="I48" i="22" s="1"/>
  <c r="B48" i="22"/>
  <c r="D48" i="22" s="1"/>
  <c r="F48" i="22"/>
  <c r="G47" i="22"/>
  <c r="I47" i="22"/>
  <c r="D47" i="22"/>
  <c r="F47" i="22" s="1"/>
  <c r="B47" i="22"/>
  <c r="G46" i="22"/>
  <c r="I46" i="22" s="1"/>
  <c r="B46" i="22"/>
  <c r="D46" i="22" s="1"/>
  <c r="F46" i="22" s="1"/>
  <c r="G45" i="22"/>
  <c r="I45" i="22" s="1"/>
  <c r="B45" i="22"/>
  <c r="D45" i="22" s="1"/>
  <c r="F45" i="22" s="1"/>
  <c r="G44" i="22"/>
  <c r="I44" i="22"/>
  <c r="L44" i="22" s="1"/>
  <c r="B44" i="22"/>
  <c r="D44" i="22"/>
  <c r="F44" i="22" s="1"/>
  <c r="G43" i="22"/>
  <c r="I43" i="22" s="1"/>
  <c r="K43" i="22" s="1"/>
  <c r="B43" i="22"/>
  <c r="D43" i="22" s="1"/>
  <c r="F43" i="22" s="1"/>
  <c r="G42" i="22"/>
  <c r="I42" i="22" s="1"/>
  <c r="B42" i="22"/>
  <c r="D42" i="22" s="1"/>
  <c r="F42" i="22" s="1"/>
  <c r="I41" i="22"/>
  <c r="G41" i="22"/>
  <c r="B41" i="22"/>
  <c r="D41" i="22" s="1"/>
  <c r="F41" i="22" s="1"/>
  <c r="G40" i="22"/>
  <c r="I40" i="22"/>
  <c r="B40" i="22"/>
  <c r="D40" i="22"/>
  <c r="G39" i="22"/>
  <c r="I39" i="22" s="1"/>
  <c r="B39" i="22"/>
  <c r="D39" i="22" s="1"/>
  <c r="F39" i="22" s="1"/>
  <c r="I38" i="22"/>
  <c r="G38" i="22"/>
  <c r="B38" i="22"/>
  <c r="D38" i="22" s="1"/>
  <c r="F38" i="22" s="1"/>
  <c r="G37" i="22"/>
  <c r="I37" i="22" s="1"/>
  <c r="K37" i="22" s="1"/>
  <c r="B37" i="22"/>
  <c r="D37" i="22" s="1"/>
  <c r="G36" i="22"/>
  <c r="I36" i="22"/>
  <c r="L36" i="22" s="1"/>
  <c r="B36" i="22"/>
  <c r="D36" i="22"/>
  <c r="F36" i="22" s="1"/>
  <c r="G35" i="22"/>
  <c r="I35" i="22" s="1"/>
  <c r="B35" i="22"/>
  <c r="D35" i="22" s="1"/>
  <c r="F35" i="22" s="1"/>
  <c r="G34" i="22"/>
  <c r="I34" i="22" s="1"/>
  <c r="K34" i="22" s="1"/>
  <c r="D34" i="22"/>
  <c r="F34" i="22" s="1"/>
  <c r="B34" i="22"/>
  <c r="G33" i="22"/>
  <c r="I33" i="22" s="1"/>
  <c r="B33" i="22"/>
  <c r="D33" i="22"/>
  <c r="F33" i="22" s="1"/>
  <c r="G32" i="22"/>
  <c r="I32" i="22" s="1"/>
  <c r="B32" i="22"/>
  <c r="D32" i="22" s="1"/>
  <c r="F32" i="22"/>
  <c r="G31" i="22"/>
  <c r="I31" i="22"/>
  <c r="D31" i="22"/>
  <c r="F31" i="22" s="1"/>
  <c r="B31" i="22"/>
  <c r="G30" i="22"/>
  <c r="I30" i="22" s="1"/>
  <c r="B30" i="22"/>
  <c r="D30" i="22" s="1"/>
  <c r="F30" i="22" s="1"/>
  <c r="I29" i="22"/>
  <c r="G29" i="22"/>
  <c r="B29" i="22"/>
  <c r="D29" i="22" s="1"/>
  <c r="G28" i="22"/>
  <c r="I28" i="22"/>
  <c r="B28" i="22"/>
  <c r="D28" i="22"/>
  <c r="F28" i="22" s="1"/>
  <c r="G27" i="22"/>
  <c r="I27" i="22" s="1"/>
  <c r="B27" i="22"/>
  <c r="D27" i="22" s="1"/>
  <c r="F27" i="22" s="1"/>
  <c r="G26" i="22"/>
  <c r="I26" i="22" s="1"/>
  <c r="B26" i="22"/>
  <c r="D26" i="22" s="1"/>
  <c r="F26" i="22" s="1"/>
  <c r="I25" i="22"/>
  <c r="L25" i="22" s="1"/>
  <c r="G25" i="22"/>
  <c r="B25" i="22"/>
  <c r="D25" i="22" s="1"/>
  <c r="F25" i="22"/>
  <c r="G24" i="22"/>
  <c r="I24" i="22"/>
  <c r="B24" i="22"/>
  <c r="D24" i="22"/>
  <c r="G23" i="22"/>
  <c r="I23" i="22" s="1"/>
  <c r="L23" i="22" s="1"/>
  <c r="F23" i="22"/>
  <c r="B23" i="22"/>
  <c r="D23" i="22" s="1"/>
  <c r="I22" i="22"/>
  <c r="G22" i="22"/>
  <c r="F22" i="22"/>
  <c r="B22" i="22"/>
  <c r="D22" i="22" s="1"/>
  <c r="G21" i="22"/>
  <c r="I21" i="22" s="1"/>
  <c r="B21" i="22"/>
  <c r="D21" i="22"/>
  <c r="F21" i="22" s="1"/>
  <c r="G20" i="22"/>
  <c r="I20" i="22" s="1"/>
  <c r="B20" i="22"/>
  <c r="D20" i="22" s="1"/>
  <c r="F20" i="22" s="1"/>
  <c r="I19" i="22"/>
  <c r="K19" i="22" s="1"/>
  <c r="B19" i="22"/>
  <c r="D19" i="22"/>
  <c r="F19" i="22" s="1"/>
  <c r="G18" i="22"/>
  <c r="I18" i="22" s="1"/>
  <c r="K18" i="22" s="1"/>
  <c r="D18" i="22"/>
  <c r="F18" i="22" s="1"/>
  <c r="B18" i="22"/>
  <c r="I17" i="22"/>
  <c r="K17" i="22" s="1"/>
  <c r="G17" i="22"/>
  <c r="B17" i="22"/>
  <c r="D17" i="22"/>
  <c r="F17" i="22" s="1"/>
  <c r="G16" i="22"/>
  <c r="I16" i="22" s="1"/>
  <c r="K16" i="22" s="1"/>
  <c r="B16" i="22"/>
  <c r="D16" i="22" s="1"/>
  <c r="F16" i="22" s="1"/>
  <c r="I15" i="22"/>
  <c r="K15" i="22" s="1"/>
  <c r="G15" i="22"/>
  <c r="B15" i="22"/>
  <c r="D15" i="22"/>
  <c r="F15" i="22" s="1"/>
  <c r="G14" i="22"/>
  <c r="I14" i="22"/>
  <c r="K14" i="22" s="1"/>
  <c r="B14" i="22"/>
  <c r="D14" i="22" s="1"/>
  <c r="F14" i="22" s="1"/>
  <c r="I13" i="22"/>
  <c r="K13" i="22" s="1"/>
  <c r="G13" i="22"/>
  <c r="B13" i="22"/>
  <c r="D13" i="22"/>
  <c r="F13" i="22" s="1"/>
  <c r="G12" i="22"/>
  <c r="I12" i="22"/>
  <c r="K12" i="22" s="1"/>
  <c r="B12" i="22"/>
  <c r="D12" i="22" s="1"/>
  <c r="F12" i="22" s="1"/>
  <c r="I11" i="22"/>
  <c r="K11" i="22" s="1"/>
  <c r="G11" i="22"/>
  <c r="B11" i="22"/>
  <c r="D11" i="22"/>
  <c r="F11" i="22" s="1"/>
  <c r="G10" i="22"/>
  <c r="I10" i="22"/>
  <c r="K10" i="22" s="1"/>
  <c r="B10" i="22"/>
  <c r="D10" i="22" s="1"/>
  <c r="F10" i="22" s="1"/>
  <c r="I9" i="22"/>
  <c r="K9" i="22" s="1"/>
  <c r="G9" i="22"/>
  <c r="E9" i="22"/>
  <c r="D9" i="22"/>
  <c r="F9" i="22" s="1"/>
  <c r="B9" i="22"/>
  <c r="G8" i="22"/>
  <c r="I8" i="22"/>
  <c r="K8" i="22"/>
  <c r="E8" i="22"/>
  <c r="B8" i="22"/>
  <c r="D8" i="22"/>
  <c r="F8" i="22" s="1"/>
  <c r="G7" i="22"/>
  <c r="I7" i="22" s="1"/>
  <c r="K7" i="22" s="1"/>
  <c r="B7" i="22"/>
  <c r="D7" i="22" s="1"/>
  <c r="G6" i="22"/>
  <c r="I6" i="22" s="1"/>
  <c r="K6" i="22"/>
  <c r="D6" i="22"/>
  <c r="B6" i="22"/>
  <c r="G5" i="22"/>
  <c r="I5" i="22" s="1"/>
  <c r="K5" i="22" s="1"/>
  <c r="B5" i="22"/>
  <c r="D5" i="22" s="1"/>
  <c r="K4" i="22"/>
  <c r="I4" i="22"/>
  <c r="G4" i="22"/>
  <c r="B4" i="22"/>
  <c r="D4" i="22"/>
  <c r="G3" i="22"/>
  <c r="I3" i="22" s="1"/>
  <c r="K3" i="22" s="1"/>
  <c r="D3" i="22"/>
  <c r="L34" i="22"/>
  <c r="K20" i="22"/>
  <c r="K23" i="22"/>
  <c r="K31" i="22"/>
  <c r="K36" i="22"/>
  <c r="K44" i="22"/>
  <c r="K47" i="22"/>
  <c r="L47" i="22"/>
  <c r="K52" i="22"/>
  <c r="L41" i="22"/>
  <c r="K24" i="22"/>
  <c r="K27" i="22"/>
  <c r="L27" i="22"/>
  <c r="K35" i="22"/>
  <c r="L35" i="22"/>
  <c r="K40" i="22"/>
  <c r="L43" i="22"/>
  <c r="L51" i="22"/>
  <c r="K25" i="22"/>
  <c r="K29" i="22"/>
  <c r="K41" i="22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7" i="14"/>
  <c r="C8" i="14"/>
  <c r="C6" i="14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2" i="12"/>
  <c r="V33" i="12"/>
  <c r="V34" i="12"/>
  <c r="V35" i="12"/>
  <c r="V36" i="12"/>
  <c r="V17" i="12"/>
  <c r="B9" i="12"/>
  <c r="H5" i="19"/>
  <c r="G5" i="19"/>
  <c r="A77" i="3"/>
  <c r="AM37" i="3"/>
  <c r="AK37" i="3"/>
  <c r="AJ37" i="3"/>
  <c r="AH37" i="3"/>
  <c r="AG37" i="3"/>
  <c r="AE37" i="3"/>
  <c r="AD37" i="3"/>
  <c r="AB37" i="3"/>
  <c r="AA37" i="3"/>
  <c r="Y37" i="3"/>
  <c r="X37" i="3"/>
  <c r="AN37" i="3" s="1"/>
  <c r="V37" i="3"/>
  <c r="U37" i="3"/>
  <c r="S37" i="3"/>
  <c r="A36" i="3"/>
  <c r="A37" i="3"/>
  <c r="Y37" i="12"/>
  <c r="W37" i="12"/>
  <c r="T37" i="12"/>
  <c r="V37" i="12" s="1"/>
  <c r="Z37" i="12" s="1"/>
  <c r="S37" i="12"/>
  <c r="Q37" i="12"/>
  <c r="P37" i="12"/>
  <c r="N37" i="12"/>
  <c r="K37" i="12"/>
  <c r="M37" i="12" s="1"/>
  <c r="V35" i="18"/>
  <c r="X35" i="18"/>
  <c r="P35" i="18"/>
  <c r="K35" i="18"/>
  <c r="D35" i="18"/>
  <c r="D34" i="18"/>
  <c r="F34" i="18" s="1"/>
  <c r="K34" i="18"/>
  <c r="P34" i="18"/>
  <c r="O35" i="18" s="1"/>
  <c r="V34" i="18"/>
  <c r="X34" i="18" s="1"/>
  <c r="AB34" i="18"/>
  <c r="AA35" i="18"/>
  <c r="AB35" i="18"/>
  <c r="B35" i="18"/>
  <c r="H35" i="18" s="1"/>
  <c r="M35" i="18"/>
  <c r="T35" i="18" s="1"/>
  <c r="Y35" i="18" s="1"/>
  <c r="A35" i="18"/>
  <c r="B34" i="12"/>
  <c r="B35" i="12"/>
  <c r="B36" i="12"/>
  <c r="B37" i="12"/>
  <c r="A37" i="12"/>
  <c r="A36" i="12"/>
  <c r="A34" i="12"/>
  <c r="A35" i="12"/>
  <c r="J35" i="18"/>
  <c r="D4" i="18"/>
  <c r="F4" i="18"/>
  <c r="AF6" i="13"/>
  <c r="Y6" i="13"/>
  <c r="U6" i="13"/>
  <c r="Q6" i="13"/>
  <c r="R6" i="13" s="1"/>
  <c r="AJ6" i="3"/>
  <c r="AB6" i="3"/>
  <c r="U6" i="3"/>
  <c r="O6" i="3"/>
  <c r="Q6" i="3" s="1"/>
  <c r="N6" i="3"/>
  <c r="I6" i="3"/>
  <c r="K6" i="3"/>
  <c r="C6" i="3"/>
  <c r="E6" i="3" s="1"/>
  <c r="D46" i="3"/>
  <c r="F46" i="3"/>
  <c r="C9" i="19"/>
  <c r="D12" i="14"/>
  <c r="C24" i="19"/>
  <c r="C28" i="19"/>
  <c r="C32" i="19"/>
  <c r="C33" i="19"/>
  <c r="C35" i="19"/>
  <c r="K8" i="14"/>
  <c r="K9" i="14"/>
  <c r="K10" i="14"/>
  <c r="AF9" i="13"/>
  <c r="H9" i="14" s="1"/>
  <c r="AF10" i="13"/>
  <c r="AF11" i="13"/>
  <c r="AF12" i="13"/>
  <c r="Q11" i="19" s="1"/>
  <c r="AF13" i="13"/>
  <c r="Q12" i="19"/>
  <c r="AF14" i="13"/>
  <c r="Q13" i="19" s="1"/>
  <c r="S8" i="19"/>
  <c r="Y7" i="13"/>
  <c r="Z7" i="13"/>
  <c r="AA7" i="13" s="1"/>
  <c r="G8" i="14" s="1"/>
  <c r="Y8" i="13"/>
  <c r="Z8" i="13"/>
  <c r="AA8" i="13" s="1"/>
  <c r="G9" i="14" s="1"/>
  <c r="Y9" i="13"/>
  <c r="Y10" i="13"/>
  <c r="Y11" i="13"/>
  <c r="Z11" i="13" s="1"/>
  <c r="AA11" i="13"/>
  <c r="G12" i="14" s="1"/>
  <c r="Y12" i="13"/>
  <c r="Z12" i="13" s="1"/>
  <c r="AA12" i="13" s="1"/>
  <c r="G13" i="14" s="1"/>
  <c r="Y13" i="13"/>
  <c r="Z13" i="13" s="1"/>
  <c r="Y14" i="13"/>
  <c r="Z14" i="13" s="1"/>
  <c r="AA14" i="13" s="1"/>
  <c r="G15" i="14" s="1"/>
  <c r="Y15" i="13"/>
  <c r="Z15" i="13" s="1"/>
  <c r="AA15" i="13" s="1"/>
  <c r="G16" i="14" s="1"/>
  <c r="Y16" i="13"/>
  <c r="Z16" i="13" s="1"/>
  <c r="Y17" i="13"/>
  <c r="Y18" i="13"/>
  <c r="Y19" i="13"/>
  <c r="Y20" i="13"/>
  <c r="Y21" i="13"/>
  <c r="Z21" i="13" s="1"/>
  <c r="AA21" i="13" s="1"/>
  <c r="G22" i="14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Z36" i="13"/>
  <c r="AA36" i="13" s="1"/>
  <c r="U7" i="13"/>
  <c r="V7" i="13"/>
  <c r="U8" i="13"/>
  <c r="V8" i="13" s="1"/>
  <c r="U9" i="13"/>
  <c r="V9" i="13"/>
  <c r="U10" i="13"/>
  <c r="V10" i="13" s="1"/>
  <c r="U11" i="13"/>
  <c r="U12" i="13"/>
  <c r="V12" i="13" s="1"/>
  <c r="U13" i="13"/>
  <c r="U14" i="13"/>
  <c r="V14" i="13"/>
  <c r="U15" i="13"/>
  <c r="U16" i="13"/>
  <c r="V16" i="13" s="1"/>
  <c r="U17" i="13"/>
  <c r="V17" i="13"/>
  <c r="U18" i="13"/>
  <c r="V18" i="13" s="1"/>
  <c r="U19" i="13"/>
  <c r="U20" i="13"/>
  <c r="U21" i="13"/>
  <c r="U22" i="13"/>
  <c r="V22" i="13"/>
  <c r="U23" i="13"/>
  <c r="V23" i="13" s="1"/>
  <c r="U24" i="13"/>
  <c r="U25" i="13"/>
  <c r="U26" i="13"/>
  <c r="U27" i="13"/>
  <c r="U28" i="13"/>
  <c r="U29" i="13"/>
  <c r="U30" i="13"/>
  <c r="U31" i="13"/>
  <c r="U32" i="13"/>
  <c r="U33" i="13"/>
  <c r="U34" i="13"/>
  <c r="V34" i="13" s="1"/>
  <c r="U35" i="13"/>
  <c r="U36" i="1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B7" i="12"/>
  <c r="B8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6" i="12"/>
  <c r="AD20" i="3"/>
  <c r="G19" i="19"/>
  <c r="V12" i="18"/>
  <c r="X12" i="18"/>
  <c r="V13" i="18"/>
  <c r="X13" i="18" s="1"/>
  <c r="V11" i="18"/>
  <c r="X11" i="18"/>
  <c r="L11" i="3"/>
  <c r="L12" i="3"/>
  <c r="L13" i="3"/>
  <c r="L14" i="3"/>
  <c r="L15" i="3"/>
  <c r="N9" i="3"/>
  <c r="N10" i="3"/>
  <c r="N11" i="3"/>
  <c r="N12" i="3"/>
  <c r="N13" i="3"/>
  <c r="N14" i="3"/>
  <c r="S9" i="19"/>
  <c r="S10" i="19"/>
  <c r="S11" i="19"/>
  <c r="S12" i="19"/>
  <c r="S13" i="19"/>
  <c r="S14" i="19"/>
  <c r="S15" i="19"/>
  <c r="S16" i="19"/>
  <c r="S17" i="19"/>
  <c r="S18" i="19"/>
  <c r="S19" i="19"/>
  <c r="S20" i="19"/>
  <c r="S36" i="19"/>
  <c r="AJ11" i="1"/>
  <c r="AR11" i="1" s="1"/>
  <c r="F6" i="14" s="1"/>
  <c r="G16" i="19"/>
  <c r="G17" i="19"/>
  <c r="G18" i="19"/>
  <c r="AB11" i="18"/>
  <c r="AA12" i="18"/>
  <c r="AB12" i="18"/>
  <c r="AA13" i="18"/>
  <c r="AB13" i="18"/>
  <c r="AA14" i="18"/>
  <c r="AB14" i="18"/>
  <c r="AA15" i="18"/>
  <c r="AB15" i="18"/>
  <c r="AA16" i="18"/>
  <c r="AB16" i="18"/>
  <c r="AA17" i="18"/>
  <c r="AB17" i="18"/>
  <c r="AA18" i="18"/>
  <c r="AB18" i="18"/>
  <c r="AA19" i="18"/>
  <c r="AB19" i="18"/>
  <c r="AA20" i="18"/>
  <c r="N6" i="12"/>
  <c r="Q6" i="12"/>
  <c r="T6" i="12"/>
  <c r="V6" i="12"/>
  <c r="T7" i="12"/>
  <c r="V7" i="12"/>
  <c r="K6" i="12"/>
  <c r="M6" i="12"/>
  <c r="P6" i="12"/>
  <c r="S6" i="12"/>
  <c r="Y6" i="12"/>
  <c r="K7" i="12"/>
  <c r="M7" i="12"/>
  <c r="P7" i="12"/>
  <c r="S7" i="12"/>
  <c r="Y7" i="12"/>
  <c r="K8" i="12"/>
  <c r="M8" i="12"/>
  <c r="P8" i="12"/>
  <c r="S8" i="12"/>
  <c r="T8" i="12"/>
  <c r="V8" i="12"/>
  <c r="Y8" i="12"/>
  <c r="W6" i="12"/>
  <c r="W7" i="12"/>
  <c r="W8" i="12"/>
  <c r="K9" i="12"/>
  <c r="M9" i="12"/>
  <c r="P9" i="12"/>
  <c r="S9" i="12"/>
  <c r="T9" i="12"/>
  <c r="V9" i="12"/>
  <c r="Y9" i="12"/>
  <c r="K10" i="12"/>
  <c r="M10" i="12" s="1"/>
  <c r="P10" i="12"/>
  <c r="S10" i="12"/>
  <c r="T10" i="12"/>
  <c r="V10" i="12" s="1"/>
  <c r="Y10" i="12"/>
  <c r="K11" i="12"/>
  <c r="M11" i="12"/>
  <c r="P11" i="12"/>
  <c r="S11" i="12"/>
  <c r="T11" i="12"/>
  <c r="V11" i="12"/>
  <c r="Y11" i="12"/>
  <c r="K12" i="12"/>
  <c r="M12" i="12"/>
  <c r="P12" i="12"/>
  <c r="S12" i="12"/>
  <c r="T12" i="12"/>
  <c r="V12" i="12"/>
  <c r="Y12" i="12"/>
  <c r="K13" i="12"/>
  <c r="M13" i="12"/>
  <c r="P13" i="12"/>
  <c r="S13" i="12"/>
  <c r="T13" i="12"/>
  <c r="V13" i="12"/>
  <c r="Y13" i="12"/>
  <c r="K14" i="12"/>
  <c r="M14" i="12" s="1"/>
  <c r="P14" i="12"/>
  <c r="S14" i="12"/>
  <c r="T14" i="12"/>
  <c r="V14" i="12" s="1"/>
  <c r="Y14" i="12"/>
  <c r="K15" i="12"/>
  <c r="M15" i="12"/>
  <c r="P15" i="12"/>
  <c r="S15" i="12"/>
  <c r="T15" i="12"/>
  <c r="V15" i="12"/>
  <c r="Y15" i="12"/>
  <c r="K16" i="12"/>
  <c r="M16" i="12"/>
  <c r="P16" i="12"/>
  <c r="S16" i="12"/>
  <c r="T16" i="12"/>
  <c r="V16" i="12"/>
  <c r="Y16" i="12"/>
  <c r="P17" i="12"/>
  <c r="S17" i="12"/>
  <c r="T17" i="12"/>
  <c r="Y17" i="12"/>
  <c r="K17" i="12"/>
  <c r="M17" i="12"/>
  <c r="K18" i="12"/>
  <c r="M18" i="12"/>
  <c r="P18" i="12"/>
  <c r="S18" i="12"/>
  <c r="Y18" i="12"/>
  <c r="T18" i="12"/>
  <c r="K19" i="12"/>
  <c r="M19" i="12"/>
  <c r="P19" i="12"/>
  <c r="S19" i="12"/>
  <c r="T19" i="12"/>
  <c r="Y19" i="12"/>
  <c r="T20" i="12"/>
  <c r="K20" i="12"/>
  <c r="M20" i="12" s="1"/>
  <c r="P20" i="12"/>
  <c r="S20" i="12"/>
  <c r="Y20" i="12"/>
  <c r="K21" i="12"/>
  <c r="M21" i="12"/>
  <c r="P21" i="12"/>
  <c r="S21" i="12"/>
  <c r="T21" i="12"/>
  <c r="Y21" i="12"/>
  <c r="E6" i="19"/>
  <c r="C6" i="19"/>
  <c r="E7" i="19"/>
  <c r="E8" i="19"/>
  <c r="C8" i="19"/>
  <c r="E9" i="19"/>
  <c r="C10" i="19"/>
  <c r="E11" i="19"/>
  <c r="E12" i="19"/>
  <c r="C14" i="19"/>
  <c r="E14" i="19"/>
  <c r="C23" i="19"/>
  <c r="E23" i="19"/>
  <c r="E24" i="19"/>
  <c r="E25" i="19"/>
  <c r="C26" i="19"/>
  <c r="E27" i="19"/>
  <c r="E28" i="19"/>
  <c r="AR35" i="1"/>
  <c r="C30" i="19"/>
  <c r="AR36" i="1"/>
  <c r="E31" i="19"/>
  <c r="E32" i="19"/>
  <c r="E33" i="19"/>
  <c r="C34" i="19"/>
  <c r="AR40" i="1"/>
  <c r="E35" i="19"/>
  <c r="C5" i="19"/>
  <c r="AJ10" i="1"/>
  <c r="H9" i="10" s="1"/>
  <c r="S10" i="1"/>
  <c r="U10" i="1"/>
  <c r="AR19" i="1"/>
  <c r="AR24" i="1"/>
  <c r="AH6" i="13"/>
  <c r="AI6" i="13"/>
  <c r="T5" i="19" s="1"/>
  <c r="AG6" i="13"/>
  <c r="AI7" i="13"/>
  <c r="T6" i="19" s="1"/>
  <c r="F50" i="3"/>
  <c r="I8" i="3"/>
  <c r="K8" i="3"/>
  <c r="D6" i="11"/>
  <c r="B7" i="14"/>
  <c r="D7" i="11"/>
  <c r="B8" i="14"/>
  <c r="D8" i="11"/>
  <c r="B9" i="14"/>
  <c r="D9" i="11"/>
  <c r="B10" i="14"/>
  <c r="D10" i="11"/>
  <c r="B11" i="14"/>
  <c r="D11" i="14"/>
  <c r="N11" i="14"/>
  <c r="D11" i="11"/>
  <c r="B12" i="14"/>
  <c r="D12" i="11"/>
  <c r="B13" i="14"/>
  <c r="D13" i="11"/>
  <c r="B14" i="14"/>
  <c r="D14" i="11"/>
  <c r="B14" i="19"/>
  <c r="D15" i="11"/>
  <c r="B16" i="14"/>
  <c r="D18" i="11"/>
  <c r="B19" i="14"/>
  <c r="D19" i="11"/>
  <c r="B20" i="14"/>
  <c r="D20" i="11"/>
  <c r="B21" i="14"/>
  <c r="D21" i="11"/>
  <c r="B22" i="14"/>
  <c r="D22" i="11"/>
  <c r="B23" i="14"/>
  <c r="D23" i="11"/>
  <c r="B24" i="14"/>
  <c r="D24" i="11"/>
  <c r="B25" i="14"/>
  <c r="D25" i="11"/>
  <c r="B26" i="14"/>
  <c r="D26" i="11"/>
  <c r="B27" i="14"/>
  <c r="D27" i="11"/>
  <c r="B28" i="14"/>
  <c r="D28" i="11"/>
  <c r="B29" i="14"/>
  <c r="D29" i="11"/>
  <c r="B29" i="19" s="1"/>
  <c r="B30" i="14"/>
  <c r="D30" i="11"/>
  <c r="B31" i="14"/>
  <c r="D31" i="11"/>
  <c r="B31" i="19" s="1"/>
  <c r="B32" i="14"/>
  <c r="D32" i="11"/>
  <c r="B33" i="14"/>
  <c r="B34" i="14"/>
  <c r="B35" i="14"/>
  <c r="Y47" i="1"/>
  <c r="Z47" i="1"/>
  <c r="AA47" i="1"/>
  <c r="V45" i="1"/>
  <c r="AR21" i="1"/>
  <c r="AR22" i="1"/>
  <c r="E17" i="19"/>
  <c r="E19" i="19"/>
  <c r="AR26" i="1"/>
  <c r="AR27" i="1"/>
  <c r="AR28" i="1"/>
  <c r="C20" i="13"/>
  <c r="B20" i="13"/>
  <c r="C21" i="13"/>
  <c r="B21" i="13"/>
  <c r="C22" i="13"/>
  <c r="B22" i="13"/>
  <c r="C23" i="13"/>
  <c r="B23" i="13"/>
  <c r="C24" i="13"/>
  <c r="B24" i="13"/>
  <c r="C25" i="13"/>
  <c r="B25" i="13"/>
  <c r="AK32" i="3"/>
  <c r="AK33" i="3"/>
  <c r="L32" i="19" s="1"/>
  <c r="AK34" i="3"/>
  <c r="L33" i="19" s="1"/>
  <c r="AK35" i="3"/>
  <c r="AK36" i="3"/>
  <c r="L35" i="19" s="1"/>
  <c r="AK24" i="3"/>
  <c r="AK25" i="3"/>
  <c r="AK26" i="3"/>
  <c r="L25" i="19" s="1"/>
  <c r="AK27" i="3"/>
  <c r="L26" i="19" s="1"/>
  <c r="AK28" i="3"/>
  <c r="AK29" i="3"/>
  <c r="AK30" i="3"/>
  <c r="L29" i="19" s="1"/>
  <c r="AK31" i="3"/>
  <c r="L30" i="19" s="1"/>
  <c r="T10" i="1"/>
  <c r="T26" i="1"/>
  <c r="F20" i="10" s="1"/>
  <c r="D20" i="18"/>
  <c r="F20" i="18" s="1"/>
  <c r="G18" i="11"/>
  <c r="D34" i="21"/>
  <c r="B33" i="21"/>
  <c r="D33" i="21" s="1"/>
  <c r="B32" i="21"/>
  <c r="D32" i="21" s="1"/>
  <c r="B31" i="21"/>
  <c r="D31" i="21" s="1"/>
  <c r="B30" i="21"/>
  <c r="D30" i="21" s="1"/>
  <c r="B29" i="21"/>
  <c r="D29" i="21" s="1"/>
  <c r="B28" i="21"/>
  <c r="D28" i="21" s="1"/>
  <c r="B27" i="21"/>
  <c r="D27" i="21" s="1"/>
  <c r="B26" i="21"/>
  <c r="D26" i="21" s="1"/>
  <c r="B25" i="21"/>
  <c r="D25" i="21" s="1"/>
  <c r="B24" i="21"/>
  <c r="D24" i="21" s="1"/>
  <c r="B23" i="21"/>
  <c r="D23" i="21" s="1"/>
  <c r="B22" i="21"/>
  <c r="D22" i="21" s="1"/>
  <c r="B21" i="21"/>
  <c r="D21" i="21" s="1"/>
  <c r="B20" i="21"/>
  <c r="D20" i="21" s="1"/>
  <c r="B19" i="21"/>
  <c r="D19" i="21" s="1"/>
  <c r="B18" i="21"/>
  <c r="D18" i="21" s="1"/>
  <c r="B17" i="21"/>
  <c r="D17" i="21" s="1"/>
  <c r="B16" i="21"/>
  <c r="D16" i="21" s="1"/>
  <c r="B15" i="21"/>
  <c r="D15" i="21" s="1"/>
  <c r="B14" i="21"/>
  <c r="D14" i="21" s="1"/>
  <c r="B13" i="21"/>
  <c r="D13" i="21" s="1"/>
  <c r="B12" i="21"/>
  <c r="D12" i="21" s="1"/>
  <c r="B11" i="21"/>
  <c r="D11" i="21" s="1"/>
  <c r="D10" i="21"/>
  <c r="D9" i="21"/>
  <c r="D8" i="21"/>
  <c r="D7" i="21"/>
  <c r="D6" i="21"/>
  <c r="D5" i="21"/>
  <c r="D4" i="21"/>
  <c r="D3" i="21"/>
  <c r="T36" i="19"/>
  <c r="R36" i="19"/>
  <c r="AF37" i="13"/>
  <c r="Q36" i="19" s="1"/>
  <c r="AC37" i="13"/>
  <c r="P36" i="19" s="1"/>
  <c r="O36" i="19"/>
  <c r="N36" i="19"/>
  <c r="M36" i="19"/>
  <c r="L36" i="19"/>
  <c r="H36" i="19"/>
  <c r="G36" i="19"/>
  <c r="C36" i="19"/>
  <c r="B36" i="19"/>
  <c r="A36" i="19"/>
  <c r="AI36" i="13"/>
  <c r="T35" i="19"/>
  <c r="S35" i="19"/>
  <c r="AG36" i="13"/>
  <c r="R35" i="19" s="1"/>
  <c r="AF36" i="13"/>
  <c r="Q35" i="19" s="1"/>
  <c r="AC36" i="13"/>
  <c r="P35" i="19" s="1"/>
  <c r="O35" i="19"/>
  <c r="N35" i="19"/>
  <c r="M35" i="19"/>
  <c r="C36" i="3"/>
  <c r="E36" i="3"/>
  <c r="H35" i="19"/>
  <c r="G35" i="19"/>
  <c r="A35" i="19"/>
  <c r="AI35" i="13"/>
  <c r="T34" i="19"/>
  <c r="S34" i="19"/>
  <c r="AG35" i="13"/>
  <c r="R34" i="19" s="1"/>
  <c r="AF35" i="13"/>
  <c r="Q34" i="19" s="1"/>
  <c r="AC35" i="13"/>
  <c r="P34" i="19" s="1"/>
  <c r="O34" i="19"/>
  <c r="N34" i="19"/>
  <c r="M34" i="19"/>
  <c r="L34" i="19"/>
  <c r="C35" i="3"/>
  <c r="E35" i="3" s="1"/>
  <c r="H34" i="19"/>
  <c r="G34" i="19"/>
  <c r="A34" i="19"/>
  <c r="AI34" i="13"/>
  <c r="T33" i="19"/>
  <c r="S33" i="19"/>
  <c r="AG34" i="13"/>
  <c r="R33" i="19" s="1"/>
  <c r="AF34" i="13"/>
  <c r="H34" i="14" s="1"/>
  <c r="AC34" i="13"/>
  <c r="P33" i="19" s="1"/>
  <c r="O33" i="19"/>
  <c r="N33" i="19"/>
  <c r="M33" i="19"/>
  <c r="C34" i="3"/>
  <c r="E34" i="3" s="1"/>
  <c r="H33" i="19"/>
  <c r="G33" i="19"/>
  <c r="A33" i="19"/>
  <c r="AI33" i="13"/>
  <c r="T32" i="19" s="1"/>
  <c r="S32" i="19"/>
  <c r="AG33" i="13"/>
  <c r="R32" i="19"/>
  <c r="AF33" i="13"/>
  <c r="Q32" i="19"/>
  <c r="AC33" i="13"/>
  <c r="P32" i="19"/>
  <c r="O32" i="19"/>
  <c r="N32" i="19"/>
  <c r="M32" i="19"/>
  <c r="C33" i="3"/>
  <c r="E33" i="3" s="1"/>
  <c r="H32" i="19"/>
  <c r="G32" i="19"/>
  <c r="A32" i="19"/>
  <c r="AI32" i="13"/>
  <c r="T31" i="19" s="1"/>
  <c r="S31" i="19"/>
  <c r="AG32" i="13"/>
  <c r="R31" i="19"/>
  <c r="AF32" i="13"/>
  <c r="Q31" i="19"/>
  <c r="AC32" i="13"/>
  <c r="P31" i="19"/>
  <c r="O31" i="19"/>
  <c r="N31" i="19"/>
  <c r="M31" i="19"/>
  <c r="L31" i="19"/>
  <c r="C32" i="3"/>
  <c r="E32" i="3"/>
  <c r="H31" i="19"/>
  <c r="G31" i="19"/>
  <c r="A31" i="19"/>
  <c r="AI31" i="13"/>
  <c r="T30" i="19"/>
  <c r="S30" i="19"/>
  <c r="AG31" i="13"/>
  <c r="R30" i="19" s="1"/>
  <c r="AF31" i="13"/>
  <c r="Q30" i="19" s="1"/>
  <c r="AC31" i="13"/>
  <c r="P30" i="19" s="1"/>
  <c r="O30" i="19"/>
  <c r="N30" i="19"/>
  <c r="M30" i="19"/>
  <c r="C31" i="3"/>
  <c r="E31" i="3" s="1"/>
  <c r="H30" i="19"/>
  <c r="G30" i="19"/>
  <c r="B30" i="19"/>
  <c r="A30" i="19"/>
  <c r="AI30" i="13"/>
  <c r="T29" i="19"/>
  <c r="S29" i="19"/>
  <c r="AG30" i="13"/>
  <c r="R29" i="19" s="1"/>
  <c r="AF30" i="13"/>
  <c r="H30" i="14" s="1"/>
  <c r="AC30" i="13"/>
  <c r="P29" i="19" s="1"/>
  <c r="O29" i="19"/>
  <c r="N29" i="19"/>
  <c r="M29" i="19"/>
  <c r="C30" i="3"/>
  <c r="E30" i="3"/>
  <c r="H29" i="19"/>
  <c r="G29" i="19"/>
  <c r="A29" i="19"/>
  <c r="AI29" i="13"/>
  <c r="T28" i="19"/>
  <c r="S28" i="19"/>
  <c r="AG29" i="13"/>
  <c r="R28" i="19" s="1"/>
  <c r="AF29" i="13"/>
  <c r="Q28" i="19" s="1"/>
  <c r="AC29" i="13"/>
  <c r="P28" i="19" s="1"/>
  <c r="O28" i="19"/>
  <c r="N28" i="19"/>
  <c r="M28" i="19"/>
  <c r="L28" i="19"/>
  <c r="C29" i="3"/>
  <c r="E29" i="3" s="1"/>
  <c r="H28" i="19"/>
  <c r="G28" i="19"/>
  <c r="B28" i="19"/>
  <c r="A28" i="19"/>
  <c r="AI28" i="13"/>
  <c r="T27" i="19" s="1"/>
  <c r="S27" i="19"/>
  <c r="AG28" i="13"/>
  <c r="R27" i="19"/>
  <c r="AF28" i="13"/>
  <c r="Q27" i="19"/>
  <c r="AC28" i="13"/>
  <c r="P27" i="19"/>
  <c r="O27" i="19"/>
  <c r="N27" i="19"/>
  <c r="M27" i="19"/>
  <c r="L27" i="19"/>
  <c r="C28" i="3"/>
  <c r="E28" i="3"/>
  <c r="H27" i="19"/>
  <c r="G27" i="19"/>
  <c r="B27" i="19"/>
  <c r="A27" i="19"/>
  <c r="AI27" i="13"/>
  <c r="T26" i="19"/>
  <c r="S26" i="19"/>
  <c r="AG27" i="13"/>
  <c r="R26" i="19" s="1"/>
  <c r="AF27" i="13"/>
  <c r="Q26" i="19" s="1"/>
  <c r="AC27" i="13"/>
  <c r="P26" i="19" s="1"/>
  <c r="O26" i="19"/>
  <c r="N26" i="19"/>
  <c r="M26" i="19"/>
  <c r="C27" i="3"/>
  <c r="E27" i="3"/>
  <c r="H26" i="19"/>
  <c r="G26" i="19"/>
  <c r="B26" i="19"/>
  <c r="A26" i="19"/>
  <c r="AI26" i="13"/>
  <c r="T25" i="19"/>
  <c r="S25" i="19"/>
  <c r="AG26" i="13"/>
  <c r="R25" i="19" s="1"/>
  <c r="AF26" i="13"/>
  <c r="Q25" i="19" s="1"/>
  <c r="AC26" i="13"/>
  <c r="P25" i="19" s="1"/>
  <c r="O25" i="19"/>
  <c r="N25" i="19"/>
  <c r="M25" i="19"/>
  <c r="C26" i="3"/>
  <c r="E26" i="3"/>
  <c r="H25" i="19"/>
  <c r="G25" i="19"/>
  <c r="B25" i="19"/>
  <c r="A25" i="19"/>
  <c r="AI25" i="13"/>
  <c r="T24" i="19"/>
  <c r="S24" i="19"/>
  <c r="AG25" i="13"/>
  <c r="R24" i="19" s="1"/>
  <c r="AF25" i="13"/>
  <c r="Q24" i="19" s="1"/>
  <c r="AC25" i="13"/>
  <c r="P24" i="19" s="1"/>
  <c r="O24" i="19"/>
  <c r="N24" i="19"/>
  <c r="M24" i="19"/>
  <c r="L24" i="19"/>
  <c r="C25" i="3"/>
  <c r="E25" i="3" s="1"/>
  <c r="H24" i="19"/>
  <c r="G24" i="19"/>
  <c r="B24" i="19"/>
  <c r="A24" i="19"/>
  <c r="AI24" i="13"/>
  <c r="T23" i="19" s="1"/>
  <c r="S23" i="19"/>
  <c r="AG24" i="13"/>
  <c r="R23" i="19"/>
  <c r="AF24" i="13"/>
  <c r="Q23" i="19"/>
  <c r="AC24" i="13"/>
  <c r="P23" i="19"/>
  <c r="O23" i="19"/>
  <c r="N23" i="19"/>
  <c r="M23" i="19"/>
  <c r="L23" i="19"/>
  <c r="C24" i="3"/>
  <c r="E24" i="3"/>
  <c r="H23" i="19"/>
  <c r="G23" i="19"/>
  <c r="B23" i="19"/>
  <c r="A23" i="19"/>
  <c r="AI23" i="13"/>
  <c r="T22" i="19"/>
  <c r="S22" i="19"/>
  <c r="AG23" i="13"/>
  <c r="R22" i="19" s="1"/>
  <c r="AF23" i="13"/>
  <c r="Q22" i="19" s="1"/>
  <c r="AC23" i="13"/>
  <c r="P22" i="19" s="1"/>
  <c r="O22" i="19"/>
  <c r="N22" i="19"/>
  <c r="M22" i="19"/>
  <c r="AK23" i="3"/>
  <c r="L22" i="19"/>
  <c r="C23" i="3"/>
  <c r="E23" i="3"/>
  <c r="H22" i="19"/>
  <c r="G22" i="19"/>
  <c r="C22" i="19"/>
  <c r="B22" i="19"/>
  <c r="A22" i="19"/>
  <c r="AI22" i="13"/>
  <c r="T21" i="19" s="1"/>
  <c r="S21" i="19"/>
  <c r="AG22" i="13"/>
  <c r="R21" i="19"/>
  <c r="AF22" i="13"/>
  <c r="Q21" i="19"/>
  <c r="AC22" i="13"/>
  <c r="P21" i="19"/>
  <c r="O21" i="19"/>
  <c r="N21" i="19"/>
  <c r="M21" i="19"/>
  <c r="AK22" i="3"/>
  <c r="L21" i="19" s="1"/>
  <c r="C22" i="3"/>
  <c r="E22" i="3" s="1"/>
  <c r="H21" i="19"/>
  <c r="G21" i="19"/>
  <c r="C21" i="19"/>
  <c r="B21" i="19"/>
  <c r="A21" i="19"/>
  <c r="AI21" i="13"/>
  <c r="T20" i="19"/>
  <c r="AG21" i="13"/>
  <c r="R20" i="19"/>
  <c r="AF21" i="13"/>
  <c r="Q20" i="19"/>
  <c r="AC21" i="13"/>
  <c r="P20" i="19"/>
  <c r="O20" i="19"/>
  <c r="N20" i="19"/>
  <c r="M20" i="19"/>
  <c r="AK21" i="3"/>
  <c r="L20" i="19" s="1"/>
  <c r="C21" i="3"/>
  <c r="E21" i="3" s="1"/>
  <c r="H20" i="19"/>
  <c r="G20" i="19"/>
  <c r="C20" i="19"/>
  <c r="B20" i="19"/>
  <c r="A20" i="19"/>
  <c r="AI20" i="13"/>
  <c r="T19" i="19"/>
  <c r="AG20" i="13"/>
  <c r="R19" i="19"/>
  <c r="AF20" i="13"/>
  <c r="Q19" i="19"/>
  <c r="AC20" i="13"/>
  <c r="P19" i="19"/>
  <c r="O19" i="19"/>
  <c r="N19" i="19"/>
  <c r="M19" i="19"/>
  <c r="AK20" i="3"/>
  <c r="L19" i="19" s="1"/>
  <c r="C20" i="3"/>
  <c r="E20" i="3" s="1"/>
  <c r="H19" i="19"/>
  <c r="C19" i="19"/>
  <c r="B19" i="19"/>
  <c r="A19" i="19"/>
  <c r="AI19" i="13"/>
  <c r="T18" i="19" s="1"/>
  <c r="AG19" i="13"/>
  <c r="AF19" i="13"/>
  <c r="AC19" i="13"/>
  <c r="P18" i="19"/>
  <c r="O18" i="19"/>
  <c r="N18" i="19"/>
  <c r="M18" i="19"/>
  <c r="AK19" i="3"/>
  <c r="L18" i="19" s="1"/>
  <c r="C19" i="3"/>
  <c r="E19" i="3" s="1"/>
  <c r="H18" i="19"/>
  <c r="C18" i="19"/>
  <c r="B18" i="19"/>
  <c r="A18" i="19"/>
  <c r="AI18" i="13"/>
  <c r="T17" i="19" s="1"/>
  <c r="AG18" i="13"/>
  <c r="R17" i="19" s="1"/>
  <c r="AF18" i="13"/>
  <c r="Q17" i="19" s="1"/>
  <c r="AC18" i="13"/>
  <c r="P17" i="19" s="1"/>
  <c r="O17" i="19"/>
  <c r="N17" i="19"/>
  <c r="M17" i="19"/>
  <c r="AK18" i="3"/>
  <c r="L17" i="19"/>
  <c r="C18" i="3"/>
  <c r="E18" i="3"/>
  <c r="H17" i="19"/>
  <c r="C17" i="19"/>
  <c r="D17" i="11"/>
  <c r="B17" i="19"/>
  <c r="A17" i="19"/>
  <c r="AI17" i="13"/>
  <c r="T16" i="19" s="1"/>
  <c r="AG17" i="13"/>
  <c r="R16" i="19" s="1"/>
  <c r="AF17" i="13"/>
  <c r="Q16" i="19" s="1"/>
  <c r="AC17" i="13"/>
  <c r="P16" i="19" s="1"/>
  <c r="O16" i="19"/>
  <c r="N16" i="19"/>
  <c r="M16" i="19"/>
  <c r="AK17" i="3"/>
  <c r="L16" i="19"/>
  <c r="C17" i="3"/>
  <c r="E17" i="3"/>
  <c r="H16" i="19"/>
  <c r="C16" i="19"/>
  <c r="D16" i="11"/>
  <c r="B17" i="14"/>
  <c r="A16" i="19"/>
  <c r="AI16" i="13"/>
  <c r="T15" i="19" s="1"/>
  <c r="AG16" i="13"/>
  <c r="R15" i="19" s="1"/>
  <c r="AF16" i="13"/>
  <c r="Q15" i="19" s="1"/>
  <c r="AC16" i="13"/>
  <c r="P15" i="19" s="1"/>
  <c r="O15" i="19"/>
  <c r="N15" i="19"/>
  <c r="M15" i="19"/>
  <c r="AK16" i="3"/>
  <c r="L15" i="19"/>
  <c r="C16" i="3"/>
  <c r="E16" i="3"/>
  <c r="H15" i="19"/>
  <c r="G15" i="19"/>
  <c r="E15" i="19"/>
  <c r="C15" i="19"/>
  <c r="B15" i="19"/>
  <c r="A15" i="19"/>
  <c r="AI15" i="13"/>
  <c r="T14" i="19"/>
  <c r="AG15" i="13"/>
  <c r="R14" i="19"/>
  <c r="AF15" i="13"/>
  <c r="Q14" i="19"/>
  <c r="AC15" i="13"/>
  <c r="P14" i="19"/>
  <c r="O14" i="19"/>
  <c r="N14" i="19"/>
  <c r="M14" i="19"/>
  <c r="AK15" i="3"/>
  <c r="L14" i="19" s="1"/>
  <c r="C15" i="3"/>
  <c r="E15" i="3" s="1"/>
  <c r="H14" i="19"/>
  <c r="G14" i="19"/>
  <c r="A14" i="19"/>
  <c r="AI14" i="13"/>
  <c r="T13" i="19"/>
  <c r="AG14" i="13"/>
  <c r="R13" i="19"/>
  <c r="AC14" i="13"/>
  <c r="P13" i="19"/>
  <c r="O13" i="19"/>
  <c r="N13" i="19"/>
  <c r="M13" i="19"/>
  <c r="AK14" i="3"/>
  <c r="L13" i="19" s="1"/>
  <c r="C14" i="3"/>
  <c r="E14" i="3" s="1"/>
  <c r="H13" i="19"/>
  <c r="G13" i="19"/>
  <c r="E13" i="19"/>
  <c r="C13" i="19"/>
  <c r="A13" i="19"/>
  <c r="AI13" i="13"/>
  <c r="T12" i="19"/>
  <c r="AG13" i="13"/>
  <c r="R12" i="19"/>
  <c r="AC13" i="13"/>
  <c r="P12" i="19"/>
  <c r="O12" i="19"/>
  <c r="N12" i="19"/>
  <c r="M12" i="19"/>
  <c r="AK13" i="3"/>
  <c r="L12" i="19" s="1"/>
  <c r="C13" i="3"/>
  <c r="E13" i="3"/>
  <c r="H12" i="19"/>
  <c r="G12" i="19"/>
  <c r="A12" i="19"/>
  <c r="AI12" i="13"/>
  <c r="T11" i="19" s="1"/>
  <c r="AG12" i="13"/>
  <c r="R11" i="19" s="1"/>
  <c r="AC12" i="13"/>
  <c r="P11" i="19" s="1"/>
  <c r="O11" i="19"/>
  <c r="N11" i="19"/>
  <c r="M11" i="19"/>
  <c r="AK12" i="3"/>
  <c r="L11" i="19" s="1"/>
  <c r="C12" i="3"/>
  <c r="E12" i="3" s="1"/>
  <c r="H11" i="19"/>
  <c r="G11" i="19"/>
  <c r="B11" i="19"/>
  <c r="A11" i="19"/>
  <c r="AI11" i="13"/>
  <c r="T10" i="19" s="1"/>
  <c r="AG11" i="13"/>
  <c r="R10" i="19" s="1"/>
  <c r="Q10" i="19"/>
  <c r="AC11" i="13"/>
  <c r="P10" i="19"/>
  <c r="O10" i="19"/>
  <c r="N10" i="19"/>
  <c r="M10" i="19"/>
  <c r="AK11" i="3"/>
  <c r="L10" i="19" s="1"/>
  <c r="C11" i="3"/>
  <c r="E11" i="3" s="1"/>
  <c r="H10" i="19"/>
  <c r="G10" i="19"/>
  <c r="A10" i="19"/>
  <c r="AI10" i="13"/>
  <c r="T9" i="19"/>
  <c r="AG10" i="13"/>
  <c r="R9" i="19"/>
  <c r="Q9" i="19"/>
  <c r="AC10" i="13"/>
  <c r="P9" i="19" s="1"/>
  <c r="O9" i="19"/>
  <c r="N9" i="19"/>
  <c r="M9" i="19"/>
  <c r="AK10" i="3"/>
  <c r="L9" i="19"/>
  <c r="C10" i="3"/>
  <c r="E10" i="3"/>
  <c r="H9" i="19"/>
  <c r="G9" i="19"/>
  <c r="B9" i="19"/>
  <c r="A9" i="19"/>
  <c r="AI9" i="13"/>
  <c r="T8" i="19"/>
  <c r="AG9" i="13"/>
  <c r="R8" i="19"/>
  <c r="AC9" i="13"/>
  <c r="P8" i="19"/>
  <c r="O8" i="19"/>
  <c r="N8" i="19"/>
  <c r="M8" i="19"/>
  <c r="AK9" i="3"/>
  <c r="L8" i="19" s="1"/>
  <c r="C9" i="3"/>
  <c r="E9" i="3" s="1"/>
  <c r="H8" i="19"/>
  <c r="G8" i="19"/>
  <c r="A8" i="19"/>
  <c r="AI8" i="13"/>
  <c r="T7" i="19"/>
  <c r="S7" i="19"/>
  <c r="AG8" i="13"/>
  <c r="R7" i="19" s="1"/>
  <c r="AF8" i="13"/>
  <c r="Q7" i="19" s="1"/>
  <c r="AC8" i="13"/>
  <c r="P7" i="19" s="1"/>
  <c r="O7" i="19"/>
  <c r="N7" i="19"/>
  <c r="M7" i="19"/>
  <c r="AK8" i="3"/>
  <c r="L7" i="19"/>
  <c r="C8" i="3"/>
  <c r="E8" i="3"/>
  <c r="H7" i="19"/>
  <c r="G7" i="19"/>
  <c r="A7" i="19"/>
  <c r="AG7" i="13"/>
  <c r="R6" i="19" s="1"/>
  <c r="AF7" i="13"/>
  <c r="Q6" i="19" s="1"/>
  <c r="AC7" i="13"/>
  <c r="P6" i="19" s="1"/>
  <c r="O6" i="19"/>
  <c r="N6" i="19"/>
  <c r="M6" i="19"/>
  <c r="AK7" i="3"/>
  <c r="L6" i="19"/>
  <c r="C7" i="3"/>
  <c r="E7" i="3"/>
  <c r="H6" i="19"/>
  <c r="G6" i="19"/>
  <c r="B6" i="19"/>
  <c r="A6" i="19"/>
  <c r="S5" i="19"/>
  <c r="AC6" i="13"/>
  <c r="P5" i="19"/>
  <c r="O5" i="19"/>
  <c r="N5" i="19"/>
  <c r="M5" i="19"/>
  <c r="AK6" i="3"/>
  <c r="L5" i="19" s="1"/>
  <c r="D5" i="11"/>
  <c r="B6" i="14" s="1"/>
  <c r="R6" i="14" s="1"/>
  <c r="A5" i="19"/>
  <c r="O39" i="10"/>
  <c r="P39" i="10" s="1"/>
  <c r="G5" i="10"/>
  <c r="H5" i="10"/>
  <c r="X5" i="10"/>
  <c r="X6" i="10" s="1"/>
  <c r="X7" i="10" s="1"/>
  <c r="X8" i="10" s="1"/>
  <c r="X9" i="10" s="1"/>
  <c r="X10" i="10" s="1"/>
  <c r="M38" i="10"/>
  <c r="M39" i="10"/>
  <c r="B38" i="10"/>
  <c r="B39" i="10" s="1"/>
  <c r="C39" i="10" s="1"/>
  <c r="Q36" i="10"/>
  <c r="V36" i="10" s="1"/>
  <c r="K36" i="10"/>
  <c r="X11" i="10"/>
  <c r="X12" i="10" s="1"/>
  <c r="X13" i="10"/>
  <c r="X14" i="10" s="1"/>
  <c r="X15" i="10" s="1"/>
  <c r="X16" i="10" s="1"/>
  <c r="X17" i="10" s="1"/>
  <c r="X18" i="10" s="1"/>
  <c r="K35" i="10"/>
  <c r="L35" i="10"/>
  <c r="C35" i="10"/>
  <c r="D35" i="10"/>
  <c r="O35" i="10"/>
  <c r="N35" i="10"/>
  <c r="M35" i="10"/>
  <c r="T41" i="1"/>
  <c r="H34" i="10"/>
  <c r="K34" i="10"/>
  <c r="L34" i="10"/>
  <c r="C34" i="10"/>
  <c r="D34" i="10" s="1"/>
  <c r="O34" i="10"/>
  <c r="N34" i="10"/>
  <c r="M34" i="10"/>
  <c r="T40" i="1"/>
  <c r="F34" i="10" s="1"/>
  <c r="H33" i="10"/>
  <c r="L33" i="10"/>
  <c r="C33" i="10"/>
  <c r="D33" i="10"/>
  <c r="O33" i="10"/>
  <c r="N33" i="10"/>
  <c r="M33" i="10"/>
  <c r="T39" i="1"/>
  <c r="L32" i="10"/>
  <c r="C32" i="10"/>
  <c r="D32" i="10"/>
  <c r="O32" i="10"/>
  <c r="N32" i="10"/>
  <c r="M32" i="10"/>
  <c r="T38" i="1"/>
  <c r="A32" i="10"/>
  <c r="L31" i="10"/>
  <c r="C31" i="10"/>
  <c r="D31" i="10" s="1"/>
  <c r="O31" i="10"/>
  <c r="N31" i="10"/>
  <c r="M31" i="10"/>
  <c r="T37" i="1"/>
  <c r="F31" i="10"/>
  <c r="A31" i="10"/>
  <c r="G30" i="10"/>
  <c r="L30" i="10"/>
  <c r="C30" i="10"/>
  <c r="D30" i="10"/>
  <c r="O30" i="10"/>
  <c r="N30" i="10"/>
  <c r="M30" i="10"/>
  <c r="T36" i="1"/>
  <c r="F30" i="10" s="1"/>
  <c r="A30" i="10"/>
  <c r="H29" i="10"/>
  <c r="L29" i="10"/>
  <c r="C29" i="10"/>
  <c r="D29" i="10"/>
  <c r="O29" i="10"/>
  <c r="N29" i="10"/>
  <c r="M29" i="10"/>
  <c r="T35" i="1"/>
  <c r="F29" i="10" s="1"/>
  <c r="A29" i="10"/>
  <c r="L28" i="10"/>
  <c r="C28" i="10"/>
  <c r="D28" i="10" s="1"/>
  <c r="O28" i="10"/>
  <c r="N28" i="10"/>
  <c r="M28" i="10"/>
  <c r="T34" i="1"/>
  <c r="F28" i="10"/>
  <c r="A28" i="10"/>
  <c r="H27" i="10"/>
  <c r="L27" i="10"/>
  <c r="C27" i="10"/>
  <c r="D27" i="10"/>
  <c r="O27" i="10"/>
  <c r="N27" i="10"/>
  <c r="M27" i="10"/>
  <c r="T33" i="1"/>
  <c r="A27" i="10"/>
  <c r="G26" i="10"/>
  <c r="H26" i="10"/>
  <c r="L26" i="10"/>
  <c r="C26" i="10"/>
  <c r="D26" i="10"/>
  <c r="O26" i="10"/>
  <c r="N26" i="10"/>
  <c r="M26" i="10"/>
  <c r="T32" i="1"/>
  <c r="F26" i="10" s="1"/>
  <c r="A26" i="10"/>
  <c r="L25" i="10"/>
  <c r="C25" i="10"/>
  <c r="D25" i="10"/>
  <c r="O25" i="10"/>
  <c r="N25" i="10"/>
  <c r="M25" i="10"/>
  <c r="T31" i="1"/>
  <c r="F25" i="10" s="1"/>
  <c r="A25" i="10"/>
  <c r="H24" i="10"/>
  <c r="L24" i="10"/>
  <c r="C24" i="10"/>
  <c r="D24" i="10"/>
  <c r="O24" i="10"/>
  <c r="N24" i="10"/>
  <c r="M24" i="10"/>
  <c r="T30" i="1"/>
  <c r="F24" i="10"/>
  <c r="A24" i="10"/>
  <c r="G23" i="10"/>
  <c r="H23" i="10"/>
  <c r="L23" i="10"/>
  <c r="C23" i="10"/>
  <c r="D23" i="10"/>
  <c r="O23" i="10"/>
  <c r="N23" i="10"/>
  <c r="M23" i="10"/>
  <c r="T29" i="1"/>
  <c r="F23" i="10" s="1"/>
  <c r="A23" i="10"/>
  <c r="G22" i="10"/>
  <c r="H22" i="10"/>
  <c r="I22" i="10" s="1"/>
  <c r="L22" i="10"/>
  <c r="C22" i="10"/>
  <c r="D22" i="10"/>
  <c r="O22" i="10"/>
  <c r="N22" i="10"/>
  <c r="M22" i="10"/>
  <c r="T28" i="1"/>
  <c r="F22" i="10"/>
  <c r="A22" i="10"/>
  <c r="G21" i="10"/>
  <c r="L21" i="10"/>
  <c r="C21" i="10"/>
  <c r="D21" i="10" s="1"/>
  <c r="O21" i="10"/>
  <c r="N21" i="10"/>
  <c r="M21" i="10"/>
  <c r="T27" i="1"/>
  <c r="F21" i="10"/>
  <c r="A21" i="10"/>
  <c r="G20" i="10"/>
  <c r="H20" i="10"/>
  <c r="L20" i="10"/>
  <c r="C20" i="10"/>
  <c r="D20" i="10" s="1"/>
  <c r="O20" i="10"/>
  <c r="N20" i="10"/>
  <c r="M20" i="10"/>
  <c r="A20" i="10"/>
  <c r="G19" i="10"/>
  <c r="L19" i="10"/>
  <c r="C19" i="10"/>
  <c r="D19" i="10"/>
  <c r="O19" i="10"/>
  <c r="N19" i="10"/>
  <c r="M19" i="10"/>
  <c r="T25" i="1"/>
  <c r="A19" i="10"/>
  <c r="G18" i="10"/>
  <c r="H18" i="10"/>
  <c r="L18" i="10"/>
  <c r="U18" i="10" s="1"/>
  <c r="C18" i="10"/>
  <c r="D18" i="10"/>
  <c r="O18" i="10"/>
  <c r="N18" i="10"/>
  <c r="M18" i="10"/>
  <c r="T24" i="1"/>
  <c r="A18" i="10"/>
  <c r="G17" i="10"/>
  <c r="H17" i="10"/>
  <c r="L17" i="10"/>
  <c r="C17" i="10"/>
  <c r="D17" i="10"/>
  <c r="O17" i="10"/>
  <c r="N17" i="10"/>
  <c r="M17" i="10"/>
  <c r="T23" i="1"/>
  <c r="A17" i="10"/>
  <c r="G16" i="10"/>
  <c r="H16" i="10"/>
  <c r="L16" i="10"/>
  <c r="U16" i="10" s="1"/>
  <c r="C16" i="10"/>
  <c r="D16" i="10"/>
  <c r="O16" i="10"/>
  <c r="N16" i="10"/>
  <c r="M16" i="10"/>
  <c r="T22" i="1"/>
  <c r="F16" i="10" s="1"/>
  <c r="A16" i="10"/>
  <c r="G15" i="10"/>
  <c r="I15" i="10" s="1"/>
  <c r="H15" i="10"/>
  <c r="L15" i="10"/>
  <c r="C15" i="10"/>
  <c r="D15" i="10"/>
  <c r="O15" i="10"/>
  <c r="N15" i="10"/>
  <c r="M15" i="10"/>
  <c r="T21" i="1"/>
  <c r="A15" i="10"/>
  <c r="G14" i="10"/>
  <c r="H14" i="10"/>
  <c r="L14" i="10"/>
  <c r="U14" i="10" s="1"/>
  <c r="C14" i="10"/>
  <c r="D14" i="10"/>
  <c r="O14" i="10"/>
  <c r="N14" i="10"/>
  <c r="M14" i="10"/>
  <c r="T20" i="1"/>
  <c r="F14" i="10" s="1"/>
  <c r="A14" i="10"/>
  <c r="G13" i="10"/>
  <c r="I13" i="10" s="1"/>
  <c r="H13" i="10"/>
  <c r="L13" i="10"/>
  <c r="C13" i="10"/>
  <c r="D13" i="10"/>
  <c r="O13" i="10"/>
  <c r="N13" i="10"/>
  <c r="M13" i="10"/>
  <c r="T19" i="1"/>
  <c r="A13" i="10"/>
  <c r="H12" i="10"/>
  <c r="L12" i="10"/>
  <c r="C12" i="10"/>
  <c r="D12" i="10"/>
  <c r="O12" i="10"/>
  <c r="N12" i="10"/>
  <c r="M12" i="10"/>
  <c r="T18" i="1"/>
  <c r="F12" i="10"/>
  <c r="A12" i="10"/>
  <c r="L11" i="10"/>
  <c r="U11" i="10"/>
  <c r="C11" i="10"/>
  <c r="D11" i="10" s="1"/>
  <c r="O11" i="10"/>
  <c r="N11" i="10"/>
  <c r="M11" i="10"/>
  <c r="T17" i="1"/>
  <c r="F11" i="10" s="1"/>
  <c r="A11" i="10"/>
  <c r="G10" i="10"/>
  <c r="I10" i="10" s="1"/>
  <c r="H10" i="10"/>
  <c r="L10" i="10"/>
  <c r="U10" i="10"/>
  <c r="C10" i="10"/>
  <c r="D10" i="10" s="1"/>
  <c r="O10" i="10"/>
  <c r="N10" i="10"/>
  <c r="M10" i="10"/>
  <c r="T16" i="1"/>
  <c r="F10" i="10" s="1"/>
  <c r="A10" i="10"/>
  <c r="G9" i="10"/>
  <c r="L9" i="10"/>
  <c r="U9" i="10"/>
  <c r="C9" i="10"/>
  <c r="D9" i="10" s="1"/>
  <c r="O9" i="10"/>
  <c r="N9" i="10"/>
  <c r="M9" i="10"/>
  <c r="T15" i="1"/>
  <c r="F9" i="10" s="1"/>
  <c r="A9" i="10"/>
  <c r="G8" i="10"/>
  <c r="H8" i="10"/>
  <c r="L8" i="10"/>
  <c r="U8" i="10"/>
  <c r="C8" i="10"/>
  <c r="D8" i="10" s="1"/>
  <c r="O8" i="10"/>
  <c r="N8" i="10"/>
  <c r="M8" i="10"/>
  <c r="T14" i="1"/>
  <c r="F8" i="10" s="1"/>
  <c r="A8" i="10"/>
  <c r="G7" i="10"/>
  <c r="H7" i="10"/>
  <c r="L7" i="10"/>
  <c r="U7" i="10"/>
  <c r="C7" i="10"/>
  <c r="D7" i="10" s="1"/>
  <c r="O7" i="10"/>
  <c r="N7" i="10"/>
  <c r="M7" i="10"/>
  <c r="T13" i="1"/>
  <c r="F7" i="10" s="1"/>
  <c r="A7" i="10"/>
  <c r="G6" i="10"/>
  <c r="H6" i="10"/>
  <c r="L6" i="10"/>
  <c r="U6" i="10"/>
  <c r="C6" i="10"/>
  <c r="D6" i="10" s="1"/>
  <c r="O6" i="10"/>
  <c r="N6" i="10"/>
  <c r="M6" i="10"/>
  <c r="T12" i="1"/>
  <c r="F6" i="10" s="1"/>
  <c r="A6" i="10"/>
  <c r="L5" i="10"/>
  <c r="U5" i="10" s="1"/>
  <c r="C5" i="10"/>
  <c r="D5" i="10"/>
  <c r="O5" i="10"/>
  <c r="N5" i="10"/>
  <c r="M5" i="10"/>
  <c r="T11" i="1"/>
  <c r="F5" i="10"/>
  <c r="A5" i="10"/>
  <c r="C32" i="9"/>
  <c r="B32" i="9"/>
  <c r="A32" i="9"/>
  <c r="C31" i="9"/>
  <c r="B31" i="9"/>
  <c r="A31" i="9"/>
  <c r="C30" i="9"/>
  <c r="A30" i="9"/>
  <c r="C29" i="9"/>
  <c r="A29" i="9"/>
  <c r="C28" i="9"/>
  <c r="F36" i="3"/>
  <c r="H36" i="3" s="1"/>
  <c r="I36" i="3"/>
  <c r="N36" i="3"/>
  <c r="O36" i="3"/>
  <c r="Q36" i="3" s="1"/>
  <c r="R36" i="3" s="1"/>
  <c r="B28" i="9" s="1"/>
  <c r="A28" i="9"/>
  <c r="C27" i="9"/>
  <c r="F35" i="3"/>
  <c r="H35" i="3" s="1"/>
  <c r="I35" i="3"/>
  <c r="N35" i="3"/>
  <c r="O35" i="3"/>
  <c r="Q35" i="3" s="1"/>
  <c r="A27" i="9"/>
  <c r="C26" i="9"/>
  <c r="F34" i="3"/>
  <c r="H34" i="3" s="1"/>
  <c r="I34" i="3"/>
  <c r="N34" i="3"/>
  <c r="O34" i="3"/>
  <c r="Q34" i="3" s="1"/>
  <c r="A26" i="9"/>
  <c r="C25" i="9"/>
  <c r="F33" i="3"/>
  <c r="H33" i="3" s="1"/>
  <c r="I33" i="3"/>
  <c r="N33" i="3"/>
  <c r="O33" i="3"/>
  <c r="Q33" i="3" s="1"/>
  <c r="A25" i="9"/>
  <c r="C24" i="9"/>
  <c r="F32" i="3"/>
  <c r="H32" i="3" s="1"/>
  <c r="I32" i="3"/>
  <c r="N32" i="3"/>
  <c r="O32" i="3"/>
  <c r="Q32" i="3" s="1"/>
  <c r="A24" i="9"/>
  <c r="C23" i="9"/>
  <c r="F31" i="3"/>
  <c r="H31" i="3" s="1"/>
  <c r="I31" i="3"/>
  <c r="N31" i="3"/>
  <c r="O31" i="3"/>
  <c r="Q31" i="3" s="1"/>
  <c r="A23" i="9"/>
  <c r="C22" i="9"/>
  <c r="F30" i="3"/>
  <c r="H30" i="3" s="1"/>
  <c r="I30" i="3"/>
  <c r="N30" i="3"/>
  <c r="O30" i="3"/>
  <c r="Q30" i="3" s="1"/>
  <c r="R30" i="3" s="1"/>
  <c r="B22" i="9" s="1"/>
  <c r="A22" i="9"/>
  <c r="C21" i="9"/>
  <c r="F29" i="3"/>
  <c r="H29" i="3" s="1"/>
  <c r="I29" i="3"/>
  <c r="N29" i="3"/>
  <c r="O29" i="3"/>
  <c r="Q29" i="3" s="1"/>
  <c r="A21" i="9"/>
  <c r="C20" i="9"/>
  <c r="F28" i="3"/>
  <c r="H28" i="3" s="1"/>
  <c r="I28" i="3"/>
  <c r="N28" i="3"/>
  <c r="O28" i="3"/>
  <c r="Q28" i="3" s="1"/>
  <c r="R28" i="3" s="1"/>
  <c r="B20" i="9" s="1"/>
  <c r="A20" i="9"/>
  <c r="C19" i="9"/>
  <c r="F27" i="3"/>
  <c r="H27" i="3" s="1"/>
  <c r="I27" i="3"/>
  <c r="N27" i="3"/>
  <c r="O27" i="3"/>
  <c r="Q27" i="3" s="1"/>
  <c r="A19" i="9"/>
  <c r="C18" i="9"/>
  <c r="F26" i="3"/>
  <c r="H26" i="3" s="1"/>
  <c r="I26" i="3"/>
  <c r="N26" i="3"/>
  <c r="O26" i="3"/>
  <c r="Q26" i="3" s="1"/>
  <c r="A18" i="9"/>
  <c r="C17" i="9"/>
  <c r="F25" i="3"/>
  <c r="H25" i="3" s="1"/>
  <c r="I25" i="3"/>
  <c r="N25" i="3"/>
  <c r="O25" i="3"/>
  <c r="Q25" i="3" s="1"/>
  <c r="A17" i="9"/>
  <c r="C16" i="9"/>
  <c r="F24" i="3"/>
  <c r="H24" i="3" s="1"/>
  <c r="I24" i="3"/>
  <c r="K24" i="3" s="1"/>
  <c r="N24" i="3"/>
  <c r="O24" i="3"/>
  <c r="Q24" i="3"/>
  <c r="A16" i="9"/>
  <c r="C15" i="9"/>
  <c r="F23" i="3"/>
  <c r="H23" i="3"/>
  <c r="I23" i="3"/>
  <c r="K23" i="3" s="1"/>
  <c r="N23" i="3"/>
  <c r="O23" i="3"/>
  <c r="Q23" i="3"/>
  <c r="A15" i="9"/>
  <c r="C14" i="9"/>
  <c r="F22" i="3"/>
  <c r="H22" i="3"/>
  <c r="I22" i="3"/>
  <c r="K22" i="3" s="1"/>
  <c r="N22" i="3"/>
  <c r="O22" i="3"/>
  <c r="Q22" i="3" s="1"/>
  <c r="A14" i="9"/>
  <c r="C13" i="9"/>
  <c r="F21" i="3"/>
  <c r="H21" i="3" s="1"/>
  <c r="I21" i="3"/>
  <c r="K21" i="3"/>
  <c r="N21" i="3"/>
  <c r="O21" i="3"/>
  <c r="Q21" i="3" s="1"/>
  <c r="A13" i="9"/>
  <c r="C12" i="9"/>
  <c r="F20" i="3"/>
  <c r="H20" i="3" s="1"/>
  <c r="I20" i="3"/>
  <c r="K20" i="3" s="1"/>
  <c r="N20" i="3"/>
  <c r="O20" i="3"/>
  <c r="Q20" i="3"/>
  <c r="A12" i="9"/>
  <c r="C11" i="9"/>
  <c r="F19" i="3"/>
  <c r="H19" i="3"/>
  <c r="I19" i="3"/>
  <c r="K19" i="3" s="1"/>
  <c r="N19" i="3"/>
  <c r="O19" i="3"/>
  <c r="Q19" i="3"/>
  <c r="A11" i="9"/>
  <c r="C10" i="9"/>
  <c r="F18" i="3"/>
  <c r="H18" i="3"/>
  <c r="I18" i="3"/>
  <c r="K18" i="3" s="1"/>
  <c r="N18" i="3"/>
  <c r="R18" i="3" s="1"/>
  <c r="O18" i="3"/>
  <c r="Q18" i="3" s="1"/>
  <c r="A10" i="9"/>
  <c r="C9" i="9"/>
  <c r="F17" i="3"/>
  <c r="H17" i="3" s="1"/>
  <c r="I17" i="3"/>
  <c r="K17" i="3"/>
  <c r="N17" i="3"/>
  <c r="O17" i="3"/>
  <c r="Q17" i="3" s="1"/>
  <c r="A9" i="9"/>
  <c r="C8" i="9"/>
  <c r="F16" i="3"/>
  <c r="H16" i="3" s="1"/>
  <c r="I16" i="3"/>
  <c r="K16" i="3" s="1"/>
  <c r="R16" i="3" s="1"/>
  <c r="B8" i="9" s="1"/>
  <c r="N16" i="3"/>
  <c r="O16" i="3"/>
  <c r="Q16" i="3"/>
  <c r="A8" i="9"/>
  <c r="C7" i="9"/>
  <c r="F15" i="3"/>
  <c r="H15" i="3"/>
  <c r="I15" i="3"/>
  <c r="K15" i="3" s="1"/>
  <c r="N15" i="3"/>
  <c r="O15" i="3"/>
  <c r="Q15" i="3"/>
  <c r="A7" i="9"/>
  <c r="C6" i="9"/>
  <c r="F14" i="3"/>
  <c r="H14" i="3"/>
  <c r="I14" i="3"/>
  <c r="K14" i="3" s="1"/>
  <c r="O14" i="3"/>
  <c r="Q14" i="3" s="1"/>
  <c r="A6" i="9"/>
  <c r="C5" i="9"/>
  <c r="F13" i="3"/>
  <c r="H13" i="3" s="1"/>
  <c r="I13" i="3"/>
  <c r="K13" i="3" s="1"/>
  <c r="O13" i="3"/>
  <c r="Q13" i="3"/>
  <c r="A5" i="9"/>
  <c r="C4" i="9"/>
  <c r="F12" i="3"/>
  <c r="H12" i="3"/>
  <c r="I12" i="3"/>
  <c r="K12" i="3" s="1"/>
  <c r="O12" i="3"/>
  <c r="Q12" i="3" s="1"/>
  <c r="A4" i="9"/>
  <c r="C3" i="9"/>
  <c r="F11" i="3"/>
  <c r="H11" i="3" s="1"/>
  <c r="H38" i="3" s="1"/>
  <c r="I11" i="3"/>
  <c r="K11" i="3" s="1"/>
  <c r="O11" i="3"/>
  <c r="Q11" i="3"/>
  <c r="A3" i="9"/>
  <c r="C2" i="9"/>
  <c r="F10" i="3"/>
  <c r="H10" i="3"/>
  <c r="I10" i="3"/>
  <c r="K10" i="3" s="1"/>
  <c r="O10" i="3"/>
  <c r="Q10" i="3" s="1"/>
  <c r="A2" i="9"/>
  <c r="D77" i="3"/>
  <c r="F77" i="3"/>
  <c r="H77" i="3"/>
  <c r="J77" i="3"/>
  <c r="D76" i="3"/>
  <c r="F76" i="3"/>
  <c r="K76" i="3" s="1"/>
  <c r="H76" i="3"/>
  <c r="J76" i="3"/>
  <c r="D75" i="3"/>
  <c r="F75" i="3"/>
  <c r="K75" i="3" s="1"/>
  <c r="H75" i="3"/>
  <c r="J75" i="3"/>
  <c r="D74" i="3"/>
  <c r="F74" i="3"/>
  <c r="K74" i="3" s="1"/>
  <c r="H74" i="3"/>
  <c r="J74" i="3"/>
  <c r="D73" i="3"/>
  <c r="F73" i="3"/>
  <c r="H73" i="3"/>
  <c r="J73" i="3"/>
  <c r="D72" i="3"/>
  <c r="F72" i="3"/>
  <c r="H72" i="3"/>
  <c r="J72" i="3"/>
  <c r="D71" i="3"/>
  <c r="F71" i="3"/>
  <c r="H71" i="3"/>
  <c r="J71" i="3"/>
  <c r="D70" i="3"/>
  <c r="F70" i="3"/>
  <c r="K70" i="3" s="1"/>
  <c r="H70" i="3"/>
  <c r="J70" i="3"/>
  <c r="D69" i="3"/>
  <c r="F69" i="3"/>
  <c r="K69" i="3" s="1"/>
  <c r="H69" i="3"/>
  <c r="J69" i="3"/>
  <c r="D68" i="3"/>
  <c r="F68" i="3"/>
  <c r="H68" i="3"/>
  <c r="J68" i="3"/>
  <c r="D67" i="3"/>
  <c r="F67" i="3"/>
  <c r="K67" i="3" s="1"/>
  <c r="H67" i="3"/>
  <c r="J67" i="3"/>
  <c r="D66" i="3"/>
  <c r="F66" i="3"/>
  <c r="H66" i="3"/>
  <c r="J66" i="3"/>
  <c r="D65" i="3"/>
  <c r="F65" i="3"/>
  <c r="K65" i="3" s="1"/>
  <c r="H65" i="3"/>
  <c r="J65" i="3"/>
  <c r="D64" i="3"/>
  <c r="F64" i="3"/>
  <c r="K64" i="3" s="1"/>
  <c r="H64" i="3"/>
  <c r="J64" i="3"/>
  <c r="D63" i="3"/>
  <c r="F63" i="3"/>
  <c r="K63" i="3" s="1"/>
  <c r="H63" i="3"/>
  <c r="J63" i="3"/>
  <c r="D62" i="3"/>
  <c r="F62" i="3"/>
  <c r="H62" i="3"/>
  <c r="J62" i="3"/>
  <c r="D61" i="3"/>
  <c r="F61" i="3"/>
  <c r="K61" i="3" s="1"/>
  <c r="H61" i="3"/>
  <c r="J61" i="3"/>
  <c r="D60" i="3"/>
  <c r="F60" i="3"/>
  <c r="K60" i="3" s="1"/>
  <c r="H60" i="3"/>
  <c r="J60" i="3"/>
  <c r="D59" i="3"/>
  <c r="F59" i="3"/>
  <c r="H59" i="3"/>
  <c r="J59" i="3"/>
  <c r="A59" i="3"/>
  <c r="D58" i="3"/>
  <c r="K58" i="3" s="1"/>
  <c r="F58" i="3"/>
  <c r="H58" i="3"/>
  <c r="J58" i="3"/>
  <c r="A58" i="3"/>
  <c r="D57" i="3"/>
  <c r="F57" i="3"/>
  <c r="H57" i="3"/>
  <c r="J57" i="3"/>
  <c r="K57" i="3" s="1"/>
  <c r="A57" i="3"/>
  <c r="D56" i="3"/>
  <c r="F56" i="3"/>
  <c r="H56" i="3"/>
  <c r="J56" i="3"/>
  <c r="A56" i="3"/>
  <c r="D55" i="3"/>
  <c r="F55" i="3"/>
  <c r="H55" i="3"/>
  <c r="J55" i="3"/>
  <c r="A55" i="3"/>
  <c r="D54" i="3"/>
  <c r="F54" i="3"/>
  <c r="H54" i="3"/>
  <c r="J54" i="3"/>
  <c r="A54" i="3"/>
  <c r="D53" i="3"/>
  <c r="F53" i="3"/>
  <c r="H53" i="3"/>
  <c r="J53" i="3"/>
  <c r="A53" i="3"/>
  <c r="D52" i="3"/>
  <c r="F52" i="3"/>
  <c r="H52" i="3"/>
  <c r="K52" i="3" s="1"/>
  <c r="J52" i="3"/>
  <c r="A52" i="3"/>
  <c r="D51" i="3"/>
  <c r="F51" i="3"/>
  <c r="K51" i="3" s="1"/>
  <c r="H51" i="3"/>
  <c r="J51" i="3"/>
  <c r="A51" i="3"/>
  <c r="D50" i="3"/>
  <c r="H50" i="3"/>
  <c r="J50" i="3"/>
  <c r="A50" i="3"/>
  <c r="D49" i="3"/>
  <c r="F49" i="3"/>
  <c r="H49" i="3"/>
  <c r="J49" i="3"/>
  <c r="A49" i="3"/>
  <c r="D48" i="3"/>
  <c r="F48" i="3"/>
  <c r="H48" i="3"/>
  <c r="J48" i="3"/>
  <c r="K48" i="3" s="1"/>
  <c r="A48" i="3"/>
  <c r="D47" i="3"/>
  <c r="F47" i="3"/>
  <c r="H47" i="3"/>
  <c r="K47" i="3" s="1"/>
  <c r="J47" i="3"/>
  <c r="A47" i="3"/>
  <c r="H46" i="3"/>
  <c r="J46" i="3"/>
  <c r="A46" i="3"/>
  <c r="U7" i="3"/>
  <c r="U8" i="3"/>
  <c r="U9" i="3"/>
  <c r="U10" i="3"/>
  <c r="U11" i="3"/>
  <c r="U12" i="3"/>
  <c r="U13" i="3"/>
  <c r="AN13" i="3" s="1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Q38" i="3"/>
  <c r="I7" i="3"/>
  <c r="K7" i="3" s="1"/>
  <c r="I9" i="3"/>
  <c r="K9" i="3"/>
  <c r="I37" i="3"/>
  <c r="F6" i="3"/>
  <c r="H6" i="3" s="1"/>
  <c r="F7" i="3"/>
  <c r="H7" i="3" s="1"/>
  <c r="F8" i="3"/>
  <c r="H8" i="3" s="1"/>
  <c r="F9" i="3"/>
  <c r="H9" i="3"/>
  <c r="F37" i="3"/>
  <c r="H37" i="3" s="1"/>
  <c r="O37" i="3"/>
  <c r="Q37" i="3" s="1"/>
  <c r="N37" i="3"/>
  <c r="L37" i="3"/>
  <c r="C37" i="3"/>
  <c r="E37" i="3" s="1"/>
  <c r="N37" i="13" s="1"/>
  <c r="X36" i="3"/>
  <c r="AA36" i="3"/>
  <c r="AD36" i="3"/>
  <c r="AG36" i="3"/>
  <c r="AJ36" i="3"/>
  <c r="AM36" i="3"/>
  <c r="AH36" i="3"/>
  <c r="AE36" i="3"/>
  <c r="AB36" i="3"/>
  <c r="Y36" i="3"/>
  <c r="V36" i="3"/>
  <c r="S36" i="3"/>
  <c r="L36" i="3"/>
  <c r="X35" i="3"/>
  <c r="AA35" i="3"/>
  <c r="AD35" i="3"/>
  <c r="AG35" i="3"/>
  <c r="AJ35" i="3"/>
  <c r="AM35" i="3"/>
  <c r="AH35" i="3"/>
  <c r="AE35" i="3"/>
  <c r="AB35" i="3"/>
  <c r="Y35" i="3"/>
  <c r="V35" i="3"/>
  <c r="S35" i="3"/>
  <c r="L35" i="3"/>
  <c r="A35" i="3"/>
  <c r="X34" i="3"/>
  <c r="AA34" i="3"/>
  <c r="AD34" i="3"/>
  <c r="AN34" i="3" s="1"/>
  <c r="AG34" i="3"/>
  <c r="AJ34" i="3"/>
  <c r="AM34" i="3"/>
  <c r="AH34" i="3"/>
  <c r="AE34" i="3"/>
  <c r="AB34" i="3"/>
  <c r="Y34" i="3"/>
  <c r="V34" i="3"/>
  <c r="S34" i="3"/>
  <c r="L34" i="3"/>
  <c r="A34" i="3"/>
  <c r="X33" i="3"/>
  <c r="AA33" i="3"/>
  <c r="AD33" i="3"/>
  <c r="AG33" i="3"/>
  <c r="AJ33" i="3"/>
  <c r="AM33" i="3"/>
  <c r="AH33" i="3"/>
  <c r="AE33" i="3"/>
  <c r="AB33" i="3"/>
  <c r="Y33" i="3"/>
  <c r="V33" i="3"/>
  <c r="S33" i="3"/>
  <c r="L33" i="3"/>
  <c r="A33" i="3"/>
  <c r="X32" i="3"/>
  <c r="AA32" i="3"/>
  <c r="AD32" i="3"/>
  <c r="AN32" i="3" s="1"/>
  <c r="AG32" i="3"/>
  <c r="AJ32" i="3"/>
  <c r="AM32" i="3"/>
  <c r="AH32" i="3"/>
  <c r="AE32" i="3"/>
  <c r="AB32" i="3"/>
  <c r="Y32" i="3"/>
  <c r="V32" i="3"/>
  <c r="S32" i="3"/>
  <c r="L32" i="3"/>
  <c r="A32" i="3"/>
  <c r="X31" i="3"/>
  <c r="AA31" i="3"/>
  <c r="AD31" i="3"/>
  <c r="AG31" i="3"/>
  <c r="AJ31" i="3"/>
  <c r="AM31" i="3"/>
  <c r="AH31" i="3"/>
  <c r="AE31" i="3"/>
  <c r="Y31" i="3"/>
  <c r="V31" i="3"/>
  <c r="S31" i="3"/>
  <c r="L31" i="3"/>
  <c r="A31" i="3"/>
  <c r="X30" i="3"/>
  <c r="AA30" i="3"/>
  <c r="AD30" i="3"/>
  <c r="AG30" i="3"/>
  <c r="AJ30" i="3"/>
  <c r="AM30" i="3"/>
  <c r="AH30" i="3"/>
  <c r="AE30" i="3"/>
  <c r="AB30" i="3"/>
  <c r="Y30" i="3"/>
  <c r="V30" i="3"/>
  <c r="S30" i="3"/>
  <c r="L30" i="3"/>
  <c r="A30" i="3"/>
  <c r="X29" i="3"/>
  <c r="AA29" i="3"/>
  <c r="AD29" i="3"/>
  <c r="AG29" i="3"/>
  <c r="AJ29" i="3"/>
  <c r="AM29" i="3"/>
  <c r="AH29" i="3"/>
  <c r="AE29" i="3"/>
  <c r="AB29" i="3"/>
  <c r="Y29" i="3"/>
  <c r="V29" i="3"/>
  <c r="S29" i="3"/>
  <c r="L29" i="3"/>
  <c r="A29" i="3"/>
  <c r="X28" i="3"/>
  <c r="AA28" i="3"/>
  <c r="AD28" i="3"/>
  <c r="AG28" i="3"/>
  <c r="AN28" i="3" s="1"/>
  <c r="AJ28" i="3"/>
  <c r="AM28" i="3"/>
  <c r="AH28" i="3"/>
  <c r="AE28" i="3"/>
  <c r="AB28" i="3"/>
  <c r="Y28" i="3"/>
  <c r="V28" i="3"/>
  <c r="L28" i="3"/>
  <c r="A28" i="3"/>
  <c r="X27" i="3"/>
  <c r="AA27" i="3"/>
  <c r="AD27" i="3"/>
  <c r="AN27" i="3" s="1"/>
  <c r="AG27" i="3"/>
  <c r="AJ27" i="3"/>
  <c r="AM27" i="3"/>
  <c r="AH27" i="3"/>
  <c r="AE27" i="3"/>
  <c r="AB27" i="3"/>
  <c r="Y27" i="3"/>
  <c r="V27" i="3"/>
  <c r="S27" i="3"/>
  <c r="L27" i="3"/>
  <c r="A27" i="3"/>
  <c r="X26" i="3"/>
  <c r="AN26" i="3" s="1"/>
  <c r="AA26" i="3"/>
  <c r="AD26" i="3"/>
  <c r="AG26" i="3"/>
  <c r="AJ26" i="3"/>
  <c r="AM26" i="3"/>
  <c r="AH26" i="3"/>
  <c r="AE26" i="3"/>
  <c r="AB26" i="3"/>
  <c r="Y26" i="3"/>
  <c r="V26" i="3"/>
  <c r="S26" i="3"/>
  <c r="L26" i="3"/>
  <c r="A26" i="3"/>
  <c r="X25" i="3"/>
  <c r="AA25" i="3"/>
  <c r="AD25" i="3"/>
  <c r="AG25" i="3"/>
  <c r="AJ25" i="3"/>
  <c r="AM25" i="3"/>
  <c r="AH25" i="3"/>
  <c r="AE25" i="3"/>
  <c r="AB25" i="3"/>
  <c r="Y25" i="3"/>
  <c r="V25" i="3"/>
  <c r="S25" i="3"/>
  <c r="L25" i="3"/>
  <c r="A25" i="3"/>
  <c r="X24" i="3"/>
  <c r="AA24" i="3"/>
  <c r="AD24" i="3"/>
  <c r="AG24" i="3"/>
  <c r="AJ24" i="3"/>
  <c r="AM24" i="3"/>
  <c r="AH24" i="3"/>
  <c r="AE24" i="3"/>
  <c r="AB24" i="3"/>
  <c r="Y24" i="3"/>
  <c r="V24" i="3"/>
  <c r="S24" i="3"/>
  <c r="L24" i="3"/>
  <c r="A24" i="3"/>
  <c r="X23" i="3"/>
  <c r="AA23" i="3"/>
  <c r="AD23" i="3"/>
  <c r="AN23" i="3" s="1"/>
  <c r="AG23" i="3"/>
  <c r="AJ23" i="3"/>
  <c r="AM23" i="3"/>
  <c r="AH23" i="3"/>
  <c r="AE23" i="3"/>
  <c r="AB23" i="3"/>
  <c r="Y23" i="3"/>
  <c r="V23" i="3"/>
  <c r="S23" i="3"/>
  <c r="L23" i="3"/>
  <c r="A23" i="3"/>
  <c r="X22" i="3"/>
  <c r="AA22" i="3"/>
  <c r="AD22" i="3"/>
  <c r="AG22" i="3"/>
  <c r="AJ22" i="3"/>
  <c r="AM22" i="3"/>
  <c r="AH22" i="3"/>
  <c r="AE22" i="3"/>
  <c r="AB22" i="3"/>
  <c r="Y22" i="3"/>
  <c r="V22" i="3"/>
  <c r="S22" i="3"/>
  <c r="L22" i="3"/>
  <c r="A22" i="3"/>
  <c r="X21" i="3"/>
  <c r="AA21" i="3"/>
  <c r="AD21" i="3"/>
  <c r="AG21" i="3"/>
  <c r="AJ21" i="3"/>
  <c r="AM21" i="3"/>
  <c r="AH21" i="3"/>
  <c r="AE21" i="3"/>
  <c r="AB21" i="3"/>
  <c r="Y21" i="3"/>
  <c r="V21" i="3"/>
  <c r="S21" i="3"/>
  <c r="L21" i="3"/>
  <c r="A21" i="3"/>
  <c r="X20" i="3"/>
  <c r="AA20" i="3"/>
  <c r="AG20" i="3"/>
  <c r="AJ20" i="3"/>
  <c r="AM20" i="3"/>
  <c r="AH20" i="3"/>
  <c r="AE20" i="3"/>
  <c r="AB20" i="3"/>
  <c r="Y20" i="3"/>
  <c r="V20" i="3"/>
  <c r="S20" i="3"/>
  <c r="L20" i="3"/>
  <c r="A20" i="3"/>
  <c r="X19" i="3"/>
  <c r="AA19" i="3"/>
  <c r="AD19" i="3"/>
  <c r="AG19" i="3"/>
  <c r="AJ19" i="3"/>
  <c r="AM19" i="3"/>
  <c r="AH19" i="3"/>
  <c r="AE19" i="3"/>
  <c r="AB19" i="3"/>
  <c r="Y19" i="3"/>
  <c r="V19" i="3"/>
  <c r="S19" i="3"/>
  <c r="L19" i="3"/>
  <c r="A19" i="3"/>
  <c r="X18" i="3"/>
  <c r="AA18" i="3"/>
  <c r="AD18" i="3"/>
  <c r="AG18" i="3"/>
  <c r="AJ18" i="3"/>
  <c r="AM18" i="3"/>
  <c r="AH18" i="3"/>
  <c r="AE18" i="3"/>
  <c r="AB18" i="3"/>
  <c r="Y18" i="3"/>
  <c r="V18" i="3"/>
  <c r="S18" i="3"/>
  <c r="L18" i="3"/>
  <c r="A18" i="3"/>
  <c r="X17" i="3"/>
  <c r="AA17" i="3"/>
  <c r="AD17" i="3"/>
  <c r="AG17" i="3"/>
  <c r="AJ17" i="3"/>
  <c r="AM17" i="3"/>
  <c r="AH17" i="3"/>
  <c r="AE17" i="3"/>
  <c r="AB17" i="3"/>
  <c r="Y17" i="3"/>
  <c r="V17" i="3"/>
  <c r="S17" i="3"/>
  <c r="L17" i="3"/>
  <c r="A17" i="3"/>
  <c r="X16" i="3"/>
  <c r="AA16" i="3"/>
  <c r="AD16" i="3"/>
  <c r="AG16" i="3"/>
  <c r="AM16" i="3"/>
  <c r="AH16" i="3"/>
  <c r="AE16" i="3"/>
  <c r="AB16" i="3"/>
  <c r="Y16" i="3"/>
  <c r="V16" i="3"/>
  <c r="S16" i="3"/>
  <c r="L16" i="3"/>
  <c r="A16" i="3"/>
  <c r="X15" i="3"/>
  <c r="AA15" i="3"/>
  <c r="AD15" i="3"/>
  <c r="AG15" i="3"/>
  <c r="AJ15" i="3"/>
  <c r="AM15" i="3"/>
  <c r="AH15" i="3"/>
  <c r="AE15" i="3"/>
  <c r="AB15" i="3"/>
  <c r="Y15" i="3"/>
  <c r="V15" i="3"/>
  <c r="S15" i="3"/>
  <c r="A15" i="3"/>
  <c r="X14" i="3"/>
  <c r="AA14" i="3"/>
  <c r="AD14" i="3"/>
  <c r="AG14" i="3"/>
  <c r="AJ14" i="3"/>
  <c r="AM14" i="3"/>
  <c r="AH14" i="3"/>
  <c r="AE14" i="3"/>
  <c r="AB14" i="3"/>
  <c r="Y14" i="3"/>
  <c r="V14" i="3"/>
  <c r="S14" i="3"/>
  <c r="A14" i="3"/>
  <c r="X13" i="3"/>
  <c r="AA13" i="3"/>
  <c r="AD13" i="3"/>
  <c r="AG13" i="3"/>
  <c r="AJ13" i="3"/>
  <c r="AM13" i="3"/>
  <c r="AH13" i="3"/>
  <c r="AE13" i="3"/>
  <c r="AB13" i="3"/>
  <c r="Y13" i="3"/>
  <c r="V13" i="3"/>
  <c r="S13" i="3"/>
  <c r="A13" i="3"/>
  <c r="X12" i="3"/>
  <c r="AA12" i="3"/>
  <c r="AD12" i="3"/>
  <c r="AG12" i="3"/>
  <c r="AJ12" i="3"/>
  <c r="AH12" i="3"/>
  <c r="AE12" i="3"/>
  <c r="AB12" i="3"/>
  <c r="Y12" i="3"/>
  <c r="V12" i="3"/>
  <c r="S12" i="3"/>
  <c r="A12" i="3"/>
  <c r="X11" i="3"/>
  <c r="AA11" i="3"/>
  <c r="AD11" i="3"/>
  <c r="AG11" i="3"/>
  <c r="AJ11" i="3"/>
  <c r="AM11" i="3"/>
  <c r="AH11" i="3"/>
  <c r="AE11" i="3"/>
  <c r="AB11" i="3"/>
  <c r="Y11" i="3"/>
  <c r="V11" i="3"/>
  <c r="S11" i="3"/>
  <c r="A11" i="3"/>
  <c r="X10" i="3"/>
  <c r="AA10" i="3"/>
  <c r="AD10" i="3"/>
  <c r="AG10" i="3"/>
  <c r="AJ10" i="3"/>
  <c r="AM10" i="3"/>
  <c r="AH10" i="3"/>
  <c r="AE10" i="3"/>
  <c r="AB10" i="3"/>
  <c r="Y10" i="3"/>
  <c r="V10" i="3"/>
  <c r="S10" i="3"/>
  <c r="A10" i="3"/>
  <c r="X9" i="3"/>
  <c r="AA9" i="3"/>
  <c r="AD9" i="3"/>
  <c r="AG9" i="3"/>
  <c r="AJ9" i="3"/>
  <c r="AM9" i="3"/>
  <c r="AH9" i="3"/>
  <c r="AE9" i="3"/>
  <c r="AB9" i="3"/>
  <c r="Y9" i="3"/>
  <c r="V9" i="3"/>
  <c r="S9" i="3"/>
  <c r="O9" i="3"/>
  <c r="Q9" i="3"/>
  <c r="L9" i="3"/>
  <c r="A9" i="3"/>
  <c r="X8" i="3"/>
  <c r="AA8" i="3"/>
  <c r="AD8" i="3"/>
  <c r="AG8" i="3"/>
  <c r="AN8" i="3" s="1"/>
  <c r="AJ8" i="3"/>
  <c r="AM8" i="3"/>
  <c r="AH8" i="3"/>
  <c r="AE8" i="3"/>
  <c r="AB8" i="3"/>
  <c r="Y8" i="3"/>
  <c r="V8" i="3"/>
  <c r="S8" i="3"/>
  <c r="N8" i="3"/>
  <c r="O8" i="3"/>
  <c r="Q8" i="3"/>
  <c r="L8" i="3"/>
  <c r="A8" i="3"/>
  <c r="X7" i="3"/>
  <c r="AA7" i="3"/>
  <c r="AD7" i="3"/>
  <c r="AG7" i="3"/>
  <c r="AJ7" i="3"/>
  <c r="AM7" i="3"/>
  <c r="AH7" i="3"/>
  <c r="AE7" i="3"/>
  <c r="AB7" i="3"/>
  <c r="Y7" i="3"/>
  <c r="V7" i="3"/>
  <c r="S7" i="3"/>
  <c r="N7" i="3"/>
  <c r="O7" i="3"/>
  <c r="Q7" i="3"/>
  <c r="L7" i="3"/>
  <c r="A7" i="3"/>
  <c r="X6" i="3"/>
  <c r="AA6" i="3"/>
  <c r="AD6" i="3"/>
  <c r="AG6" i="3"/>
  <c r="AM6" i="3"/>
  <c r="AH6" i="3"/>
  <c r="AE6" i="3"/>
  <c r="Y6" i="3"/>
  <c r="V6" i="3"/>
  <c r="A6" i="3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C2" i="8"/>
  <c r="B2" i="8"/>
  <c r="A2" i="8"/>
  <c r="N10" i="15"/>
  <c r="M6" i="14" s="1"/>
  <c r="G2" i="24" s="1"/>
  <c r="N11" i="15"/>
  <c r="M7" i="14" s="1"/>
  <c r="N12" i="15"/>
  <c r="N13" i="15"/>
  <c r="M9" i="14" s="1"/>
  <c r="N14" i="15"/>
  <c r="N15" i="15"/>
  <c r="M11" i="14"/>
  <c r="N16" i="15"/>
  <c r="N17" i="15"/>
  <c r="N18" i="15"/>
  <c r="N19" i="15"/>
  <c r="M15" i="14" s="1"/>
  <c r="N20" i="15"/>
  <c r="N21" i="15"/>
  <c r="L16" i="11"/>
  <c r="U16" i="11" s="1"/>
  <c r="N22" i="15"/>
  <c r="N23" i="15"/>
  <c r="L18" i="11"/>
  <c r="U18" i="11" s="1"/>
  <c r="N24" i="15"/>
  <c r="N25" i="15"/>
  <c r="N26" i="15"/>
  <c r="L21" i="11" s="1"/>
  <c r="U21" i="11" s="1"/>
  <c r="N27" i="15"/>
  <c r="N28" i="15"/>
  <c r="N29" i="15"/>
  <c r="N30" i="15"/>
  <c r="N31" i="15"/>
  <c r="N32" i="15"/>
  <c r="M28" i="14"/>
  <c r="N33" i="15"/>
  <c r="L28" i="11" s="1"/>
  <c r="U28" i="11"/>
  <c r="N34" i="15"/>
  <c r="N35" i="15"/>
  <c r="N36" i="15"/>
  <c r="N37" i="15"/>
  <c r="L32" i="11" s="1"/>
  <c r="U32" i="11" s="1"/>
  <c r="N38" i="15"/>
  <c r="N39" i="15"/>
  <c r="N40" i="15"/>
  <c r="L35" i="11"/>
  <c r="U35" i="11" s="1"/>
  <c r="K42" i="15"/>
  <c r="E10" i="15"/>
  <c r="F10" i="15" s="1"/>
  <c r="E11" i="15"/>
  <c r="F11" i="15"/>
  <c r="G11" i="15" s="1"/>
  <c r="H11" i="15" s="1"/>
  <c r="E12" i="15"/>
  <c r="F12" i="15"/>
  <c r="E13" i="15"/>
  <c r="F13" i="15" s="1"/>
  <c r="E14" i="15"/>
  <c r="F14" i="15"/>
  <c r="G14" i="15"/>
  <c r="E15" i="15"/>
  <c r="F15" i="15"/>
  <c r="E16" i="15"/>
  <c r="F16" i="15"/>
  <c r="E17" i="15"/>
  <c r="F17" i="15"/>
  <c r="E18" i="15"/>
  <c r="F18" i="15"/>
  <c r="G18" i="15" s="1"/>
  <c r="E19" i="15"/>
  <c r="F19" i="15"/>
  <c r="E20" i="15"/>
  <c r="F20" i="15" s="1"/>
  <c r="G20" i="15" s="1"/>
  <c r="F21" i="15"/>
  <c r="G21" i="15" s="1"/>
  <c r="F22" i="15"/>
  <c r="E24" i="15"/>
  <c r="F24" i="15"/>
  <c r="E25" i="15"/>
  <c r="F25" i="15" s="1"/>
  <c r="E26" i="15"/>
  <c r="F26" i="15"/>
  <c r="E27" i="15"/>
  <c r="F27" i="15" s="1"/>
  <c r="G27" i="15" s="1"/>
  <c r="P23" i="14" s="1"/>
  <c r="E28" i="15"/>
  <c r="F28" i="15"/>
  <c r="G28" i="15" s="1"/>
  <c r="E29" i="15"/>
  <c r="F29" i="15"/>
  <c r="E30" i="15"/>
  <c r="F30" i="15" s="1"/>
  <c r="G30" i="15" s="1"/>
  <c r="E31" i="15"/>
  <c r="F31" i="15"/>
  <c r="G31" i="15"/>
  <c r="H31" i="15" s="1"/>
  <c r="E32" i="15"/>
  <c r="F32" i="15"/>
  <c r="E33" i="15"/>
  <c r="F33" i="15"/>
  <c r="E34" i="15"/>
  <c r="F34" i="15"/>
  <c r="E35" i="15"/>
  <c r="F35" i="15"/>
  <c r="E36" i="15"/>
  <c r="F36" i="15"/>
  <c r="E37" i="15"/>
  <c r="F37" i="15" s="1"/>
  <c r="E38" i="15"/>
  <c r="F38" i="15"/>
  <c r="E39" i="15"/>
  <c r="F39" i="15" s="1"/>
  <c r="G39" i="15" s="1"/>
  <c r="E40" i="15"/>
  <c r="F40" i="15"/>
  <c r="E42" i="15"/>
  <c r="N41" i="15"/>
  <c r="E41" i="15"/>
  <c r="F41" i="15"/>
  <c r="A41" i="15"/>
  <c r="C35" i="11"/>
  <c r="O40" i="15"/>
  <c r="P40" i="15"/>
  <c r="Q40" i="15" s="1"/>
  <c r="A40" i="15"/>
  <c r="C34" i="11"/>
  <c r="O39" i="15" s="1"/>
  <c r="P39" i="15" s="1"/>
  <c r="Q39" i="15" s="1"/>
  <c r="A39" i="15"/>
  <c r="C33" i="11"/>
  <c r="O38" i="15" s="1"/>
  <c r="P38" i="15" s="1"/>
  <c r="Q38" i="15"/>
  <c r="A38" i="15"/>
  <c r="C32" i="11"/>
  <c r="O37" i="15" s="1"/>
  <c r="P37" i="15" s="1"/>
  <c r="A37" i="15"/>
  <c r="C31" i="11"/>
  <c r="O36" i="15" s="1"/>
  <c r="P36" i="15"/>
  <c r="A36" i="15"/>
  <c r="C30" i="11"/>
  <c r="O35" i="15" s="1"/>
  <c r="P35" i="15" s="1"/>
  <c r="Q35" i="15" s="1"/>
  <c r="A35" i="15"/>
  <c r="C29" i="11"/>
  <c r="O34" i="15" s="1"/>
  <c r="P34" i="15"/>
  <c r="Q34" i="15" s="1"/>
  <c r="A34" i="15"/>
  <c r="C28" i="11"/>
  <c r="O33" i="15"/>
  <c r="P33" i="15" s="1"/>
  <c r="A33" i="15"/>
  <c r="C27" i="11"/>
  <c r="O32" i="15"/>
  <c r="P32" i="15" s="1"/>
  <c r="A32" i="15"/>
  <c r="C26" i="11"/>
  <c r="O31" i="15"/>
  <c r="P31" i="15" s="1"/>
  <c r="Q31" i="15" s="1"/>
  <c r="A31" i="15"/>
  <c r="C25" i="11"/>
  <c r="O30" i="15"/>
  <c r="P30" i="15" s="1"/>
  <c r="Q30" i="15" s="1"/>
  <c r="A30" i="15"/>
  <c r="C24" i="11"/>
  <c r="O29" i="15" s="1"/>
  <c r="P29" i="15" s="1"/>
  <c r="A29" i="15"/>
  <c r="C23" i="11"/>
  <c r="O28" i="15" s="1"/>
  <c r="P28" i="15"/>
  <c r="Q28" i="15" s="1"/>
  <c r="A28" i="15"/>
  <c r="C22" i="11"/>
  <c r="O27" i="15"/>
  <c r="P27" i="15" s="1"/>
  <c r="Q27" i="15" s="1"/>
  <c r="A27" i="15"/>
  <c r="C21" i="11"/>
  <c r="O26" i="15"/>
  <c r="P26" i="15" s="1"/>
  <c r="A26" i="15"/>
  <c r="C20" i="11"/>
  <c r="O25" i="15" s="1"/>
  <c r="P25" i="15" s="1"/>
  <c r="Q25" i="15" s="1"/>
  <c r="A25" i="15"/>
  <c r="C19" i="11"/>
  <c r="O24" i="15" s="1"/>
  <c r="P24" i="15" s="1"/>
  <c r="Q24" i="15"/>
  <c r="A24" i="15"/>
  <c r="C18" i="11"/>
  <c r="O23" i="15" s="1"/>
  <c r="A23" i="15"/>
  <c r="C17" i="11"/>
  <c r="O22" i="15" s="1"/>
  <c r="P22" i="15" s="1"/>
  <c r="Q22" i="15" s="1"/>
  <c r="A22" i="15"/>
  <c r="C16" i="11"/>
  <c r="O21" i="15" s="1"/>
  <c r="P21" i="15"/>
  <c r="Q21" i="15" s="1"/>
  <c r="A21" i="15"/>
  <c r="C15" i="11"/>
  <c r="O20" i="15"/>
  <c r="P20" i="15" s="1"/>
  <c r="Q20" i="15" s="1"/>
  <c r="A20" i="15"/>
  <c r="C14" i="11"/>
  <c r="C11" i="7"/>
  <c r="A19" i="15"/>
  <c r="C13" i="11"/>
  <c r="O18" i="15"/>
  <c r="P18" i="15"/>
  <c r="A18" i="15"/>
  <c r="C12" i="11"/>
  <c r="O17" i="15"/>
  <c r="P17" i="15"/>
  <c r="Q17" i="15" s="1"/>
  <c r="A17" i="15"/>
  <c r="C11" i="11"/>
  <c r="O16" i="15" s="1"/>
  <c r="P16" i="15" s="1"/>
  <c r="A16" i="15"/>
  <c r="C10" i="11"/>
  <c r="C7" i="7" s="1"/>
  <c r="A15" i="15"/>
  <c r="C9" i="11"/>
  <c r="C6" i="7"/>
  <c r="A14" i="15"/>
  <c r="C8" i="11"/>
  <c r="C5" i="7"/>
  <c r="A13" i="15"/>
  <c r="C7" i="11"/>
  <c r="O12" i="15" s="1"/>
  <c r="P12" i="15"/>
  <c r="Q12" i="15" s="1"/>
  <c r="A12" i="15"/>
  <c r="C6" i="11"/>
  <c r="O11" i="15"/>
  <c r="P11" i="15" s="1"/>
  <c r="A11" i="15"/>
  <c r="C5" i="11"/>
  <c r="O10" i="15"/>
  <c r="P10" i="15" s="1"/>
  <c r="A10" i="15"/>
  <c r="E9" i="15"/>
  <c r="F9" i="15"/>
  <c r="G9" i="15" s="1"/>
  <c r="O3" i="15"/>
  <c r="B33" i="7"/>
  <c r="H35" i="11"/>
  <c r="X5" i="11"/>
  <c r="X6" i="11" s="1"/>
  <c r="X7" i="11" s="1"/>
  <c r="X8" i="11"/>
  <c r="X9" i="11" s="1"/>
  <c r="X10" i="11" s="1"/>
  <c r="X11" i="11"/>
  <c r="X12" i="11" s="1"/>
  <c r="X13" i="11" s="1"/>
  <c r="X14" i="11" s="1"/>
  <c r="X15" i="11" s="1"/>
  <c r="X16" i="11" s="1"/>
  <c r="X17" i="11" s="1"/>
  <c r="X18" i="11" s="1"/>
  <c r="X19" i="11"/>
  <c r="X20" i="11" s="1"/>
  <c r="X21" i="11" s="1"/>
  <c r="X22" i="11" s="1"/>
  <c r="X23" i="11" s="1"/>
  <c r="X24" i="11" s="1"/>
  <c r="X25" i="11"/>
  <c r="F35" i="11"/>
  <c r="B32" i="7"/>
  <c r="A32" i="7"/>
  <c r="G34" i="11"/>
  <c r="H34" i="11"/>
  <c r="A31" i="7"/>
  <c r="H33" i="11"/>
  <c r="F33" i="11"/>
  <c r="B30" i="7" s="1"/>
  <c r="A30" i="7"/>
  <c r="H32" i="11"/>
  <c r="A29" i="7"/>
  <c r="H31" i="11"/>
  <c r="A28" i="7"/>
  <c r="G30" i="11"/>
  <c r="H30" i="11"/>
  <c r="F30" i="11"/>
  <c r="B27" i="7"/>
  <c r="A27" i="7"/>
  <c r="H29" i="11"/>
  <c r="A26" i="7"/>
  <c r="A25" i="7"/>
  <c r="A24" i="7"/>
  <c r="G26" i="11"/>
  <c r="H26" i="11"/>
  <c r="A23" i="7"/>
  <c r="A22" i="7"/>
  <c r="A21" i="7"/>
  <c r="G23" i="11"/>
  <c r="H23" i="11"/>
  <c r="A20" i="7"/>
  <c r="G22" i="11"/>
  <c r="A19" i="7"/>
  <c r="G21" i="11"/>
  <c r="H21" i="11"/>
  <c r="A18" i="7"/>
  <c r="G20" i="11"/>
  <c r="F20" i="11"/>
  <c r="B17" i="7" s="1"/>
  <c r="A17" i="7"/>
  <c r="G19" i="11"/>
  <c r="A16" i="7"/>
  <c r="A15" i="7"/>
  <c r="G17" i="11"/>
  <c r="I17" i="11" s="1"/>
  <c r="Q17" i="11" s="1"/>
  <c r="A14" i="7"/>
  <c r="G16" i="11"/>
  <c r="H16" i="11"/>
  <c r="A13" i="7"/>
  <c r="G15" i="11"/>
  <c r="H15" i="11"/>
  <c r="A12" i="7"/>
  <c r="G14" i="11"/>
  <c r="I14" i="11" s="1"/>
  <c r="Q14" i="11" s="1"/>
  <c r="A11" i="7"/>
  <c r="G13" i="11"/>
  <c r="A10" i="7"/>
  <c r="A9" i="7"/>
  <c r="G11" i="11"/>
  <c r="H11" i="11"/>
  <c r="A8" i="7"/>
  <c r="G10" i="11"/>
  <c r="I10" i="11" s="1"/>
  <c r="A7" i="7"/>
  <c r="G9" i="11"/>
  <c r="H9" i="11"/>
  <c r="A6" i="7"/>
  <c r="G8" i="11"/>
  <c r="A5" i="7"/>
  <c r="G7" i="11"/>
  <c r="H7" i="11"/>
  <c r="I7" i="11" s="1"/>
  <c r="A4" i="7"/>
  <c r="G6" i="11"/>
  <c r="A3" i="7"/>
  <c r="G5" i="11"/>
  <c r="I5" i="11" s="1"/>
  <c r="Q5" i="11" s="1"/>
  <c r="A2" i="7"/>
  <c r="AR49" i="1"/>
  <c r="B48" i="1"/>
  <c r="AQ47" i="1"/>
  <c r="AG47" i="1"/>
  <c r="AF47" i="1"/>
  <c r="AC47" i="1"/>
  <c r="AB47" i="1"/>
  <c r="X47" i="1"/>
  <c r="R47" i="1"/>
  <c r="AQ46" i="1"/>
  <c r="AU11" i="1"/>
  <c r="U11" i="1"/>
  <c r="U26" i="1"/>
  <c r="U27" i="1"/>
  <c r="U32" i="1"/>
  <c r="U40" i="1"/>
  <c r="M45" i="1"/>
  <c r="N45" i="1"/>
  <c r="O45" i="1"/>
  <c r="P45" i="1"/>
  <c r="Q45" i="1"/>
  <c r="R45" i="1"/>
  <c r="L45" i="1"/>
  <c r="K45" i="1"/>
  <c r="J45" i="1"/>
  <c r="I45" i="1"/>
  <c r="H45" i="1"/>
  <c r="G45" i="1"/>
  <c r="F45" i="1"/>
  <c r="E45" i="1"/>
  <c r="D45" i="1"/>
  <c r="T43" i="1"/>
  <c r="T42" i="1"/>
  <c r="S9" i="1"/>
  <c r="AR9" i="1"/>
  <c r="T9" i="1"/>
  <c r="Y36" i="12"/>
  <c r="Z36" i="12" s="1"/>
  <c r="B35" i="11" s="1"/>
  <c r="T36" i="12"/>
  <c r="S36" i="12"/>
  <c r="P36" i="12"/>
  <c r="K36" i="12"/>
  <c r="M36" i="12" s="1"/>
  <c r="W36" i="12"/>
  <c r="Q36" i="12"/>
  <c r="N36" i="12"/>
  <c r="Y35" i="12"/>
  <c r="T35" i="12"/>
  <c r="S35" i="12"/>
  <c r="P35" i="12"/>
  <c r="K35" i="12"/>
  <c r="M35" i="12"/>
  <c r="W35" i="12"/>
  <c r="Q35" i="12"/>
  <c r="N35" i="12"/>
  <c r="Y34" i="12"/>
  <c r="T34" i="12"/>
  <c r="S34" i="12"/>
  <c r="P34" i="12"/>
  <c r="K34" i="12"/>
  <c r="M34" i="12" s="1"/>
  <c r="W34" i="12"/>
  <c r="Q34" i="12"/>
  <c r="N34" i="12"/>
  <c r="Y33" i="12"/>
  <c r="T33" i="12"/>
  <c r="S33" i="12"/>
  <c r="P33" i="12"/>
  <c r="Z33" i="12" s="1"/>
  <c r="B32" i="11" s="1"/>
  <c r="K33" i="12"/>
  <c r="M33" i="12"/>
  <c r="W33" i="12"/>
  <c r="Q33" i="12"/>
  <c r="N33" i="12"/>
  <c r="A33" i="12"/>
  <c r="Y32" i="12"/>
  <c r="T32" i="12"/>
  <c r="S32" i="12"/>
  <c r="P32" i="12"/>
  <c r="K32" i="12"/>
  <c r="M32" i="12"/>
  <c r="W32" i="12"/>
  <c r="Q32" i="12"/>
  <c r="N32" i="12"/>
  <c r="A32" i="12"/>
  <c r="Y31" i="12"/>
  <c r="T31" i="12"/>
  <c r="S31" i="12"/>
  <c r="P31" i="12"/>
  <c r="Z31" i="12" s="1"/>
  <c r="B30" i="11" s="1"/>
  <c r="K31" i="12"/>
  <c r="M31" i="12"/>
  <c r="W31" i="12"/>
  <c r="Q31" i="12"/>
  <c r="N31" i="12"/>
  <c r="A31" i="12"/>
  <c r="Y30" i="12"/>
  <c r="T30" i="12"/>
  <c r="S30" i="12"/>
  <c r="P30" i="12"/>
  <c r="K30" i="12"/>
  <c r="M30" i="12"/>
  <c r="Z30" i="12" s="1"/>
  <c r="B29" i="11" s="1"/>
  <c r="W30" i="12"/>
  <c r="Q30" i="12"/>
  <c r="N30" i="12"/>
  <c r="A30" i="12"/>
  <c r="Y29" i="12"/>
  <c r="T29" i="12"/>
  <c r="S29" i="12"/>
  <c r="P29" i="12"/>
  <c r="Z29" i="12" s="1"/>
  <c r="B28" i="11" s="1"/>
  <c r="K29" i="12"/>
  <c r="M29" i="12"/>
  <c r="W29" i="12"/>
  <c r="Q29" i="12"/>
  <c r="N29" i="12"/>
  <c r="A29" i="12"/>
  <c r="Y28" i="12"/>
  <c r="T28" i="12"/>
  <c r="S28" i="12"/>
  <c r="P28" i="12"/>
  <c r="K28" i="12"/>
  <c r="M28" i="12"/>
  <c r="Z28" i="12" s="1"/>
  <c r="B27" i="11" s="1"/>
  <c r="W28" i="12"/>
  <c r="Q28" i="12"/>
  <c r="N28" i="12"/>
  <c r="A28" i="12"/>
  <c r="Y27" i="12"/>
  <c r="T27" i="12"/>
  <c r="S27" i="12"/>
  <c r="P27" i="12"/>
  <c r="K27" i="12"/>
  <c r="M27" i="12"/>
  <c r="W27" i="12"/>
  <c r="Q27" i="12"/>
  <c r="N27" i="12"/>
  <c r="A27" i="12"/>
  <c r="Y26" i="12"/>
  <c r="T26" i="12"/>
  <c r="S26" i="12"/>
  <c r="P26" i="12"/>
  <c r="K26" i="12"/>
  <c r="M26" i="12"/>
  <c r="Z26" i="12" s="1"/>
  <c r="W26" i="12"/>
  <c r="Q26" i="12"/>
  <c r="N26" i="12"/>
  <c r="A26" i="12"/>
  <c r="Y25" i="12"/>
  <c r="T25" i="12"/>
  <c r="S25" i="12"/>
  <c r="P25" i="12"/>
  <c r="Z25" i="12" s="1"/>
  <c r="K25" i="12"/>
  <c r="M25" i="12"/>
  <c r="W25" i="12"/>
  <c r="Q25" i="12"/>
  <c r="N25" i="12"/>
  <c r="A25" i="12"/>
  <c r="Y24" i="12"/>
  <c r="T24" i="12"/>
  <c r="S24" i="12"/>
  <c r="P24" i="12"/>
  <c r="K24" i="12"/>
  <c r="M24" i="12"/>
  <c r="Z24" i="12" s="1"/>
  <c r="B23" i="11" s="1"/>
  <c r="W24" i="12"/>
  <c r="Q24" i="12"/>
  <c r="N24" i="12"/>
  <c r="A24" i="12"/>
  <c r="T23" i="12"/>
  <c r="S23" i="12"/>
  <c r="P23" i="12"/>
  <c r="K23" i="12"/>
  <c r="M23" i="12" s="1"/>
  <c r="W23" i="12"/>
  <c r="Q23" i="12"/>
  <c r="N23" i="12"/>
  <c r="A23" i="12"/>
  <c r="Y22" i="12"/>
  <c r="T22" i="12"/>
  <c r="S22" i="12"/>
  <c r="P22" i="12"/>
  <c r="K22" i="12"/>
  <c r="M22" i="12" s="1"/>
  <c r="W22" i="12"/>
  <c r="Q22" i="12"/>
  <c r="N22" i="12"/>
  <c r="A22" i="12"/>
  <c r="W21" i="12"/>
  <c r="Q21" i="12"/>
  <c r="N21" i="12"/>
  <c r="A21" i="12"/>
  <c r="W20" i="12"/>
  <c r="Q20" i="12"/>
  <c r="N20" i="12"/>
  <c r="A20" i="12"/>
  <c r="W19" i="12"/>
  <c r="Q19" i="12"/>
  <c r="N19" i="12"/>
  <c r="A19" i="12"/>
  <c r="W18" i="12"/>
  <c r="Q18" i="12"/>
  <c r="N18" i="12"/>
  <c r="A18" i="12"/>
  <c r="W17" i="12"/>
  <c r="Q17" i="12"/>
  <c r="N17" i="12"/>
  <c r="A17" i="12"/>
  <c r="W16" i="12"/>
  <c r="Q16" i="12"/>
  <c r="N16" i="12"/>
  <c r="A16" i="12"/>
  <c r="W15" i="12"/>
  <c r="Q15" i="12"/>
  <c r="N15" i="12"/>
  <c r="A15" i="12"/>
  <c r="W14" i="12"/>
  <c r="Q14" i="12"/>
  <c r="N14" i="12"/>
  <c r="A14" i="12"/>
  <c r="W13" i="12"/>
  <c r="Q13" i="12"/>
  <c r="N13" i="12"/>
  <c r="A13" i="12"/>
  <c r="W12" i="12"/>
  <c r="Q12" i="12"/>
  <c r="N12" i="12"/>
  <c r="A12" i="12"/>
  <c r="W11" i="12"/>
  <c r="Q11" i="12"/>
  <c r="N11" i="12"/>
  <c r="A11" i="12"/>
  <c r="W10" i="12"/>
  <c r="Q10" i="12"/>
  <c r="N10" i="12"/>
  <c r="A10" i="12"/>
  <c r="W9" i="12"/>
  <c r="Q9" i="12"/>
  <c r="N9" i="12"/>
  <c r="A9" i="12"/>
  <c r="Q8" i="12"/>
  <c r="N8" i="12"/>
  <c r="A8" i="12"/>
  <c r="Q7" i="12"/>
  <c r="N7" i="12"/>
  <c r="A7" i="12"/>
  <c r="A6" i="12"/>
  <c r="O39" i="11"/>
  <c r="P39" i="11"/>
  <c r="M38" i="11"/>
  <c r="M39" i="11"/>
  <c r="Q36" i="11"/>
  <c r="V36" i="11"/>
  <c r="K36" i="11"/>
  <c r="C36" i="11"/>
  <c r="O41" i="15" s="1"/>
  <c r="P41" i="15" s="1"/>
  <c r="O35" i="11"/>
  <c r="N35" i="11"/>
  <c r="M35" i="11"/>
  <c r="A35" i="11"/>
  <c r="L34" i="11"/>
  <c r="U34" i="11" s="1"/>
  <c r="O34" i="11"/>
  <c r="N34" i="11"/>
  <c r="M34" i="11"/>
  <c r="A34" i="11"/>
  <c r="L33" i="11"/>
  <c r="U33" i="11" s="1"/>
  <c r="V33" i="11" s="1"/>
  <c r="O33" i="11"/>
  <c r="N33" i="11"/>
  <c r="M33" i="11"/>
  <c r="A33" i="11"/>
  <c r="O32" i="11"/>
  <c r="N32" i="11"/>
  <c r="M32" i="11"/>
  <c r="A32" i="11"/>
  <c r="L31" i="11"/>
  <c r="U31" i="11" s="1"/>
  <c r="O31" i="11"/>
  <c r="N31" i="11"/>
  <c r="M31" i="11"/>
  <c r="A31" i="11"/>
  <c r="L30" i="11"/>
  <c r="U30" i="11" s="1"/>
  <c r="O30" i="11"/>
  <c r="N30" i="11"/>
  <c r="M30" i="11"/>
  <c r="A30" i="11"/>
  <c r="L29" i="11"/>
  <c r="U29" i="11" s="1"/>
  <c r="O29" i="11"/>
  <c r="N29" i="11"/>
  <c r="M29" i="11"/>
  <c r="A29" i="11"/>
  <c r="O28" i="11"/>
  <c r="N28" i="11"/>
  <c r="M28" i="11"/>
  <c r="A28" i="11"/>
  <c r="O27" i="11"/>
  <c r="N27" i="11"/>
  <c r="M27" i="11"/>
  <c r="A27" i="11"/>
  <c r="L26" i="11"/>
  <c r="U26" i="11" s="1"/>
  <c r="O26" i="11"/>
  <c r="N26" i="11"/>
  <c r="M26" i="11"/>
  <c r="A26" i="11"/>
  <c r="L25" i="11"/>
  <c r="U25" i="11" s="1"/>
  <c r="O25" i="11"/>
  <c r="N25" i="11"/>
  <c r="M25" i="11"/>
  <c r="A25" i="11"/>
  <c r="L24" i="11"/>
  <c r="U24" i="11" s="1"/>
  <c r="O24" i="11"/>
  <c r="N24" i="11"/>
  <c r="M24" i="11"/>
  <c r="A24" i="11"/>
  <c r="L23" i="11"/>
  <c r="U23" i="11" s="1"/>
  <c r="O23" i="11"/>
  <c r="N23" i="11"/>
  <c r="M23" i="11"/>
  <c r="A23" i="11"/>
  <c r="L22" i="11"/>
  <c r="U22" i="11" s="1"/>
  <c r="O22" i="11"/>
  <c r="N22" i="11"/>
  <c r="M22" i="11"/>
  <c r="A22" i="11"/>
  <c r="O21" i="11"/>
  <c r="N21" i="11"/>
  <c r="M21" i="11"/>
  <c r="A21" i="11"/>
  <c r="L20" i="11"/>
  <c r="U20" i="11" s="1"/>
  <c r="O20" i="11"/>
  <c r="N20" i="11"/>
  <c r="M20" i="11"/>
  <c r="A20" i="11"/>
  <c r="L19" i="11"/>
  <c r="U19" i="11" s="1"/>
  <c r="O19" i="11"/>
  <c r="N19" i="11"/>
  <c r="M19" i="11"/>
  <c r="A19" i="11"/>
  <c r="O18" i="11"/>
  <c r="N18" i="11"/>
  <c r="M18" i="11"/>
  <c r="A18" i="11"/>
  <c r="L17" i="11"/>
  <c r="U17" i="11" s="1"/>
  <c r="O17" i="11"/>
  <c r="N17" i="11"/>
  <c r="M17" i="11"/>
  <c r="A17" i="11"/>
  <c r="O16" i="11"/>
  <c r="N16" i="11"/>
  <c r="M16" i="11"/>
  <c r="A16" i="11"/>
  <c r="L15" i="11"/>
  <c r="U15" i="11" s="1"/>
  <c r="O15" i="11"/>
  <c r="N15" i="11"/>
  <c r="M15" i="11"/>
  <c r="A15" i="11"/>
  <c r="O14" i="11"/>
  <c r="N14" i="11"/>
  <c r="M14" i="11"/>
  <c r="A14" i="11"/>
  <c r="L13" i="11"/>
  <c r="U13" i="11" s="1"/>
  <c r="O13" i="11"/>
  <c r="N13" i="11"/>
  <c r="M13" i="11"/>
  <c r="A13" i="11"/>
  <c r="L12" i="11"/>
  <c r="U12" i="11" s="1"/>
  <c r="O12" i="11"/>
  <c r="N12" i="11"/>
  <c r="M12" i="11"/>
  <c r="A12" i="11"/>
  <c r="L11" i="11"/>
  <c r="U11" i="11" s="1"/>
  <c r="O11" i="11"/>
  <c r="N11" i="11"/>
  <c r="M11" i="11"/>
  <c r="A11" i="11"/>
  <c r="O10" i="11"/>
  <c r="N10" i="11"/>
  <c r="M10" i="11"/>
  <c r="A10" i="11"/>
  <c r="L9" i="11"/>
  <c r="U9" i="11" s="1"/>
  <c r="O9" i="11"/>
  <c r="N9" i="11"/>
  <c r="M9" i="11"/>
  <c r="A9" i="11"/>
  <c r="O8" i="11"/>
  <c r="N8" i="11"/>
  <c r="M8" i="11"/>
  <c r="A8" i="11"/>
  <c r="L7" i="11"/>
  <c r="U7" i="11" s="1"/>
  <c r="O7" i="11"/>
  <c r="N7" i="11"/>
  <c r="M7" i="11"/>
  <c r="A7" i="11"/>
  <c r="O6" i="11"/>
  <c r="N6" i="11"/>
  <c r="M6" i="11"/>
  <c r="A6" i="11"/>
  <c r="O5" i="11"/>
  <c r="N5" i="11"/>
  <c r="M5" i="11"/>
  <c r="A5" i="11"/>
  <c r="V4" i="18"/>
  <c r="X4" i="18" s="1"/>
  <c r="V5" i="18"/>
  <c r="X5" i="18" s="1"/>
  <c r="X42" i="18" s="1"/>
  <c r="V6" i="18"/>
  <c r="X6" i="18" s="1"/>
  <c r="V7" i="18"/>
  <c r="X7" i="18" s="1"/>
  <c r="V8" i="18"/>
  <c r="X8" i="18" s="1"/>
  <c r="V9" i="18"/>
  <c r="X9" i="18" s="1"/>
  <c r="V10" i="18"/>
  <c r="X10" i="18" s="1"/>
  <c r="V14" i="18"/>
  <c r="X14" i="18" s="1"/>
  <c r="A4" i="18"/>
  <c r="A5" i="18"/>
  <c r="A6" i="18"/>
  <c r="A7" i="18"/>
  <c r="A8" i="18"/>
  <c r="A9" i="18"/>
  <c r="A10" i="18"/>
  <c r="A11" i="18"/>
  <c r="A12" i="18"/>
  <c r="A13" i="18"/>
  <c r="A14" i="18"/>
  <c r="AB5" i="18"/>
  <c r="AB4" i="18"/>
  <c r="AA5" i="18" s="1"/>
  <c r="AB6" i="18"/>
  <c r="AA7" i="18" s="1"/>
  <c r="AB7" i="18"/>
  <c r="AB8" i="18"/>
  <c r="AA9" i="18" s="1"/>
  <c r="AB9" i="18"/>
  <c r="AA10" i="18" s="1"/>
  <c r="AB10" i="18"/>
  <c r="AA11" i="18" s="1"/>
  <c r="AC11" i="18" s="1"/>
  <c r="AC19" i="18"/>
  <c r="AB20" i="18"/>
  <c r="AC20" i="18"/>
  <c r="AB21" i="18"/>
  <c r="AA22" i="18"/>
  <c r="AC22" i="18" s="1"/>
  <c r="AB22" i="18"/>
  <c r="AA23" i="18"/>
  <c r="AB23" i="18"/>
  <c r="AB24" i="18"/>
  <c r="AB25" i="18"/>
  <c r="AB26" i="18"/>
  <c r="AA27" i="18"/>
  <c r="AC27" i="18" s="1"/>
  <c r="AB27" i="18"/>
  <c r="AB28" i="18"/>
  <c r="AA29" i="18" s="1"/>
  <c r="AB29" i="18"/>
  <c r="AA30" i="18" s="1"/>
  <c r="AB30" i="18"/>
  <c r="AA31" i="18"/>
  <c r="AB31" i="18"/>
  <c r="AA32" i="18"/>
  <c r="AB32" i="18"/>
  <c r="AA33" i="18"/>
  <c r="AB33" i="18"/>
  <c r="AA34" i="18"/>
  <c r="AC34" i="18" s="1"/>
  <c r="V38" i="18"/>
  <c r="W38" i="18" s="1"/>
  <c r="K5" i="18"/>
  <c r="L5" i="18" s="1"/>
  <c r="K4" i="18"/>
  <c r="J5" i="18"/>
  <c r="K6" i="18"/>
  <c r="K7" i="18"/>
  <c r="J8" i="18" s="1"/>
  <c r="K8" i="18"/>
  <c r="J9" i="18" s="1"/>
  <c r="K9" i="18"/>
  <c r="K10" i="18"/>
  <c r="J11" i="18"/>
  <c r="K11" i="18"/>
  <c r="K12" i="18"/>
  <c r="J13" i="18" s="1"/>
  <c r="K13" i="18"/>
  <c r="K14" i="18"/>
  <c r="J15" i="18" s="1"/>
  <c r="K15" i="18"/>
  <c r="J16" i="18" s="1"/>
  <c r="K16" i="18"/>
  <c r="K17" i="18"/>
  <c r="J18" i="18"/>
  <c r="K18" i="18"/>
  <c r="J19" i="18"/>
  <c r="K19" i="18"/>
  <c r="J20" i="18"/>
  <c r="K20" i="18"/>
  <c r="J21" i="18"/>
  <c r="K21" i="18"/>
  <c r="J22" i="18"/>
  <c r="K22" i="18"/>
  <c r="J23" i="18"/>
  <c r="K23" i="18"/>
  <c r="J24" i="18"/>
  <c r="K24" i="18"/>
  <c r="J25" i="18"/>
  <c r="K25" i="18"/>
  <c r="K26" i="18"/>
  <c r="J27" i="18" s="1"/>
  <c r="K27" i="18"/>
  <c r="J28" i="18" s="1"/>
  <c r="K28" i="18"/>
  <c r="J29" i="18" s="1"/>
  <c r="K29" i="18"/>
  <c r="K30" i="18"/>
  <c r="J31" i="18" s="1"/>
  <c r="K31" i="18"/>
  <c r="J32" i="18" s="1"/>
  <c r="K32" i="18"/>
  <c r="J33" i="18" s="1"/>
  <c r="K33" i="18"/>
  <c r="J34" i="18" s="1"/>
  <c r="L34" i="18" s="1"/>
  <c r="D5" i="18"/>
  <c r="F5" i="18"/>
  <c r="D6" i="18"/>
  <c r="F6" i="18"/>
  <c r="S6" i="18" s="1"/>
  <c r="D7" i="18"/>
  <c r="F7" i="18"/>
  <c r="D8" i="18"/>
  <c r="F8" i="18"/>
  <c r="D9" i="18"/>
  <c r="F9" i="18"/>
  <c r="D10" i="18"/>
  <c r="F10" i="18"/>
  <c r="D11" i="18"/>
  <c r="F11" i="18"/>
  <c r="S11" i="18" s="1"/>
  <c r="D12" i="18"/>
  <c r="F12" i="18" s="1"/>
  <c r="S12" i="18" s="1"/>
  <c r="D13" i="18"/>
  <c r="F13" i="18" s="1"/>
  <c r="D14" i="18"/>
  <c r="F14" i="18" s="1"/>
  <c r="D15" i="18"/>
  <c r="F15" i="18" s="1"/>
  <c r="D16" i="18"/>
  <c r="F16" i="18" s="1"/>
  <c r="D17" i="18"/>
  <c r="F17" i="18" s="1"/>
  <c r="D18" i="18"/>
  <c r="F18" i="18" s="1"/>
  <c r="D19" i="18"/>
  <c r="F19" i="18"/>
  <c r="D21" i="18"/>
  <c r="F21" i="18" s="1"/>
  <c r="D22" i="18"/>
  <c r="F22" i="18"/>
  <c r="D23" i="18"/>
  <c r="F23" i="18" s="1"/>
  <c r="D24" i="18"/>
  <c r="F24" i="18"/>
  <c r="D25" i="18"/>
  <c r="F25" i="18" s="1"/>
  <c r="S25" i="18"/>
  <c r="D26" i="18"/>
  <c r="F26" i="18"/>
  <c r="D27" i="18"/>
  <c r="F27" i="18"/>
  <c r="D28" i="18"/>
  <c r="F28" i="18"/>
  <c r="S28" i="18" s="1"/>
  <c r="D29" i="18"/>
  <c r="F29" i="18"/>
  <c r="S29" i="18" s="1"/>
  <c r="D30" i="18"/>
  <c r="F30" i="18" s="1"/>
  <c r="D31" i="18"/>
  <c r="F31" i="18" s="1"/>
  <c r="S31" i="18" s="1"/>
  <c r="D32" i="18"/>
  <c r="F32" i="18" s="1"/>
  <c r="D33" i="18"/>
  <c r="F33" i="18"/>
  <c r="S33" i="18" s="1"/>
  <c r="P5" i="18"/>
  <c r="O6" i="18" s="1"/>
  <c r="P4" i="18"/>
  <c r="O5" i="18"/>
  <c r="P6" i="18"/>
  <c r="P7" i="18"/>
  <c r="O8" i="18" s="1"/>
  <c r="P8" i="18"/>
  <c r="O9" i="18" s="1"/>
  <c r="P9" i="18"/>
  <c r="O10" i="18"/>
  <c r="Q10" i="18" s="1"/>
  <c r="R10" i="18" s="1"/>
  <c r="P10" i="18"/>
  <c r="O11" i="18" s="1"/>
  <c r="P11" i="18"/>
  <c r="O12" i="18"/>
  <c r="P12" i="18"/>
  <c r="P13" i="18"/>
  <c r="O14" i="18"/>
  <c r="P14" i="18"/>
  <c r="P15" i="18"/>
  <c r="P16" i="18"/>
  <c r="O17" i="18" s="1"/>
  <c r="P17" i="18"/>
  <c r="O18" i="18" s="1"/>
  <c r="Q18" i="18" s="1"/>
  <c r="R18" i="18" s="1"/>
  <c r="P18" i="18"/>
  <c r="O19" i="18" s="1"/>
  <c r="P19" i="18"/>
  <c r="O20" i="18"/>
  <c r="P20" i="18"/>
  <c r="O21" i="18" s="1"/>
  <c r="P21" i="18"/>
  <c r="O22" i="18"/>
  <c r="P22" i="18"/>
  <c r="P23" i="18"/>
  <c r="O24" i="18" s="1"/>
  <c r="P24" i="18"/>
  <c r="O25" i="18" s="1"/>
  <c r="P25" i="18"/>
  <c r="P26" i="18"/>
  <c r="O27" i="18" s="1"/>
  <c r="P27" i="18"/>
  <c r="O28" i="18"/>
  <c r="P28" i="18"/>
  <c r="P29" i="18"/>
  <c r="O30" i="18"/>
  <c r="P30" i="18"/>
  <c r="O31" i="18" s="1"/>
  <c r="P31" i="18"/>
  <c r="P32" i="18"/>
  <c r="O33" i="18" s="1"/>
  <c r="P33" i="18"/>
  <c r="Q33" i="18" s="1"/>
  <c r="R33" i="18" s="1"/>
  <c r="O34" i="18"/>
  <c r="Q34" i="18" s="1"/>
  <c r="R34" i="18" s="1"/>
  <c r="B34" i="18"/>
  <c r="H34" i="18"/>
  <c r="M34" i="18"/>
  <c r="T34" i="18" s="1"/>
  <c r="Y34" i="18" s="1"/>
  <c r="A34" i="18"/>
  <c r="B33" i="18"/>
  <c r="H33" i="18" s="1"/>
  <c r="M33" i="18" s="1"/>
  <c r="T33" i="18" s="1"/>
  <c r="Y33" i="18" s="1"/>
  <c r="V33" i="18"/>
  <c r="X33" i="18"/>
  <c r="A33" i="18"/>
  <c r="B32" i="18"/>
  <c r="H32" i="18" s="1"/>
  <c r="M32" i="18"/>
  <c r="T32" i="18"/>
  <c r="Y32" i="18" s="1"/>
  <c r="V32" i="18"/>
  <c r="X32" i="18"/>
  <c r="A32" i="18"/>
  <c r="B31" i="18"/>
  <c r="H31" i="18" s="1"/>
  <c r="M31" i="18"/>
  <c r="T31" i="18"/>
  <c r="Y31" i="18"/>
  <c r="V31" i="18"/>
  <c r="X31" i="18"/>
  <c r="A31" i="18"/>
  <c r="B30" i="18"/>
  <c r="H30" i="18" s="1"/>
  <c r="M30" i="18" s="1"/>
  <c r="T30" i="18" s="1"/>
  <c r="Y30" i="18"/>
  <c r="V30" i="18"/>
  <c r="X30" i="18"/>
  <c r="A30" i="18"/>
  <c r="B29" i="18"/>
  <c r="H29" i="18" s="1"/>
  <c r="M29" i="18"/>
  <c r="T29" i="18" s="1"/>
  <c r="Y29" i="18" s="1"/>
  <c r="V29" i="18"/>
  <c r="X29" i="18"/>
  <c r="A29" i="18"/>
  <c r="B28" i="18"/>
  <c r="H28" i="18" s="1"/>
  <c r="M28" i="18"/>
  <c r="T28" i="18"/>
  <c r="Y28" i="18" s="1"/>
  <c r="V28" i="18"/>
  <c r="X28" i="18"/>
  <c r="A28" i="18"/>
  <c r="B27" i="18"/>
  <c r="H27" i="18" s="1"/>
  <c r="M27" i="18"/>
  <c r="T27" i="18"/>
  <c r="Y27" i="18" s="1"/>
  <c r="V27" i="18"/>
  <c r="X27" i="18"/>
  <c r="A27" i="18"/>
  <c r="B26" i="18"/>
  <c r="H26" i="18" s="1"/>
  <c r="M26" i="18" s="1"/>
  <c r="T26" i="18" s="1"/>
  <c r="Y26" i="18"/>
  <c r="V26" i="18"/>
  <c r="X26" i="18"/>
  <c r="A26" i="18"/>
  <c r="B25" i="18"/>
  <c r="H25" i="18" s="1"/>
  <c r="M25" i="18"/>
  <c r="T25" i="18" s="1"/>
  <c r="Y25" i="18" s="1"/>
  <c r="V25" i="18"/>
  <c r="X25" i="18"/>
  <c r="A25" i="18"/>
  <c r="Y24" i="18"/>
  <c r="V24" i="18"/>
  <c r="X24" i="18"/>
  <c r="B24" i="18"/>
  <c r="H24" i="18"/>
  <c r="M24" i="18" s="1"/>
  <c r="A24" i="18"/>
  <c r="B23" i="18"/>
  <c r="H23" i="18" s="1"/>
  <c r="M23" i="18" s="1"/>
  <c r="T23" i="18" s="1"/>
  <c r="Y23" i="18"/>
  <c r="V23" i="18"/>
  <c r="X23" i="18" s="1"/>
  <c r="A23" i="18"/>
  <c r="B22" i="18"/>
  <c r="H22" i="18"/>
  <c r="M22" i="18" s="1"/>
  <c r="T22" i="18"/>
  <c r="Y22" i="18" s="1"/>
  <c r="V22" i="18"/>
  <c r="X22" i="18" s="1"/>
  <c r="A22" i="18"/>
  <c r="B21" i="18"/>
  <c r="H21" i="18" s="1"/>
  <c r="M21" i="18" s="1"/>
  <c r="T21" i="18" s="1"/>
  <c r="Y21" i="18"/>
  <c r="V21" i="18"/>
  <c r="X21" i="18" s="1"/>
  <c r="A21" i="18"/>
  <c r="B20" i="18"/>
  <c r="H20" i="18"/>
  <c r="M20" i="18" s="1"/>
  <c r="T20" i="18"/>
  <c r="Y20" i="18" s="1"/>
  <c r="V20" i="18"/>
  <c r="X20" i="18" s="1"/>
  <c r="A20" i="18"/>
  <c r="B19" i="18"/>
  <c r="H19" i="18" s="1"/>
  <c r="M19" i="18" s="1"/>
  <c r="T19" i="18" s="1"/>
  <c r="Y19" i="18"/>
  <c r="V19" i="18"/>
  <c r="X19" i="18" s="1"/>
  <c r="A19" i="18"/>
  <c r="B18" i="18"/>
  <c r="H18" i="18"/>
  <c r="M18" i="18" s="1"/>
  <c r="T18" i="18" s="1"/>
  <c r="Y18" i="18" s="1"/>
  <c r="V18" i="18"/>
  <c r="X18" i="18" s="1"/>
  <c r="A18" i="18"/>
  <c r="B17" i="18"/>
  <c r="H17" i="18" s="1"/>
  <c r="M17" i="18" s="1"/>
  <c r="T17" i="18" s="1"/>
  <c r="Y17" i="18" s="1"/>
  <c r="V17" i="18"/>
  <c r="X17" i="18" s="1"/>
  <c r="A17" i="18"/>
  <c r="B16" i="18"/>
  <c r="H16" i="18"/>
  <c r="M16" i="18" s="1"/>
  <c r="T16" i="18"/>
  <c r="Y16" i="18" s="1"/>
  <c r="V16" i="18"/>
  <c r="X16" i="18" s="1"/>
  <c r="A16" i="18"/>
  <c r="B15" i="18"/>
  <c r="H15" i="18" s="1"/>
  <c r="M15" i="18" s="1"/>
  <c r="T15" i="18" s="1"/>
  <c r="Y15" i="18"/>
  <c r="V15" i="18"/>
  <c r="X15" i="18" s="1"/>
  <c r="A15" i="18"/>
  <c r="B14" i="18"/>
  <c r="H14" i="18"/>
  <c r="M14" i="18" s="1"/>
  <c r="T14" i="18"/>
  <c r="Y14" i="18" s="1"/>
  <c r="B13" i="18"/>
  <c r="H13" i="18" s="1"/>
  <c r="M13" i="18"/>
  <c r="T13" i="18"/>
  <c r="Y13" i="18" s="1"/>
  <c r="B12" i="18"/>
  <c r="H12" i="18"/>
  <c r="M12" i="18" s="1"/>
  <c r="T12" i="18" s="1"/>
  <c r="Y12" i="18" s="1"/>
  <c r="B11" i="18"/>
  <c r="H11" i="18"/>
  <c r="M11" i="18"/>
  <c r="T11" i="18" s="1"/>
  <c r="Y11" i="18" s="1"/>
  <c r="B10" i="18"/>
  <c r="H10" i="18"/>
  <c r="M10" i="18" s="1"/>
  <c r="T10" i="18"/>
  <c r="Y10" i="18" s="1"/>
  <c r="B9" i="18"/>
  <c r="H9" i="18" s="1"/>
  <c r="M9" i="18"/>
  <c r="T9" i="18"/>
  <c r="Y9" i="18" s="1"/>
  <c r="B8" i="18"/>
  <c r="H8" i="18"/>
  <c r="M8" i="18" s="1"/>
  <c r="T8" i="18" s="1"/>
  <c r="Y8" i="18" s="1"/>
  <c r="B7" i="18"/>
  <c r="H7" i="18"/>
  <c r="M7" i="18"/>
  <c r="T7" i="18" s="1"/>
  <c r="Y7" i="18" s="1"/>
  <c r="B6" i="18"/>
  <c r="H6" i="18"/>
  <c r="M6" i="18" s="1"/>
  <c r="T6" i="18"/>
  <c r="Y6" i="18" s="1"/>
  <c r="B5" i="18"/>
  <c r="H5" i="18" s="1"/>
  <c r="M5" i="18"/>
  <c r="T5" i="18"/>
  <c r="Y5" i="18" s="1"/>
  <c r="B4" i="18"/>
  <c r="H4" i="18"/>
  <c r="M4" i="18" s="1"/>
  <c r="T4" i="18" s="1"/>
  <c r="Y4" i="18" s="1"/>
  <c r="P3" i="18"/>
  <c r="O4" i="18"/>
  <c r="Q4" i="18" s="1"/>
  <c r="K3" i="18"/>
  <c r="J4" i="18" s="1"/>
  <c r="L4" i="18" s="1"/>
  <c r="AB3" i="18"/>
  <c r="AL37" i="13"/>
  <c r="AJ7" i="13"/>
  <c r="AJ10" i="13"/>
  <c r="AJ14" i="13"/>
  <c r="AJ15" i="13"/>
  <c r="AJ17" i="13"/>
  <c r="AJ21" i="13"/>
  <c r="AK22" i="13" s="1"/>
  <c r="AJ22" i="13"/>
  <c r="AJ23" i="13"/>
  <c r="AJ24" i="13"/>
  <c r="AJ25" i="13"/>
  <c r="AJ26" i="13"/>
  <c r="AJ27" i="13"/>
  <c r="AJ28" i="13"/>
  <c r="AJ29" i="13"/>
  <c r="AK29" i="13" s="1"/>
  <c r="AJ30" i="13"/>
  <c r="AJ31" i="13"/>
  <c r="AJ32" i="13"/>
  <c r="AJ33" i="13"/>
  <c r="AJ34" i="13"/>
  <c r="AJ35" i="13"/>
  <c r="AK35" i="13" s="1"/>
  <c r="AJ36" i="13"/>
  <c r="J6" i="13"/>
  <c r="J7" i="13"/>
  <c r="J8" i="13"/>
  <c r="J9" i="13"/>
  <c r="J10" i="13"/>
  <c r="L10" i="13" s="1"/>
  <c r="J11" i="13"/>
  <c r="J13" i="13"/>
  <c r="D13" i="13"/>
  <c r="J14" i="13"/>
  <c r="J15" i="13"/>
  <c r="J16" i="13"/>
  <c r="J17" i="13"/>
  <c r="J18" i="13"/>
  <c r="J19" i="13"/>
  <c r="J20" i="13"/>
  <c r="L20" i="13" s="1"/>
  <c r="J21" i="13"/>
  <c r="J22" i="13"/>
  <c r="J23" i="13"/>
  <c r="J24" i="13"/>
  <c r="J27" i="13"/>
  <c r="J31" i="13"/>
  <c r="J35" i="13"/>
  <c r="V36" i="13"/>
  <c r="Q36" i="13"/>
  <c r="R36" i="13"/>
  <c r="M36" i="13"/>
  <c r="K36" i="13"/>
  <c r="I36" i="13"/>
  <c r="F3" i="13"/>
  <c r="E6" i="13" s="1"/>
  <c r="E7" i="13" s="1"/>
  <c r="D36" i="13"/>
  <c r="C36" i="13"/>
  <c r="B36" i="13"/>
  <c r="A36" i="13"/>
  <c r="Z35" i="13"/>
  <c r="AA35" i="13" s="1"/>
  <c r="G36" i="14" s="1"/>
  <c r="V35" i="13"/>
  <c r="Q35" i="13"/>
  <c r="R35" i="13" s="1"/>
  <c r="M35" i="13"/>
  <c r="K35" i="13"/>
  <c r="I35" i="13"/>
  <c r="D35" i="13"/>
  <c r="C35" i="13"/>
  <c r="B35" i="13" s="1"/>
  <c r="A35" i="13"/>
  <c r="Z34" i="13"/>
  <c r="AA34" i="13" s="1"/>
  <c r="G35" i="14" s="1"/>
  <c r="Q34" i="13"/>
  <c r="R34" i="13"/>
  <c r="M34" i="13"/>
  <c r="K34" i="13"/>
  <c r="E37" i="14"/>
  <c r="I34" i="13"/>
  <c r="D34" i="13"/>
  <c r="C34" i="13"/>
  <c r="B34" i="13"/>
  <c r="A34" i="13"/>
  <c r="Z33" i="13"/>
  <c r="AA33" i="13" s="1"/>
  <c r="G34" i="14" s="1"/>
  <c r="V33" i="13"/>
  <c r="Q33" i="13"/>
  <c r="R33" i="13" s="1"/>
  <c r="M33" i="13"/>
  <c r="K33" i="13"/>
  <c r="I33" i="13"/>
  <c r="D33" i="13"/>
  <c r="C33" i="13"/>
  <c r="B33" i="13" s="1"/>
  <c r="A33" i="13"/>
  <c r="Z32" i="13"/>
  <c r="AA32" i="13"/>
  <c r="G33" i="14" s="1"/>
  <c r="V32" i="13"/>
  <c r="Q32" i="13"/>
  <c r="R32" i="13"/>
  <c r="M32" i="13"/>
  <c r="I32" i="13"/>
  <c r="D32" i="13"/>
  <c r="C32" i="13"/>
  <c r="B32" i="13" s="1"/>
  <c r="A32" i="13"/>
  <c r="Z31" i="13"/>
  <c r="AA31" i="13"/>
  <c r="G32" i="14" s="1"/>
  <c r="V31" i="13"/>
  <c r="Q31" i="13"/>
  <c r="R31" i="13"/>
  <c r="M31" i="13"/>
  <c r="I31" i="13"/>
  <c r="D31" i="13"/>
  <c r="C31" i="13"/>
  <c r="B31" i="13" s="1"/>
  <c r="A31" i="13"/>
  <c r="Z30" i="13"/>
  <c r="AA30" i="13"/>
  <c r="G31" i="14" s="1"/>
  <c r="V30" i="13"/>
  <c r="Q30" i="13"/>
  <c r="R30" i="13"/>
  <c r="M30" i="13"/>
  <c r="K30" i="13"/>
  <c r="I30" i="13"/>
  <c r="D30" i="13"/>
  <c r="C30" i="13"/>
  <c r="B30" i="13"/>
  <c r="A30" i="13"/>
  <c r="Z29" i="13"/>
  <c r="AA29" i="13" s="1"/>
  <c r="G30" i="14" s="1"/>
  <c r="V29" i="13"/>
  <c r="Q29" i="13"/>
  <c r="R29" i="13" s="1"/>
  <c r="M29" i="13"/>
  <c r="I29" i="13"/>
  <c r="D29" i="13"/>
  <c r="C29" i="13"/>
  <c r="B29" i="13"/>
  <c r="A29" i="13"/>
  <c r="Z28" i="13"/>
  <c r="AA28" i="13" s="1"/>
  <c r="G29" i="14" s="1"/>
  <c r="V28" i="13"/>
  <c r="Q28" i="13"/>
  <c r="R28" i="13" s="1"/>
  <c r="M28" i="13"/>
  <c r="I28" i="13"/>
  <c r="D28" i="13"/>
  <c r="C28" i="13"/>
  <c r="B28" i="13"/>
  <c r="A28" i="13"/>
  <c r="Z27" i="13"/>
  <c r="AA27" i="13" s="1"/>
  <c r="G28" i="14" s="1"/>
  <c r="V27" i="13"/>
  <c r="Q27" i="13"/>
  <c r="R27" i="13" s="1"/>
  <c r="M27" i="13"/>
  <c r="K27" i="13"/>
  <c r="I27" i="13"/>
  <c r="D27" i="13"/>
  <c r="C27" i="13"/>
  <c r="B27" i="13" s="1"/>
  <c r="A27" i="13"/>
  <c r="Z26" i="13"/>
  <c r="AA26" i="13" s="1"/>
  <c r="G27" i="14" s="1"/>
  <c r="V26" i="13"/>
  <c r="Q26" i="13"/>
  <c r="R26" i="13"/>
  <c r="M26" i="13"/>
  <c r="I26" i="13"/>
  <c r="D26" i="13"/>
  <c r="C26" i="13"/>
  <c r="B26" i="13" s="1"/>
  <c r="A26" i="13"/>
  <c r="Z25" i="13"/>
  <c r="AA25" i="13"/>
  <c r="G26" i="14" s="1"/>
  <c r="V25" i="13"/>
  <c r="Q25" i="13"/>
  <c r="R25" i="13"/>
  <c r="M25" i="13"/>
  <c r="I25" i="13"/>
  <c r="D25" i="13"/>
  <c r="A25" i="13"/>
  <c r="Z24" i="13"/>
  <c r="AA24" i="13"/>
  <c r="G25" i="14" s="1"/>
  <c r="V24" i="13"/>
  <c r="Q24" i="13"/>
  <c r="R24" i="13"/>
  <c r="M24" i="13"/>
  <c r="K24" i="13"/>
  <c r="I24" i="13"/>
  <c r="D24" i="13"/>
  <c r="A24" i="13"/>
  <c r="Z23" i="13"/>
  <c r="AA23" i="13" s="1"/>
  <c r="G24" i="14"/>
  <c r="Q23" i="13"/>
  <c r="R23" i="13" s="1"/>
  <c r="M23" i="13"/>
  <c r="I23" i="13"/>
  <c r="D23" i="13"/>
  <c r="A23" i="13"/>
  <c r="Z22" i="13"/>
  <c r="AA22" i="13"/>
  <c r="G23" i="14" s="1"/>
  <c r="Q22" i="13"/>
  <c r="R22" i="13" s="1"/>
  <c r="M22" i="13"/>
  <c r="K22" i="13"/>
  <c r="I22" i="13"/>
  <c r="D22" i="13"/>
  <c r="A22" i="13"/>
  <c r="V21" i="13"/>
  <c r="Q21" i="13"/>
  <c r="R21" i="13" s="1"/>
  <c r="M21" i="13"/>
  <c r="K21" i="13"/>
  <c r="I21" i="13"/>
  <c r="D21" i="13"/>
  <c r="A21" i="13"/>
  <c r="Z20" i="13"/>
  <c r="AA20" i="13"/>
  <c r="G21" i="14" s="1"/>
  <c r="V20" i="13"/>
  <c r="Q20" i="13"/>
  <c r="R20" i="13"/>
  <c r="M20" i="13"/>
  <c r="I20" i="13"/>
  <c r="D20" i="13"/>
  <c r="A20" i="13"/>
  <c r="Z19" i="13"/>
  <c r="AA19" i="13"/>
  <c r="G20" i="14" s="1"/>
  <c r="V19" i="13"/>
  <c r="Q19" i="13"/>
  <c r="R19" i="13"/>
  <c r="M19" i="13"/>
  <c r="I19" i="13"/>
  <c r="D19" i="13"/>
  <c r="C19" i="13"/>
  <c r="B19" i="13" s="1"/>
  <c r="A19" i="13"/>
  <c r="Z18" i="13"/>
  <c r="AA18" i="13"/>
  <c r="G19" i="14" s="1"/>
  <c r="Q18" i="13"/>
  <c r="R18" i="13" s="1"/>
  <c r="M18" i="13"/>
  <c r="K18" i="13"/>
  <c r="L18" i="13" s="1"/>
  <c r="I18" i="13"/>
  <c r="D18" i="13"/>
  <c r="C18" i="13"/>
  <c r="B18" i="13"/>
  <c r="A18" i="13"/>
  <c r="Z17" i="13"/>
  <c r="Q17" i="13"/>
  <c r="R17" i="13"/>
  <c r="M17" i="13"/>
  <c r="K17" i="13"/>
  <c r="I17" i="13"/>
  <c r="D17" i="13"/>
  <c r="C17" i="13"/>
  <c r="B17" i="13" s="1"/>
  <c r="A17" i="13"/>
  <c r="Q16" i="13"/>
  <c r="R16" i="13"/>
  <c r="M16" i="13"/>
  <c r="K16" i="13"/>
  <c r="I16" i="13"/>
  <c r="D16" i="13"/>
  <c r="C16" i="13"/>
  <c r="B16" i="13"/>
  <c r="A16" i="13"/>
  <c r="V15" i="13"/>
  <c r="Q15" i="13"/>
  <c r="R15" i="13"/>
  <c r="M15" i="13"/>
  <c r="I15" i="13"/>
  <c r="D15" i="13"/>
  <c r="C15" i="13"/>
  <c r="B15" i="13"/>
  <c r="A15" i="13"/>
  <c r="Q14" i="13"/>
  <c r="R14" i="13"/>
  <c r="M14" i="13"/>
  <c r="I14" i="13"/>
  <c r="D14" i="13"/>
  <c r="C14" i="13"/>
  <c r="B14" i="13"/>
  <c r="A14" i="13"/>
  <c r="V13" i="13"/>
  <c r="Q13" i="13"/>
  <c r="R13" i="13"/>
  <c r="M13" i="13"/>
  <c r="I13" i="13"/>
  <c r="C13" i="13"/>
  <c r="B13" i="13"/>
  <c r="A13" i="13"/>
  <c r="Q12" i="13"/>
  <c r="R12" i="13"/>
  <c r="M12" i="13"/>
  <c r="I12" i="13"/>
  <c r="D12" i="13"/>
  <c r="C12" i="13"/>
  <c r="B12" i="13"/>
  <c r="A12" i="13"/>
  <c r="V11" i="13"/>
  <c r="Q11" i="13"/>
  <c r="R11" i="13"/>
  <c r="M11" i="13"/>
  <c r="I11" i="13"/>
  <c r="D11" i="13"/>
  <c r="C11" i="13"/>
  <c r="B11" i="13" s="1"/>
  <c r="A11" i="13"/>
  <c r="Z10" i="13"/>
  <c r="AA10" i="13"/>
  <c r="G11" i="14" s="1"/>
  <c r="Q10" i="13"/>
  <c r="R10" i="13"/>
  <c r="M10" i="13"/>
  <c r="K10" i="13"/>
  <c r="I10" i="13"/>
  <c r="D10" i="13"/>
  <c r="C10" i="13"/>
  <c r="B10" i="13" s="1"/>
  <c r="A10" i="13"/>
  <c r="Z9" i="13"/>
  <c r="AA9" i="13"/>
  <c r="G10" i="14" s="1"/>
  <c r="Q9" i="13"/>
  <c r="R9" i="13"/>
  <c r="M9" i="13"/>
  <c r="I9" i="13"/>
  <c r="D9" i="13"/>
  <c r="C9" i="13"/>
  <c r="B9" i="13" s="1"/>
  <c r="A9" i="13"/>
  <c r="Q8" i="13"/>
  <c r="R8" i="13"/>
  <c r="M8" i="13"/>
  <c r="K8" i="13"/>
  <c r="I8" i="13"/>
  <c r="D8" i="13"/>
  <c r="C8" i="13"/>
  <c r="B8" i="13" s="1"/>
  <c r="A8" i="13"/>
  <c r="Q7" i="13"/>
  <c r="R7" i="13"/>
  <c r="M7" i="13"/>
  <c r="I7" i="13"/>
  <c r="D7" i="13"/>
  <c r="C7" i="13"/>
  <c r="B7" i="13" s="1"/>
  <c r="A7" i="13"/>
  <c r="AA6" i="13"/>
  <c r="G7" i="14" s="1"/>
  <c r="M6" i="13"/>
  <c r="I6" i="13"/>
  <c r="D6" i="13"/>
  <c r="C6" i="13"/>
  <c r="B6" i="13"/>
  <c r="A6" i="13"/>
  <c r="AJ4" i="13"/>
  <c r="D7" i="14"/>
  <c r="N7" i="14" s="1"/>
  <c r="E8" i="14"/>
  <c r="E10" i="14"/>
  <c r="O10" i="14" s="1"/>
  <c r="E11" i="14"/>
  <c r="O11" i="14"/>
  <c r="E14" i="14"/>
  <c r="O14" i="14" s="1"/>
  <c r="E16" i="14"/>
  <c r="O16" i="14" s="1"/>
  <c r="E17" i="14"/>
  <c r="O17" i="14" s="1"/>
  <c r="E18" i="14"/>
  <c r="E20" i="14"/>
  <c r="O20" i="14" s="1"/>
  <c r="E22" i="14"/>
  <c r="F22" i="14" s="1"/>
  <c r="O22" i="14"/>
  <c r="E23" i="14"/>
  <c r="O23" i="14" s="1"/>
  <c r="E24" i="14"/>
  <c r="O24" i="14"/>
  <c r="E27" i="14"/>
  <c r="O27" i="14" s="1"/>
  <c r="E28" i="14"/>
  <c r="O28" i="14" s="1"/>
  <c r="E30" i="14"/>
  <c r="O30" i="14" s="1"/>
  <c r="E32" i="14"/>
  <c r="O32" i="14"/>
  <c r="E33" i="14"/>
  <c r="O33" i="14" s="1"/>
  <c r="E34" i="14"/>
  <c r="O34" i="14"/>
  <c r="D8" i="14"/>
  <c r="D9" i="14"/>
  <c r="N9" i="14"/>
  <c r="R9" i="14" s="1"/>
  <c r="D10" i="14"/>
  <c r="N10" i="14"/>
  <c r="D13" i="14"/>
  <c r="N13" i="14"/>
  <c r="R13" i="14" s="1"/>
  <c r="D14" i="14"/>
  <c r="N14" i="14"/>
  <c r="D15" i="14"/>
  <c r="N15" i="14"/>
  <c r="R15" i="14" s="1"/>
  <c r="D16" i="14"/>
  <c r="N16" i="14"/>
  <c r="R16" i="14" s="1"/>
  <c r="D17" i="14"/>
  <c r="N17" i="14"/>
  <c r="R17" i="14" s="1"/>
  <c r="D18" i="14"/>
  <c r="N18" i="14"/>
  <c r="D19" i="14"/>
  <c r="N19" i="14"/>
  <c r="R19" i="14" s="1"/>
  <c r="D20" i="14"/>
  <c r="N20" i="14"/>
  <c r="R20" i="14" s="1"/>
  <c r="D21" i="14"/>
  <c r="F21" i="14" s="1"/>
  <c r="N21" i="14"/>
  <c r="D22" i="14"/>
  <c r="N22" i="14"/>
  <c r="D23" i="14"/>
  <c r="N23" i="14"/>
  <c r="R23" i="14" s="1"/>
  <c r="D24" i="14"/>
  <c r="N24" i="14"/>
  <c r="D26" i="14"/>
  <c r="N26" i="14"/>
  <c r="R26" i="14" s="1"/>
  <c r="D27" i="14"/>
  <c r="N27" i="14"/>
  <c r="D31" i="14"/>
  <c r="N31" i="14"/>
  <c r="R31" i="14" s="1"/>
  <c r="D35" i="14"/>
  <c r="N35" i="14"/>
  <c r="M8" i="14"/>
  <c r="M10" i="14"/>
  <c r="M39" i="14" s="1"/>
  <c r="M12" i="14"/>
  <c r="M13" i="14"/>
  <c r="M14" i="14"/>
  <c r="M16" i="14"/>
  <c r="M18" i="14"/>
  <c r="M20" i="14"/>
  <c r="M21" i="14"/>
  <c r="M23" i="14"/>
  <c r="M24" i="14"/>
  <c r="M25" i="14"/>
  <c r="M26" i="14"/>
  <c r="M27" i="14"/>
  <c r="M30" i="14"/>
  <c r="M31" i="14"/>
  <c r="M32" i="14"/>
  <c r="M33" i="14"/>
  <c r="M34" i="14"/>
  <c r="M35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K7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J7" i="14"/>
  <c r="J8" i="14"/>
  <c r="J9" i="14"/>
  <c r="J39" i="14" s="1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H8" i="14"/>
  <c r="H10" i="14"/>
  <c r="H39" i="14" s="1"/>
  <c r="H11" i="14"/>
  <c r="H15" i="14"/>
  <c r="H16" i="14"/>
  <c r="H17" i="14"/>
  <c r="H18" i="14"/>
  <c r="H20" i="14"/>
  <c r="H21" i="14"/>
  <c r="H24" i="14"/>
  <c r="H25" i="14"/>
  <c r="H28" i="14"/>
  <c r="H29" i="14"/>
  <c r="H31" i="14"/>
  <c r="H32" i="14"/>
  <c r="H33" i="14"/>
  <c r="C39" i="14"/>
  <c r="B37" i="14"/>
  <c r="Q37" i="14"/>
  <c r="S37" i="14" s="1"/>
  <c r="A37" i="14"/>
  <c r="E36" i="14"/>
  <c r="O36" i="14" s="1"/>
  <c r="M36" i="14"/>
  <c r="L36" i="14"/>
  <c r="K36" i="14"/>
  <c r="J36" i="14"/>
  <c r="H36" i="14"/>
  <c r="A36" i="14"/>
  <c r="A35" i="14"/>
  <c r="A34" i="14"/>
  <c r="T33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L6" i="14"/>
  <c r="K6" i="14"/>
  <c r="J6" i="14"/>
  <c r="D6" i="14"/>
  <c r="A6" i="14"/>
  <c r="K53" i="3"/>
  <c r="AR18" i="1"/>
  <c r="C12" i="19"/>
  <c r="G12" i="11"/>
  <c r="I12" i="11" s="1"/>
  <c r="G12" i="10"/>
  <c r="I12" i="10" s="1"/>
  <c r="Q12" i="10" s="1"/>
  <c r="H13" i="14"/>
  <c r="J12" i="13"/>
  <c r="AR17" i="1"/>
  <c r="C11" i="19"/>
  <c r="F11" i="19" s="1"/>
  <c r="G11" i="10"/>
  <c r="K50" i="3"/>
  <c r="AR15" i="1"/>
  <c r="U15" i="1"/>
  <c r="F9" i="11"/>
  <c r="B6" i="7"/>
  <c r="Q8" i="19"/>
  <c r="K36" i="19"/>
  <c r="AE37" i="13"/>
  <c r="R37" i="3"/>
  <c r="B29" i="9" s="1"/>
  <c r="K32" i="10"/>
  <c r="AK36" i="13"/>
  <c r="S21" i="18"/>
  <c r="U17" i="1"/>
  <c r="S23" i="18"/>
  <c r="S9" i="18"/>
  <c r="F13" i="11"/>
  <c r="B10" i="7" s="1"/>
  <c r="F21" i="11"/>
  <c r="B18" i="7" s="1"/>
  <c r="Z35" i="12"/>
  <c r="B34" i="11"/>
  <c r="Z34" i="12"/>
  <c r="B33" i="11" s="1"/>
  <c r="U36" i="1"/>
  <c r="F26" i="11"/>
  <c r="B23" i="7"/>
  <c r="F10" i="11"/>
  <c r="B7" i="7"/>
  <c r="S24" i="18"/>
  <c r="S19" i="18"/>
  <c r="U28" i="1"/>
  <c r="F24" i="11"/>
  <c r="B21" i="7"/>
  <c r="F32" i="11"/>
  <c r="B29" i="7" s="1"/>
  <c r="S22" i="18"/>
  <c r="S17" i="18"/>
  <c r="S13" i="18"/>
  <c r="F22" i="11"/>
  <c r="B19" i="7"/>
  <c r="F29" i="11"/>
  <c r="B26" i="7"/>
  <c r="C27" i="7"/>
  <c r="C31" i="7"/>
  <c r="C29" i="7"/>
  <c r="Q37" i="15"/>
  <c r="Q36" i="15"/>
  <c r="AK32" i="13"/>
  <c r="AK31" i="13"/>
  <c r="M29" i="14"/>
  <c r="Q33" i="15"/>
  <c r="L27" i="11"/>
  <c r="U27" i="11"/>
  <c r="Q32" i="15"/>
  <c r="L27" i="18"/>
  <c r="S27" i="18"/>
  <c r="F28" i="11"/>
  <c r="B25" i="7" s="1"/>
  <c r="S30" i="18"/>
  <c r="U29" i="1"/>
  <c r="F34" i="11"/>
  <c r="B31" i="7" s="1"/>
  <c r="F23" i="11"/>
  <c r="B20" i="7"/>
  <c r="S32" i="18"/>
  <c r="F16" i="11"/>
  <c r="B13" i="7"/>
  <c r="F31" i="11"/>
  <c r="B28" i="7" s="1"/>
  <c r="F25" i="11"/>
  <c r="B22" i="7"/>
  <c r="P24" i="14"/>
  <c r="H28" i="15"/>
  <c r="I28" i="15" s="1"/>
  <c r="Q26" i="15"/>
  <c r="M22" i="14"/>
  <c r="U25" i="1"/>
  <c r="C30" i="7"/>
  <c r="B8" i="19"/>
  <c r="S45" i="1"/>
  <c r="AK15" i="13"/>
  <c r="AJ12" i="13"/>
  <c r="F8" i="11"/>
  <c r="B5" i="7"/>
  <c r="AC32" i="18"/>
  <c r="N26" i="13"/>
  <c r="K25" i="19"/>
  <c r="K21" i="10"/>
  <c r="K25" i="11"/>
  <c r="T25" i="11" s="1"/>
  <c r="L22" i="18"/>
  <c r="AC23" i="18"/>
  <c r="Q24" i="18"/>
  <c r="R24" i="18"/>
  <c r="R4" i="18"/>
  <c r="Q33" i="19"/>
  <c r="H26" i="14"/>
  <c r="H22" i="14"/>
  <c r="H35" i="14"/>
  <c r="H27" i="14"/>
  <c r="H23" i="14"/>
  <c r="H14" i="14"/>
  <c r="B32" i="19"/>
  <c r="B33" i="19"/>
  <c r="R35" i="14"/>
  <c r="B34" i="19"/>
  <c r="R27" i="14"/>
  <c r="P27" i="14"/>
  <c r="I31" i="15"/>
  <c r="G38" i="15"/>
  <c r="G32" i="15"/>
  <c r="P28" i="14" s="1"/>
  <c r="P26" i="14"/>
  <c r="H30" i="15"/>
  <c r="I30" i="15"/>
  <c r="H39" i="15"/>
  <c r="P35" i="14"/>
  <c r="G36" i="15"/>
  <c r="G33" i="15"/>
  <c r="P29" i="14" s="1"/>
  <c r="G40" i="15"/>
  <c r="H40" i="15" s="1"/>
  <c r="G37" i="15"/>
  <c r="G34" i="15"/>
  <c r="G29" i="15"/>
  <c r="P25" i="14" s="1"/>
  <c r="AK27" i="13"/>
  <c r="I39" i="15"/>
  <c r="B25" i="11"/>
  <c r="Z32" i="12"/>
  <c r="B31" i="11" s="1"/>
  <c r="B24" i="11"/>
  <c r="AN36" i="3"/>
  <c r="AN31" i="3"/>
  <c r="AN33" i="3"/>
  <c r="AN30" i="3"/>
  <c r="AA28" i="18"/>
  <c r="AA26" i="18"/>
  <c r="AC26" i="18" s="1"/>
  <c r="AA24" i="18"/>
  <c r="AC31" i="18"/>
  <c r="AC28" i="18"/>
  <c r="AC29" i="18"/>
  <c r="AC30" i="18"/>
  <c r="R34" i="3"/>
  <c r="B26" i="9" s="1"/>
  <c r="Q27" i="18"/>
  <c r="R27" i="18"/>
  <c r="R26" i="3"/>
  <c r="B18" i="9" s="1"/>
  <c r="R31" i="3"/>
  <c r="B23" i="9" s="1"/>
  <c r="R32" i="3"/>
  <c r="B24" i="9" s="1"/>
  <c r="R27" i="3"/>
  <c r="B19" i="9" s="1"/>
  <c r="R33" i="3"/>
  <c r="B25" i="9" s="1"/>
  <c r="R35" i="3"/>
  <c r="B27" i="9"/>
  <c r="R29" i="3"/>
  <c r="B21" i="9"/>
  <c r="L25" i="18"/>
  <c r="L23" i="18"/>
  <c r="L24" i="18"/>
  <c r="L31" i="18"/>
  <c r="J26" i="18"/>
  <c r="L26" i="18" s="1"/>
  <c r="L32" i="18"/>
  <c r="K29" i="10"/>
  <c r="K33" i="11"/>
  <c r="T33" i="11"/>
  <c r="N34" i="13"/>
  <c r="K33" i="19"/>
  <c r="K25" i="10"/>
  <c r="N30" i="13"/>
  <c r="K29" i="19"/>
  <c r="K29" i="11"/>
  <c r="T29" i="11"/>
  <c r="K26" i="10"/>
  <c r="K30" i="11"/>
  <c r="T30" i="11"/>
  <c r="K30" i="10"/>
  <c r="K34" i="11"/>
  <c r="T34" i="11"/>
  <c r="N35" i="13"/>
  <c r="AE35" i="13"/>
  <c r="I35" i="14" s="1"/>
  <c r="K22" i="10"/>
  <c r="N27" i="13"/>
  <c r="K26" i="19"/>
  <c r="K26" i="11"/>
  <c r="T26" i="11" s="1"/>
  <c r="N33" i="13"/>
  <c r="K32" i="19" s="1"/>
  <c r="K28" i="10"/>
  <c r="K32" i="11"/>
  <c r="T32" i="11"/>
  <c r="N29" i="13"/>
  <c r="AE29" i="13" s="1"/>
  <c r="I29" i="14" s="1"/>
  <c r="K28" i="19"/>
  <c r="K24" i="10"/>
  <c r="K28" i="11"/>
  <c r="T28" i="11"/>
  <c r="K27" i="10"/>
  <c r="N32" i="13"/>
  <c r="AE32" i="13" s="1"/>
  <c r="K31" i="11"/>
  <c r="T31" i="11" s="1"/>
  <c r="K31" i="10"/>
  <c r="K35" i="11"/>
  <c r="T35" i="11" s="1"/>
  <c r="N36" i="13"/>
  <c r="K35" i="19" s="1"/>
  <c r="K23" i="10"/>
  <c r="N28" i="13"/>
  <c r="K27" i="19"/>
  <c r="K27" i="11"/>
  <c r="T27" i="11"/>
  <c r="N31" i="13"/>
  <c r="K34" i="19"/>
  <c r="AJ16" i="13"/>
  <c r="AK16" i="13" s="1"/>
  <c r="AK17" i="13"/>
  <c r="U20" i="1"/>
  <c r="S14" i="18"/>
  <c r="F14" i="11"/>
  <c r="B11" i="7"/>
  <c r="B13" i="19"/>
  <c r="K54" i="3"/>
  <c r="H7" i="14"/>
  <c r="Q29" i="19"/>
  <c r="N24" i="13"/>
  <c r="AE24" i="13"/>
  <c r="I24" i="14" s="1"/>
  <c r="K19" i="10"/>
  <c r="K23" i="11"/>
  <c r="T23" i="11" s="1"/>
  <c r="L19" i="18"/>
  <c r="AJ18" i="13"/>
  <c r="AK18" i="13"/>
  <c r="AJ44" i="1"/>
  <c r="AJ45" i="1"/>
  <c r="B12" i="19"/>
  <c r="U22" i="1"/>
  <c r="E21" i="14"/>
  <c r="O21" i="14"/>
  <c r="K32" i="13"/>
  <c r="H31" i="10"/>
  <c r="E35" i="14"/>
  <c r="O35" i="14"/>
  <c r="H20" i="11"/>
  <c r="I20" i="11" s="1"/>
  <c r="E5" i="19"/>
  <c r="F5" i="19"/>
  <c r="AC6" i="12"/>
  <c r="C32" i="7"/>
  <c r="E20" i="19"/>
  <c r="F20" i="19"/>
  <c r="AC21" i="12"/>
  <c r="H32" i="10"/>
  <c r="H35" i="10"/>
  <c r="H17" i="11"/>
  <c r="E31" i="14"/>
  <c r="O31" i="14"/>
  <c r="E25" i="14"/>
  <c r="O25" i="14"/>
  <c r="K25" i="13"/>
  <c r="H27" i="11"/>
  <c r="K23" i="13"/>
  <c r="L23" i="13"/>
  <c r="K31" i="13"/>
  <c r="H30" i="10"/>
  <c r="I30" i="10" s="1"/>
  <c r="Q30" i="10" s="1"/>
  <c r="E18" i="19"/>
  <c r="F18" i="19" s="1"/>
  <c r="K28" i="13"/>
  <c r="K29" i="13"/>
  <c r="L29" i="13" s="1"/>
  <c r="H19" i="11"/>
  <c r="I19" i="11"/>
  <c r="Q19" i="11" s="1"/>
  <c r="S19" i="11" s="1"/>
  <c r="Q20" i="14"/>
  <c r="S20" i="14" s="1"/>
  <c r="H22" i="11"/>
  <c r="I22" i="11" s="1"/>
  <c r="Q22" i="11" s="1"/>
  <c r="H24" i="11"/>
  <c r="I30" i="11"/>
  <c r="Q30" i="11" s="1"/>
  <c r="H19" i="10"/>
  <c r="I19" i="10" s="1"/>
  <c r="Q19" i="10"/>
  <c r="H21" i="10"/>
  <c r="I21" i="10"/>
  <c r="Q21" i="10" s="1"/>
  <c r="E29" i="14"/>
  <c r="O29" i="14"/>
  <c r="K26" i="13"/>
  <c r="H25" i="11"/>
  <c r="H11" i="10"/>
  <c r="I11" i="10"/>
  <c r="Q11" i="10" s="1"/>
  <c r="S11" i="10" s="1"/>
  <c r="E26" i="14"/>
  <c r="O26" i="14"/>
  <c r="H25" i="10"/>
  <c r="K20" i="13"/>
  <c r="H28" i="11"/>
  <c r="H28" i="10"/>
  <c r="AR25" i="1"/>
  <c r="C23" i="7"/>
  <c r="I26" i="11"/>
  <c r="Q26" i="11"/>
  <c r="C21" i="7"/>
  <c r="C26" i="7"/>
  <c r="I23" i="10"/>
  <c r="Q23" i="10"/>
  <c r="E21" i="19"/>
  <c r="AR32" i="1"/>
  <c r="I23" i="11"/>
  <c r="Q23" i="11"/>
  <c r="AR31" i="1"/>
  <c r="AR10" i="1"/>
  <c r="AT10" i="1" s="1"/>
  <c r="E34" i="19"/>
  <c r="F34" i="19" s="1"/>
  <c r="AC35" i="12" s="1"/>
  <c r="E29" i="19"/>
  <c r="I6" i="10"/>
  <c r="Q6" i="10"/>
  <c r="I8" i="10"/>
  <c r="Q8" i="10"/>
  <c r="S8" i="10"/>
  <c r="Z8" i="10" s="1"/>
  <c r="Q13" i="10"/>
  <c r="I17" i="10"/>
  <c r="Q17" i="10" s="1"/>
  <c r="R17" i="10" s="1"/>
  <c r="E30" i="19"/>
  <c r="F30" i="19"/>
  <c r="AC31" i="12" s="1"/>
  <c r="L35" i="13"/>
  <c r="F32" i="19"/>
  <c r="AC33" i="12" s="1"/>
  <c r="I14" i="10"/>
  <c r="Q14" i="10"/>
  <c r="I16" i="10"/>
  <c r="Q16" i="10"/>
  <c r="V16" i="10" s="1"/>
  <c r="W16" i="10" s="1"/>
  <c r="R16" i="10"/>
  <c r="E22" i="19"/>
  <c r="F22" i="19"/>
  <c r="AC23" i="12"/>
  <c r="F33" i="19"/>
  <c r="AC34" i="12" s="1"/>
  <c r="F28" i="19"/>
  <c r="AC29" i="12"/>
  <c r="Q18" i="15"/>
  <c r="AJ50" i="1"/>
  <c r="K13" i="13"/>
  <c r="L13" i="13"/>
  <c r="H12" i="11"/>
  <c r="Q12" i="11"/>
  <c r="E13" i="14"/>
  <c r="O13" i="14" s="1"/>
  <c r="F11" i="11"/>
  <c r="B8" i="7" s="1"/>
  <c r="U14" i="1"/>
  <c r="R7" i="14"/>
  <c r="AK30" i="13"/>
  <c r="AK26" i="13"/>
  <c r="AK28" i="13"/>
  <c r="AK25" i="13"/>
  <c r="E6" i="14"/>
  <c r="O6" i="14" s="1"/>
  <c r="K6" i="13"/>
  <c r="H5" i="11"/>
  <c r="Q6" i="14"/>
  <c r="S6" i="14" s="1"/>
  <c r="F5" i="11"/>
  <c r="B2" i="7"/>
  <c r="AA16" i="13"/>
  <c r="G17" i="14" s="1"/>
  <c r="AA13" i="13"/>
  <c r="G14" i="14" s="1"/>
  <c r="AA17" i="13"/>
  <c r="G18" i="14" s="1"/>
  <c r="R25" i="3"/>
  <c r="B17" i="9"/>
  <c r="N25" i="13"/>
  <c r="K20" i="10"/>
  <c r="K24" i="11"/>
  <c r="T24" i="11" s="1"/>
  <c r="AR29" i="1"/>
  <c r="F25" i="19"/>
  <c r="AC26" i="12"/>
  <c r="C3" i="7"/>
  <c r="AK24" i="13"/>
  <c r="AN24" i="3"/>
  <c r="R24" i="3"/>
  <c r="B16" i="9" s="1"/>
  <c r="K23" i="19"/>
  <c r="R24" i="14"/>
  <c r="G26" i="15"/>
  <c r="AK23" i="13"/>
  <c r="R23" i="3"/>
  <c r="B15" i="9" s="1"/>
  <c r="Q20" i="18"/>
  <c r="R20" i="18" s="1"/>
  <c r="Q21" i="18"/>
  <c r="R21" i="18"/>
  <c r="L21" i="18"/>
  <c r="N23" i="13"/>
  <c r="K22" i="11"/>
  <c r="T22" i="11"/>
  <c r="G25" i="15"/>
  <c r="Q19" i="18"/>
  <c r="R19" i="18"/>
  <c r="R22" i="3"/>
  <c r="B14" i="9" s="1"/>
  <c r="L20" i="18"/>
  <c r="S20" i="18"/>
  <c r="R22" i="14"/>
  <c r="Z22" i="12"/>
  <c r="B21" i="11" s="1"/>
  <c r="L21" i="13"/>
  <c r="AN21" i="3"/>
  <c r="AC18" i="18"/>
  <c r="R21" i="3"/>
  <c r="B13" i="9"/>
  <c r="R21" i="14"/>
  <c r="H18" i="11"/>
  <c r="I18" i="11"/>
  <c r="Q18" i="11"/>
  <c r="Q19" i="14" s="1"/>
  <c r="S19" i="14" s="1"/>
  <c r="E19" i="14"/>
  <c r="O19" i="14" s="1"/>
  <c r="K19" i="13"/>
  <c r="L19" i="13" s="1"/>
  <c r="U24" i="1"/>
  <c r="F24" i="19"/>
  <c r="AC25" i="12" s="1"/>
  <c r="Q18" i="19"/>
  <c r="H19" i="14"/>
  <c r="M17" i="14"/>
  <c r="E16" i="19"/>
  <c r="F16" i="19"/>
  <c r="AC17" i="12" s="1"/>
  <c r="S16" i="18"/>
  <c r="C14" i="7"/>
  <c r="K15" i="13"/>
  <c r="L15" i="13" s="1"/>
  <c r="E15" i="14"/>
  <c r="F15" i="14" s="1"/>
  <c r="O15" i="14"/>
  <c r="H14" i="11"/>
  <c r="AD47" i="1"/>
  <c r="E12" i="14"/>
  <c r="O12" i="14"/>
  <c r="K12" i="13"/>
  <c r="L12" i="13"/>
  <c r="E9" i="14"/>
  <c r="O9" i="14"/>
  <c r="K9" i="13"/>
  <c r="L9" i="13" s="1"/>
  <c r="L8" i="11"/>
  <c r="U8" i="11"/>
  <c r="K73" i="3"/>
  <c r="K62" i="3"/>
  <c r="K66" i="3"/>
  <c r="K68" i="3"/>
  <c r="K71" i="3"/>
  <c r="K72" i="3"/>
  <c r="K77" i="3"/>
  <c r="G34" i="10"/>
  <c r="I34" i="10"/>
  <c r="Q34" i="10" s="1"/>
  <c r="J34" i="13"/>
  <c r="L34" i="13"/>
  <c r="G25" i="11"/>
  <c r="G33" i="11"/>
  <c r="I33" i="11"/>
  <c r="Q33" i="11" s="1"/>
  <c r="Q34" i="14"/>
  <c r="S34" i="14" s="1"/>
  <c r="G29" i="10"/>
  <c r="I29" i="10" s="1"/>
  <c r="Q29" i="10" s="1"/>
  <c r="J33" i="13"/>
  <c r="F10" i="14"/>
  <c r="C8" i="7"/>
  <c r="B16" i="19"/>
  <c r="F35" i="10"/>
  <c r="U37" i="1"/>
  <c r="S4" i="18"/>
  <c r="U35" i="1"/>
  <c r="AC17" i="18"/>
  <c r="C29" i="19"/>
  <c r="G32" i="10"/>
  <c r="AR30" i="1"/>
  <c r="D33" i="14"/>
  <c r="J29" i="13"/>
  <c r="U34" i="1"/>
  <c r="G24" i="11"/>
  <c r="G28" i="11"/>
  <c r="G32" i="11"/>
  <c r="I32" i="11" s="1"/>
  <c r="Q32" i="11"/>
  <c r="D30" i="14"/>
  <c r="D25" i="14"/>
  <c r="N25" i="14"/>
  <c r="R25" i="14" s="1"/>
  <c r="J26" i="13"/>
  <c r="U31" i="1"/>
  <c r="G29" i="11"/>
  <c r="I29" i="11" s="1"/>
  <c r="Q29" i="11" s="1"/>
  <c r="G33" i="10"/>
  <c r="I33" i="10"/>
  <c r="Q33" i="10" s="1"/>
  <c r="AR39" i="1"/>
  <c r="AR34" i="1"/>
  <c r="G24" i="10"/>
  <c r="I24" i="10" s="1"/>
  <c r="Q24" i="10"/>
  <c r="D34" i="14"/>
  <c r="D29" i="14"/>
  <c r="N29" i="14" s="1"/>
  <c r="R29" i="14"/>
  <c r="J30" i="13"/>
  <c r="L30" i="13"/>
  <c r="J25" i="13"/>
  <c r="U30" i="1"/>
  <c r="G25" i="10"/>
  <c r="AR38" i="1"/>
  <c r="C27" i="19"/>
  <c r="F27" i="19"/>
  <c r="AC28" i="12" s="1"/>
  <c r="D36" i="14"/>
  <c r="J36" i="13"/>
  <c r="J32" i="13"/>
  <c r="J28" i="13"/>
  <c r="L28" i="13" s="1"/>
  <c r="AJ20" i="13"/>
  <c r="AK21" i="13"/>
  <c r="K21" i="11"/>
  <c r="T21" i="11" s="1"/>
  <c r="N22" i="13"/>
  <c r="AE22" i="13" s="1"/>
  <c r="K17" i="10"/>
  <c r="T17" i="10" s="1"/>
  <c r="G24" i="15"/>
  <c r="H24" i="15" s="1"/>
  <c r="I24" i="15" s="1"/>
  <c r="Z21" i="12"/>
  <c r="B20" i="11" s="1"/>
  <c r="M19" i="14"/>
  <c r="G22" i="15"/>
  <c r="AC16" i="18"/>
  <c r="AR23" i="1"/>
  <c r="P23" i="15"/>
  <c r="Q23" i="15" s="1"/>
  <c r="H21" i="15"/>
  <c r="I21" i="15"/>
  <c r="P17" i="14"/>
  <c r="AC14" i="18"/>
  <c r="U21" i="1"/>
  <c r="F16" i="14"/>
  <c r="N15" i="13"/>
  <c r="AE15" i="13" s="1"/>
  <c r="I15" i="14" s="1"/>
  <c r="K14" i="11"/>
  <c r="T14" i="11"/>
  <c r="I11" i="11"/>
  <c r="Q11" i="11"/>
  <c r="Q12" i="14" s="1"/>
  <c r="S11" i="11"/>
  <c r="Z11" i="11"/>
  <c r="H12" i="14"/>
  <c r="U16" i="1"/>
  <c r="S10" i="18"/>
  <c r="K11" i="13"/>
  <c r="L11" i="13"/>
  <c r="H10" i="11"/>
  <c r="Q10" i="11"/>
  <c r="AJ13" i="13"/>
  <c r="AK14" i="13"/>
  <c r="AJ11" i="13"/>
  <c r="AK11" i="13" s="1"/>
  <c r="I9" i="11"/>
  <c r="Q9" i="11"/>
  <c r="H8" i="11"/>
  <c r="I8" i="11"/>
  <c r="Q8" i="11" s="1"/>
  <c r="W47" i="1"/>
  <c r="K49" i="3"/>
  <c r="AJ8" i="13"/>
  <c r="AK8" i="13"/>
  <c r="Q7" i="11"/>
  <c r="L6" i="3"/>
  <c r="AC9" i="18"/>
  <c r="K7" i="13"/>
  <c r="L7" i="13"/>
  <c r="G7" i="13" s="1"/>
  <c r="H6" i="11"/>
  <c r="I6" i="11"/>
  <c r="Q6" i="11" s="1"/>
  <c r="E7" i="14"/>
  <c r="O7" i="14"/>
  <c r="AJ49" i="1"/>
  <c r="AR12" i="1"/>
  <c r="AN12" i="3"/>
  <c r="AN14" i="3"/>
  <c r="AN15" i="3"/>
  <c r="L6" i="11"/>
  <c r="U6" i="11" s="1"/>
  <c r="C2" i="7"/>
  <c r="L10" i="11"/>
  <c r="U10" i="11"/>
  <c r="L14" i="11"/>
  <c r="U14" i="11"/>
  <c r="C25" i="7"/>
  <c r="C18" i="7"/>
  <c r="C24" i="7"/>
  <c r="D32" i="14"/>
  <c r="N32" i="14" s="1"/>
  <c r="R32" i="14"/>
  <c r="D28" i="14"/>
  <c r="L8" i="13"/>
  <c r="L16" i="13"/>
  <c r="G27" i="11"/>
  <c r="G27" i="10"/>
  <c r="I27" i="10"/>
  <c r="Q27" i="10" s="1"/>
  <c r="C31" i="19"/>
  <c r="F31" i="19" s="1"/>
  <c r="AC32" i="12" s="1"/>
  <c r="G31" i="11"/>
  <c r="I31" i="11"/>
  <c r="Q31" i="11" s="1"/>
  <c r="G35" i="11"/>
  <c r="I35" i="11"/>
  <c r="Q35" i="11"/>
  <c r="G31" i="10"/>
  <c r="G35" i="10"/>
  <c r="AR41" i="1"/>
  <c r="AR37" i="1"/>
  <c r="AR33" i="1"/>
  <c r="U41" i="1"/>
  <c r="F23" i="14"/>
  <c r="G28" i="10"/>
  <c r="F6" i="13"/>
  <c r="C15" i="7"/>
  <c r="C17" i="7"/>
  <c r="C16" i="7"/>
  <c r="C20" i="7"/>
  <c r="C22" i="7"/>
  <c r="AR13" i="1"/>
  <c r="F12" i="11"/>
  <c r="B9" i="7"/>
  <c r="U18" i="1"/>
  <c r="L24" i="13"/>
  <c r="AC4" i="18"/>
  <c r="L16" i="18"/>
  <c r="AA21" i="18"/>
  <c r="AC21" i="18"/>
  <c r="AC5" i="18"/>
  <c r="C12" i="7"/>
  <c r="C28" i="7"/>
  <c r="I18" i="10"/>
  <c r="Q18" i="10"/>
  <c r="S18" i="10"/>
  <c r="Z18" i="10" s="1"/>
  <c r="I20" i="10"/>
  <c r="Q20" i="10"/>
  <c r="I26" i="10"/>
  <c r="Q26" i="10" s="1"/>
  <c r="AC15" i="18"/>
  <c r="AC33" i="18"/>
  <c r="W42" i="18"/>
  <c r="AJ6" i="13"/>
  <c r="AK7" i="13"/>
  <c r="R5" i="19"/>
  <c r="L27" i="13"/>
  <c r="L18" i="18"/>
  <c r="L15" i="18"/>
  <c r="I16" i="11"/>
  <c r="Q16" i="11" s="1"/>
  <c r="Q17" i="14" s="1"/>
  <c r="S17" i="14" s="1"/>
  <c r="R16" i="11"/>
  <c r="D13" i="7" s="1"/>
  <c r="F21" i="19"/>
  <c r="AC22" i="12" s="1"/>
  <c r="K56" i="3"/>
  <c r="K15" i="11"/>
  <c r="T15" i="11" s="1"/>
  <c r="N16" i="13"/>
  <c r="AE16" i="13"/>
  <c r="K11" i="10"/>
  <c r="T11" i="10" s="1"/>
  <c r="AC13" i="18"/>
  <c r="AR20" i="1"/>
  <c r="U12" i="1"/>
  <c r="F6" i="11"/>
  <c r="B3" i="7" s="1"/>
  <c r="K10" i="10"/>
  <c r="T10" i="10" s="1"/>
  <c r="V10" i="10" s="1"/>
  <c r="W10" i="10" s="1"/>
  <c r="Z15" i="12"/>
  <c r="B14" i="11"/>
  <c r="K14" i="13"/>
  <c r="H13" i="11"/>
  <c r="I13" i="11"/>
  <c r="Q13" i="11" s="1"/>
  <c r="Q14" i="14"/>
  <c r="S14" i="14"/>
  <c r="F13" i="19"/>
  <c r="AC14" i="12" s="1"/>
  <c r="P14" i="14"/>
  <c r="H18" i="15"/>
  <c r="I18" i="15"/>
  <c r="Q11" i="18"/>
  <c r="R11" i="18"/>
  <c r="R14" i="3"/>
  <c r="B6" i="9" s="1"/>
  <c r="C10" i="7"/>
  <c r="L11" i="18"/>
  <c r="R13" i="3"/>
  <c r="B5" i="9" s="1"/>
  <c r="Z13" i="12"/>
  <c r="B12" i="11"/>
  <c r="G16" i="15"/>
  <c r="P12" i="14" s="1"/>
  <c r="Q9" i="18"/>
  <c r="R9" i="18" s="1"/>
  <c r="R12" i="3"/>
  <c r="B4" i="9"/>
  <c r="AR16" i="1"/>
  <c r="Q8" i="18"/>
  <c r="R8" i="18"/>
  <c r="R11" i="3"/>
  <c r="B3" i="9" s="1"/>
  <c r="L9" i="18"/>
  <c r="L8" i="18"/>
  <c r="B10" i="19"/>
  <c r="Z11" i="12"/>
  <c r="B10" i="11"/>
  <c r="S8" i="18"/>
  <c r="R10" i="3"/>
  <c r="B2" i="9" s="1"/>
  <c r="AR14" i="1"/>
  <c r="P10" i="14"/>
  <c r="H14" i="15"/>
  <c r="I14" i="15" s="1"/>
  <c r="G39" i="14"/>
  <c r="S7" i="18"/>
  <c r="S6" i="3"/>
  <c r="N42" i="15"/>
  <c r="G12" i="15"/>
  <c r="P8" i="14" s="1"/>
  <c r="AJ9" i="13"/>
  <c r="AK10" i="13"/>
  <c r="N8" i="13"/>
  <c r="K7" i="19"/>
  <c r="K7" i="11"/>
  <c r="T7" i="11"/>
  <c r="AA6" i="18"/>
  <c r="AC6" i="18"/>
  <c r="C4" i="7"/>
  <c r="Z8" i="12"/>
  <c r="B7" i="11"/>
  <c r="T45" i="1"/>
  <c r="U13" i="1"/>
  <c r="F7" i="11"/>
  <c r="B4" i="7"/>
  <c r="F35" i="14"/>
  <c r="F20" i="14"/>
  <c r="F11" i="14"/>
  <c r="I15" i="11"/>
  <c r="Q15" i="11"/>
  <c r="S15" i="11"/>
  <c r="C13" i="7"/>
  <c r="Q20" i="11"/>
  <c r="I5" i="10"/>
  <c r="Q5" i="10"/>
  <c r="F26" i="19"/>
  <c r="AC27" i="12" s="1"/>
  <c r="I34" i="11"/>
  <c r="Q34" i="11"/>
  <c r="I7" i="10"/>
  <c r="Q7" i="10"/>
  <c r="S7" i="10"/>
  <c r="Z7" i="10" s="1"/>
  <c r="I9" i="10"/>
  <c r="Q9" i="10"/>
  <c r="R9" i="10"/>
  <c r="Q10" i="10"/>
  <c r="Q15" i="10"/>
  <c r="R15" i="10" s="1"/>
  <c r="S15" i="10"/>
  <c r="Z15" i="10" s="1"/>
  <c r="Q22" i="10"/>
  <c r="I21" i="11"/>
  <c r="Q21" i="11"/>
  <c r="Q22" i="14" s="1"/>
  <c r="S22" i="14" s="1"/>
  <c r="O14" i="15"/>
  <c r="P14" i="15"/>
  <c r="Q14" i="15" s="1"/>
  <c r="F35" i="19"/>
  <c r="AC36" i="12"/>
  <c r="F23" i="19"/>
  <c r="AC24" i="12" s="1"/>
  <c r="U38" i="3"/>
  <c r="AN38" i="3" s="1"/>
  <c r="Q5" i="18"/>
  <c r="N7" i="13"/>
  <c r="K6" i="19" s="1"/>
  <c r="K6" i="11"/>
  <c r="T6" i="11" s="1"/>
  <c r="S5" i="18"/>
  <c r="Q5" i="19"/>
  <c r="H6" i="14"/>
  <c r="M5" i="13"/>
  <c r="N6" i="13"/>
  <c r="K5" i="11"/>
  <c r="K46" i="3"/>
  <c r="K55" i="3"/>
  <c r="K59" i="3"/>
  <c r="C9" i="7"/>
  <c r="C19" i="7"/>
  <c r="O15" i="15"/>
  <c r="P15" i="15" s="1"/>
  <c r="Q15" i="15" s="1"/>
  <c r="F24" i="14"/>
  <c r="F9" i="19"/>
  <c r="AC10" i="12" s="1"/>
  <c r="AN18" i="3"/>
  <c r="AN6" i="3"/>
  <c r="AN7" i="3"/>
  <c r="AN16" i="3"/>
  <c r="R8" i="3"/>
  <c r="Q17" i="18"/>
  <c r="R17" i="18" s="1"/>
  <c r="R15" i="3"/>
  <c r="B7" i="9"/>
  <c r="B10" i="9"/>
  <c r="R9" i="3"/>
  <c r="R7" i="3"/>
  <c r="R6" i="3"/>
  <c r="J12" i="18"/>
  <c r="L12" i="18"/>
  <c r="J10" i="18"/>
  <c r="L10" i="18" s="1"/>
  <c r="J7" i="18"/>
  <c r="L7" i="18"/>
  <c r="J17" i="18"/>
  <c r="L17" i="18" s="1"/>
  <c r="J6" i="18"/>
  <c r="L6" i="18" s="1"/>
  <c r="K11" i="11"/>
  <c r="T11" i="11" s="1"/>
  <c r="K7" i="10"/>
  <c r="T7" i="10"/>
  <c r="N12" i="13"/>
  <c r="AE12" i="13" s="1"/>
  <c r="N13" i="13"/>
  <c r="AE13" i="13"/>
  <c r="K12" i="11"/>
  <c r="T12" i="11" s="1"/>
  <c r="K8" i="10"/>
  <c r="T8" i="10"/>
  <c r="N21" i="13"/>
  <c r="AE21" i="13" s="1"/>
  <c r="I21" i="14" s="1"/>
  <c r="K16" i="10"/>
  <c r="T16" i="10" s="1"/>
  <c r="K20" i="11"/>
  <c r="T20" i="11" s="1"/>
  <c r="K8" i="11"/>
  <c r="T8" i="11"/>
  <c r="N9" i="13"/>
  <c r="N19" i="13"/>
  <c r="AE19" i="13"/>
  <c r="I19" i="14" s="1"/>
  <c r="K14" i="10"/>
  <c r="T14" i="10" s="1"/>
  <c r="K18" i="11"/>
  <c r="T18" i="11"/>
  <c r="K5" i="10"/>
  <c r="T5" i="10" s="1"/>
  <c r="N10" i="13"/>
  <c r="K9" i="11"/>
  <c r="T9" i="11"/>
  <c r="K13" i="11"/>
  <c r="T13" i="11" s="1"/>
  <c r="V13" i="11" s="1"/>
  <c r="W13" i="11" s="1"/>
  <c r="K9" i="10"/>
  <c r="T9" i="10"/>
  <c r="N14" i="13"/>
  <c r="K10" i="11"/>
  <c r="T10" i="11"/>
  <c r="K6" i="10"/>
  <c r="T6" i="10" s="1"/>
  <c r="N11" i="13"/>
  <c r="AE11" i="13"/>
  <c r="K16" i="11"/>
  <c r="T16" i="11" s="1"/>
  <c r="K12" i="10"/>
  <c r="T12" i="10"/>
  <c r="N17" i="13"/>
  <c r="AE17" i="13"/>
  <c r="N18" i="13"/>
  <c r="AE18" i="13" s="1"/>
  <c r="K13" i="10"/>
  <c r="T13" i="10" s="1"/>
  <c r="K17" i="11"/>
  <c r="T17" i="11" s="1"/>
  <c r="Z14" i="12"/>
  <c r="B13" i="11"/>
  <c r="Z9" i="12"/>
  <c r="B8" i="11" s="1"/>
  <c r="Z6" i="12"/>
  <c r="B5" i="11"/>
  <c r="Z18" i="12"/>
  <c r="B17" i="11" s="1"/>
  <c r="Z10" i="12"/>
  <c r="B9" i="11"/>
  <c r="Z7" i="12"/>
  <c r="B6" i="11" s="1"/>
  <c r="Z17" i="12"/>
  <c r="B16" i="11" s="1"/>
  <c r="Z16" i="12"/>
  <c r="B15" i="11" s="1"/>
  <c r="Z12" i="12"/>
  <c r="B11" i="11"/>
  <c r="G19" i="15"/>
  <c r="I11" i="15"/>
  <c r="P7" i="14"/>
  <c r="G17" i="15"/>
  <c r="AK6" i="13"/>
  <c r="P16" i="14"/>
  <c r="H20" i="15"/>
  <c r="I20" i="15"/>
  <c r="G15" i="15"/>
  <c r="G10" i="15"/>
  <c r="G13" i="15"/>
  <c r="H13" i="15" s="1"/>
  <c r="I13" i="15" s="1"/>
  <c r="B5" i="19"/>
  <c r="B18" i="14"/>
  <c r="R18" i="14"/>
  <c r="R14" i="14"/>
  <c r="B15" i="14"/>
  <c r="B7" i="19"/>
  <c r="R10" i="14"/>
  <c r="R11" i="14"/>
  <c r="O13" i="15"/>
  <c r="P13" i="15" s="1"/>
  <c r="Q13" i="15"/>
  <c r="O19" i="15"/>
  <c r="P19" i="15" s="1"/>
  <c r="Q19" i="15" s="1"/>
  <c r="L17" i="13"/>
  <c r="F15" i="19"/>
  <c r="AC16" i="12" s="1"/>
  <c r="F14" i="14"/>
  <c r="F10" i="19"/>
  <c r="AC11" i="12" s="1"/>
  <c r="F8" i="19"/>
  <c r="AC9" i="12" s="1"/>
  <c r="F6" i="19"/>
  <c r="AC7" i="12"/>
  <c r="F7" i="19"/>
  <c r="AC8" i="12"/>
  <c r="F12" i="19"/>
  <c r="AC13" i="12" s="1"/>
  <c r="F14" i="19"/>
  <c r="AC15" i="12"/>
  <c r="F19" i="19"/>
  <c r="AC20" i="12" s="1"/>
  <c r="AC19" i="12"/>
  <c r="F17" i="19"/>
  <c r="AC18" i="12"/>
  <c r="R9" i="11"/>
  <c r="D6" i="7" s="1"/>
  <c r="R8" i="10"/>
  <c r="N12" i="14"/>
  <c r="R12" i="14"/>
  <c r="S18" i="18"/>
  <c r="AN19" i="3"/>
  <c r="AN20" i="3"/>
  <c r="E38" i="3"/>
  <c r="K15" i="10"/>
  <c r="T15" i="10"/>
  <c r="K19" i="11"/>
  <c r="T19" i="11"/>
  <c r="V19" i="11" s="1"/>
  <c r="N20" i="13"/>
  <c r="AE20" i="13"/>
  <c r="R19" i="3"/>
  <c r="B11" i="9"/>
  <c r="R20" i="3"/>
  <c r="B12" i="9"/>
  <c r="Z20" i="12"/>
  <c r="B19" i="11"/>
  <c r="Z19" i="12"/>
  <c r="B18" i="11" s="1"/>
  <c r="W33" i="11"/>
  <c r="AE30" i="13"/>
  <c r="I30" i="14"/>
  <c r="AE26" i="13"/>
  <c r="I26" i="14"/>
  <c r="I35" i="10"/>
  <c r="Q35" i="10" s="1"/>
  <c r="I25" i="11"/>
  <c r="Q25" i="11"/>
  <c r="V25" i="11" s="1"/>
  <c r="W25" i="11" s="1"/>
  <c r="Q26" i="14"/>
  <c r="S26" i="14" s="1"/>
  <c r="AK12" i="13"/>
  <c r="AE27" i="13"/>
  <c r="I27" i="14" s="1"/>
  <c r="AE34" i="13"/>
  <c r="I34" i="14" s="1"/>
  <c r="AE28" i="13"/>
  <c r="I28" i="14" s="1"/>
  <c r="P34" i="14"/>
  <c r="H38" i="15"/>
  <c r="I38" i="15"/>
  <c r="H33" i="15"/>
  <c r="H32" i="15"/>
  <c r="I32" i="15"/>
  <c r="P30" i="14"/>
  <c r="H34" i="15"/>
  <c r="I34" i="15"/>
  <c r="H36" i="15"/>
  <c r="I36" i="15"/>
  <c r="P32" i="14"/>
  <c r="AE31" i="13"/>
  <c r="I31" i="14"/>
  <c r="K30" i="19"/>
  <c r="K31" i="19"/>
  <c r="I32" i="14"/>
  <c r="AE33" i="13"/>
  <c r="I33" i="14"/>
  <c r="S17" i="10"/>
  <c r="Z17" i="10"/>
  <c r="AR44" i="1"/>
  <c r="AT44" i="1" s="1"/>
  <c r="AS44" i="1"/>
  <c r="S16" i="10"/>
  <c r="Z16" i="10"/>
  <c r="F31" i="14"/>
  <c r="L32" i="13"/>
  <c r="I25" i="10"/>
  <c r="Q25" i="10"/>
  <c r="F29" i="19"/>
  <c r="AC30" i="12"/>
  <c r="F25" i="14"/>
  <c r="I32" i="10"/>
  <c r="Q32" i="10"/>
  <c r="E36" i="19"/>
  <c r="F36" i="19"/>
  <c r="AC37" i="12"/>
  <c r="AR42" i="1"/>
  <c r="AS42" i="1"/>
  <c r="L26" i="13"/>
  <c r="Z11" i="10"/>
  <c r="R11" i="10"/>
  <c r="F26" i="14"/>
  <c r="I28" i="10"/>
  <c r="Q28" i="10"/>
  <c r="S6" i="10"/>
  <c r="Z6" i="10" s="1"/>
  <c r="F13" i="14"/>
  <c r="F12" i="14"/>
  <c r="F9" i="14"/>
  <c r="AE8" i="13"/>
  <c r="I8" i="14" s="1"/>
  <c r="AE25" i="13"/>
  <c r="I25" i="14"/>
  <c r="K24" i="19"/>
  <c r="V22" i="11"/>
  <c r="W22" i="11" s="1"/>
  <c r="H27" i="15"/>
  <c r="H26" i="15"/>
  <c r="I26" i="15"/>
  <c r="P22" i="14"/>
  <c r="K22" i="19"/>
  <c r="AE23" i="13"/>
  <c r="I23" i="14"/>
  <c r="V21" i="11"/>
  <c r="W21" i="11" s="1"/>
  <c r="S12" i="14"/>
  <c r="R11" i="11"/>
  <c r="D8" i="7"/>
  <c r="L33" i="13"/>
  <c r="V11" i="11"/>
  <c r="W11" i="11"/>
  <c r="L25" i="13"/>
  <c r="T47" i="1"/>
  <c r="T48" i="1" s="1"/>
  <c r="J37" i="13"/>
  <c r="L37" i="13" s="1"/>
  <c r="N34" i="14"/>
  <c r="R34" i="14"/>
  <c r="F34" i="14"/>
  <c r="F29" i="14"/>
  <c r="N30" i="14"/>
  <c r="R30" i="14" s="1"/>
  <c r="F30" i="14"/>
  <c r="Q21" i="14"/>
  <c r="S21" i="14" s="1"/>
  <c r="K21" i="19"/>
  <c r="I22" i="14"/>
  <c r="P20" i="14"/>
  <c r="P18" i="14"/>
  <c r="H22" i="15"/>
  <c r="I22" i="15" s="1"/>
  <c r="AK13" i="13"/>
  <c r="V15" i="11"/>
  <c r="W15" i="11"/>
  <c r="F7" i="14"/>
  <c r="W19" i="11"/>
  <c r="S12" i="11"/>
  <c r="Q16" i="14"/>
  <c r="S16" i="14"/>
  <c r="V10" i="11"/>
  <c r="W10" i="11" s="1"/>
  <c r="R15" i="11"/>
  <c r="D12" i="7"/>
  <c r="V9" i="10"/>
  <c r="W9" i="10" s="1"/>
  <c r="S6" i="11"/>
  <c r="Z6" i="11" s="1"/>
  <c r="K15" i="19"/>
  <c r="I16" i="14"/>
  <c r="E8" i="7"/>
  <c r="S9" i="10"/>
  <c r="Z9" i="10"/>
  <c r="R13" i="11"/>
  <c r="D10" i="7"/>
  <c r="S13" i="11"/>
  <c r="R7" i="10"/>
  <c r="AK9" i="13"/>
  <c r="R5" i="18"/>
  <c r="P40" i="11"/>
  <c r="T5" i="11"/>
  <c r="K5" i="19"/>
  <c r="AE6" i="13"/>
  <c r="I6" i="14"/>
  <c r="I11" i="14"/>
  <c r="K10" i="19"/>
  <c r="K16" i="19"/>
  <c r="I17" i="14"/>
  <c r="K17" i="19"/>
  <c r="I18" i="14"/>
  <c r="P40" i="10"/>
  <c r="AE9" i="13"/>
  <c r="I9" i="14"/>
  <c r="K8" i="19"/>
  <c r="K20" i="19"/>
  <c r="K11" i="19"/>
  <c r="I12" i="14"/>
  <c r="K9" i="19"/>
  <c r="AE10" i="13"/>
  <c r="I10" i="14"/>
  <c r="K18" i="19"/>
  <c r="I13" i="14"/>
  <c r="K12" i="19"/>
  <c r="H15" i="15"/>
  <c r="I15" i="15"/>
  <c r="P11" i="14"/>
  <c r="H10" i="15"/>
  <c r="I10" i="15" s="1"/>
  <c r="P6" i="14"/>
  <c r="H19" i="15"/>
  <c r="I19" i="15"/>
  <c r="P15" i="14"/>
  <c r="P9" i="14"/>
  <c r="E12" i="7"/>
  <c r="Z15" i="11"/>
  <c r="P19" i="14"/>
  <c r="I23" i="15"/>
  <c r="I20" i="14"/>
  <c r="K19" i="19"/>
  <c r="S18" i="11"/>
  <c r="E15" i="7"/>
  <c r="R18" i="11"/>
  <c r="D15" i="7"/>
  <c r="E3" i="7"/>
  <c r="Z18" i="11"/>
  <c r="H3" i="13"/>
  <c r="C11" i="1"/>
  <c r="I5" i="19" s="1"/>
  <c r="C12" i="1"/>
  <c r="C13" i="1" s="1"/>
  <c r="H8" i="13" s="1"/>
  <c r="H6" i="13" l="1"/>
  <c r="L5" i="11"/>
  <c r="U5" i="11" s="1"/>
  <c r="V5" i="11" s="1"/>
  <c r="W5" i="11" s="1"/>
  <c r="J6" i="19"/>
  <c r="J5" i="19"/>
  <c r="AT12" i="1"/>
  <c r="AT11" i="1"/>
  <c r="Q10" i="15"/>
  <c r="L9" i="24"/>
  <c r="L20" i="24"/>
  <c r="L8" i="24"/>
  <c r="L29" i="24"/>
  <c r="L21" i="24"/>
  <c r="L13" i="24"/>
  <c r="L5" i="24"/>
  <c r="L10" i="24"/>
  <c r="L18" i="24"/>
  <c r="L26" i="24"/>
  <c r="L6" i="24"/>
  <c r="L14" i="24"/>
  <c r="L22" i="24"/>
  <c r="L30" i="24"/>
  <c r="L2" i="24"/>
  <c r="Z12" i="11"/>
  <c r="E9" i="7"/>
  <c r="S8" i="11"/>
  <c r="Q9" i="14"/>
  <c r="S9" i="14" s="1"/>
  <c r="V8" i="11"/>
  <c r="W8" i="11" s="1"/>
  <c r="R8" i="11"/>
  <c r="D5" i="7" s="1"/>
  <c r="Q33" i="14"/>
  <c r="S33" i="14" s="1"/>
  <c r="O18" i="14"/>
  <c r="O39" i="14" s="1"/>
  <c r="F18" i="14"/>
  <c r="O13" i="18"/>
  <c r="Q13" i="18" s="1"/>
  <c r="R13" i="18" s="1"/>
  <c r="Q12" i="18"/>
  <c r="R12" i="18" s="1"/>
  <c r="K33" i="10"/>
  <c r="R38" i="3"/>
  <c r="B30" i="9" s="1"/>
  <c r="V34" i="11"/>
  <c r="W34" i="11" s="1"/>
  <c r="Q7" i="14"/>
  <c r="R6" i="11"/>
  <c r="D3" i="7" s="1"/>
  <c r="V6" i="11"/>
  <c r="W6" i="11" s="1"/>
  <c r="R13" i="10"/>
  <c r="V13" i="10"/>
  <c r="W13" i="10" s="1"/>
  <c r="S13" i="10"/>
  <c r="Z13" i="10" s="1"/>
  <c r="Q31" i="14"/>
  <c r="S31" i="14" s="1"/>
  <c r="X26" i="11"/>
  <c r="R25" i="11"/>
  <c r="D22" i="7" s="1"/>
  <c r="J6" i="11"/>
  <c r="P6" i="11" s="1"/>
  <c r="J6" i="10"/>
  <c r="P6" i="10" s="1"/>
  <c r="S10" i="10"/>
  <c r="Z10" i="10" s="1"/>
  <c r="R10" i="10"/>
  <c r="V31" i="11"/>
  <c r="W31" i="11" s="1"/>
  <c r="Q32" i="14"/>
  <c r="S32" i="14" s="1"/>
  <c r="S9" i="11"/>
  <c r="V9" i="11"/>
  <c r="W9" i="11" s="1"/>
  <c r="Q10" i="14"/>
  <c r="S10" i="14" s="1"/>
  <c r="V29" i="11"/>
  <c r="W29" i="11" s="1"/>
  <c r="Q30" i="14"/>
  <c r="S30" i="14" s="1"/>
  <c r="N33" i="14"/>
  <c r="R33" i="14" s="1"/>
  <c r="F33" i="14"/>
  <c r="V14" i="10"/>
  <c r="W14" i="10" s="1"/>
  <c r="S14" i="10"/>
  <c r="Z14" i="10" s="1"/>
  <c r="R14" i="10"/>
  <c r="H37" i="15"/>
  <c r="I37" i="15" s="1"/>
  <c r="P33" i="14"/>
  <c r="S12" i="10"/>
  <c r="Z12" i="10" s="1"/>
  <c r="R12" i="10"/>
  <c r="S5" i="10"/>
  <c r="R5" i="10"/>
  <c r="V5" i="10"/>
  <c r="W5" i="10" s="1"/>
  <c r="O26" i="18"/>
  <c r="Q26" i="18" s="1"/>
  <c r="R26" i="18" s="1"/>
  <c r="Q25" i="18"/>
  <c r="R25" i="18" s="1"/>
  <c r="O16" i="18"/>
  <c r="Q16" i="18" s="1"/>
  <c r="R16" i="18" s="1"/>
  <c r="O7" i="18"/>
  <c r="Q7" i="18" s="1"/>
  <c r="R7" i="18" s="1"/>
  <c r="Q6" i="18"/>
  <c r="V32" i="11"/>
  <c r="W32" i="11" s="1"/>
  <c r="P13" i="14"/>
  <c r="H17" i="15"/>
  <c r="I17" i="15" s="1"/>
  <c r="AE14" i="13"/>
  <c r="I14" i="14" s="1"/>
  <c r="K13" i="19"/>
  <c r="F35" i="18"/>
  <c r="P21" i="14"/>
  <c r="H25" i="15"/>
  <c r="I25" i="15" s="1"/>
  <c r="R6" i="10"/>
  <c r="V6" i="10"/>
  <c r="W6" i="10" s="1"/>
  <c r="E16" i="7"/>
  <c r="Z19" i="11"/>
  <c r="N8" i="14"/>
  <c r="D39" i="14"/>
  <c r="F8" i="14"/>
  <c r="R20" i="11"/>
  <c r="D17" i="7" s="1"/>
  <c r="S20" i="11"/>
  <c r="V20" i="11"/>
  <c r="W20" i="11" s="1"/>
  <c r="N28" i="14"/>
  <c r="R28" i="14" s="1"/>
  <c r="F28" i="14"/>
  <c r="AT13" i="1"/>
  <c r="J7" i="19"/>
  <c r="I7" i="19"/>
  <c r="C14" i="1"/>
  <c r="Z13" i="11"/>
  <c r="E10" i="7"/>
  <c r="H16" i="15"/>
  <c r="I16" i="15" s="1"/>
  <c r="Q35" i="14"/>
  <c r="S35" i="14" s="1"/>
  <c r="V30" i="11"/>
  <c r="W30" i="11" s="1"/>
  <c r="V12" i="10"/>
  <c r="W12" i="10" s="1"/>
  <c r="K14" i="19"/>
  <c r="V7" i="10"/>
  <c r="W7" i="10" s="1"/>
  <c r="AS13" i="1"/>
  <c r="AR45" i="1"/>
  <c r="AR48" i="1"/>
  <c r="F27" i="14"/>
  <c r="Q36" i="14"/>
  <c r="V35" i="11"/>
  <c r="W35" i="11" s="1"/>
  <c r="S7" i="11"/>
  <c r="V7" i="11"/>
  <c r="W7" i="11" s="1"/>
  <c r="R7" i="11"/>
  <c r="D4" i="7" s="1"/>
  <c r="Q8" i="14"/>
  <c r="S8" i="14" s="1"/>
  <c r="R10" i="11"/>
  <c r="D7" i="7" s="1"/>
  <c r="S10" i="11"/>
  <c r="Q11" i="14"/>
  <c r="S11" i="14" s="1"/>
  <c r="L36" i="13"/>
  <c r="R12" i="11"/>
  <c r="D9" i="7" s="1"/>
  <c r="Q13" i="14"/>
  <c r="S13" i="14" s="1"/>
  <c r="V12" i="11"/>
  <c r="W12" i="11" s="1"/>
  <c r="R23" i="11"/>
  <c r="D20" i="7" s="1"/>
  <c r="V23" i="11"/>
  <c r="W23" i="11" s="1"/>
  <c r="Q24" i="14"/>
  <c r="S24" i="14" s="1"/>
  <c r="S23" i="11"/>
  <c r="Q23" i="14"/>
  <c r="S23" i="14" s="1"/>
  <c r="R22" i="11"/>
  <c r="D19" i="7" s="1"/>
  <c r="S22" i="11"/>
  <c r="Q30" i="18"/>
  <c r="R30" i="18" s="1"/>
  <c r="O8" i="14"/>
  <c r="E39" i="14"/>
  <c r="AU12" i="1"/>
  <c r="AU13" i="1" s="1"/>
  <c r="AU14" i="1" s="1"/>
  <c r="AU15" i="1" s="1"/>
  <c r="AS11" i="1"/>
  <c r="R5" i="11"/>
  <c r="D2" i="7" s="1"/>
  <c r="S5" i="11"/>
  <c r="Q15" i="14"/>
  <c r="S15" i="14" s="1"/>
  <c r="R14" i="11"/>
  <c r="D11" i="7" s="1"/>
  <c r="S14" i="11"/>
  <c r="V14" i="11"/>
  <c r="W14" i="11" s="1"/>
  <c r="S17" i="11"/>
  <c r="R17" i="11"/>
  <c r="D14" i="7" s="1"/>
  <c r="V17" i="11"/>
  <c r="W17" i="11" s="1"/>
  <c r="Q18" i="14"/>
  <c r="S18" i="14" s="1"/>
  <c r="I6" i="19"/>
  <c r="K39" i="14"/>
  <c r="J30" i="18"/>
  <c r="L30" i="18" s="1"/>
  <c r="L29" i="18"/>
  <c r="J14" i="18"/>
  <c r="L14" i="18" s="1"/>
  <c r="L13" i="18"/>
  <c r="L35" i="18" s="1"/>
  <c r="J38" i="18" s="1"/>
  <c r="K38" i="18" s="1"/>
  <c r="F27" i="10"/>
  <c r="F27" i="11"/>
  <c r="B24" i="7" s="1"/>
  <c r="U33" i="1"/>
  <c r="H7" i="13"/>
  <c r="AE7" i="13"/>
  <c r="I7" i="14" s="1"/>
  <c r="H12" i="15"/>
  <c r="I12" i="15" s="1"/>
  <c r="V16" i="11"/>
  <c r="W16" i="11" s="1"/>
  <c r="V18" i="11"/>
  <c r="W18" i="11" s="1"/>
  <c r="S16" i="11"/>
  <c r="V11" i="10"/>
  <c r="W11" i="10" s="1"/>
  <c r="P36" i="14"/>
  <c r="L33" i="18"/>
  <c r="V8" i="10"/>
  <c r="W8" i="10" s="1"/>
  <c r="Q27" i="14"/>
  <c r="S27" i="14" s="1"/>
  <c r="E8" i="13"/>
  <c r="F7" i="13"/>
  <c r="L31" i="13"/>
  <c r="L14" i="13"/>
  <c r="L6" i="13"/>
  <c r="G6" i="13" s="1"/>
  <c r="AK34" i="13"/>
  <c r="AK33" i="13"/>
  <c r="I40" i="15"/>
  <c r="G35" i="15"/>
  <c r="I33" i="15"/>
  <c r="AN10" i="3"/>
  <c r="AN11" i="3"/>
  <c r="AN22" i="3"/>
  <c r="AN35" i="3"/>
  <c r="AN29" i="3"/>
  <c r="AN25" i="3"/>
  <c r="AN17" i="3"/>
  <c r="AN9" i="3"/>
  <c r="R17" i="3"/>
  <c r="B9" i="9" s="1"/>
  <c r="F13" i="10"/>
  <c r="U19" i="1"/>
  <c r="F15" i="10"/>
  <c r="F15" i="11"/>
  <c r="B12" i="7" s="1"/>
  <c r="F17" i="10"/>
  <c r="U23" i="1"/>
  <c r="F19" i="10"/>
  <c r="F19" i="11"/>
  <c r="B16" i="7" s="1"/>
  <c r="S25" i="11"/>
  <c r="R19" i="11"/>
  <c r="D16" i="7" s="1"/>
  <c r="S21" i="11"/>
  <c r="R21" i="11"/>
  <c r="D18" i="7" s="1"/>
  <c r="F32" i="14"/>
  <c r="R18" i="10"/>
  <c r="I27" i="15"/>
  <c r="AE36" i="13"/>
  <c r="I36" i="14" s="1"/>
  <c r="H29" i="15"/>
  <c r="I29" i="15" s="1"/>
  <c r="V26" i="11"/>
  <c r="W26" i="11" s="1"/>
  <c r="K38" i="3"/>
  <c r="F17" i="14"/>
  <c r="AC10" i="18"/>
  <c r="I31" i="10"/>
  <c r="Q31" i="10" s="1"/>
  <c r="I27" i="11"/>
  <c r="Q27" i="11" s="1"/>
  <c r="Q11" i="15"/>
  <c r="AS12" i="1"/>
  <c r="S15" i="18"/>
  <c r="L22" i="13"/>
  <c r="I24" i="11"/>
  <c r="Q24" i="11" s="1"/>
  <c r="F17" i="11"/>
  <c r="B14" i="7" s="1"/>
  <c r="S26" i="18"/>
  <c r="O32" i="18"/>
  <c r="Q32" i="18" s="1"/>
  <c r="R32" i="18" s="1"/>
  <c r="Q31" i="18"/>
  <c r="R31" i="18" s="1"/>
  <c r="O29" i="18"/>
  <c r="Q29" i="18" s="1"/>
  <c r="R29" i="18" s="1"/>
  <c r="Q28" i="18"/>
  <c r="R28" i="18" s="1"/>
  <c r="O23" i="18"/>
  <c r="Q23" i="18" s="1"/>
  <c r="R23" i="18" s="1"/>
  <c r="Q22" i="18"/>
  <c r="R22" i="18" s="1"/>
  <c r="F33" i="10"/>
  <c r="U39" i="1"/>
  <c r="N36" i="14"/>
  <c r="F36" i="14"/>
  <c r="I28" i="11"/>
  <c r="Q28" i="11" s="1"/>
  <c r="L39" i="14"/>
  <c r="F19" i="14"/>
  <c r="O15" i="18"/>
  <c r="Q15" i="18" s="1"/>
  <c r="R15" i="18" s="1"/>
  <c r="Q14" i="18"/>
  <c r="R14" i="18" s="1"/>
  <c r="AA25" i="18"/>
  <c r="AC25" i="18" s="1"/>
  <c r="AC24" i="18"/>
  <c r="AA8" i="18"/>
  <c r="AC8" i="18" s="1"/>
  <c r="AC7" i="18"/>
  <c r="F32" i="10"/>
  <c r="U38" i="1"/>
  <c r="U45" i="1" s="1"/>
  <c r="X19" i="10"/>
  <c r="T18" i="10"/>
  <c r="V18" i="10" s="1"/>
  <c r="W18" i="10" s="1"/>
  <c r="Z27" i="12"/>
  <c r="B26" i="11" s="1"/>
  <c r="Z23" i="12"/>
  <c r="B22" i="11" s="1"/>
  <c r="B38" i="11" s="1"/>
  <c r="B39" i="11" s="1"/>
  <c r="C39" i="11" s="1"/>
  <c r="K32" i="22"/>
  <c r="L32" i="22"/>
  <c r="K42" i="22"/>
  <c r="L42" i="22"/>
  <c r="L45" i="22"/>
  <c r="K45" i="22"/>
  <c r="B36" i="14"/>
  <c r="B39" i="14" s="1"/>
  <c r="B35" i="19"/>
  <c r="R18" i="19"/>
  <c r="AJ19" i="13"/>
  <c r="L28" i="18"/>
  <c r="Q29" i="15"/>
  <c r="U13" i="10"/>
  <c r="U15" i="10"/>
  <c r="V15" i="10" s="1"/>
  <c r="W15" i="10" s="1"/>
  <c r="U17" i="10"/>
  <c r="V17" i="10" s="1"/>
  <c r="W17" i="10" s="1"/>
  <c r="F18" i="10"/>
  <c r="F18" i="11"/>
  <c r="B15" i="7" s="1"/>
  <c r="U19" i="10"/>
  <c r="Q16" i="15"/>
  <c r="S34" i="18"/>
  <c r="K21" i="22"/>
  <c r="L21" i="22"/>
  <c r="L22" i="22"/>
  <c r="K22" i="22"/>
  <c r="F24" i="22"/>
  <c r="L24" i="22"/>
  <c r="L29" i="22"/>
  <c r="F29" i="22"/>
  <c r="K30" i="22"/>
  <c r="L30" i="22"/>
  <c r="F37" i="22"/>
  <c r="L37" i="22"/>
  <c r="K48" i="22"/>
  <c r="L48" i="22"/>
  <c r="U12" i="10"/>
  <c r="K46" i="22"/>
  <c r="L46" i="22"/>
  <c r="L28" i="22"/>
  <c r="K28" i="22"/>
  <c r="L39" i="22"/>
  <c r="K39" i="22"/>
  <c r="K49" i="22"/>
  <c r="L49" i="22"/>
  <c r="K33" i="22"/>
  <c r="L33" i="22"/>
  <c r="L38" i="22"/>
  <c r="K38" i="22"/>
  <c r="F40" i="22"/>
  <c r="L40" i="22"/>
  <c r="L50" i="22"/>
  <c r="K54" i="22"/>
  <c r="L54" i="22"/>
  <c r="L31" i="22"/>
  <c r="L20" i="22"/>
  <c r="K26" i="22"/>
  <c r="L26" i="22"/>
  <c r="L52" i="22"/>
  <c r="L53" i="22"/>
  <c r="K53" i="22"/>
  <c r="J5" i="11" l="1"/>
  <c r="P5" i="11" s="1"/>
  <c r="J5" i="10"/>
  <c r="P5" i="10" s="1"/>
  <c r="AK20" i="13"/>
  <c r="AK19" i="13"/>
  <c r="AK37" i="13" s="1"/>
  <c r="Z25" i="11"/>
  <c r="E22" i="7"/>
  <c r="H35" i="15"/>
  <c r="I35" i="15" s="1"/>
  <c r="P31" i="14"/>
  <c r="P39" i="14" s="1"/>
  <c r="E20" i="7"/>
  <c r="Z23" i="11"/>
  <c r="X27" i="11"/>
  <c r="X28" i="11" s="1"/>
  <c r="X29" i="11" s="1"/>
  <c r="S26" i="11"/>
  <c r="R24" i="11"/>
  <c r="D21" i="7" s="1"/>
  <c r="Q25" i="14"/>
  <c r="S25" i="14" s="1"/>
  <c r="S24" i="11"/>
  <c r="V24" i="11"/>
  <c r="W24" i="11" s="1"/>
  <c r="Z22" i="11"/>
  <c r="E19" i="7"/>
  <c r="E7" i="7"/>
  <c r="Z10" i="11"/>
  <c r="Z5" i="10"/>
  <c r="S37" i="10"/>
  <c r="S39" i="10" s="1"/>
  <c r="E6" i="7"/>
  <c r="Z9" i="11"/>
  <c r="S7" i="14"/>
  <c r="Z8" i="11"/>
  <c r="E5" i="7"/>
  <c r="R36" i="14"/>
  <c r="R27" i="11"/>
  <c r="D24" i="7" s="1"/>
  <c r="S27" i="11"/>
  <c r="Q28" i="14"/>
  <c r="S28" i="14" s="1"/>
  <c r="V27" i="11"/>
  <c r="W27" i="11" s="1"/>
  <c r="E18" i="7"/>
  <c r="Z21" i="11"/>
  <c r="R26" i="11"/>
  <c r="D23" i="7" s="1"/>
  <c r="E13" i="7"/>
  <c r="Z16" i="11"/>
  <c r="I39" i="14"/>
  <c r="E14" i="7"/>
  <c r="Z17" i="11"/>
  <c r="AS15" i="1"/>
  <c r="AU16" i="1"/>
  <c r="E4" i="7"/>
  <c r="Z7" i="11"/>
  <c r="S36" i="14"/>
  <c r="J7" i="11"/>
  <c r="P7" i="11" s="1"/>
  <c r="J7" i="10"/>
  <c r="P7" i="10" s="1"/>
  <c r="E17" i="7"/>
  <c r="Z20" i="11"/>
  <c r="R8" i="14"/>
  <c r="R39" i="14" s="1"/>
  <c r="N39" i="14"/>
  <c r="AS14" i="1"/>
  <c r="Q29" i="14"/>
  <c r="S29" i="14" s="1"/>
  <c r="V28" i="11"/>
  <c r="W28" i="11" s="1"/>
  <c r="S28" i="11"/>
  <c r="R28" i="11"/>
  <c r="D25" i="7" s="1"/>
  <c r="Z14" i="11"/>
  <c r="E11" i="7"/>
  <c r="F39" i="14"/>
  <c r="E9" i="13"/>
  <c r="G8" i="13"/>
  <c r="F8" i="13"/>
  <c r="X20" i="10"/>
  <c r="T19" i="10"/>
  <c r="V19" i="10" s="1"/>
  <c r="W19" i="10" s="1"/>
  <c r="S19" i="10"/>
  <c r="Z19" i="10" s="1"/>
  <c r="R19" i="10"/>
  <c r="AC35" i="18"/>
  <c r="AA38" i="18" s="1"/>
  <c r="AB38" i="18" s="1"/>
  <c r="G42" i="15"/>
  <c r="S37" i="11"/>
  <c r="S39" i="11" s="1"/>
  <c r="Z5" i="11"/>
  <c r="E2" i="7"/>
  <c r="I8" i="19"/>
  <c r="AT14" i="1"/>
  <c r="J8" i="19"/>
  <c r="H9" i="13"/>
  <c r="C15" i="1"/>
  <c r="S35" i="18"/>
  <c r="D38" i="18"/>
  <c r="E38" i="18" s="1"/>
  <c r="R6" i="18"/>
  <c r="Q35" i="18"/>
  <c r="R35" i="18" s="1"/>
  <c r="X21" i="10" l="1"/>
  <c r="S20" i="10"/>
  <c r="Z20" i="10" s="1"/>
  <c r="T20" i="10"/>
  <c r="V20" i="10" s="1"/>
  <c r="W20" i="10" s="1"/>
  <c r="R20" i="10"/>
  <c r="U20" i="10"/>
  <c r="F9" i="13"/>
  <c r="G9" i="13"/>
  <c r="E10" i="13"/>
  <c r="AU17" i="1"/>
  <c r="AS16" i="1"/>
  <c r="E21" i="7"/>
  <c r="Z24" i="11"/>
  <c r="J8" i="11"/>
  <c r="P8" i="11" s="1"/>
  <c r="J8" i="10"/>
  <c r="P8" i="10" s="1"/>
  <c r="Z28" i="11"/>
  <c r="E25" i="7"/>
  <c r="Q39" i="14"/>
  <c r="X30" i="11"/>
  <c r="R29" i="11"/>
  <c r="D26" i="7" s="1"/>
  <c r="S29" i="11"/>
  <c r="E24" i="7"/>
  <c r="Z27" i="11"/>
  <c r="Z26" i="11"/>
  <c r="E23" i="7"/>
  <c r="I9" i="19"/>
  <c r="J9" i="19"/>
  <c r="H10" i="13"/>
  <c r="AT15" i="1"/>
  <c r="C16" i="1"/>
  <c r="S39" i="14"/>
  <c r="J9" i="10" l="1"/>
  <c r="P9" i="10" s="1"/>
  <c r="J9" i="11"/>
  <c r="P9" i="11" s="1"/>
  <c r="Z29" i="11"/>
  <c r="E26" i="7"/>
  <c r="X31" i="11"/>
  <c r="R30" i="11"/>
  <c r="D27" i="7" s="1"/>
  <c r="S30" i="11"/>
  <c r="E11" i="13"/>
  <c r="F10" i="13"/>
  <c r="G10" i="13"/>
  <c r="H11" i="13"/>
  <c r="J10" i="19"/>
  <c r="C17" i="1"/>
  <c r="AT16" i="1"/>
  <c r="I10" i="19"/>
  <c r="AU18" i="1"/>
  <c r="AS17" i="1"/>
  <c r="X22" i="10"/>
  <c r="U21" i="10"/>
  <c r="R21" i="10"/>
  <c r="S21" i="10"/>
  <c r="Z21" i="10" s="1"/>
  <c r="T21" i="10"/>
  <c r="X23" i="10" l="1"/>
  <c r="R22" i="10"/>
  <c r="S22" i="10"/>
  <c r="Z22" i="10" s="1"/>
  <c r="T22" i="10"/>
  <c r="V22" i="10" s="1"/>
  <c r="W22" i="10" s="1"/>
  <c r="U22" i="10"/>
  <c r="J10" i="10"/>
  <c r="P10" i="10" s="1"/>
  <c r="J10" i="11"/>
  <c r="P10" i="11" s="1"/>
  <c r="AT17" i="1"/>
  <c r="I11" i="19"/>
  <c r="J11" i="19"/>
  <c r="C18" i="1"/>
  <c r="H12" i="13"/>
  <c r="V21" i="10"/>
  <c r="W21" i="10" s="1"/>
  <c r="E27" i="7"/>
  <c r="Z30" i="11"/>
  <c r="AU19" i="1"/>
  <c r="AS18" i="1"/>
  <c r="E12" i="13"/>
  <c r="G11" i="13"/>
  <c r="F11" i="13"/>
  <c r="X32" i="11"/>
  <c r="R31" i="11"/>
  <c r="D28" i="7" s="1"/>
  <c r="S31" i="11"/>
  <c r="E28" i="7" l="1"/>
  <c r="Z31" i="11"/>
  <c r="C19" i="1"/>
  <c r="AT18" i="1"/>
  <c r="H13" i="13"/>
  <c r="J12" i="19"/>
  <c r="I12" i="19"/>
  <c r="F12" i="13"/>
  <c r="E13" i="13"/>
  <c r="G12" i="13"/>
  <c r="AS19" i="1"/>
  <c r="AU20" i="1"/>
  <c r="J11" i="11"/>
  <c r="P11" i="11" s="1"/>
  <c r="J11" i="10"/>
  <c r="P11" i="10" s="1"/>
  <c r="X33" i="11"/>
  <c r="S32" i="11"/>
  <c r="R32" i="11"/>
  <c r="D29" i="7" s="1"/>
  <c r="X24" i="10"/>
  <c r="T23" i="10"/>
  <c r="V23" i="10" s="1"/>
  <c r="W23" i="10" s="1"/>
  <c r="S23" i="10"/>
  <c r="Z23" i="10" s="1"/>
  <c r="R23" i="10"/>
  <c r="U23" i="10"/>
  <c r="Z32" i="11" l="1"/>
  <c r="E29" i="7"/>
  <c r="AU21" i="1"/>
  <c r="AS20" i="1"/>
  <c r="J12" i="10"/>
  <c r="P12" i="10" s="1"/>
  <c r="J12" i="11"/>
  <c r="P12" i="11" s="1"/>
  <c r="X25" i="10"/>
  <c r="T24" i="10"/>
  <c r="S24" i="10"/>
  <c r="Z24" i="10" s="1"/>
  <c r="U24" i="10"/>
  <c r="R24" i="10"/>
  <c r="X34" i="11"/>
  <c r="R33" i="11"/>
  <c r="D30" i="7" s="1"/>
  <c r="S33" i="11"/>
  <c r="I13" i="19"/>
  <c r="C20" i="1"/>
  <c r="H14" i="13"/>
  <c r="AT19" i="1"/>
  <c r="J13" i="19"/>
  <c r="G13" i="13"/>
  <c r="F13" i="13"/>
  <c r="E14" i="13"/>
  <c r="AU22" i="1" l="1"/>
  <c r="AS21" i="1"/>
  <c r="E15" i="13"/>
  <c r="F14" i="13"/>
  <c r="G14" i="13"/>
  <c r="J13" i="10"/>
  <c r="P13" i="10" s="1"/>
  <c r="J13" i="11"/>
  <c r="P13" i="11" s="1"/>
  <c r="C21" i="1"/>
  <c r="J14" i="19"/>
  <c r="I14" i="19"/>
  <c r="AT20" i="1"/>
  <c r="H15" i="13"/>
  <c r="X35" i="11"/>
  <c r="S34" i="11"/>
  <c r="R34" i="11"/>
  <c r="D31" i="7" s="1"/>
  <c r="V24" i="10"/>
  <c r="W24" i="10" s="1"/>
  <c r="X26" i="10"/>
  <c r="T25" i="10"/>
  <c r="V25" i="10" s="1"/>
  <c r="W25" i="10" s="1"/>
  <c r="R25" i="10"/>
  <c r="S25" i="10"/>
  <c r="Z25" i="10" s="1"/>
  <c r="U25" i="10"/>
  <c r="Z33" i="11"/>
  <c r="E30" i="7"/>
  <c r="J14" i="11" l="1"/>
  <c r="P14" i="11" s="1"/>
  <c r="J14" i="10"/>
  <c r="P14" i="10" s="1"/>
  <c r="E16" i="13"/>
  <c r="G15" i="13"/>
  <c r="F15" i="13"/>
  <c r="AT21" i="1"/>
  <c r="J15" i="19"/>
  <c r="C22" i="1"/>
  <c r="I15" i="19"/>
  <c r="H16" i="13"/>
  <c r="E31" i="7"/>
  <c r="Z34" i="11"/>
  <c r="U26" i="10"/>
  <c r="X27" i="10"/>
  <c r="R26" i="10"/>
  <c r="T26" i="10"/>
  <c r="V26" i="10" s="1"/>
  <c r="W26" i="10" s="1"/>
  <c r="S26" i="10"/>
  <c r="Z26" i="10" s="1"/>
  <c r="S35" i="11"/>
  <c r="R35" i="11"/>
  <c r="D32" i="7" s="1"/>
  <c r="AS22" i="1"/>
  <c r="AU23" i="1"/>
  <c r="E17" i="13" l="1"/>
  <c r="F16" i="13"/>
  <c r="G16" i="13"/>
  <c r="Z35" i="11"/>
  <c r="E32" i="7"/>
  <c r="U27" i="10"/>
  <c r="X28" i="10"/>
  <c r="T27" i="10"/>
  <c r="V27" i="10" s="1"/>
  <c r="W27" i="10" s="1"/>
  <c r="R27" i="10"/>
  <c r="S27" i="10"/>
  <c r="Z27" i="10" s="1"/>
  <c r="J15" i="10"/>
  <c r="P15" i="10" s="1"/>
  <c r="J15" i="11"/>
  <c r="P15" i="11" s="1"/>
  <c r="H17" i="13"/>
  <c r="AT22" i="1"/>
  <c r="C23" i="1"/>
  <c r="I16" i="19"/>
  <c r="J16" i="19"/>
  <c r="AU24" i="1"/>
  <c r="AS23" i="1"/>
  <c r="C24" i="1" l="1"/>
  <c r="H18" i="13"/>
  <c r="J17" i="19"/>
  <c r="AT23" i="1"/>
  <c r="I17" i="19"/>
  <c r="AU25" i="1"/>
  <c r="AS24" i="1"/>
  <c r="J16" i="10"/>
  <c r="P16" i="10" s="1"/>
  <c r="J16" i="11"/>
  <c r="P16" i="11" s="1"/>
  <c r="X29" i="10"/>
  <c r="T28" i="10"/>
  <c r="V28" i="10" s="1"/>
  <c r="W28" i="10" s="1"/>
  <c r="S28" i="10"/>
  <c r="Z28" i="10" s="1"/>
  <c r="U28" i="10"/>
  <c r="R28" i="10"/>
  <c r="E18" i="13"/>
  <c r="F17" i="13"/>
  <c r="G17" i="13"/>
  <c r="X30" i="10" l="1"/>
  <c r="T29" i="10"/>
  <c r="V29" i="10" s="1"/>
  <c r="W29" i="10" s="1"/>
  <c r="R29" i="10"/>
  <c r="U29" i="10"/>
  <c r="S29" i="10"/>
  <c r="Z29" i="10" s="1"/>
  <c r="AU26" i="1"/>
  <c r="AS25" i="1"/>
  <c r="J17" i="10"/>
  <c r="P17" i="10" s="1"/>
  <c r="J17" i="11"/>
  <c r="P17" i="11" s="1"/>
  <c r="E19" i="13"/>
  <c r="F18" i="13"/>
  <c r="G18" i="13"/>
  <c r="C25" i="1"/>
  <c r="H19" i="13"/>
  <c r="I18" i="19"/>
  <c r="AT24" i="1"/>
  <c r="J18" i="19"/>
  <c r="E20" i="13" l="1"/>
  <c r="G19" i="13"/>
  <c r="F19" i="13"/>
  <c r="AU27" i="1"/>
  <c r="AS26" i="1"/>
  <c r="J18" i="11"/>
  <c r="P18" i="11" s="1"/>
  <c r="J18" i="10"/>
  <c r="P18" i="10" s="1"/>
  <c r="AT25" i="1"/>
  <c r="H20" i="13"/>
  <c r="J19" i="19"/>
  <c r="C26" i="1"/>
  <c r="I19" i="19"/>
  <c r="U30" i="10"/>
  <c r="X31" i="10"/>
  <c r="T30" i="10"/>
  <c r="V30" i="10" s="1"/>
  <c r="W30" i="10" s="1"/>
  <c r="S30" i="10"/>
  <c r="Z30" i="10" s="1"/>
  <c r="R30" i="10"/>
  <c r="X32" i="10" l="1"/>
  <c r="U31" i="10"/>
  <c r="T31" i="10"/>
  <c r="V31" i="10" s="1"/>
  <c r="W31" i="10" s="1"/>
  <c r="S31" i="10"/>
  <c r="Z31" i="10" s="1"/>
  <c r="R31" i="10"/>
  <c r="J19" i="11"/>
  <c r="P19" i="11" s="1"/>
  <c r="J19" i="10"/>
  <c r="P19" i="10" s="1"/>
  <c r="AS27" i="1"/>
  <c r="AU28" i="1"/>
  <c r="H21" i="13"/>
  <c r="AT26" i="1"/>
  <c r="J20" i="19"/>
  <c r="I20" i="19"/>
  <c r="C27" i="1"/>
  <c r="F20" i="13"/>
  <c r="E21" i="13"/>
  <c r="G20" i="13"/>
  <c r="J21" i="19" l="1"/>
  <c r="H22" i="13"/>
  <c r="AT27" i="1"/>
  <c r="I21" i="19"/>
  <c r="C28" i="1"/>
  <c r="E22" i="13"/>
  <c r="F21" i="13"/>
  <c r="G21" i="13"/>
  <c r="J20" i="10"/>
  <c r="P20" i="10" s="1"/>
  <c r="J20" i="11"/>
  <c r="P20" i="11" s="1"/>
  <c r="AU29" i="1"/>
  <c r="AS28" i="1"/>
  <c r="X33" i="10"/>
  <c r="T32" i="10"/>
  <c r="S32" i="10"/>
  <c r="Z32" i="10" s="1"/>
  <c r="U32" i="10"/>
  <c r="R32" i="10"/>
  <c r="AS29" i="1" l="1"/>
  <c r="AU30" i="1"/>
  <c r="V32" i="10"/>
  <c r="W32" i="10" s="1"/>
  <c r="E23" i="13"/>
  <c r="F22" i="13"/>
  <c r="G22" i="13"/>
  <c r="J21" i="11"/>
  <c r="P21" i="11" s="1"/>
  <c r="J21" i="10"/>
  <c r="P21" i="10" s="1"/>
  <c r="X34" i="10"/>
  <c r="R33" i="10"/>
  <c r="U33" i="10"/>
  <c r="S33" i="10"/>
  <c r="Z33" i="10" s="1"/>
  <c r="T33" i="10"/>
  <c r="C29" i="1"/>
  <c r="J22" i="19"/>
  <c r="H23" i="13"/>
  <c r="I22" i="19"/>
  <c r="AT28" i="1"/>
  <c r="J22" i="10" l="1"/>
  <c r="P22" i="10" s="1"/>
  <c r="J22" i="11"/>
  <c r="P22" i="11" s="1"/>
  <c r="E24" i="13"/>
  <c r="G23" i="13"/>
  <c r="F23" i="13"/>
  <c r="AT29" i="1"/>
  <c r="C30" i="1"/>
  <c r="I23" i="19"/>
  <c r="H24" i="13"/>
  <c r="J23" i="19"/>
  <c r="AU31" i="1"/>
  <c r="AS30" i="1"/>
  <c r="V33" i="10"/>
  <c r="W33" i="10" s="1"/>
  <c r="X35" i="10"/>
  <c r="U34" i="10"/>
  <c r="S34" i="10"/>
  <c r="Z34" i="10" s="1"/>
  <c r="R34" i="10"/>
  <c r="T34" i="10"/>
  <c r="AS31" i="1" l="1"/>
  <c r="AU32" i="1"/>
  <c r="F24" i="13"/>
  <c r="E25" i="13"/>
  <c r="G24" i="13"/>
  <c r="V34" i="10"/>
  <c r="W34" i="10" s="1"/>
  <c r="U35" i="10"/>
  <c r="T35" i="10"/>
  <c r="R35" i="10"/>
  <c r="S35" i="10"/>
  <c r="Z35" i="10" s="1"/>
  <c r="J23" i="10"/>
  <c r="P23" i="10" s="1"/>
  <c r="J23" i="11"/>
  <c r="P23" i="11" s="1"/>
  <c r="C31" i="1"/>
  <c r="AT30" i="1"/>
  <c r="J24" i="19"/>
  <c r="H25" i="13"/>
  <c r="I24" i="19"/>
  <c r="J24" i="10" l="1"/>
  <c r="P24" i="10" s="1"/>
  <c r="J24" i="11"/>
  <c r="P24" i="11" s="1"/>
  <c r="V35" i="10"/>
  <c r="W35" i="10" s="1"/>
  <c r="E26" i="13"/>
  <c r="G25" i="13"/>
  <c r="F25" i="13"/>
  <c r="AU33" i="1"/>
  <c r="AS32" i="1"/>
  <c r="J25" i="19"/>
  <c r="C32" i="1"/>
  <c r="H26" i="13"/>
  <c r="AT31" i="1"/>
  <c r="I25" i="19"/>
  <c r="E27" i="13" l="1"/>
  <c r="F26" i="13"/>
  <c r="G26" i="13"/>
  <c r="C33" i="1"/>
  <c r="H27" i="13"/>
  <c r="J26" i="19"/>
  <c r="I26" i="19"/>
  <c r="AT32" i="1"/>
  <c r="J25" i="11"/>
  <c r="P25" i="11" s="1"/>
  <c r="J25" i="10"/>
  <c r="P25" i="10" s="1"/>
  <c r="AS33" i="1"/>
  <c r="AU34" i="1"/>
  <c r="J26" i="10" l="1"/>
  <c r="P26" i="10" s="1"/>
  <c r="J26" i="11"/>
  <c r="P26" i="11" s="1"/>
  <c r="AU35" i="1"/>
  <c r="AS34" i="1"/>
  <c r="AT33" i="1"/>
  <c r="J27" i="19"/>
  <c r="C34" i="1"/>
  <c r="I27" i="19"/>
  <c r="H28" i="13"/>
  <c r="E28" i="13"/>
  <c r="F27" i="13"/>
  <c r="G27" i="13"/>
  <c r="AS35" i="1" l="1"/>
  <c r="AU36" i="1"/>
  <c r="E29" i="13"/>
  <c r="F28" i="13"/>
  <c r="G28" i="13"/>
  <c r="H29" i="13"/>
  <c r="AT34" i="1"/>
  <c r="I28" i="19"/>
  <c r="J28" i="19"/>
  <c r="C35" i="1"/>
  <c r="J27" i="10"/>
  <c r="P27" i="10" s="1"/>
  <c r="J27" i="11"/>
  <c r="P27" i="11" s="1"/>
  <c r="J28" i="11" l="1"/>
  <c r="P28" i="11" s="1"/>
  <c r="J28" i="10"/>
  <c r="P28" i="10" s="1"/>
  <c r="E30" i="13"/>
  <c r="F29" i="13"/>
  <c r="G29" i="13"/>
  <c r="C36" i="1"/>
  <c r="J29" i="19"/>
  <c r="AT35" i="1"/>
  <c r="H30" i="13"/>
  <c r="I29" i="19"/>
  <c r="AU37" i="1"/>
  <c r="AS36" i="1"/>
  <c r="J29" i="10" l="1"/>
  <c r="P29" i="10" s="1"/>
  <c r="J29" i="11"/>
  <c r="P29" i="11" s="1"/>
  <c r="AU38" i="1"/>
  <c r="AS37" i="1"/>
  <c r="E31" i="13"/>
  <c r="F30" i="13"/>
  <c r="G30" i="13"/>
  <c r="H31" i="13"/>
  <c r="C37" i="1"/>
  <c r="I30" i="19"/>
  <c r="J30" i="19"/>
  <c r="AT36" i="1"/>
  <c r="AU39" i="1" l="1"/>
  <c r="AS38" i="1"/>
  <c r="J30" i="10"/>
  <c r="P30" i="10" s="1"/>
  <c r="J30" i="11"/>
  <c r="P30" i="11" s="1"/>
  <c r="AT37" i="1"/>
  <c r="C38" i="1"/>
  <c r="J31" i="19"/>
  <c r="I31" i="19"/>
  <c r="H32" i="13"/>
  <c r="E32" i="13"/>
  <c r="F31" i="13"/>
  <c r="G31" i="13"/>
  <c r="E33" i="13" l="1"/>
  <c r="F32" i="13"/>
  <c r="G32" i="13"/>
  <c r="C39" i="1"/>
  <c r="AT38" i="1"/>
  <c r="J32" i="19"/>
  <c r="I32" i="19"/>
  <c r="H33" i="13"/>
  <c r="J31" i="11"/>
  <c r="P31" i="11" s="1"/>
  <c r="J31" i="10"/>
  <c r="P31" i="10" s="1"/>
  <c r="AS39" i="1"/>
  <c r="AU40" i="1"/>
  <c r="AU41" i="1" l="1"/>
  <c r="AS41" i="1" s="1"/>
  <c r="AS45" i="1" s="1"/>
  <c r="AS40" i="1"/>
  <c r="H34" i="13"/>
  <c r="C40" i="1"/>
  <c r="AT39" i="1"/>
  <c r="J33" i="19"/>
  <c r="I33" i="19"/>
  <c r="J32" i="10"/>
  <c r="P32" i="10" s="1"/>
  <c r="J32" i="11"/>
  <c r="P32" i="11" s="1"/>
  <c r="E34" i="13"/>
  <c r="F33" i="13"/>
  <c r="G33" i="13"/>
  <c r="F34" i="13" l="1"/>
  <c r="E35" i="13"/>
  <c r="G34" i="13"/>
  <c r="J33" i="11"/>
  <c r="P33" i="11" s="1"/>
  <c r="J33" i="10"/>
  <c r="P33" i="10" s="1"/>
  <c r="H35" i="13"/>
  <c r="I34" i="19"/>
  <c r="AT40" i="1"/>
  <c r="C41" i="1"/>
  <c r="J34" i="19"/>
  <c r="J34" i="11" l="1"/>
  <c r="P34" i="11" s="1"/>
  <c r="J34" i="10"/>
  <c r="P34" i="10" s="1"/>
  <c r="E36" i="13"/>
  <c r="F35" i="13"/>
  <c r="G35" i="13"/>
  <c r="AT41" i="1"/>
  <c r="C42" i="1"/>
  <c r="J35" i="19"/>
  <c r="H36" i="13"/>
  <c r="I35" i="19"/>
  <c r="F36" i="13" l="1"/>
  <c r="G36" i="13"/>
  <c r="J35" i="11"/>
  <c r="P35" i="11" s="1"/>
  <c r="J35" i="10"/>
  <c r="P35" i="10" s="1"/>
  <c r="AT42" i="1"/>
  <c r="J36" i="19"/>
  <c r="C43" i="1"/>
  <c r="AT43" i="1" s="1"/>
  <c r="I36" i="19"/>
</calcChain>
</file>

<file path=xl/comments1.xml><?xml version="1.0" encoding="utf-8"?>
<comments xmlns="http://schemas.openxmlformats.org/spreadsheetml/2006/main">
  <authors>
    <author>Josephat.Mnganya</author>
  </authors>
  <commentList>
    <comment ref="L13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for incenerator</t>
        </r>
      </text>
    </comment>
    <comment ref="AI16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Greeland Vehicle</t>
        </r>
      </text>
    </comment>
    <comment ref="AI17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greeland vehicle</t>
        </r>
      </text>
    </comment>
    <comment ref="AI18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greeland vehicle</t>
        </r>
      </text>
    </comment>
    <comment ref="AI20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21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22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25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 by green land vihecle</t>
        </r>
      </text>
    </comment>
    <comment ref="L26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for generator cleaning(USB)</t>
        </r>
      </text>
    </comment>
    <comment ref="AI26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27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 by green land vihecle</t>
        </r>
      </text>
    </comment>
    <comment ref="AI28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29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30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31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33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 by Wosha vehicle</t>
        </r>
      </text>
    </comment>
    <comment ref="AI34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 by Green Land vihecle</t>
        </r>
      </text>
    </comment>
    <comment ref="AI35" authorId="0" shapeId="0">
      <text>
        <r>
          <rPr>
            <b/>
            <sz val="9"/>
            <color indexed="81"/>
            <rFont val="Tahoma"/>
            <charset val="1"/>
          </rPr>
          <t xml:space="preserve">Josephat.Mnganya: Used </t>
        </r>
        <r>
          <rPr>
            <sz val="9"/>
            <color indexed="81"/>
            <rFont val="Tahoma"/>
            <charset val="1"/>
          </rPr>
          <t xml:space="preserve"> by Green Land Vihecle</t>
        </r>
      </text>
    </comment>
    <comment ref="AI36" authorId="0" shapeId="0">
      <text>
        <r>
          <rPr>
            <b/>
            <sz val="9"/>
            <color indexed="81"/>
            <rFont val="Tahoma"/>
            <charset val="1"/>
          </rPr>
          <t>Josephat.Mnganya Used by Green land vehicle</t>
        </r>
      </text>
    </comment>
    <comment ref="AI37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38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39" authorId="0" shape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<sst xmlns="http://schemas.openxmlformats.org/spreadsheetml/2006/main" count="836" uniqueCount="442">
  <si>
    <t>Date</t>
  </si>
  <si>
    <t>%</t>
  </si>
  <si>
    <t>OPENING</t>
  </si>
  <si>
    <t>BALANCE</t>
  </si>
  <si>
    <t>VALUE</t>
  </si>
  <si>
    <t>Lc/swg/gust</t>
  </si>
  <si>
    <t>TOTAL USAGE</t>
  </si>
  <si>
    <t>Purch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</si>
  <si>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</si>
  <si>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</si>
  <si>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</si>
  <si>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</si>
  <si>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</si>
  <si>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</si>
  <si>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</si>
  <si>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</si>
  <si>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TOTAL &amp; ANALYSIS</t>
  </si>
  <si>
    <t>Final</t>
  </si>
  <si>
    <t>consumption</t>
  </si>
  <si>
    <t>KITCHEN</t>
  </si>
  <si>
    <t>Total consumption</t>
  </si>
  <si>
    <t>Consumption%</t>
  </si>
  <si>
    <t>Water Level</t>
  </si>
  <si>
    <t>Raw water</t>
  </si>
  <si>
    <t>tank</t>
  </si>
  <si>
    <t>Hill tank</t>
  </si>
  <si>
    <t>STP</t>
  </si>
  <si>
    <t>PUMPS</t>
  </si>
  <si>
    <t>VSD</t>
  </si>
  <si>
    <t>Transfer</t>
  </si>
  <si>
    <t>Irrigation</t>
  </si>
  <si>
    <t>Fire</t>
  </si>
  <si>
    <t>uv</t>
  </si>
  <si>
    <t>Pre chlorination</t>
  </si>
  <si>
    <t>PPM</t>
  </si>
  <si>
    <t>Water</t>
  </si>
  <si>
    <t>Softner-PPM</t>
  </si>
  <si>
    <t>WATER TANK LEVELS                                   STP TANKS</t>
  </si>
  <si>
    <t>Treated</t>
  </si>
  <si>
    <t>STP-Hill</t>
  </si>
  <si>
    <t>STP-Bore</t>
  </si>
  <si>
    <t>Condition</t>
  </si>
  <si>
    <t>12.noon</t>
  </si>
  <si>
    <t>4.00 pm</t>
  </si>
  <si>
    <t>10.00 pm</t>
  </si>
  <si>
    <t>Booster</t>
  </si>
  <si>
    <t>B-1</t>
  </si>
  <si>
    <t>B-2</t>
  </si>
  <si>
    <t>B3</t>
  </si>
  <si>
    <t>Bore</t>
  </si>
  <si>
    <t>B-4</t>
  </si>
  <si>
    <t>KL</t>
  </si>
  <si>
    <t>F/Truck</t>
  </si>
  <si>
    <t>Usage</t>
  </si>
  <si>
    <t>Occ %</t>
  </si>
  <si>
    <t>Usage KWV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</si>
  <si>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</si>
  <si>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</si>
  <si>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</si>
  <si>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</si>
  <si>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</si>
  <si>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</si>
  <si>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</si>
  <si>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</si>
  <si>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</si>
  <si>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</si>
  <si>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</si>
  <si>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PRICE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</si>
  <si>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</si>
  <si>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</si>
  <si>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</si>
  <si>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</si>
  <si>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</si>
  <si>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</si>
  <si>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</si>
  <si>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</si>
  <si>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</si>
  <si>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</si>
  <si>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</si>
  <si>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</si>
  <si>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</si>
  <si>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</si>
  <si>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</si>
  <si>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</si>
  <si>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</si>
  <si>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</si>
  <si>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</si>
  <si>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</si>
  <si>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</si>
  <si>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</si>
  <si>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</si>
  <si>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</si>
  <si>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</si>
  <si>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</si>
  <si>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</si>
  <si>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</si>
  <si>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</si>
  <si>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</si>
  <si>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</si>
  <si>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</si>
  <si>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</si>
  <si>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</si>
  <si>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</si>
  <si>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</si>
  <si>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</si>
  <si>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1T</t>
  </si>
  <si>
    <t>2T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</si>
  <si>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</si>
  <si>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</si>
  <si>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</si>
  <si>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</si>
  <si>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</si>
  <si>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</si>
  <si>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</si>
  <si>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</si>
  <si>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Budget per room Occ</t>
  </si>
  <si>
    <t>Cost Occ%</t>
  </si>
  <si>
    <t xml:space="preserve">Total utility 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</si>
  <si>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</si>
  <si>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</si>
  <si>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</si>
  <si>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</si>
  <si>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</si>
  <si>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</si>
  <si>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</si>
  <si>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</si>
  <si>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</si>
  <si>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</si>
  <si>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</si>
  <si>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</si>
  <si>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</si>
  <si>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</si>
  <si>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</si>
  <si>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</si>
  <si>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</si>
  <si>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</si>
  <si>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</si>
  <si>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</si>
  <si>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</si>
  <si>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</si>
  <si>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</si>
  <si>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</si>
  <si>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</si>
  <si>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 xml:space="preserve">STP water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</si>
  <si>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</si>
  <si>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</si>
  <si>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</si>
  <si>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</si>
  <si>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</si>
  <si>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</si>
  <si>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</si>
  <si>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</si>
  <si>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</si>
  <si>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</si>
  <si>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</si>
  <si>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>% / W cons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</si>
  <si>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</si>
  <si>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</si>
  <si>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</si>
  <si>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</si>
  <si>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</si>
  <si>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</si>
  <si>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</si>
  <si>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</si>
  <si>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</si>
  <si>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</si>
  <si>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</si>
  <si>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</si>
  <si>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</si>
  <si>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</si>
  <si>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</si>
  <si>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</si>
  <si>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</si>
  <si>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</si>
  <si>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</si>
  <si>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</si>
  <si>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</si>
  <si>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</si>
  <si>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</si>
  <si>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</si>
  <si>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</si>
  <si>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</si>
  <si>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</si>
  <si>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</si>
  <si>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</si>
  <si>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</si>
  <si>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</si>
  <si>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</si>
  <si>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</si>
  <si>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</si>
  <si>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</si>
  <si>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</si>
  <si>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</si>
  <si>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</si>
  <si>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</si>
  <si>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</si>
  <si>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>Electrical</t>
  </si>
  <si>
    <t>Total Exp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</si>
  <si>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</si>
  <si>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</si>
  <si>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</si>
  <si>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</si>
  <si>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</si>
  <si>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</si>
  <si>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</si>
  <si>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</si>
  <si>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</si>
  <si>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</si>
  <si>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</si>
  <si>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</si>
  <si>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</si>
  <si>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</si>
  <si>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</si>
  <si>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</si>
  <si>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</si>
  <si>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</si>
  <si>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Water cons.</t>
  </si>
  <si>
    <t xml:space="preserve">DIESEL </t>
  </si>
  <si>
    <t>WATER</t>
  </si>
  <si>
    <t>GUEST ROOM OCC.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</si>
  <si>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</si>
  <si>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</si>
  <si>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</si>
  <si>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</si>
  <si>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</si>
  <si>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</si>
  <si>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</si>
  <si>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Genset. cons.</t>
  </si>
  <si>
    <t>RO PRODUCTION</t>
  </si>
  <si>
    <r>
      <t>m</t>
    </r>
    <r>
      <rPr>
        <b/>
        <sz val="12"/>
        <rFont val="Calibri"/>
        <family val="2"/>
      </rPr>
      <t>³</t>
    </r>
  </si>
  <si>
    <t>LPG</t>
  </si>
  <si>
    <r>
      <t>STP prod.</t>
    </r>
    <r>
      <rPr>
        <b/>
        <sz val="12"/>
        <rFont val="Arial"/>
        <family val="2"/>
      </rPr>
      <t>m</t>
    </r>
    <r>
      <rPr>
        <b/>
        <sz val="14"/>
        <rFont val="Arial"/>
        <family val="2"/>
      </rPr>
      <t>³</t>
    </r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</si>
  <si>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</si>
  <si>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</si>
  <si>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</si>
  <si>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</si>
  <si>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</si>
  <si>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</si>
  <si>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</si>
  <si>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</si>
  <si>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</si>
  <si>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</si>
  <si>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 xml:space="preserve">SABASABA GENERATOR </t>
  </si>
  <si>
    <t xml:space="preserve">CLOSE READING </t>
  </si>
  <si>
    <t>OPEN READING</t>
  </si>
  <si>
    <t>RUNNING HOURS</t>
  </si>
  <si>
    <t>NOTE: Please fill only at the white colum</t>
  </si>
  <si>
    <t>GAS-TANK Kg</t>
  </si>
  <si>
    <t>OTHER</t>
  </si>
  <si>
    <t>GENETAOR NO.1</t>
  </si>
  <si>
    <t>GENETAOR NO.2</t>
  </si>
  <si>
    <t>GENETAOR NO.4</t>
  </si>
  <si>
    <t>GENETAOR NO.5</t>
  </si>
  <si>
    <t>GENETAOR NO.6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</si>
  <si>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</si>
  <si>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</si>
  <si>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</si>
  <si>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</si>
  <si>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</si>
  <si>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</si>
  <si>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</si>
  <si>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Total Diesel balance</t>
  </si>
  <si>
    <t>Total Diesel Tanks balance</t>
  </si>
  <si>
    <t>Total Diesel Cons.Gen&amp;Vehicles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</si>
  <si>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</si>
  <si>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</si>
  <si>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</si>
  <si>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</si>
  <si>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</si>
  <si>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</si>
  <si>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</si>
  <si>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</si>
  <si>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</si>
  <si>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 xml:space="preserve">% of Diesel balance in Tank 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</si>
  <si>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</si>
  <si>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</si>
  <si>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</si>
  <si>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</si>
  <si>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</si>
  <si>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</si>
  <si>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</si>
  <si>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 xml:space="preserve">Vehicle. Cons. &amp; Incenerator </t>
  </si>
  <si>
    <t>Bore hole water prod.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</si>
  <si>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</si>
  <si>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</si>
  <si>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</si>
  <si>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</si>
  <si>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</si>
  <si>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</si>
  <si>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</si>
  <si>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</si>
  <si>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</si>
  <si>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</si>
  <si>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</si>
  <si>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</si>
  <si>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</si>
  <si>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</si>
  <si>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</si>
  <si>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</si>
  <si>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</si>
  <si>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</si>
  <si>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</si>
  <si>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</si>
  <si>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</si>
  <si>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</si>
  <si>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</si>
  <si>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</si>
  <si>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</si>
  <si>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</si>
  <si>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</si>
  <si>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</si>
  <si>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>Generator and Diseal Summry Report 2018</t>
  </si>
  <si>
    <t>Meter reading 1</t>
  </si>
  <si>
    <t>Meter reading 2</t>
  </si>
  <si>
    <t>Total fuel cons,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</si>
  <si>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</si>
  <si>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</si>
  <si>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</si>
  <si>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</si>
  <si>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</si>
  <si>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</si>
  <si>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</si>
  <si>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 xml:space="preserve">Four Seasons Safari Lodge Serengeti October 2018- Water Report </t>
  </si>
  <si>
    <t>DAILY UTILITY REPORT OCTOBER 2018</t>
  </si>
  <si>
    <t>UTILITY REPORT OCTOBER 2018</t>
  </si>
  <si>
    <t>Electricity Units Generated KW</t>
  </si>
  <si>
    <t xml:space="preserve">  T 242 AXN - SABASABA</t>
  </si>
  <si>
    <t>HLP REPORT NOVEMBER   2018</t>
  </si>
  <si>
    <t>T739BRW</t>
  </si>
  <si>
    <t>Naftari</t>
  </si>
  <si>
    <t>kimaro</t>
  </si>
  <si>
    <t>T559DLW</t>
  </si>
  <si>
    <t>Fredi</t>
  </si>
  <si>
    <t>T494DLP</t>
  </si>
  <si>
    <t>David</t>
  </si>
  <si>
    <t>T834CFA</t>
  </si>
  <si>
    <t>Shabani</t>
  </si>
  <si>
    <t>T737DCD</t>
  </si>
  <si>
    <t>T880DKQ</t>
  </si>
  <si>
    <t>T882DKQ</t>
  </si>
  <si>
    <t>T106CWQ</t>
  </si>
  <si>
    <t>Dickson</t>
  </si>
  <si>
    <t>Jackob</t>
  </si>
  <si>
    <t>Joseph</t>
  </si>
  <si>
    <t>Emanuel</t>
  </si>
  <si>
    <t>T840DDW</t>
  </si>
  <si>
    <t>Kimambo</t>
  </si>
  <si>
    <t>Kimaro</t>
  </si>
  <si>
    <t>T594DLP</t>
  </si>
  <si>
    <t>Devid</t>
  </si>
  <si>
    <t>14/12/2018</t>
  </si>
  <si>
    <t>T 840 DDW</t>
  </si>
  <si>
    <t>Gurisha</t>
  </si>
  <si>
    <t>14/12/201</t>
  </si>
  <si>
    <t>T 880 DKQ</t>
  </si>
  <si>
    <t>Jackobo</t>
  </si>
  <si>
    <t>15/12/2010</t>
  </si>
  <si>
    <t>T 737DCD</t>
  </si>
  <si>
    <t>T 132 CWQ</t>
  </si>
  <si>
    <t>Zakayo</t>
  </si>
  <si>
    <t>T 559 DLW</t>
  </si>
  <si>
    <t>Fredy</t>
  </si>
  <si>
    <t>16/12/2018</t>
  </si>
  <si>
    <t>T 142 DKQ</t>
  </si>
  <si>
    <t>Comfort</t>
  </si>
  <si>
    <t>17/12/2011</t>
  </si>
  <si>
    <t>17/12/2018</t>
  </si>
  <si>
    <t xml:space="preserve">T 755 CJQ </t>
  </si>
  <si>
    <t>Julius</t>
  </si>
  <si>
    <t>T 726 CCV</t>
  </si>
  <si>
    <t>Karume</t>
  </si>
  <si>
    <t>T 106 CWQ</t>
  </si>
  <si>
    <t>18/12/2018</t>
  </si>
  <si>
    <t>T 662 CZG</t>
  </si>
  <si>
    <t>Henry</t>
  </si>
  <si>
    <t>T 834CFA</t>
  </si>
  <si>
    <t>19/12/2018</t>
  </si>
  <si>
    <t>20/12/2018</t>
  </si>
  <si>
    <t>T928DQJ</t>
  </si>
  <si>
    <t>Michael</t>
  </si>
  <si>
    <t>T165DKR</t>
  </si>
  <si>
    <t>Chande</t>
  </si>
  <si>
    <t>T755CJQ</t>
  </si>
  <si>
    <t>21/12/2018</t>
  </si>
  <si>
    <t>T254DCP</t>
  </si>
  <si>
    <t>Raphael</t>
  </si>
  <si>
    <t>T728CXC</t>
  </si>
  <si>
    <t>Jackson</t>
  </si>
  <si>
    <t>22/12/2018</t>
  </si>
  <si>
    <t>T 111 CWQ</t>
  </si>
  <si>
    <t>Sadiki</t>
  </si>
  <si>
    <t>T 364 AHF</t>
  </si>
  <si>
    <t>356..08</t>
  </si>
  <si>
    <t>24/12/2018</t>
  </si>
  <si>
    <t>T 142 DKR</t>
  </si>
  <si>
    <t>T142DKR</t>
  </si>
  <si>
    <t>o</t>
  </si>
  <si>
    <t>Richard</t>
  </si>
  <si>
    <t>23/12/2018</t>
  </si>
  <si>
    <t>DFP8706</t>
  </si>
  <si>
    <t>Juma said</t>
  </si>
  <si>
    <t>Joel</t>
  </si>
  <si>
    <t>Wosha</t>
  </si>
  <si>
    <t>T736CCV</t>
  </si>
  <si>
    <t>25/12/2018</t>
  </si>
  <si>
    <t>26/12/2018</t>
  </si>
  <si>
    <t>T714BNE</t>
  </si>
  <si>
    <t>Mmari</t>
  </si>
  <si>
    <t>27/12/2018</t>
  </si>
  <si>
    <t>28/12/2018</t>
  </si>
  <si>
    <t>29/12/2018</t>
  </si>
  <si>
    <t>T662CZG</t>
  </si>
  <si>
    <t>30/12/2018</t>
  </si>
  <si>
    <t>31/12/2018</t>
  </si>
  <si>
    <t>T437AFD</t>
  </si>
  <si>
    <t>Davis</t>
  </si>
  <si>
    <t>Kelvin</t>
  </si>
  <si>
    <t>T364AHF</t>
  </si>
  <si>
    <t>T111CWQ</t>
  </si>
  <si>
    <t>T132CWQ</t>
  </si>
  <si>
    <t>T675ANT</t>
  </si>
  <si>
    <t>Sadick</t>
  </si>
  <si>
    <t>DIESEL PUMP 1 READING</t>
  </si>
  <si>
    <t>DIESEL PUMP 2 READING</t>
  </si>
  <si>
    <t>VODACOM POWER METER READING</t>
  </si>
  <si>
    <t>AITEL POWER METER READING</t>
  </si>
  <si>
    <t>GAS  TANK  A</t>
  </si>
  <si>
    <t>GAS TANK  B</t>
  </si>
  <si>
    <t>GAS TANK  C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</si>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</sst>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/mm/yy;@"/>
    <numFmt numFmtId="167" formatCode="[$-409]d\-mmm\-yy;@"/>
    <numFmt numFmtId="168" formatCode="_(&quot;$&quot;* #,##0_);_(&quot;$&quot;* \(#,##0\);_(&quot;$&quot;* &quot;-&quot;??_);_(@_)"/>
    <numFmt numFmtId="169" formatCode="0.0%"/>
    <numFmt numFmtId="170" formatCode="0.0"/>
    <numFmt numFmtId="171" formatCode="_([$TZS]\ * #,##0_);_([$TZS]\ * \(#,##0\);_([$TZS]\ * &quot;-&quot;_);_(@_)"/>
    <numFmt numFmtId="172" formatCode="_([$TZS]\ * #,##0.00_);_([$TZS]\ * \(#,##0.00\);_([$TZS]\ * &quot;-&quot;??_);_(@_)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0"/>
      <color indexed="12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sz val="10"/>
      <name val="Arial"/>
      <family val="2"/>
    </font>
    <font>
      <b/>
      <sz val="11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10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9"/>
      <name val="Arial"/>
      <family val="2"/>
    </font>
    <font>
      <b/>
      <sz val="12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10"/>
      <color theme="2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rgb="FFFF0000"/>
      <name val="Century Gothic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4" fillId="0" borderId="0"/>
    <xf numFmtId="0" fontId="18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</cellStyleXfs>
  <cellXfs count="1031">
    <xf numFmtId="0" fontId="0" fillId="0" borderId="0" xfId="0"/>
    <xf numFmtId="0" fontId="5" fillId="0" borderId="1" xfId="0" applyFont="1" applyFill="1" applyBorder="1" applyAlignment="1">
      <alignment horizontal="center"/>
    </xf>
    <xf numFmtId="164" fontId="5" fillId="0" borderId="1" xfId="1" applyNumberFormat="1" applyFont="1" applyFill="1" applyBorder="1"/>
    <xf numFmtId="164" fontId="9" fillId="3" borderId="1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164" fontId="6" fillId="0" borderId="1" xfId="1" applyNumberFormat="1" applyFont="1" applyFill="1" applyBorder="1"/>
    <xf numFmtId="9" fontId="9" fillId="3" borderId="1" xfId="6" applyFont="1" applyFill="1" applyBorder="1"/>
    <xf numFmtId="164" fontId="5" fillId="0" borderId="1" xfId="0" applyNumberFormat="1" applyFont="1" applyFill="1" applyBorder="1"/>
    <xf numFmtId="0" fontId="5" fillId="0" borderId="1" xfId="0" applyFont="1" applyFill="1" applyBorder="1"/>
    <xf numFmtId="0" fontId="0" fillId="0" borderId="1" xfId="0" applyBorder="1"/>
    <xf numFmtId="43" fontId="5" fillId="4" borderId="5" xfId="0" applyNumberFormat="1" applyFont="1" applyFill="1" applyBorder="1"/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/>
    <xf numFmtId="0" fontId="5" fillId="0" borderId="7" xfId="0" applyFont="1" applyFill="1" applyBorder="1"/>
    <xf numFmtId="164" fontId="5" fillId="0" borderId="8" xfId="1" applyNumberFormat="1" applyFont="1" applyFill="1" applyBorder="1"/>
    <xf numFmtId="0" fontId="0" fillId="0" borderId="9" xfId="0" applyBorder="1"/>
    <xf numFmtId="0" fontId="0" fillId="0" borderId="10" xfId="0" applyBorder="1"/>
    <xf numFmtId="0" fontId="8" fillId="2" borderId="4" xfId="0" applyFont="1" applyFill="1" applyBorder="1" applyAlignment="1">
      <alignment horizontal="center"/>
    </xf>
    <xf numFmtId="0" fontId="12" fillId="0" borderId="0" xfId="0" applyFont="1"/>
    <xf numFmtId="0" fontId="12" fillId="6" borderId="0" xfId="0" applyFont="1" applyFill="1"/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2" fillId="6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18" fontId="8" fillId="0" borderId="17" xfId="0" applyNumberFormat="1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64" fontId="5" fillId="0" borderId="4" xfId="1" applyNumberFormat="1" applyFont="1" applyFill="1" applyBorder="1"/>
    <xf numFmtId="164" fontId="5" fillId="0" borderId="19" xfId="1" applyNumberFormat="1" applyFont="1" applyFill="1" applyBorder="1"/>
    <xf numFmtId="0" fontId="0" fillId="0" borderId="20" xfId="0" applyBorder="1"/>
    <xf numFmtId="18" fontId="8" fillId="0" borderId="16" xfId="0" applyNumberFormat="1" applyFont="1" applyFill="1" applyBorder="1" applyAlignment="1">
      <alignment horizontal="center"/>
    </xf>
    <xf numFmtId="0" fontId="0" fillId="0" borderId="8" xfId="0" applyBorder="1"/>
    <xf numFmtId="0" fontId="8" fillId="0" borderId="2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166" fontId="0" fillId="0" borderId="0" xfId="0" applyNumberFormat="1" applyAlignment="1">
      <alignment horizontal="left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5" fillId="0" borderId="23" xfId="0" applyFont="1" applyFill="1" applyBorder="1"/>
    <xf numFmtId="0" fontId="5" fillId="8" borderId="25" xfId="0" applyFont="1" applyFill="1" applyBorder="1"/>
    <xf numFmtId="164" fontId="9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4" fontId="0" fillId="8" borderId="25" xfId="0" applyNumberFormat="1" applyFill="1" applyBorder="1"/>
    <xf numFmtId="0" fontId="0" fillId="8" borderId="26" xfId="0" applyFill="1" applyBorder="1"/>
    <xf numFmtId="164" fontId="0" fillId="8" borderId="1" xfId="0" applyNumberFormat="1" applyFill="1" applyBorder="1"/>
    <xf numFmtId="164" fontId="5" fillId="9" borderId="1" xfId="1" applyNumberFormat="1" applyFont="1" applyFill="1" applyBorder="1"/>
    <xf numFmtId="0" fontId="5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9" fillId="0" borderId="1" xfId="0" applyFont="1" applyFill="1" applyBorder="1"/>
    <xf numFmtId="164" fontId="10" fillId="0" borderId="1" xfId="1" applyNumberFormat="1" applyFont="1" applyFill="1" applyBorder="1"/>
    <xf numFmtId="164" fontId="9" fillId="3" borderId="1" xfId="1" applyNumberFormat="1" applyFont="1" applyFill="1" applyBorder="1"/>
    <xf numFmtId="9" fontId="9" fillId="0" borderId="1" xfId="6" applyNumberFormat="1" applyFont="1" applyFill="1" applyBorder="1"/>
    <xf numFmtId="0" fontId="16" fillId="0" borderId="1" xfId="0" applyFont="1" applyBorder="1"/>
    <xf numFmtId="9" fontId="9" fillId="0" borderId="4" xfId="6" applyNumberFormat="1" applyFont="1" applyFill="1" applyBorder="1"/>
    <xf numFmtId="9" fontId="9" fillId="0" borderId="14" xfId="6" applyNumberFormat="1" applyFont="1" applyFill="1" applyBorder="1"/>
    <xf numFmtId="9" fontId="9" fillId="0" borderId="26" xfId="6" applyNumberFormat="1" applyFont="1" applyFill="1" applyBorder="1"/>
    <xf numFmtId="0" fontId="16" fillId="0" borderId="28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/>
    <xf numFmtId="0" fontId="16" fillId="0" borderId="13" xfId="0" applyFont="1" applyBorder="1"/>
    <xf numFmtId="0" fontId="16" fillId="0" borderId="0" xfId="0" applyFont="1" applyBorder="1"/>
    <xf numFmtId="0" fontId="16" fillId="0" borderId="15" xfId="0" applyFont="1" applyBorder="1"/>
    <xf numFmtId="0" fontId="16" fillId="0" borderId="23" xfId="0" applyFont="1" applyBorder="1"/>
    <xf numFmtId="0" fontId="16" fillId="0" borderId="24" xfId="0" applyFont="1" applyBorder="1"/>
    <xf numFmtId="0" fontId="16" fillId="0" borderId="27" xfId="0" applyFont="1" applyBorder="1"/>
    <xf numFmtId="0" fontId="16" fillId="0" borderId="25" xfId="0" applyFont="1" applyBorder="1"/>
    <xf numFmtId="0" fontId="9" fillId="0" borderId="11" xfId="0" applyFont="1" applyFill="1" applyBorder="1"/>
    <xf numFmtId="0" fontId="9" fillId="2" borderId="1" xfId="0" applyFont="1" applyFill="1" applyBorder="1" applyAlignment="1"/>
    <xf numFmtId="43" fontId="9" fillId="2" borderId="1" xfId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7" fontId="16" fillId="0" borderId="0" xfId="0" applyNumberFormat="1" applyFont="1" applyBorder="1"/>
    <xf numFmtId="17" fontId="16" fillId="0" borderId="15" xfId="0" applyNumberFormat="1" applyFont="1" applyBorder="1"/>
    <xf numFmtId="1" fontId="9" fillId="0" borderId="1" xfId="1" applyNumberFormat="1" applyFont="1" applyFill="1" applyBorder="1"/>
    <xf numFmtId="0" fontId="0" fillId="0" borderId="0" xfId="0" applyAlignment="1">
      <alignment wrapText="1"/>
    </xf>
    <xf numFmtId="0" fontId="15" fillId="3" borderId="1" xfId="0" applyNumberFormat="1" applyFont="1" applyFill="1" applyBorder="1" applyAlignment="1">
      <alignment horizontal="center" wrapText="1"/>
    </xf>
    <xf numFmtId="0" fontId="26" fillId="0" borderId="1" xfId="0" applyFont="1" applyBorder="1" applyAlignment="1">
      <alignment horizontal="center" vertical="top" wrapText="1"/>
    </xf>
    <xf numFmtId="167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7" fontId="5" fillId="0" borderId="1" xfId="0" applyNumberFormat="1" applyFont="1" applyBorder="1" applyAlignment="1">
      <alignment horizontal="center"/>
    </xf>
    <xf numFmtId="43" fontId="5" fillId="9" borderId="1" xfId="1" applyNumberFormat="1" applyFont="1" applyFill="1" applyBorder="1"/>
    <xf numFmtId="0" fontId="27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6" fillId="0" borderId="16" xfId="0" applyFont="1" applyBorder="1" applyAlignment="1">
      <alignment horizontal="center" vertical="top" wrapText="1"/>
    </xf>
    <xf numFmtId="0" fontId="27" fillId="0" borderId="8" xfId="0" applyFont="1" applyBorder="1" applyAlignment="1">
      <alignment vertical="center" wrapText="1"/>
    </xf>
    <xf numFmtId="0" fontId="0" fillId="0" borderId="36" xfId="0" applyBorder="1"/>
    <xf numFmtId="0" fontId="27" fillId="0" borderId="5" xfId="0" applyFont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6" fillId="0" borderId="1" xfId="0" applyFont="1" applyFill="1" applyBorder="1" applyAlignment="1">
      <alignment horizontal="center" vertical="top" wrapText="1"/>
    </xf>
    <xf numFmtId="0" fontId="0" fillId="0" borderId="0" xfId="0" applyFill="1"/>
    <xf numFmtId="164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12" fillId="0" borderId="0" xfId="0" applyFont="1" applyAlignment="1">
      <alignment horizontal="distributed" vertical="justify"/>
    </xf>
    <xf numFmtId="168" fontId="0" fillId="0" borderId="0" xfId="6" applyNumberFormat="1" applyFont="1"/>
    <xf numFmtId="44" fontId="0" fillId="0" borderId="0" xfId="0" applyNumberFormat="1"/>
    <xf numFmtId="0" fontId="26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164" fontId="21" fillId="15" borderId="1" xfId="1" applyNumberFormat="1" applyFont="1" applyFill="1" applyBorder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11" fillId="0" borderId="6" xfId="0" applyFont="1" applyBorder="1"/>
    <xf numFmtId="0" fontId="12" fillId="0" borderId="6" xfId="0" applyFont="1" applyBorder="1" applyAlignment="1">
      <alignment horizontal="center"/>
    </xf>
    <xf numFmtId="44" fontId="21" fillId="12" borderId="1" xfId="3" applyFont="1" applyFill="1" applyBorder="1"/>
    <xf numFmtId="44" fontId="11" fillId="12" borderId="0" xfId="3" applyFont="1" applyFill="1"/>
    <xf numFmtId="43" fontId="0" fillId="0" borderId="0" xfId="1" applyFont="1"/>
    <xf numFmtId="169" fontId="0" fillId="0" borderId="0" xfId="6" applyNumberFormat="1" applyFont="1"/>
    <xf numFmtId="167" fontId="8" fillId="0" borderId="1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left"/>
    </xf>
    <xf numFmtId="167" fontId="10" fillId="0" borderId="1" xfId="0" applyNumberFormat="1" applyFont="1" applyBorder="1" applyAlignment="1">
      <alignment horizontal="center"/>
    </xf>
    <xf numFmtId="164" fontId="5" fillId="6" borderId="1" xfId="1" applyNumberFormat="1" applyFont="1" applyFill="1" applyBorder="1"/>
    <xf numFmtId="0" fontId="16" fillId="0" borderId="28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3" fillId="6" borderId="2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0" fontId="13" fillId="6" borderId="4" xfId="0" applyFont="1" applyFill="1" applyBorder="1"/>
    <xf numFmtId="0" fontId="10" fillId="2" borderId="11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0" fillId="6" borderId="1" xfId="0" applyFont="1" applyFill="1" applyBorder="1"/>
    <xf numFmtId="1" fontId="10" fillId="0" borderId="1" xfId="1" applyNumberFormat="1" applyFont="1" applyFill="1" applyBorder="1"/>
    <xf numFmtId="10" fontId="9" fillId="4" borderId="5" xfId="6" applyNumberFormat="1" applyFont="1" applyFill="1" applyBorder="1"/>
    <xf numFmtId="43" fontId="16" fillId="0" borderId="4" xfId="1" applyFont="1" applyBorder="1"/>
    <xf numFmtId="43" fontId="16" fillId="0" borderId="14" xfId="1" applyFont="1" applyBorder="1"/>
    <xf numFmtId="43" fontId="16" fillId="0" borderId="1" xfId="1" applyFont="1" applyBorder="1"/>
    <xf numFmtId="43" fontId="16" fillId="0" borderId="26" xfId="1" applyFont="1" applyBorder="1"/>
    <xf numFmtId="43" fontId="0" fillId="0" borderId="1" xfId="1" applyFont="1" applyBorder="1"/>
    <xf numFmtId="9" fontId="0" fillId="0" borderId="0" xfId="6" applyNumberFormat="1" applyFont="1"/>
    <xf numFmtId="0" fontId="11" fillId="0" borderId="3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8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12" fillId="0" borderId="1" xfId="3" applyFont="1" applyBorder="1"/>
    <xf numFmtId="0" fontId="11" fillId="0" borderId="0" xfId="0" applyFont="1"/>
    <xf numFmtId="0" fontId="29" fillId="16" borderId="0" xfId="0" applyFont="1" applyFill="1"/>
    <xf numFmtId="43" fontId="0" fillId="0" borderId="8" xfId="1" applyFont="1" applyBorder="1"/>
    <xf numFmtId="0" fontId="26" fillId="0" borderId="1" xfId="0" applyFont="1" applyBorder="1" applyAlignment="1">
      <alignment horizontal="justify" vertical="center"/>
    </xf>
    <xf numFmtId="0" fontId="0" fillId="0" borderId="1" xfId="0" applyFill="1" applyBorder="1"/>
    <xf numFmtId="0" fontId="4" fillId="0" borderId="17" xfId="0" applyFont="1" applyBorder="1" applyAlignment="1">
      <alignment horizontal="center"/>
    </xf>
    <xf numFmtId="0" fontId="25" fillId="0" borderId="38" xfId="0" applyFont="1" applyBorder="1" applyAlignment="1">
      <alignment horizontal="center" vertical="center" wrapText="1"/>
    </xf>
    <xf numFmtId="4" fontId="25" fillId="12" borderId="38" xfId="0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164" fontId="25" fillId="0" borderId="24" xfId="1" applyNumberFormat="1" applyFont="1" applyBorder="1" applyAlignment="1">
      <alignment horizontal="center" vertical="center" wrapText="1"/>
    </xf>
    <xf numFmtId="164" fontId="25" fillId="0" borderId="41" xfId="1" applyNumberFormat="1" applyFont="1" applyBorder="1" applyAlignment="1">
      <alignment horizontal="center" vertical="center" wrapText="1"/>
    </xf>
    <xf numFmtId="164" fontId="21" fillId="12" borderId="26" xfId="1" applyNumberFormat="1" applyFont="1" applyFill="1" applyBorder="1"/>
    <xf numFmtId="164" fontId="0" fillId="12" borderId="42" xfId="0" applyNumberFormat="1" applyFill="1" applyBorder="1"/>
    <xf numFmtId="164" fontId="21" fillId="12" borderId="43" xfId="1" applyNumberFormat="1" applyFont="1" applyFill="1" applyBorder="1"/>
    <xf numFmtId="164" fontId="21" fillId="12" borderId="23" xfId="1" applyNumberFormat="1" applyFont="1" applyFill="1" applyBorder="1"/>
    <xf numFmtId="164" fontId="21" fillId="12" borderId="44" xfId="1" applyNumberFormat="1" applyFont="1" applyFill="1" applyBorder="1"/>
    <xf numFmtId="164" fontId="0" fillId="0" borderId="0" xfId="1" applyNumberFormat="1" applyFont="1" applyFill="1" applyBorder="1"/>
    <xf numFmtId="164" fontId="0" fillId="0" borderId="0" xfId="0" applyNumberFormat="1"/>
    <xf numFmtId="0" fontId="25" fillId="12" borderId="38" xfId="0" applyFont="1" applyFill="1" applyBorder="1" applyAlignment="1">
      <alignment horizontal="center" vertical="center"/>
    </xf>
    <xf numFmtId="164" fontId="21" fillId="12" borderId="27" xfId="1" applyNumberFormat="1" applyFont="1" applyFill="1" applyBorder="1"/>
    <xf numFmtId="164" fontId="21" fillId="12" borderId="5" xfId="1" applyNumberFormat="1" applyFont="1" applyFill="1" applyBorder="1"/>
    <xf numFmtId="43" fontId="0" fillId="12" borderId="26" xfId="0" applyNumberFormat="1" applyFill="1" applyBorder="1"/>
    <xf numFmtId="43" fontId="0" fillId="12" borderId="1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44" fontId="21" fillId="12" borderId="26" xfId="3" applyFont="1" applyFill="1" applyBorder="1"/>
    <xf numFmtId="0" fontId="25" fillId="0" borderId="20" xfId="0" applyFont="1" applyBorder="1" applyAlignment="1">
      <alignment horizontal="center"/>
    </xf>
    <xf numFmtId="0" fontId="25" fillId="0" borderId="20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21" fillId="12" borderId="52" xfId="1" applyNumberFormat="1" applyFont="1" applyFill="1" applyBorder="1"/>
    <xf numFmtId="164" fontId="21" fillId="12" borderId="53" xfId="1" applyNumberFormat="1" applyFont="1" applyFill="1" applyBorder="1"/>
    <xf numFmtId="43" fontId="0" fillId="12" borderId="9" xfId="0" applyNumberFormat="1" applyFill="1" applyBorder="1"/>
    <xf numFmtId="164" fontId="21" fillId="12" borderId="54" xfId="1" applyNumberFormat="1" applyFont="1" applyFill="1" applyBorder="1"/>
    <xf numFmtId="0" fontId="4" fillId="0" borderId="0" xfId="0" applyFont="1"/>
    <xf numFmtId="0" fontId="12" fillId="0" borderId="55" xfId="0" applyFont="1" applyBorder="1" applyAlignment="1">
      <alignment horizontal="center" wrapText="1"/>
    </xf>
    <xf numFmtId="0" fontId="31" fillId="0" borderId="55" xfId="0" applyFont="1" applyBorder="1" applyAlignment="1">
      <alignment vertical="center"/>
    </xf>
    <xf numFmtId="0" fontId="25" fillId="0" borderId="31" xfId="0" applyFont="1" applyBorder="1" applyAlignment="1">
      <alignment horizontal="left" vertical="center"/>
    </xf>
    <xf numFmtId="0" fontId="25" fillId="0" borderId="30" xfId="0" applyFont="1" applyBorder="1" applyAlignment="1">
      <alignment horizontal="left" vertical="center"/>
    </xf>
    <xf numFmtId="164" fontId="21" fillId="12" borderId="25" xfId="1" applyNumberFormat="1" applyFont="1" applyFill="1" applyBorder="1"/>
    <xf numFmtId="9" fontId="0" fillId="12" borderId="49" xfId="0" applyNumberFormat="1" applyFill="1" applyBorder="1"/>
    <xf numFmtId="164" fontId="21" fillId="12" borderId="16" xfId="1" applyNumberFormat="1" applyFont="1" applyFill="1" applyBorder="1"/>
    <xf numFmtId="164" fontId="21" fillId="12" borderId="21" xfId="1" applyNumberFormat="1" applyFont="1" applyFill="1" applyBorder="1"/>
    <xf numFmtId="0" fontId="0" fillId="0" borderId="0" xfId="0" applyFill="1" applyBorder="1"/>
    <xf numFmtId="9" fontId="0" fillId="0" borderId="0" xfId="6" applyFont="1" applyFill="1" applyBorder="1"/>
    <xf numFmtId="164" fontId="0" fillId="0" borderId="0" xfId="0" applyNumberFormat="1" applyFill="1" applyBorder="1"/>
    <xf numFmtId="14" fontId="12" fillId="0" borderId="0" xfId="0" applyNumberFormat="1" applyFont="1" applyBorder="1"/>
    <xf numFmtId="164" fontId="12" fillId="12" borderId="38" xfId="1" applyNumberFormat="1" applyFont="1" applyFill="1" applyBorder="1"/>
    <xf numFmtId="9" fontId="12" fillId="0" borderId="0" xfId="0" applyNumberFormat="1" applyFont="1" applyBorder="1"/>
    <xf numFmtId="164" fontId="12" fillId="12" borderId="0" xfId="1" applyNumberFormat="1" applyFont="1" applyFill="1" applyBorder="1"/>
    <xf numFmtId="164" fontId="12" fillId="0" borderId="0" xfId="1" applyNumberFormat="1" applyFont="1" applyBorder="1"/>
    <xf numFmtId="43" fontId="12" fillId="0" borderId="38" xfId="0" applyNumberFormat="1" applyFont="1" applyBorder="1"/>
    <xf numFmtId="0" fontId="12" fillId="0" borderId="0" xfId="0" applyFont="1" applyBorder="1"/>
    <xf numFmtId="164" fontId="12" fillId="0" borderId="0" xfId="1" applyNumberFormat="1" applyFont="1" applyFill="1" applyBorder="1"/>
    <xf numFmtId="9" fontId="12" fillId="12" borderId="55" xfId="6" applyFont="1" applyFill="1" applyBorder="1"/>
    <xf numFmtId="164" fontId="12" fillId="0" borderId="55" xfId="1" applyNumberFormat="1" applyFont="1" applyBorder="1"/>
    <xf numFmtId="0" fontId="12" fillId="0" borderId="38" xfId="0" applyFont="1" applyBorder="1"/>
    <xf numFmtId="0" fontId="24" fillId="0" borderId="0" xfId="4"/>
    <xf numFmtId="43" fontId="24" fillId="0" borderId="0" xfId="1" applyFont="1"/>
    <xf numFmtId="164" fontId="0" fillId="8" borderId="26" xfId="0" applyNumberFormat="1" applyFill="1" applyBorder="1"/>
    <xf numFmtId="0" fontId="5" fillId="18" borderId="0" xfId="0" applyFont="1" applyFill="1" applyBorder="1" applyAlignment="1">
      <alignment horizontal="center"/>
    </xf>
    <xf numFmtId="0" fontId="5" fillId="18" borderId="0" xfId="0" applyFont="1" applyFill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43" fontId="0" fillId="0" borderId="1" xfId="0" applyNumberFormat="1" applyBorder="1"/>
    <xf numFmtId="0" fontId="28" fillId="0" borderId="1" xfId="0" applyFont="1" applyBorder="1" applyAlignment="1">
      <alignment vertical="top"/>
    </xf>
    <xf numFmtId="0" fontId="28" fillId="0" borderId="1" xfId="0" applyFont="1" applyBorder="1" applyAlignment="1">
      <alignment vertical="top" wrapText="1"/>
    </xf>
    <xf numFmtId="0" fontId="14" fillId="19" borderId="1" xfId="0" applyFont="1" applyFill="1" applyBorder="1" applyAlignment="1">
      <alignment vertical="top"/>
    </xf>
    <xf numFmtId="0" fontId="0" fillId="19" borderId="1" xfId="0" applyFill="1" applyBorder="1"/>
    <xf numFmtId="43" fontId="0" fillId="19" borderId="1" xfId="0" applyNumberFormat="1" applyFill="1" applyBorder="1"/>
    <xf numFmtId="0" fontId="14" fillId="20" borderId="1" xfId="0" applyFont="1" applyFill="1" applyBorder="1" applyAlignment="1">
      <alignment vertical="top"/>
    </xf>
    <xf numFmtId="0" fontId="14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4" fillId="21" borderId="1" xfId="0" applyFont="1" applyFill="1" applyBorder="1" applyAlignment="1">
      <alignment vertical="top"/>
    </xf>
    <xf numFmtId="0" fontId="0" fillId="21" borderId="1" xfId="0" applyFill="1" applyBorder="1"/>
    <xf numFmtId="1" fontId="0" fillId="21" borderId="1" xfId="0" applyNumberFormat="1" applyFill="1" applyBorder="1"/>
    <xf numFmtId="0" fontId="14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43" fontId="0" fillId="0" borderId="26" xfId="0" applyNumberFormat="1" applyBorder="1"/>
    <xf numFmtId="0" fontId="9" fillId="3" borderId="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70" fontId="0" fillId="0" borderId="0" xfId="0" applyNumberFormat="1"/>
    <xf numFmtId="0" fontId="32" fillId="16" borderId="0" xfId="0" applyFont="1" applyFill="1" applyBorder="1" applyAlignment="1">
      <alignment wrapText="1"/>
    </xf>
    <xf numFmtId="0" fontId="25" fillId="16" borderId="68" xfId="0" applyFont="1" applyFill="1" applyBorder="1" applyAlignment="1">
      <alignment horizontal="center" vertical="center" wrapText="1"/>
    </xf>
    <xf numFmtId="0" fontId="25" fillId="16" borderId="69" xfId="0" applyFont="1" applyFill="1" applyBorder="1" applyAlignment="1">
      <alignment horizontal="center" wrapText="1"/>
    </xf>
    <xf numFmtId="0" fontId="25" fillId="16" borderId="70" xfId="0" applyFont="1" applyFill="1" applyBorder="1" applyAlignment="1">
      <alignment horizontal="center" vertical="center" wrapText="1"/>
    </xf>
    <xf numFmtId="0" fontId="25" fillId="16" borderId="71" xfId="0" applyFont="1" applyFill="1" applyBorder="1" applyAlignment="1">
      <alignment horizontal="center" vertical="center" wrapText="1"/>
    </xf>
    <xf numFmtId="0" fontId="25" fillId="16" borderId="0" xfId="0" applyFont="1" applyFill="1" applyBorder="1" applyAlignment="1">
      <alignment horizontal="center" vertical="center" wrapText="1"/>
    </xf>
    <xf numFmtId="0" fontId="32" fillId="0" borderId="72" xfId="0" applyFont="1" applyBorder="1"/>
    <xf numFmtId="0" fontId="33" fillId="0" borderId="72" xfId="0" applyFont="1" applyBorder="1"/>
    <xf numFmtId="0" fontId="32" fillId="0" borderId="0" xfId="0" applyFont="1" applyBorder="1"/>
    <xf numFmtId="18" fontId="32" fillId="0" borderId="72" xfId="0" applyNumberFormat="1" applyFont="1" applyBorder="1"/>
    <xf numFmtId="0" fontId="0" fillId="0" borderId="73" xfId="0" applyBorder="1"/>
    <xf numFmtId="171" fontId="0" fillId="0" borderId="0" xfId="0" applyNumberFormat="1"/>
    <xf numFmtId="172" fontId="0" fillId="0" borderId="0" xfId="0" applyNumberFormat="1"/>
    <xf numFmtId="0" fontId="32" fillId="0" borderId="74" xfId="0" applyFont="1" applyBorder="1"/>
    <xf numFmtId="0" fontId="33" fillId="0" borderId="74" xfId="0" applyFont="1" applyBorder="1"/>
    <xf numFmtId="0" fontId="32" fillId="0" borderId="75" xfId="0" applyFont="1" applyBorder="1"/>
    <xf numFmtId="0" fontId="0" fillId="0" borderId="30" xfId="0" applyBorder="1"/>
    <xf numFmtId="0" fontId="0" fillId="0" borderId="38" xfId="0" applyBorder="1"/>
    <xf numFmtId="0" fontId="4" fillId="0" borderId="3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7" fontId="4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25" fillId="16" borderId="76" xfId="0" applyFont="1" applyFill="1" applyBorder="1" applyAlignment="1">
      <alignment horizontal="center" vertical="center" wrapText="1"/>
    </xf>
    <xf numFmtId="0" fontId="32" fillId="0" borderId="77" xfId="0" applyFont="1" applyBorder="1"/>
    <xf numFmtId="171" fontId="0" fillId="0" borderId="0" xfId="0" applyNumberFormat="1" applyBorder="1"/>
    <xf numFmtId="44" fontId="32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44" fontId="32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32" fillId="0" borderId="73" xfId="0" applyFont="1" applyBorder="1"/>
    <xf numFmtId="0" fontId="32" fillId="0" borderId="78" xfId="0" applyFont="1" applyBorder="1"/>
    <xf numFmtId="0" fontId="24" fillId="0" borderId="0" xfId="4" applyBorder="1"/>
    <xf numFmtId="43" fontId="24" fillId="0" borderId="0" xfId="1" applyFont="1" applyBorder="1"/>
    <xf numFmtId="164" fontId="21" fillId="12" borderId="58" xfId="1" applyNumberFormat="1" applyFont="1" applyFill="1" applyBorder="1"/>
    <xf numFmtId="0" fontId="0" fillId="12" borderId="27" xfId="0" applyFill="1" applyBorder="1"/>
    <xf numFmtId="43" fontId="0" fillId="0" borderId="40" xfId="1" applyFont="1" applyBorder="1"/>
    <xf numFmtId="0" fontId="25" fillId="0" borderId="60" xfId="0" applyFont="1" applyBorder="1" applyAlignment="1">
      <alignment vertical="center"/>
    </xf>
    <xf numFmtId="0" fontId="25" fillId="12" borderId="20" xfId="0" applyFont="1" applyFill="1" applyBorder="1" applyAlignment="1">
      <alignment horizontal="center" vertical="center" wrapText="1"/>
    </xf>
    <xf numFmtId="0" fontId="25" fillId="12" borderId="45" xfId="0" applyFont="1" applyFill="1" applyBorder="1" applyAlignment="1">
      <alignment horizontal="center" vertical="center"/>
    </xf>
    <xf numFmtId="0" fontId="25" fillId="12" borderId="57" xfId="0" applyFont="1" applyFill="1" applyBorder="1" applyAlignment="1">
      <alignment horizontal="center" vertical="center" wrapText="1"/>
    </xf>
    <xf numFmtId="0" fontId="25" fillId="12" borderId="45" xfId="0" applyFont="1" applyFill="1" applyBorder="1" applyAlignment="1">
      <alignment horizontal="center" vertical="center" wrapText="1"/>
    </xf>
    <xf numFmtId="0" fontId="25" fillId="12" borderId="45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12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45" xfId="0" applyFont="1" applyBorder="1" applyAlignment="1">
      <alignment vertical="center"/>
    </xf>
    <xf numFmtId="0" fontId="25" fillId="12" borderId="18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164" fontId="0" fillId="12" borderId="58" xfId="0" applyNumberFormat="1" applyFill="1" applyBorder="1"/>
    <xf numFmtId="9" fontId="21" fillId="12" borderId="41" xfId="6" applyFont="1" applyFill="1" applyBorder="1"/>
    <xf numFmtId="164" fontId="21" fillId="12" borderId="41" xfId="1" applyNumberFormat="1" applyFon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4" fontId="23" fillId="23" borderId="22" xfId="1" applyNumberFormat="1" applyFont="1" applyFill="1" applyBorder="1"/>
    <xf numFmtId="164" fontId="23" fillId="23" borderId="58" xfId="1" applyNumberFormat="1" applyFont="1" applyFill="1" applyBorder="1"/>
    <xf numFmtId="164" fontId="23" fillId="23" borderId="49" xfId="1" applyNumberFormat="1" applyFont="1" applyFill="1" applyBorder="1"/>
    <xf numFmtId="167" fontId="22" fillId="0" borderId="1" xfId="0" applyNumberFormat="1" applyFont="1" applyFill="1" applyBorder="1" applyAlignment="1">
      <alignment horizontal="center"/>
    </xf>
    <xf numFmtId="9" fontId="25" fillId="12" borderId="1" xfId="0" applyNumberFormat="1" applyFont="1" applyFill="1" applyBorder="1" applyAlignment="1">
      <alignment horizontal="center" vertical="center" wrapText="1"/>
    </xf>
    <xf numFmtId="0" fontId="25" fillId="7" borderId="4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43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NumberFormat="1" applyFont="1" applyBorder="1" applyAlignment="1">
      <alignment horizontal="center"/>
    </xf>
    <xf numFmtId="0" fontId="7" fillId="0" borderId="24" xfId="0" applyNumberFormat="1" applyFont="1" applyBorder="1" applyAlignment="1">
      <alignment horizontal="center"/>
    </xf>
    <xf numFmtId="4" fontId="7" fillId="0" borderId="0" xfId="0" applyNumberFormat="1" applyFont="1" applyFill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NumberFormat="1" applyFont="1" applyAlignment="1">
      <alignment horizontal="center"/>
    </xf>
    <xf numFmtId="0" fontId="14" fillId="0" borderId="14" xfId="0" applyNumberFormat="1" applyFont="1" applyBorder="1" applyAlignment="1">
      <alignment horizontal="center"/>
    </xf>
    <xf numFmtId="0" fontId="14" fillId="0" borderId="0" xfId="0" applyNumberFormat="1" applyFont="1" applyBorder="1" applyAlignment="1">
      <alignment horizontal="center"/>
    </xf>
    <xf numFmtId="0" fontId="15" fillId="3" borderId="5" xfId="0" applyNumberFormat="1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38" fillId="0" borderId="0" xfId="0" applyFont="1" applyBorder="1" applyAlignment="1">
      <alignment horizontal="center"/>
    </xf>
    <xf numFmtId="43" fontId="38" fillId="10" borderId="1" xfId="1" applyFont="1" applyFill="1" applyBorder="1" applyAlignment="1">
      <alignment horizontal="center"/>
    </xf>
    <xf numFmtId="43" fontId="38" fillId="10" borderId="0" xfId="1" applyFont="1" applyFill="1" applyBorder="1" applyAlignment="1">
      <alignment horizontal="center"/>
    </xf>
    <xf numFmtId="43" fontId="20" fillId="0" borderId="0" xfId="1" applyFont="1" applyBorder="1" applyAlignment="1">
      <alignment horizontal="center"/>
    </xf>
    <xf numFmtId="43" fontId="20" fillId="0" borderId="4" xfId="1" applyFont="1" applyBorder="1" applyAlignment="1">
      <alignment horizontal="center"/>
    </xf>
    <xf numFmtId="43" fontId="20" fillId="16" borderId="4" xfId="1" applyFont="1" applyFill="1" applyBorder="1" applyAlignment="1">
      <alignment horizontal="center"/>
    </xf>
    <xf numFmtId="0" fontId="20" fillId="11" borderId="0" xfId="1" applyNumberFormat="1" applyFont="1" applyFill="1" applyBorder="1" applyAlignment="1">
      <alignment horizontal="center"/>
    </xf>
    <xf numFmtId="0" fontId="20" fillId="0" borderId="0" xfId="0" applyNumberFormat="1" applyFont="1" applyBorder="1" applyAlignment="1">
      <alignment horizontal="center"/>
    </xf>
    <xf numFmtId="0" fontId="20" fillId="0" borderId="1" xfId="0" applyNumberFormat="1" applyFont="1" applyBorder="1" applyAlignment="1">
      <alignment horizontal="center"/>
    </xf>
    <xf numFmtId="0" fontId="20" fillId="0" borderId="14" xfId="0" applyNumberFormat="1" applyFont="1" applyBorder="1" applyAlignment="1">
      <alignment horizontal="center"/>
    </xf>
    <xf numFmtId="0" fontId="20" fillId="0" borderId="25" xfId="0" applyNumberFormat="1" applyFont="1" applyBorder="1" applyAlignment="1">
      <alignment horizontal="center"/>
    </xf>
    <xf numFmtId="0" fontId="7" fillId="0" borderId="26" xfId="0" applyNumberFormat="1" applyFont="1" applyBorder="1" applyAlignment="1">
      <alignment horizontal="center"/>
    </xf>
    <xf numFmtId="0" fontId="15" fillId="0" borderId="0" xfId="0" applyNumberFormat="1" applyFont="1" applyBorder="1" applyAlignment="1">
      <alignment horizontal="center"/>
    </xf>
    <xf numFmtId="0" fontId="39" fillId="9" borderId="0" xfId="0" applyNumberFormat="1" applyFont="1" applyFill="1" applyBorder="1" applyAlignment="1">
      <alignment horizontal="center"/>
    </xf>
    <xf numFmtId="0" fontId="15" fillId="3" borderId="24" xfId="0" applyNumberFormat="1" applyFont="1" applyFill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165" fontId="20" fillId="0" borderId="4" xfId="0" applyNumberFormat="1" applyFont="1" applyBorder="1" applyAlignment="1">
      <alignment horizontal="center"/>
    </xf>
    <xf numFmtId="43" fontId="20" fillId="10" borderId="1" xfId="1" applyFont="1" applyFill="1" applyBorder="1" applyAlignment="1">
      <alignment horizontal="center"/>
    </xf>
    <xf numFmtId="43" fontId="20" fillId="10" borderId="5" xfId="1" applyFont="1" applyFill="1" applyBorder="1" applyAlignment="1">
      <alignment horizontal="center"/>
    </xf>
    <xf numFmtId="43" fontId="20" fillId="0" borderId="5" xfId="1" applyFont="1" applyBorder="1" applyAlignment="1">
      <alignment horizontal="center"/>
    </xf>
    <xf numFmtId="43" fontId="20" fillId="0" borderId="1" xfId="1" applyFont="1" applyBorder="1" applyAlignment="1">
      <alignment horizontal="center"/>
    </xf>
    <xf numFmtId="43" fontId="20" fillId="0" borderId="22" xfId="1" applyFont="1" applyBorder="1" applyAlignment="1">
      <alignment horizontal="center"/>
    </xf>
    <xf numFmtId="43" fontId="20" fillId="16" borderId="1" xfId="1" applyFont="1" applyFill="1" applyBorder="1" applyAlignment="1">
      <alignment horizontal="center"/>
    </xf>
    <xf numFmtId="43" fontId="20" fillId="16" borderId="23" xfId="1" applyFont="1" applyFill="1" applyBorder="1" applyAlignment="1">
      <alignment horizontal="center"/>
    </xf>
    <xf numFmtId="0" fontId="20" fillId="0" borderId="1" xfId="1" applyNumberFormat="1" applyFont="1" applyFill="1" applyBorder="1" applyAlignment="1">
      <alignment horizontal="center"/>
    </xf>
    <xf numFmtId="0" fontId="20" fillId="0" borderId="1" xfId="1" applyNumberFormat="1" applyFont="1" applyBorder="1" applyAlignment="1">
      <alignment horizontal="center"/>
    </xf>
    <xf numFmtId="0" fontId="20" fillId="0" borderId="23" xfId="1" applyNumberFormat="1" applyFont="1" applyFill="1" applyBorder="1" applyAlignment="1">
      <alignment horizontal="center"/>
    </xf>
    <xf numFmtId="0" fontId="20" fillId="0" borderId="22" xfId="1" applyNumberFormat="1" applyFont="1" applyBorder="1" applyAlignment="1">
      <alignment horizontal="center"/>
    </xf>
    <xf numFmtId="0" fontId="20" fillId="0" borderId="5" xfId="1" applyNumberFormat="1" applyFont="1" applyBorder="1" applyAlignment="1">
      <alignment horizontal="center"/>
    </xf>
    <xf numFmtId="0" fontId="15" fillId="0" borderId="1" xfId="1" applyNumberFormat="1" applyFont="1" applyBorder="1" applyAlignment="1">
      <alignment horizontal="center"/>
    </xf>
    <xf numFmtId="0" fontId="15" fillId="0" borderId="5" xfId="1" applyNumberFormat="1" applyFont="1" applyBorder="1" applyAlignment="1">
      <alignment horizontal="center"/>
    </xf>
    <xf numFmtId="43" fontId="15" fillId="9" borderId="1" xfId="1" applyNumberFormat="1" applyFont="1" applyFill="1" applyBorder="1" applyAlignment="1">
      <alignment horizontal="center"/>
    </xf>
    <xf numFmtId="0" fontId="15" fillId="9" borderId="23" xfId="1" applyNumberFormat="1" applyFont="1" applyFill="1" applyBorder="1" applyAlignment="1">
      <alignment horizontal="center"/>
    </xf>
    <xf numFmtId="167" fontId="15" fillId="0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164" fontId="15" fillId="0" borderId="5" xfId="1" applyNumberFormat="1" applyFont="1" applyFill="1" applyBorder="1" applyAlignment="1">
      <alignment horizontal="center"/>
    </xf>
    <xf numFmtId="43" fontId="15" fillId="11" borderId="1" xfId="1" applyNumberFormat="1" applyFont="1" applyFill="1" applyBorder="1" applyAlignment="1">
      <alignment horizontal="center"/>
    </xf>
    <xf numFmtId="0" fontId="15" fillId="11" borderId="5" xfId="1" applyNumberFormat="1" applyFont="1" applyFill="1" applyBorder="1" applyAlignment="1">
      <alignment horizontal="center"/>
    </xf>
    <xf numFmtId="43" fontId="20" fillId="0" borderId="1" xfId="1" applyFont="1" applyFill="1" applyBorder="1" applyAlignment="1">
      <alignment horizontal="center"/>
    </xf>
    <xf numFmtId="0" fontId="15" fillId="0" borderId="1" xfId="1" applyNumberFormat="1" applyFont="1" applyFill="1" applyBorder="1" applyAlignment="1">
      <alignment horizontal="center"/>
    </xf>
    <xf numFmtId="1" fontId="15" fillId="17" borderId="1" xfId="1" applyNumberFormat="1" applyFont="1" applyFill="1" applyBorder="1" applyAlignment="1">
      <alignment horizontal="center"/>
    </xf>
    <xf numFmtId="0" fontId="7" fillId="0" borderId="0" xfId="0" applyFont="1" applyFill="1"/>
    <xf numFmtId="164" fontId="20" fillId="10" borderId="1" xfId="1" applyNumberFormat="1" applyFont="1" applyFill="1" applyBorder="1" applyAlignment="1">
      <alignment horizontal="center"/>
    </xf>
    <xf numFmtId="164" fontId="20" fillId="0" borderId="5" xfId="1" applyNumberFormat="1" applyFont="1" applyBorder="1" applyAlignment="1">
      <alignment horizontal="center"/>
    </xf>
    <xf numFmtId="164" fontId="20" fillId="0" borderId="22" xfId="1" applyNumberFormat="1" applyFont="1" applyBorder="1" applyAlignment="1">
      <alignment horizontal="center"/>
    </xf>
    <xf numFmtId="0" fontId="15" fillId="0" borderId="4" xfId="1" applyNumberFormat="1" applyFont="1" applyBorder="1" applyAlignment="1">
      <alignment horizontal="center"/>
    </xf>
    <xf numFmtId="0" fontId="15" fillId="0" borderId="22" xfId="1" applyNumberFormat="1" applyFont="1" applyFill="1" applyBorder="1" applyAlignment="1">
      <alignment horizontal="center"/>
    </xf>
    <xf numFmtId="0" fontId="15" fillId="0" borderId="22" xfId="1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0" fontId="42" fillId="5" borderId="66" xfId="0" applyFont="1" applyFill="1" applyBorder="1" applyAlignment="1">
      <alignment horizontal="center"/>
    </xf>
    <xf numFmtId="0" fontId="42" fillId="22" borderId="29" xfId="0" applyFont="1" applyFill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15" fillId="11" borderId="1" xfId="1" applyNumberFormat="1" applyFont="1" applyFill="1" applyBorder="1" applyAlignment="1">
      <alignment horizontal="center"/>
    </xf>
    <xf numFmtId="0" fontId="15" fillId="2" borderId="1" xfId="1" applyNumberFormat="1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4" fontId="14" fillId="8" borderId="1" xfId="0" applyNumberFormat="1" applyFont="1" applyFill="1" applyBorder="1" applyAlignment="1">
      <alignment horizontal="center"/>
    </xf>
    <xf numFmtId="0" fontId="14" fillId="0" borderId="24" xfId="0" applyNumberFormat="1" applyFont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15" fillId="11" borderId="4" xfId="1" applyNumberFormat="1" applyFont="1" applyFill="1" applyBorder="1" applyAlignment="1">
      <alignment horizontal="center"/>
    </xf>
    <xf numFmtId="0" fontId="20" fillId="0" borderId="4" xfId="1" applyNumberFormat="1" applyFont="1" applyBorder="1" applyAlignment="1">
      <alignment horizontal="center"/>
    </xf>
    <xf numFmtId="0" fontId="20" fillId="0" borderId="4" xfId="1" applyNumberFormat="1" applyFont="1" applyFill="1" applyBorder="1" applyAlignment="1">
      <alignment horizontal="center"/>
    </xf>
    <xf numFmtId="0" fontId="7" fillId="0" borderId="28" xfId="0" applyNumberFormat="1" applyFont="1" applyFill="1" applyBorder="1" applyAlignment="1">
      <alignment horizontal="center"/>
    </xf>
    <xf numFmtId="0" fontId="20" fillId="0" borderId="11" xfId="1" applyNumberFormat="1" applyFont="1" applyFill="1" applyBorder="1" applyAlignment="1">
      <alignment horizontal="center"/>
    </xf>
    <xf numFmtId="0" fontId="14" fillId="8" borderId="30" xfId="0" applyNumberFormat="1" applyFont="1" applyFill="1" applyBorder="1" applyAlignment="1">
      <alignment horizontal="center"/>
    </xf>
    <xf numFmtId="0" fontId="14" fillId="8" borderId="34" xfId="0" applyNumberFormat="1" applyFont="1" applyFill="1" applyBorder="1" applyAlignment="1">
      <alignment horizontal="center"/>
    </xf>
    <xf numFmtId="0" fontId="14" fillId="8" borderId="0" xfId="0" applyFont="1" applyFill="1"/>
    <xf numFmtId="0" fontId="40" fillId="0" borderId="0" xfId="0" applyNumberFormat="1" applyFont="1" applyFill="1" applyBorder="1" applyAlignment="1">
      <alignment horizontal="center"/>
    </xf>
    <xf numFmtId="4" fontId="7" fillId="0" borderId="0" xfId="0" applyNumberFormat="1" applyFont="1" applyAlignment="1">
      <alignment horizontal="center"/>
    </xf>
    <xf numFmtId="9" fontId="7" fillId="0" borderId="0" xfId="6" applyFont="1" applyAlignment="1">
      <alignment horizontal="center"/>
    </xf>
    <xf numFmtId="43" fontId="7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4" fontId="15" fillId="0" borderId="5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9" fillId="0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0" borderId="26" xfId="0" applyFont="1" applyFill="1" applyBorder="1"/>
    <xf numFmtId="0" fontId="5" fillId="9" borderId="26" xfId="0" applyFont="1" applyFill="1" applyBorder="1"/>
    <xf numFmtId="0" fontId="32" fillId="24" borderId="1" xfId="4" applyFont="1" applyFill="1" applyBorder="1" applyAlignment="1">
      <alignment horizontal="center"/>
    </xf>
    <xf numFmtId="0" fontId="32" fillId="0" borderId="1" xfId="4" applyFont="1" applyBorder="1" applyAlignment="1">
      <alignment horizontal="center"/>
    </xf>
    <xf numFmtId="0" fontId="32" fillId="25" borderId="1" xfId="4" applyFont="1" applyFill="1" applyBorder="1" applyAlignment="1">
      <alignment horizontal="center"/>
    </xf>
    <xf numFmtId="0" fontId="27" fillId="8" borderId="1" xfId="0" applyFont="1" applyFill="1" applyBorder="1"/>
    <xf numFmtId="43" fontId="47" fillId="8" borderId="1" xfId="1" applyNumberFormat="1" applyFont="1" applyFill="1" applyBorder="1"/>
    <xf numFmtId="164" fontId="47" fillId="8" borderId="5" xfId="1" applyNumberFormat="1" applyFont="1" applyFill="1" applyBorder="1"/>
    <xf numFmtId="164" fontId="5" fillId="11" borderId="5" xfId="1" applyNumberFormat="1" applyFont="1" applyFill="1" applyBorder="1"/>
    <xf numFmtId="0" fontId="0" fillId="27" borderId="1" xfId="0" applyFill="1" applyBorder="1"/>
    <xf numFmtId="15" fontId="0" fillId="0" borderId="16" xfId="0" applyNumberFormat="1" applyBorder="1"/>
    <xf numFmtId="0" fontId="0" fillId="7" borderId="8" xfId="0" applyFill="1" applyBorder="1"/>
    <xf numFmtId="0" fontId="0" fillId="0" borderId="60" xfId="0" applyBorder="1"/>
    <xf numFmtId="0" fontId="0" fillId="0" borderId="61" xfId="0" applyBorder="1"/>
    <xf numFmtId="0" fontId="0" fillId="0" borderId="51" xfId="0" applyBorder="1"/>
    <xf numFmtId="0" fontId="0" fillId="0" borderId="48" xfId="0" applyBorder="1"/>
    <xf numFmtId="0" fontId="0" fillId="0" borderId="50" xfId="0" applyBorder="1"/>
    <xf numFmtId="0" fontId="0" fillId="28" borderId="17" xfId="0" applyFill="1" applyBorder="1"/>
    <xf numFmtId="0" fontId="0" fillId="28" borderId="6" xfId="0" applyFill="1" applyBorder="1"/>
    <xf numFmtId="0" fontId="0" fillId="28" borderId="7" xfId="0" applyFill="1" applyBorder="1"/>
    <xf numFmtId="0" fontId="0" fillId="7" borderId="5" xfId="0" applyFill="1" applyBorder="1"/>
    <xf numFmtId="0" fontId="0" fillId="13" borderId="22" xfId="0" applyFill="1" applyBorder="1"/>
    <xf numFmtId="0" fontId="25" fillId="7" borderId="15" xfId="4" applyFont="1" applyFill="1" applyBorder="1" applyAlignment="1">
      <alignment horizontal="center"/>
    </xf>
    <xf numFmtId="0" fontId="25" fillId="7" borderId="14" xfId="4" applyFont="1" applyFill="1" applyBorder="1" applyAlignment="1">
      <alignment horizontal="center"/>
    </xf>
    <xf numFmtId="0" fontId="25" fillId="7" borderId="87" xfId="4" applyFont="1" applyFill="1" applyBorder="1" applyAlignment="1">
      <alignment horizontal="center"/>
    </xf>
    <xf numFmtId="164" fontId="48" fillId="8" borderId="1" xfId="0" applyNumberFormat="1" applyFont="1" applyFill="1" applyBorder="1"/>
    <xf numFmtId="0" fontId="25" fillId="7" borderId="88" xfId="4" applyFont="1" applyFill="1" applyBorder="1" applyAlignment="1">
      <alignment horizontal="center"/>
    </xf>
    <xf numFmtId="0" fontId="25" fillId="7" borderId="89" xfId="4" applyFont="1" applyFill="1" applyBorder="1" applyAlignment="1">
      <alignment horizontal="center"/>
    </xf>
    <xf numFmtId="164" fontId="45" fillId="0" borderId="1" xfId="2" applyNumberFormat="1" applyFont="1" applyFill="1" applyBorder="1" applyAlignment="1">
      <alignment horizontal="center"/>
    </xf>
    <xf numFmtId="1" fontId="0" fillId="0" borderId="0" xfId="0" applyNumberFormat="1"/>
    <xf numFmtId="167" fontId="8" fillId="0" borderId="26" xfId="0" applyNumberFormat="1" applyFont="1" applyFill="1" applyBorder="1" applyAlignment="1">
      <alignment horizontal="center"/>
    </xf>
    <xf numFmtId="0" fontId="30" fillId="0" borderId="3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50" fillId="0" borderId="65" xfId="0" applyFont="1" applyBorder="1" applyAlignment="1">
      <alignment horizontal="center" wrapText="1"/>
    </xf>
    <xf numFmtId="14" fontId="0" fillId="0" borderId="56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0" fontId="0" fillId="29" borderId="8" xfId="0" applyFill="1" applyBorder="1" applyAlignment="1">
      <alignment horizontal="center" wrapText="1"/>
    </xf>
    <xf numFmtId="43" fontId="0" fillId="30" borderId="26" xfId="0" applyNumberFormat="1" applyFill="1" applyBorder="1"/>
    <xf numFmtId="0" fontId="7" fillId="0" borderId="1" xfId="0" applyFont="1" applyBorder="1" applyAlignment="1"/>
    <xf numFmtId="0" fontId="9" fillId="30" borderId="1" xfId="0" applyFont="1" applyFill="1" applyBorder="1" applyAlignment="1">
      <alignment horizontal="center"/>
    </xf>
    <xf numFmtId="0" fontId="9" fillId="30" borderId="22" xfId="0" applyFont="1" applyFill="1" applyBorder="1"/>
    <xf numFmtId="1" fontId="9" fillId="30" borderId="1" xfId="1" applyNumberFormat="1" applyFont="1" applyFill="1" applyBorder="1"/>
    <xf numFmtId="0" fontId="0" fillId="6" borderId="1" xfId="2" applyNumberFormat="1" applyFont="1" applyFill="1" applyBorder="1"/>
    <xf numFmtId="0" fontId="52" fillId="0" borderId="1" xfId="0" applyFont="1" applyBorder="1" applyAlignment="1"/>
    <xf numFmtId="1" fontId="46" fillId="0" borderId="1" xfId="0" applyNumberFormat="1" applyFont="1" applyBorder="1"/>
    <xf numFmtId="0" fontId="7" fillId="0" borderId="8" xfId="0" applyFont="1" applyBorder="1" applyAlignment="1"/>
    <xf numFmtId="0" fontId="52" fillId="0" borderId="8" xfId="0" applyFont="1" applyBorder="1" applyAlignment="1"/>
    <xf numFmtId="0" fontId="0" fillId="14" borderId="2" xfId="0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vertical="top"/>
    </xf>
    <xf numFmtId="9" fontId="0" fillId="0" borderId="1" xfId="0" applyNumberFormat="1" applyFill="1" applyBorder="1"/>
    <xf numFmtId="43" fontId="4" fillId="9" borderId="1" xfId="0" applyNumberFormat="1" applyFont="1" applyFill="1" applyBorder="1"/>
    <xf numFmtId="0" fontId="0" fillId="9" borderId="1" xfId="0" applyFill="1" applyBorder="1"/>
    <xf numFmtId="4" fontId="4" fillId="9" borderId="1" xfId="0" applyNumberFormat="1" applyFont="1" applyFill="1" applyBorder="1"/>
    <xf numFmtId="0" fontId="4" fillId="9" borderId="1" xfId="0" applyFont="1" applyFill="1" applyBorder="1"/>
    <xf numFmtId="1" fontId="4" fillId="9" borderId="26" xfId="0" applyNumberFormat="1" applyFont="1" applyFill="1" applyBorder="1"/>
    <xf numFmtId="4" fontId="51" fillId="9" borderId="1" xfId="0" applyNumberFormat="1" applyFont="1" applyFill="1" applyBorder="1"/>
    <xf numFmtId="0" fontId="0" fillId="16" borderId="1" xfId="0" applyFill="1" applyBorder="1" applyAlignment="1">
      <alignment horizontal="center"/>
    </xf>
    <xf numFmtId="9" fontId="55" fillId="0" borderId="1" xfId="6" applyNumberFormat="1" applyFont="1" applyFill="1" applyBorder="1"/>
    <xf numFmtId="43" fontId="19" fillId="11" borderId="22" xfId="1" applyNumberFormat="1" applyFont="1" applyFill="1" applyBorder="1" applyAlignment="1">
      <alignment horizontal="center"/>
    </xf>
    <xf numFmtId="0" fontId="15" fillId="3" borderId="22" xfId="0" applyNumberFormat="1" applyFont="1" applyFill="1" applyBorder="1" applyAlignment="1">
      <alignment horizontal="center" wrapText="1"/>
    </xf>
    <xf numFmtId="0" fontId="7" fillId="0" borderId="1" xfId="0" applyFont="1" applyFill="1" applyBorder="1"/>
    <xf numFmtId="0" fontId="50" fillId="0" borderId="93" xfId="0" applyFont="1" applyBorder="1" applyAlignment="1">
      <alignment horizontal="center" wrapText="1"/>
    </xf>
    <xf numFmtId="0" fontId="0" fillId="9" borderId="0" xfId="0" applyFill="1" applyBorder="1"/>
    <xf numFmtId="0" fontId="13" fillId="9" borderId="0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0" fillId="34" borderId="1" xfId="0" applyFill="1" applyBorder="1"/>
    <xf numFmtId="0" fontId="0" fillId="35" borderId="1" xfId="0" applyFill="1" applyBorder="1"/>
    <xf numFmtId="0" fontId="0" fillId="0" borderId="35" xfId="0" applyBorder="1"/>
    <xf numFmtId="14" fontId="50" fillId="0" borderId="1" xfId="0" applyNumberFormat="1" applyFont="1" applyBorder="1" applyAlignment="1">
      <alignment vertical="top"/>
    </xf>
    <xf numFmtId="14" fontId="0" fillId="16" borderId="0" xfId="0" applyNumberFormat="1" applyFill="1" applyBorder="1"/>
    <xf numFmtId="164" fontId="0" fillId="16" borderId="0" xfId="1" applyNumberFormat="1" applyFont="1" applyFill="1" applyBorder="1"/>
    <xf numFmtId="9" fontId="0" fillId="16" borderId="0" xfId="0" applyNumberFormat="1" applyFill="1" applyBorder="1"/>
    <xf numFmtId="43" fontId="0" fillId="16" borderId="0" xfId="0" applyNumberFormat="1" applyFill="1" applyBorder="1"/>
    <xf numFmtId="0" fontId="0" fillId="16" borderId="0" xfId="0" applyFill="1" applyBorder="1"/>
    <xf numFmtId="43" fontId="41" fillId="7" borderId="1" xfId="0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center" vertical="center" wrapText="1"/>
    </xf>
    <xf numFmtId="0" fontId="25" fillId="12" borderId="0" xfId="0" applyFont="1" applyFill="1" applyBorder="1" applyAlignment="1">
      <alignment horizontal="center" vertical="center" wrapText="1"/>
    </xf>
    <xf numFmtId="0" fontId="25" fillId="12" borderId="47" xfId="0" applyFont="1" applyFill="1" applyBorder="1" applyAlignment="1">
      <alignment horizontal="center" vertical="center" wrapText="1"/>
    </xf>
    <xf numFmtId="0" fontId="25" fillId="12" borderId="38" xfId="0" applyFont="1" applyFill="1" applyBorder="1" applyAlignment="1">
      <alignment vertical="center" wrapText="1"/>
    </xf>
    <xf numFmtId="0" fontId="25" fillId="12" borderId="38" xfId="0" applyFont="1" applyFill="1" applyBorder="1" applyAlignment="1">
      <alignment horizontal="center" vertical="center" wrapText="1"/>
    </xf>
    <xf numFmtId="0" fontId="25" fillId="12" borderId="31" xfId="0" applyFont="1" applyFill="1" applyBorder="1" applyAlignment="1">
      <alignment horizontal="center"/>
    </xf>
    <xf numFmtId="0" fontId="25" fillId="12" borderId="62" xfId="0" applyFont="1" applyFill="1" applyBorder="1" applyAlignment="1">
      <alignment horizontal="center" vertical="center" wrapText="1"/>
    </xf>
    <xf numFmtId="0" fontId="25" fillId="12" borderId="63" xfId="0" applyFont="1" applyFill="1" applyBorder="1" applyAlignment="1">
      <alignment horizontal="center" vertical="center" wrapText="1"/>
    </xf>
    <xf numFmtId="0" fontId="25" fillId="12" borderId="64" xfId="0" applyFont="1" applyFill="1" applyBorder="1" applyAlignment="1">
      <alignment horizontal="center" vertical="center" wrapText="1"/>
    </xf>
    <xf numFmtId="0" fontId="25" fillId="12" borderId="61" xfId="0" applyFont="1" applyFill="1" applyBorder="1" applyAlignment="1">
      <alignment horizontal="center" vertical="center" wrapText="1"/>
    </xf>
    <xf numFmtId="0" fontId="25" fillId="7" borderId="99" xfId="4" applyFont="1" applyFill="1" applyBorder="1" applyAlignment="1">
      <alignment horizontal="center"/>
    </xf>
    <xf numFmtId="0" fontId="25" fillId="7" borderId="26" xfId="4" applyFont="1" applyFill="1" applyBorder="1" applyAlignment="1">
      <alignment horizontal="center"/>
    </xf>
    <xf numFmtId="0" fontId="0" fillId="13" borderId="25" xfId="0" applyFill="1" applyBorder="1"/>
    <xf numFmtId="167" fontId="5" fillId="7" borderId="40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164" fontId="20" fillId="10" borderId="5" xfId="1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 vertical="center"/>
    </xf>
    <xf numFmtId="1" fontId="9" fillId="0" borderId="1" xfId="1" applyNumberFormat="1" applyFont="1" applyFill="1" applyBorder="1" applyAlignment="1"/>
    <xf numFmtId="43" fontId="0" fillId="11" borderId="1" xfId="0" applyNumberFormat="1" applyFill="1" applyBorder="1"/>
    <xf numFmtId="9" fontId="0" fillId="20" borderId="1" xfId="0" applyNumberFormat="1" applyFill="1" applyBorder="1"/>
    <xf numFmtId="43" fontId="20" fillId="16" borderId="12" xfId="1" applyFont="1" applyFill="1" applyBorder="1" applyAlignment="1">
      <alignment horizontal="center"/>
    </xf>
    <xf numFmtId="43" fontId="20" fillId="16" borderId="22" xfId="1" applyFont="1" applyFill="1" applyBorder="1" applyAlignment="1">
      <alignment horizontal="center"/>
    </xf>
    <xf numFmtId="43" fontId="20" fillId="0" borderId="59" xfId="1" applyFont="1" applyBorder="1" applyAlignment="1">
      <alignment horizontal="center"/>
    </xf>
    <xf numFmtId="43" fontId="20" fillId="0" borderId="100" xfId="1" applyFont="1" applyBorder="1" applyAlignment="1">
      <alignment horizontal="center"/>
    </xf>
    <xf numFmtId="43" fontId="0" fillId="0" borderId="1" xfId="1" applyFont="1" applyFill="1" applyBorder="1"/>
    <xf numFmtId="1" fontId="9" fillId="0" borderId="1" xfId="0" applyNumberFormat="1" applyFont="1" applyFill="1" applyBorder="1" applyAlignment="1">
      <alignment horizontal="right"/>
    </xf>
    <xf numFmtId="43" fontId="20" fillId="16" borderId="1" xfId="1" applyNumberFormat="1" applyFont="1" applyFill="1" applyBorder="1" applyAlignment="1">
      <alignment horizontal="center"/>
    </xf>
    <xf numFmtId="2" fontId="4" fillId="16" borderId="1" xfId="1" applyNumberFormat="1" applyFont="1" applyFill="1" applyBorder="1"/>
    <xf numFmtId="0" fontId="7" fillId="0" borderId="52" xfId="0" applyFont="1" applyBorder="1" applyAlignment="1"/>
    <xf numFmtId="9" fontId="0" fillId="14" borderId="1" xfId="6" applyFont="1" applyFill="1" applyBorder="1"/>
    <xf numFmtId="9" fontId="26" fillId="0" borderId="1" xfId="6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29" borderId="10" xfId="0" applyFill="1" applyBorder="1" applyAlignment="1">
      <alignment horizontal="center" wrapText="1"/>
    </xf>
    <xf numFmtId="14" fontId="7" fillId="0" borderId="1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0" fillId="37" borderId="26" xfId="0" applyFill="1" applyBorder="1"/>
    <xf numFmtId="0" fontId="0" fillId="0" borderId="26" xfId="0" applyFill="1" applyBorder="1"/>
    <xf numFmtId="0" fontId="0" fillId="37" borderId="1" xfId="0" applyFill="1" applyBorder="1"/>
    <xf numFmtId="0" fontId="0" fillId="13" borderId="26" xfId="0" applyFill="1" applyBorder="1"/>
    <xf numFmtId="0" fontId="7" fillId="0" borderId="11" xfId="0" applyFont="1" applyBorder="1" applyAlignment="1">
      <alignment horizontal="center"/>
    </xf>
    <xf numFmtId="43" fontId="14" fillId="8" borderId="38" xfId="0" applyNumberFormat="1" applyFont="1" applyFill="1" applyBorder="1" applyAlignment="1">
      <alignment horizontal="center"/>
    </xf>
    <xf numFmtId="4" fontId="7" fillId="8" borderId="4" xfId="0" applyNumberFormat="1" applyFont="1" applyFill="1" applyBorder="1" applyAlignment="1">
      <alignment horizontal="center"/>
    </xf>
    <xf numFmtId="43" fontId="20" fillId="10" borderId="4" xfId="1" applyFont="1" applyFill="1" applyBorder="1" applyAlignment="1">
      <alignment horizontal="center"/>
    </xf>
    <xf numFmtId="0" fontId="14" fillId="0" borderId="28" xfId="0" applyNumberFormat="1" applyFont="1" applyBorder="1" applyAlignment="1">
      <alignment horizontal="center"/>
    </xf>
    <xf numFmtId="1" fontId="15" fillId="9" borderId="4" xfId="1" applyNumberFormat="1" applyFont="1" applyFill="1" applyBorder="1" applyAlignment="1">
      <alignment horizontal="center"/>
    </xf>
    <xf numFmtId="1" fontId="15" fillId="17" borderId="4" xfId="1" applyNumberFormat="1" applyFont="1" applyFill="1" applyBorder="1" applyAlignment="1">
      <alignment horizontal="center"/>
    </xf>
    <xf numFmtId="0" fontId="41" fillId="7" borderId="4" xfId="0" applyNumberFormat="1" applyFont="1" applyFill="1" applyBorder="1" applyAlignment="1">
      <alignment horizontal="center"/>
    </xf>
    <xf numFmtId="0" fontId="7" fillId="8" borderId="55" xfId="0" applyFont="1" applyFill="1" applyBorder="1" applyAlignment="1">
      <alignment horizontal="center"/>
    </xf>
    <xf numFmtId="0" fontId="7" fillId="8" borderId="93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43" fontId="14" fillId="8" borderId="30" xfId="0" applyNumberFormat="1" applyFont="1" applyFill="1" applyBorder="1" applyAlignment="1">
      <alignment horizontal="center"/>
    </xf>
    <xf numFmtId="43" fontId="14" fillId="8" borderId="33" xfId="0" applyNumberFormat="1" applyFont="1" applyFill="1" applyBorder="1" applyAlignment="1">
      <alignment horizontal="center"/>
    </xf>
    <xf numFmtId="43" fontId="14" fillId="8" borderId="65" xfId="0" applyNumberFormat="1" applyFont="1" applyFill="1" applyBorder="1" applyAlignment="1">
      <alignment horizontal="center"/>
    </xf>
    <xf numFmtId="0" fontId="15" fillId="8" borderId="33" xfId="1" applyNumberFormat="1" applyFont="1" applyFill="1" applyBorder="1" applyAlignment="1">
      <alignment horizontal="center"/>
    </xf>
    <xf numFmtId="1" fontId="15" fillId="8" borderId="33" xfId="1" applyNumberFormat="1" applyFont="1" applyFill="1" applyBorder="1" applyAlignment="1">
      <alignment horizontal="center"/>
    </xf>
    <xf numFmtId="1" fontId="41" fillId="8" borderId="33" xfId="0" applyNumberFormat="1" applyFont="1" applyFill="1" applyBorder="1" applyAlignment="1">
      <alignment horizontal="center"/>
    </xf>
    <xf numFmtId="0" fontId="14" fillId="8" borderId="31" xfId="0" applyFont="1" applyFill="1" applyBorder="1"/>
    <xf numFmtId="164" fontId="32" fillId="24" borderId="1" xfId="4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35" borderId="5" xfId="0" applyFill="1" applyBorder="1"/>
    <xf numFmtId="0" fontId="0" fillId="39" borderId="1" xfId="0" applyFill="1" applyBorder="1"/>
    <xf numFmtId="0" fontId="0" fillId="38" borderId="16" xfId="0" applyFill="1" applyBorder="1" applyAlignment="1">
      <alignment horizontal="center" wrapText="1"/>
    </xf>
    <xf numFmtId="0" fontId="0" fillId="35" borderId="23" xfId="0" applyFill="1" applyBorder="1"/>
    <xf numFmtId="0" fontId="0" fillId="38" borderId="18" xfId="0" applyFill="1" applyBorder="1" applyAlignment="1">
      <alignment horizontal="center" wrapText="1"/>
    </xf>
    <xf numFmtId="43" fontId="0" fillId="9" borderId="1" xfId="0" applyNumberFormat="1" applyFill="1" applyBorder="1"/>
    <xf numFmtId="0" fontId="32" fillId="24" borderId="1" xfId="4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3" fontId="28" fillId="0" borderId="0" xfId="0" applyNumberFormat="1" applyFont="1" applyAlignment="1">
      <alignment horizontal="center"/>
    </xf>
    <xf numFmtId="0" fontId="28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6" borderId="1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6" borderId="9" xfId="0" applyFill="1" applyBorder="1" applyAlignment="1">
      <alignment horizontal="center" wrapText="1"/>
    </xf>
    <xf numFmtId="2" fontId="4" fillId="16" borderId="1" xfId="1" applyNumberFormat="1" applyFont="1" applyFill="1" applyBorder="1" applyAlignment="1"/>
    <xf numFmtId="0" fontId="14" fillId="11" borderId="45" xfId="0" applyFont="1" applyFill="1" applyBorder="1" applyAlignment="1">
      <alignment horizontal="center"/>
    </xf>
    <xf numFmtId="0" fontId="7" fillId="0" borderId="38" xfId="0" applyFont="1" applyBorder="1" applyAlignment="1">
      <alignment horizontal="center"/>
    </xf>
    <xf numFmtId="1" fontId="0" fillId="33" borderId="1" xfId="0" applyNumberFormat="1" applyFill="1" applyBorder="1"/>
    <xf numFmtId="0" fontId="4" fillId="0" borderId="17" xfId="0" applyFont="1" applyBorder="1" applyAlignment="1">
      <alignment horizontal="center" vertical="top" wrapText="1"/>
    </xf>
    <xf numFmtId="0" fontId="4" fillId="10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4" borderId="8" xfId="0" applyNumberFormat="1" applyFill="1" applyBorder="1"/>
    <xf numFmtId="1" fontId="0" fillId="33" borderId="9" xfId="0" applyNumberFormat="1" applyFill="1" applyBorder="1"/>
    <xf numFmtId="1" fontId="0" fillId="34" borderId="10" xfId="0" applyNumberFormat="1" applyFill="1" applyBorder="1"/>
    <xf numFmtId="9" fontId="0" fillId="0" borderId="26" xfId="0" applyNumberFormat="1" applyFill="1" applyBorder="1"/>
    <xf numFmtId="0" fontId="30" fillId="0" borderId="26" xfId="0" applyFont="1" applyFill="1" applyBorder="1" applyAlignment="1">
      <alignment horizontal="center" vertical="center"/>
    </xf>
    <xf numFmtId="0" fontId="30" fillId="0" borderId="26" xfId="0" applyFont="1" applyFill="1" applyBorder="1" applyAlignment="1">
      <alignment horizontal="center" vertical="center" wrapText="1"/>
    </xf>
    <xf numFmtId="9" fontId="30" fillId="0" borderId="26" xfId="0" applyNumberFormat="1" applyFont="1" applyFill="1" applyBorder="1" applyAlignment="1">
      <alignment horizontal="center" vertical="center"/>
    </xf>
    <xf numFmtId="0" fontId="0" fillId="0" borderId="26" xfId="0" applyBorder="1"/>
    <xf numFmtId="0" fontId="30" fillId="0" borderId="33" xfId="0" applyFont="1" applyFill="1" applyBorder="1" applyAlignment="1">
      <alignment horizontal="center" vertical="center"/>
    </xf>
    <xf numFmtId="0" fontId="30" fillId="0" borderId="33" xfId="0" applyFont="1" applyFill="1" applyBorder="1" applyAlignment="1">
      <alignment horizontal="center" vertical="center" wrapText="1"/>
    </xf>
    <xf numFmtId="0" fontId="30" fillId="0" borderId="65" xfId="0" applyFont="1" applyFill="1" applyBorder="1" applyAlignment="1">
      <alignment horizontal="center" vertical="center" wrapText="1"/>
    </xf>
    <xf numFmtId="0" fontId="30" fillId="0" borderId="32" xfId="0" applyFont="1" applyFill="1" applyBorder="1" applyAlignment="1">
      <alignment horizontal="center" vertical="center" wrapText="1"/>
    </xf>
    <xf numFmtId="0" fontId="30" fillId="0" borderId="30" xfId="0" applyFont="1" applyFill="1" applyBorder="1" applyAlignment="1">
      <alignment horizontal="center" vertical="center" wrapText="1"/>
    </xf>
    <xf numFmtId="0" fontId="30" fillId="0" borderId="65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25" fillId="16" borderId="20" xfId="0" applyFont="1" applyFill="1" applyBorder="1" applyAlignment="1">
      <alignment horizontal="center" vertical="center" wrapText="1"/>
    </xf>
    <xf numFmtId="0" fontId="25" fillId="16" borderId="4" xfId="0" applyFont="1" applyFill="1" applyBorder="1" applyAlignment="1">
      <alignment horizontal="center" vertical="center" wrapText="1"/>
    </xf>
    <xf numFmtId="167" fontId="22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38" borderId="17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9" borderId="7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4" fillId="16" borderId="22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center" wrapText="1"/>
    </xf>
    <xf numFmtId="0" fontId="0" fillId="29" borderId="19" xfId="0" applyFill="1" applyBorder="1" applyAlignment="1">
      <alignment horizontal="center" wrapText="1"/>
    </xf>
    <xf numFmtId="0" fontId="0" fillId="38" borderId="21" xfId="0" applyFill="1" applyBorder="1" applyAlignment="1">
      <alignment horizontal="center" wrapText="1"/>
    </xf>
    <xf numFmtId="2" fontId="25" fillId="0" borderId="1" xfId="0" applyNumberFormat="1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/>
    </xf>
    <xf numFmtId="14" fontId="7" fillId="0" borderId="8" xfId="0" applyNumberFormat="1" applyFont="1" applyBorder="1" applyAlignment="1">
      <alignment horizontal="center"/>
    </xf>
    <xf numFmtId="14" fontId="7" fillId="0" borderId="21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43" fontId="7" fillId="0" borderId="9" xfId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0" fontId="7" fillId="0" borderId="80" xfId="0" applyFont="1" applyBorder="1" applyAlignment="1"/>
    <xf numFmtId="0" fontId="7" fillId="0" borderId="26" xfId="0" applyFont="1" applyBorder="1" applyAlignment="1"/>
    <xf numFmtId="0" fontId="7" fillId="7" borderId="33" xfId="0" applyFont="1" applyFill="1" applyBorder="1" applyAlignment="1">
      <alignment horizontal="center"/>
    </xf>
    <xf numFmtId="0" fontId="7" fillId="7" borderId="93" xfId="0" applyFont="1" applyFill="1" applyBorder="1" applyAlignment="1">
      <alignment horizontal="center" wrapText="1"/>
    </xf>
    <xf numFmtId="0" fontId="7" fillId="7" borderId="65" xfId="0" applyFont="1" applyFill="1" applyBorder="1" applyAlignment="1">
      <alignment horizontal="center"/>
    </xf>
    <xf numFmtId="0" fontId="7" fillId="0" borderId="49" xfId="0" applyFont="1" applyBorder="1" applyAlignment="1"/>
    <xf numFmtId="0" fontId="7" fillId="7" borderId="65" xfId="0" applyFont="1" applyFill="1" applyBorder="1" applyAlignment="1">
      <alignment horizontal="center" wrapText="1"/>
    </xf>
    <xf numFmtId="0" fontId="7" fillId="0" borderId="53" xfId="0" applyFont="1" applyBorder="1" applyAlignment="1">
      <alignment horizontal="center"/>
    </xf>
    <xf numFmtId="0" fontId="7" fillId="35" borderId="62" xfId="0" applyNumberFormat="1" applyFont="1" applyFill="1" applyBorder="1" applyAlignment="1">
      <alignment horizontal="center"/>
    </xf>
    <xf numFmtId="0" fontId="7" fillId="35" borderId="64" xfId="0" applyNumberFormat="1" applyFont="1" applyFill="1" applyBorder="1" applyAlignment="1">
      <alignment horizontal="center"/>
    </xf>
    <xf numFmtId="0" fontId="7" fillId="35" borderId="63" xfId="0" applyNumberFormat="1" applyFont="1" applyFill="1" applyBorder="1" applyAlignment="1">
      <alignment horizontal="center"/>
    </xf>
    <xf numFmtId="14" fontId="7" fillId="0" borderId="17" xfId="0" applyNumberFormat="1" applyFont="1" applyBorder="1" applyAlignment="1">
      <alignment horizontal="center"/>
    </xf>
    <xf numFmtId="0" fontId="14" fillId="0" borderId="55" xfId="0" applyNumberFormat="1" applyFont="1" applyBorder="1" applyAlignment="1">
      <alignment horizontal="center"/>
    </xf>
    <xf numFmtId="0" fontId="14" fillId="0" borderId="30" xfId="0" applyNumberFormat="1" applyFont="1" applyBorder="1" applyAlignment="1">
      <alignment horizontal="center"/>
    </xf>
    <xf numFmtId="0" fontId="14" fillId="0" borderId="31" xfId="0" applyNumberFormat="1" applyFont="1" applyBorder="1" applyAlignment="1">
      <alignment horizontal="center"/>
    </xf>
    <xf numFmtId="0" fontId="14" fillId="3" borderId="32" xfId="0" applyNumberFormat="1" applyFont="1" applyFill="1" applyBorder="1" applyAlignment="1">
      <alignment horizontal="center"/>
    </xf>
    <xf numFmtId="0" fontId="14" fillId="3" borderId="33" xfId="0" applyNumberFormat="1" applyFont="1" applyFill="1" applyBorder="1" applyAlignment="1">
      <alignment horizontal="center"/>
    </xf>
    <xf numFmtId="0" fontId="14" fillId="3" borderId="34" xfId="0" applyNumberFormat="1" applyFont="1" applyFill="1" applyBorder="1" applyAlignment="1">
      <alignment horizontal="center"/>
    </xf>
    <xf numFmtId="0" fontId="15" fillId="3" borderId="33" xfId="0" applyNumberFormat="1" applyFont="1" applyFill="1" applyBorder="1" applyAlignment="1">
      <alignment horizontal="center"/>
    </xf>
    <xf numFmtId="0" fontId="14" fillId="3" borderId="30" xfId="0" applyNumberFormat="1" applyFont="1" applyFill="1" applyBorder="1" applyAlignment="1">
      <alignment horizontal="center"/>
    </xf>
    <xf numFmtId="0" fontId="14" fillId="3" borderId="65" xfId="0" applyNumberFormat="1" applyFont="1" applyFill="1" applyBorder="1" applyAlignment="1">
      <alignment horizontal="center"/>
    </xf>
    <xf numFmtId="0" fontId="20" fillId="0" borderId="26" xfId="1" applyNumberFormat="1" applyFont="1" applyBorder="1" applyAlignment="1">
      <alignment horizontal="center"/>
    </xf>
    <xf numFmtId="0" fontId="20" fillId="0" borderId="26" xfId="0" applyNumberFormat="1" applyFont="1" applyBorder="1" applyAlignment="1">
      <alignment horizontal="center"/>
    </xf>
    <xf numFmtId="0" fontId="37" fillId="3" borderId="32" xfId="1" applyNumberFormat="1" applyFont="1" applyFill="1" applyBorder="1" applyAlignment="1">
      <alignment horizontal="center" wrapText="1"/>
    </xf>
    <xf numFmtId="0" fontId="37" fillId="3" borderId="33" xfId="0" applyNumberFormat="1" applyFont="1" applyFill="1" applyBorder="1" applyAlignment="1">
      <alignment horizontal="center" wrapText="1"/>
    </xf>
    <xf numFmtId="0" fontId="37" fillId="3" borderId="33" xfId="0" applyNumberFormat="1" applyFont="1" applyFill="1" applyBorder="1" applyAlignment="1">
      <alignment horizontal="center"/>
    </xf>
    <xf numFmtId="0" fontId="37" fillId="3" borderId="34" xfId="0" applyNumberFormat="1" applyFont="1" applyFill="1" applyBorder="1" applyAlignment="1">
      <alignment horizontal="center" wrapText="1"/>
    </xf>
    <xf numFmtId="0" fontId="15" fillId="3" borderId="30" xfId="0" applyNumberFormat="1" applyFont="1" applyFill="1" applyBorder="1" applyAlignment="1">
      <alignment horizontal="center" wrapText="1"/>
    </xf>
    <xf numFmtId="0" fontId="15" fillId="3" borderId="33" xfId="0" applyNumberFormat="1" applyFont="1" applyFill="1" applyBorder="1" applyAlignment="1">
      <alignment horizontal="center" wrapText="1"/>
    </xf>
    <xf numFmtId="0" fontId="15" fillId="3" borderId="65" xfId="0" applyNumberFormat="1" applyFont="1" applyFill="1" applyBorder="1" applyAlignment="1">
      <alignment horizontal="center" wrapText="1"/>
    </xf>
    <xf numFmtId="43" fontId="19" fillId="11" borderId="26" xfId="1" applyNumberFormat="1" applyFont="1" applyFill="1" applyBorder="1" applyAlignment="1">
      <alignment horizontal="center"/>
    </xf>
    <xf numFmtId="43" fontId="19" fillId="11" borderId="38" xfId="1" applyNumberFormat="1" applyFont="1" applyFill="1" applyBorder="1" applyAlignment="1">
      <alignment horizontal="center"/>
    </xf>
    <xf numFmtId="0" fontId="14" fillId="11" borderId="38" xfId="0" applyNumberFormat="1" applyFont="1" applyFill="1" applyBorder="1" applyAlignment="1">
      <alignment horizontal="center"/>
    </xf>
    <xf numFmtId="43" fontId="15" fillId="9" borderId="26" xfId="1" applyNumberFormat="1" applyFont="1" applyFill="1" applyBorder="1" applyAlignment="1">
      <alignment horizontal="center"/>
    </xf>
    <xf numFmtId="0" fontId="15" fillId="3" borderId="38" xfId="0" applyNumberFormat="1" applyFont="1" applyFill="1" applyBorder="1" applyAlignment="1">
      <alignment horizontal="center" wrapText="1"/>
    </xf>
    <xf numFmtId="0" fontId="15" fillId="9" borderId="38" xfId="0" applyNumberFormat="1" applyFont="1" applyFill="1" applyBorder="1" applyAlignment="1">
      <alignment horizontal="center" wrapText="1"/>
    </xf>
    <xf numFmtId="43" fontId="20" fillId="0" borderId="14" xfId="1" applyFont="1" applyBorder="1" applyAlignment="1">
      <alignment horizontal="center"/>
    </xf>
    <xf numFmtId="164" fontId="20" fillId="0" borderId="26" xfId="1" applyNumberFormat="1" applyFont="1" applyBorder="1" applyAlignment="1">
      <alignment horizontal="center"/>
    </xf>
    <xf numFmtId="43" fontId="20" fillId="0" borderId="26" xfId="1" applyFont="1" applyBorder="1" applyAlignment="1">
      <alignment horizontal="center"/>
    </xf>
    <xf numFmtId="43" fontId="20" fillId="0" borderId="58" xfId="1" applyFont="1" applyBorder="1" applyAlignment="1">
      <alignment horizontal="center"/>
    </xf>
    <xf numFmtId="43" fontId="20" fillId="16" borderId="15" xfId="1" applyFont="1" applyFill="1" applyBorder="1" applyAlignment="1">
      <alignment horizontal="center"/>
    </xf>
    <xf numFmtId="43" fontId="20" fillId="16" borderId="14" xfId="1" applyFont="1" applyFill="1" applyBorder="1" applyAlignment="1">
      <alignment horizontal="center"/>
    </xf>
    <xf numFmtId="43" fontId="15" fillId="11" borderId="26" xfId="1" applyNumberFormat="1" applyFont="1" applyFill="1" applyBorder="1" applyAlignment="1">
      <alignment horizontal="center"/>
    </xf>
    <xf numFmtId="0" fontId="15" fillId="11" borderId="27" xfId="1" applyNumberFormat="1" applyFont="1" applyFill="1" applyBorder="1" applyAlignment="1">
      <alignment horizontal="center"/>
    </xf>
    <xf numFmtId="0" fontId="14" fillId="0" borderId="32" xfId="1" applyNumberFormat="1" applyFont="1" applyFill="1" applyBorder="1" applyAlignment="1">
      <alignment horizontal="center" vertical="center" wrapText="1"/>
    </xf>
    <xf numFmtId="0" fontId="14" fillId="0" borderId="33" xfId="1" applyNumberFormat="1" applyFont="1" applyFill="1" applyBorder="1" applyAlignment="1">
      <alignment horizontal="center" vertical="center" wrapText="1"/>
    </xf>
    <xf numFmtId="0" fontId="14" fillId="0" borderId="31" xfId="1" applyNumberFormat="1" applyFont="1" applyFill="1" applyBorder="1" applyAlignment="1">
      <alignment horizontal="center" vertical="center" wrapText="1"/>
    </xf>
    <xf numFmtId="0" fontId="14" fillId="16" borderId="34" xfId="1" applyNumberFormat="1" applyFont="1" applyFill="1" applyBorder="1" applyAlignment="1">
      <alignment horizontal="center" vertical="center" wrapText="1"/>
    </xf>
    <xf numFmtId="0" fontId="14" fillId="16" borderId="33" xfId="1" applyNumberFormat="1" applyFont="1" applyFill="1" applyBorder="1" applyAlignment="1">
      <alignment horizontal="center" vertical="center" wrapText="1"/>
    </xf>
    <xf numFmtId="0" fontId="15" fillId="11" borderId="33" xfId="1" applyNumberFormat="1" applyFont="1" applyFill="1" applyBorder="1" applyAlignment="1">
      <alignment horizontal="center" wrapText="1"/>
    </xf>
    <xf numFmtId="0" fontId="15" fillId="11" borderId="65" xfId="1" applyNumberFormat="1" applyFont="1" applyFill="1" applyBorder="1" applyAlignment="1">
      <alignment horizontal="center" wrapText="1"/>
    </xf>
    <xf numFmtId="4" fontId="14" fillId="8" borderId="26" xfId="0" applyNumberFormat="1" applyFont="1" applyFill="1" applyBorder="1" applyAlignment="1">
      <alignment horizontal="center"/>
    </xf>
    <xf numFmtId="43" fontId="38" fillId="10" borderId="26" xfId="1" applyFont="1" applyFill="1" applyBorder="1" applyAlignment="1">
      <alignment horizontal="center"/>
    </xf>
    <xf numFmtId="43" fontId="20" fillId="0" borderId="27" xfId="1" applyFont="1" applyBorder="1" applyAlignment="1">
      <alignment horizontal="center"/>
    </xf>
    <xf numFmtId="0" fontId="20" fillId="3" borderId="32" xfId="0" applyFont="1" applyFill="1" applyBorder="1" applyAlignment="1">
      <alignment horizontal="center" wrapText="1"/>
    </xf>
    <xf numFmtId="0" fontId="20" fillId="3" borderId="33" xfId="0" applyFont="1" applyFill="1" applyBorder="1" applyAlignment="1">
      <alignment horizontal="center" wrapText="1"/>
    </xf>
    <xf numFmtId="43" fontId="15" fillId="3" borderId="33" xfId="1" applyFont="1" applyFill="1" applyBorder="1" applyAlignment="1">
      <alignment horizontal="center" wrapText="1"/>
    </xf>
    <xf numFmtId="43" fontId="15" fillId="10" borderId="33" xfId="1" applyFont="1" applyFill="1" applyBorder="1" applyAlignment="1">
      <alignment horizontal="center" wrapText="1"/>
    </xf>
    <xf numFmtId="43" fontId="15" fillId="3" borderId="65" xfId="1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54" xfId="0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62" fillId="0" borderId="1" xfId="0" applyFont="1" applyBorder="1" applyAlignment="1">
      <alignment horizontal="center" vertical="center" wrapText="1"/>
    </xf>
    <xf numFmtId="0" fontId="7" fillId="7" borderId="62" xfId="0" applyFont="1" applyFill="1" applyBorder="1" applyAlignment="1">
      <alignment horizontal="center"/>
    </xf>
    <xf numFmtId="0" fontId="7" fillId="7" borderId="64" xfId="0" applyFont="1" applyFill="1" applyBorder="1" applyAlignment="1">
      <alignment horizontal="center"/>
    </xf>
    <xf numFmtId="0" fontId="7" fillId="7" borderId="64" xfId="0" applyFont="1" applyFill="1" applyBorder="1" applyAlignment="1"/>
    <xf numFmtId="0" fontId="7" fillId="7" borderId="63" xfId="0" applyFont="1" applyFill="1" applyBorder="1" applyAlignment="1"/>
    <xf numFmtId="43" fontId="7" fillId="0" borderId="1" xfId="1" applyFont="1" applyBorder="1" applyAlignment="1">
      <alignment horizontal="center"/>
    </xf>
    <xf numFmtId="14" fontId="7" fillId="0" borderId="6" xfId="0" applyNumberFormat="1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44" fontId="11" fillId="12" borderId="1" xfId="3" applyFont="1" applyFill="1" applyBorder="1"/>
    <xf numFmtId="0" fontId="11" fillId="0" borderId="1" xfId="0" applyFont="1" applyBorder="1" applyAlignment="1">
      <alignment wrapText="1"/>
    </xf>
    <xf numFmtId="1" fontId="4" fillId="9" borderId="1" xfId="0" applyNumberFormat="1" applyFont="1" applyFill="1" applyBorder="1"/>
    <xf numFmtId="164" fontId="0" fillId="9" borderId="16" xfId="1" applyNumberFormat="1" applyFont="1" applyFill="1" applyBorder="1"/>
    <xf numFmtId="1" fontId="4" fillId="9" borderId="8" xfId="0" applyNumberFormat="1" applyFont="1" applyFill="1" applyBorder="1"/>
    <xf numFmtId="164" fontId="0" fillId="9" borderId="21" xfId="1" applyNumberFormat="1" applyFont="1" applyFill="1" applyBorder="1"/>
    <xf numFmtId="43" fontId="4" fillId="9" borderId="9" xfId="0" applyNumberFormat="1" applyFont="1" applyFill="1" applyBorder="1"/>
    <xf numFmtId="43" fontId="0" fillId="9" borderId="9" xfId="0" applyNumberFormat="1" applyFill="1" applyBorder="1"/>
    <xf numFmtId="0" fontId="0" fillId="9" borderId="9" xfId="0" applyFill="1" applyBorder="1"/>
    <xf numFmtId="4" fontId="4" fillId="9" borderId="9" xfId="0" applyNumberFormat="1" applyFont="1" applyFill="1" applyBorder="1"/>
    <xf numFmtId="0" fontId="4" fillId="9" borderId="9" xfId="0" applyFont="1" applyFill="1" applyBorder="1"/>
    <xf numFmtId="1" fontId="4" fillId="9" borderId="9" xfId="0" applyNumberFormat="1" applyFont="1" applyFill="1" applyBorder="1"/>
    <xf numFmtId="1" fontId="4" fillId="9" borderId="10" xfId="0" applyNumberFormat="1" applyFont="1" applyFill="1" applyBorder="1"/>
    <xf numFmtId="167" fontId="5" fillId="0" borderId="41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4" fontId="0" fillId="9" borderId="40" xfId="1" applyNumberFormat="1" applyFont="1" applyFill="1" applyBorder="1"/>
    <xf numFmtId="43" fontId="4" fillId="9" borderId="26" xfId="0" applyNumberFormat="1" applyFont="1" applyFill="1" applyBorder="1"/>
    <xf numFmtId="43" fontId="0" fillId="9" borderId="26" xfId="0" applyNumberFormat="1" applyFill="1" applyBorder="1"/>
    <xf numFmtId="0" fontId="0" fillId="9" borderId="26" xfId="0" applyFill="1" applyBorder="1"/>
    <xf numFmtId="4" fontId="4" fillId="9" borderId="26" xfId="0" applyNumberFormat="1" applyFont="1" applyFill="1" applyBorder="1"/>
    <xf numFmtId="0" fontId="4" fillId="9" borderId="26" xfId="0" applyFont="1" applyFill="1" applyBorder="1"/>
    <xf numFmtId="1" fontId="4" fillId="9" borderId="49" xfId="0" applyNumberFormat="1" applyFont="1" applyFill="1" applyBorder="1"/>
    <xf numFmtId="0" fontId="13" fillId="0" borderId="16" xfId="0" applyFont="1" applyBorder="1" applyAlignment="1">
      <alignment horizontal="center"/>
    </xf>
    <xf numFmtId="0" fontId="12" fillId="0" borderId="21" xfId="0" applyFont="1" applyBorder="1"/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57" fillId="0" borderId="5" xfId="0" applyFont="1" applyBorder="1" applyAlignment="1">
      <alignment horizontal="center"/>
    </xf>
    <xf numFmtId="3" fontId="3" fillId="0" borderId="74" xfId="0" applyNumberFormat="1" applyFont="1" applyBorder="1"/>
    <xf numFmtId="164" fontId="5" fillId="16" borderId="1" xfId="1" applyNumberFormat="1" applyFont="1" applyFill="1" applyBorder="1"/>
    <xf numFmtId="164" fontId="46" fillId="0" borderId="1" xfId="2" applyNumberFormat="1" applyFont="1" applyBorder="1"/>
    <xf numFmtId="0" fontId="63" fillId="0" borderId="1" xfId="0" applyFont="1" applyBorder="1"/>
    <xf numFmtId="0" fontId="0" fillId="0" borderId="5" xfId="0" applyFill="1" applyBorder="1"/>
    <xf numFmtId="2" fontId="4" fillId="16" borderId="26" xfId="1" applyNumberFormat="1" applyFont="1" applyFill="1" applyBorder="1" applyAlignment="1"/>
    <xf numFmtId="2" fontId="4" fillId="16" borderId="26" xfId="1" applyNumberFormat="1" applyFont="1" applyFill="1" applyBorder="1"/>
    <xf numFmtId="14" fontId="7" fillId="0" borderId="22" xfId="0" applyNumberFormat="1" applyFont="1" applyBorder="1" applyAlignment="1">
      <alignment horizontal="center"/>
    </xf>
    <xf numFmtId="14" fontId="7" fillId="0" borderId="39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4" fontId="0" fillId="0" borderId="1" xfId="1" applyNumberFormat="1" applyFont="1" applyFill="1" applyBorder="1"/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4" fontId="7" fillId="0" borderId="23" xfId="0" applyNumberFormat="1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7" xfId="0" applyFont="1" applyBorder="1" applyAlignment="1">
      <alignment horizontal="center"/>
    </xf>
    <xf numFmtId="0" fontId="2" fillId="0" borderId="11" xfId="4" applyFont="1" applyBorder="1" applyAlignment="1"/>
    <xf numFmtId="0" fontId="2" fillId="0" borderId="12" xfId="4" applyFont="1" applyBorder="1" applyAlignment="1"/>
    <xf numFmtId="0" fontId="2" fillId="0" borderId="27" xfId="4" applyFont="1" applyBorder="1" applyAlignment="1"/>
    <xf numFmtId="14" fontId="7" fillId="0" borderId="56" xfId="0" applyNumberFormat="1" applyFont="1" applyBorder="1" applyAlignment="1"/>
    <xf numFmtId="14" fontId="7" fillId="0" borderId="25" xfId="0" applyNumberFormat="1" applyFont="1" applyBorder="1" applyAlignment="1"/>
    <xf numFmtId="0" fontId="2" fillId="0" borderId="25" xfId="4" applyFont="1" applyBorder="1" applyAlignment="1"/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3" fontId="20" fillId="0" borderId="1" xfId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6" xfId="0" applyFont="1" applyBorder="1" applyAlignment="1"/>
    <xf numFmtId="0" fontId="7" fillId="0" borderId="11" xfId="0" applyNumberFormat="1" applyFont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7" fillId="0" borderId="10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6" xfId="0" applyFont="1" applyBorder="1" applyAlignment="1"/>
    <xf numFmtId="0" fontId="7" fillId="0" borderId="5" xfId="0" applyFont="1" applyBorder="1" applyAlignment="1"/>
    <xf numFmtId="0" fontId="7" fillId="0" borderId="22" xfId="0" applyFont="1" applyBorder="1" applyAlignment="1"/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67" xfId="0" applyNumberFormat="1" applyFont="1" applyBorder="1" applyAlignment="1">
      <alignment horizontal="right"/>
    </xf>
    <xf numFmtId="14" fontId="7" fillId="0" borderId="22" xfId="0" applyNumberFormat="1" applyFont="1" applyBorder="1" applyAlignment="1">
      <alignment horizontal="right"/>
    </xf>
    <xf numFmtId="0" fontId="7" fillId="0" borderId="26" xfId="0" applyFont="1" applyBorder="1" applyAlignment="1">
      <alignment horizontal="center"/>
    </xf>
    <xf numFmtId="14" fontId="7" fillId="0" borderId="26" xfId="0" applyNumberFormat="1" applyFont="1" applyBorder="1" applyAlignment="1"/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1" xfId="0" applyFont="1" applyBorder="1" applyAlignment="1">
      <alignment horizontal="center"/>
    </xf>
    <xf numFmtId="0" fontId="0" fillId="0" borderId="57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51" xfId="0" applyBorder="1" applyAlignment="1"/>
    <xf numFmtId="43" fontId="0" fillId="0" borderId="0" xfId="1" applyFont="1" applyBorder="1"/>
    <xf numFmtId="0" fontId="63" fillId="0" borderId="0" xfId="0" applyFont="1"/>
    <xf numFmtId="0" fontId="45" fillId="0" borderId="55" xfId="0" applyFont="1" applyBorder="1"/>
    <xf numFmtId="0" fontId="45" fillId="0" borderId="30" xfId="0" applyFont="1" applyBorder="1"/>
    <xf numFmtId="0" fontId="45" fillId="0" borderId="38" xfId="0" applyFont="1" applyBorder="1"/>
    <xf numFmtId="0" fontId="58" fillId="0" borderId="0" xfId="0" applyFont="1" applyBorder="1"/>
    <xf numFmtId="43" fontId="4" fillId="0" borderId="1" xfId="1" applyFont="1" applyFill="1" applyBorder="1"/>
    <xf numFmtId="43" fontId="20" fillId="7" borderId="59" xfId="1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top"/>
    </xf>
    <xf numFmtId="0" fontId="28" fillId="20" borderId="1" xfId="0" applyFont="1" applyFill="1" applyBorder="1" applyAlignment="1">
      <alignment horizontal="center" vertical="top"/>
    </xf>
    <xf numFmtId="0" fontId="28" fillId="21" borderId="1" xfId="0" applyFont="1" applyFill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25" fillId="12" borderId="55" xfId="0" applyFont="1" applyFill="1" applyBorder="1" applyAlignment="1">
      <alignment horizontal="center" vertical="center" wrapText="1"/>
    </xf>
    <xf numFmtId="0" fontId="25" fillId="12" borderId="30" xfId="0" applyFont="1" applyFill="1" applyBorder="1" applyAlignment="1">
      <alignment horizontal="center" vertical="center" wrapText="1"/>
    </xf>
    <xf numFmtId="0" fontId="25" fillId="12" borderId="55" xfId="0" applyFont="1" applyFill="1" applyBorder="1" applyAlignment="1">
      <alignment horizontal="center" vertical="center"/>
    </xf>
    <xf numFmtId="0" fontId="25" fillId="12" borderId="30" xfId="0" applyFont="1" applyFill="1" applyBorder="1" applyAlignment="1">
      <alignment horizontal="center" vertical="center"/>
    </xf>
    <xf numFmtId="0" fontId="25" fillId="12" borderId="31" xfId="0" applyFont="1" applyFill="1" applyBorder="1" applyAlignment="1">
      <alignment horizontal="center" vertical="center"/>
    </xf>
    <xf numFmtId="0" fontId="25" fillId="12" borderId="20" xfId="0" applyFont="1" applyFill="1" applyBorder="1" applyAlignment="1">
      <alignment horizontal="center" vertical="center"/>
    </xf>
    <xf numFmtId="0" fontId="25" fillId="12" borderId="35" xfId="0" applyFont="1" applyFill="1" applyBorder="1" applyAlignment="1">
      <alignment horizontal="center" vertical="center"/>
    </xf>
    <xf numFmtId="0" fontId="25" fillId="12" borderId="57" xfId="0" applyFont="1" applyFill="1" applyBorder="1" applyAlignment="1">
      <alignment horizontal="center" vertical="center"/>
    </xf>
    <xf numFmtId="0" fontId="34" fillId="0" borderId="55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44" fontId="25" fillId="0" borderId="55" xfId="3" applyFont="1" applyBorder="1" applyAlignment="1">
      <alignment horizontal="center" vertical="center" wrapText="1"/>
    </xf>
    <xf numFmtId="44" fontId="0" fillId="0" borderId="31" xfId="3" applyFont="1" applyBorder="1"/>
    <xf numFmtId="0" fontId="25" fillId="0" borderId="6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12" borderId="47" xfId="0" applyFont="1" applyFill="1" applyBorder="1" applyAlignment="1">
      <alignment horizontal="center" vertical="center" wrapText="1"/>
    </xf>
    <xf numFmtId="0" fontId="25" fillId="12" borderId="60" xfId="0" applyFont="1" applyFill="1" applyBorder="1" applyAlignment="1">
      <alignment horizontal="center" vertical="center" wrapText="1"/>
    </xf>
    <xf numFmtId="0" fontId="25" fillId="12" borderId="0" xfId="0" applyFont="1" applyFill="1" applyBorder="1" applyAlignment="1">
      <alignment horizontal="center" vertical="center" wrapText="1"/>
    </xf>
    <xf numFmtId="0" fontId="32" fillId="16" borderId="55" xfId="0" applyFont="1" applyFill="1" applyBorder="1" applyAlignment="1">
      <alignment wrapText="1"/>
    </xf>
    <xf numFmtId="0" fontId="32" fillId="16" borderId="30" xfId="0" applyFont="1" applyFill="1" applyBorder="1" applyAlignment="1">
      <alignment wrapText="1"/>
    </xf>
    <xf numFmtId="0" fontId="32" fillId="16" borderId="31" xfId="0" applyFont="1" applyFill="1" applyBorder="1" applyAlignment="1">
      <alignment wrapText="1"/>
    </xf>
    <xf numFmtId="0" fontId="4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4" fillId="0" borderId="91" xfId="0" applyFont="1" applyBorder="1" applyAlignment="1">
      <alignment horizontal="center"/>
    </xf>
    <xf numFmtId="0" fontId="4" fillId="0" borderId="102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17" fontId="35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12" fillId="7" borderId="55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0" fontId="7" fillId="0" borderId="26" xfId="0" applyFont="1" applyBorder="1" applyAlignment="1"/>
    <xf numFmtId="0" fontId="7" fillId="0" borderId="5" xfId="0" applyFont="1" applyBorder="1" applyAlignment="1"/>
    <xf numFmtId="0" fontId="7" fillId="0" borderId="22" xfId="0" applyFont="1" applyBorder="1" applyAlignment="1"/>
    <xf numFmtId="14" fontId="7" fillId="0" borderId="23" xfId="0" applyNumberFormat="1" applyFont="1" applyBorder="1" applyAlignment="1">
      <alignment horizontal="center"/>
    </xf>
    <xf numFmtId="14" fontId="7" fillId="0" borderId="2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4" fontId="7" fillId="0" borderId="56" xfId="0" applyNumberFormat="1" applyFont="1" applyBorder="1" applyAlignment="1"/>
    <xf numFmtId="14" fontId="7" fillId="0" borderId="25" xfId="0" applyNumberFormat="1" applyFont="1" applyBorder="1" applyAlignment="1"/>
    <xf numFmtId="14" fontId="7" fillId="0" borderId="67" xfId="0" applyNumberFormat="1" applyFont="1" applyBorder="1" applyAlignment="1">
      <alignment horizontal="right"/>
    </xf>
    <xf numFmtId="14" fontId="7" fillId="0" borderId="22" xfId="0" applyNumberFormat="1" applyFont="1" applyBorder="1" applyAlignment="1">
      <alignment horizontal="right"/>
    </xf>
    <xf numFmtId="14" fontId="7" fillId="0" borderId="67" xfId="0" applyNumberFormat="1" applyFont="1" applyBorder="1" applyAlignment="1"/>
    <xf numFmtId="14" fontId="7" fillId="0" borderId="22" xfId="0" applyNumberFormat="1" applyFont="1" applyBorder="1" applyAlignment="1"/>
    <xf numFmtId="0" fontId="14" fillId="27" borderId="55" xfId="0" applyFont="1" applyFill="1" applyBorder="1" applyAlignment="1">
      <alignment horizontal="center"/>
    </xf>
    <xf numFmtId="0" fontId="14" fillId="27" borderId="30" xfId="0" applyFont="1" applyFill="1" applyBorder="1" applyAlignment="1">
      <alignment horizontal="center"/>
    </xf>
    <xf numFmtId="0" fontId="7" fillId="33" borderId="55" xfId="0" applyNumberFormat="1" applyFont="1" applyFill="1" applyBorder="1" applyAlignment="1">
      <alignment horizontal="center"/>
    </xf>
    <xf numFmtId="0" fontId="7" fillId="33" borderId="30" xfId="0" applyNumberFormat="1" applyFont="1" applyFill="1" applyBorder="1" applyAlignment="1">
      <alignment horizontal="center"/>
    </xf>
    <xf numFmtId="0" fontId="7" fillId="33" borderId="31" xfId="0" applyNumberFormat="1" applyFont="1" applyFill="1" applyBorder="1" applyAlignment="1">
      <alignment horizontal="center"/>
    </xf>
    <xf numFmtId="0" fontId="14" fillId="31" borderId="55" xfId="0" applyFont="1" applyFill="1" applyBorder="1" applyAlignment="1">
      <alignment horizontal="center"/>
    </xf>
    <xf numFmtId="0" fontId="14" fillId="31" borderId="30" xfId="0" applyFont="1" applyFill="1" applyBorder="1" applyAlignment="1">
      <alignment horizontal="center"/>
    </xf>
    <xf numFmtId="0" fontId="14" fillId="31" borderId="31" xfId="0" applyFont="1" applyFill="1" applyBorder="1" applyAlignment="1">
      <alignment horizontal="center"/>
    </xf>
    <xf numFmtId="0" fontId="7" fillId="7" borderId="55" xfId="0" applyFont="1" applyFill="1" applyBorder="1" applyAlignment="1">
      <alignment horizontal="center"/>
    </xf>
    <xf numFmtId="0" fontId="7" fillId="7" borderId="34" xfId="0" applyFont="1" applyFill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22" xfId="0" applyFont="1" applyBorder="1" applyAlignment="1">
      <alignment horizontal="center"/>
    </xf>
    <xf numFmtId="0" fontId="7" fillId="0" borderId="1" xfId="0" applyFont="1" applyBorder="1" applyAlignment="1"/>
    <xf numFmtId="0" fontId="59" fillId="2" borderId="55" xfId="0" applyFont="1" applyFill="1" applyBorder="1" applyAlignment="1">
      <alignment horizontal="center"/>
    </xf>
    <xf numFmtId="0" fontId="59" fillId="2" borderId="30" xfId="0" applyFont="1" applyFill="1" applyBorder="1" applyAlignment="1">
      <alignment horizontal="center"/>
    </xf>
    <xf numFmtId="0" fontId="59" fillId="2" borderId="31" xfId="0" applyFont="1" applyFill="1" applyBorder="1" applyAlignment="1">
      <alignment horizontal="center"/>
    </xf>
    <xf numFmtId="0" fontId="14" fillId="32" borderId="20" xfId="0" applyFont="1" applyFill="1" applyBorder="1" applyAlignment="1">
      <alignment horizontal="center"/>
    </xf>
    <xf numFmtId="0" fontId="14" fillId="32" borderId="35" xfId="0" applyFont="1" applyFill="1" applyBorder="1" applyAlignment="1">
      <alignment horizontal="center"/>
    </xf>
    <xf numFmtId="0" fontId="14" fillId="32" borderId="57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7" fontId="60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45" fillId="0" borderId="20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58" fillId="0" borderId="55" xfId="0" applyFont="1" applyBorder="1" applyAlignment="1">
      <alignment horizontal="center"/>
    </xf>
    <xf numFmtId="0" fontId="58" fillId="0" borderId="30" xfId="0" applyFont="1" applyBorder="1" applyAlignment="1">
      <alignment horizontal="center"/>
    </xf>
    <xf numFmtId="0" fontId="58" fillId="0" borderId="3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14" fontId="7" fillId="0" borderId="25" xfId="0" applyNumberFormat="1" applyFont="1" applyBorder="1" applyAlignment="1">
      <alignment horizontal="center"/>
    </xf>
    <xf numFmtId="0" fontId="0" fillId="0" borderId="22" xfId="0" applyBorder="1"/>
    <xf numFmtId="14" fontId="7" fillId="0" borderId="54" xfId="0" applyNumberFormat="1" applyFont="1" applyBorder="1" applyAlignment="1">
      <alignment horizontal="center"/>
    </xf>
    <xf numFmtId="14" fontId="7" fillId="0" borderId="37" xfId="0" applyNumberFormat="1" applyFont="1" applyBorder="1" applyAlignment="1">
      <alignment horizontal="center"/>
    </xf>
    <xf numFmtId="0" fontId="7" fillId="0" borderId="101" xfId="0" applyFont="1" applyBorder="1" applyAlignment="1">
      <alignment horizontal="center"/>
    </xf>
    <xf numFmtId="0" fontId="7" fillId="0" borderId="79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0" fillId="0" borderId="37" xfId="0" applyBorder="1"/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1" xfId="0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29" borderId="58" xfId="0" applyFont="1" applyFill="1" applyBorder="1" applyAlignment="1">
      <alignment horizontal="center" wrapText="1"/>
    </xf>
    <xf numFmtId="0" fontId="4" fillId="29" borderId="100" xfId="0" applyFont="1" applyFill="1" applyBorder="1" applyAlignment="1">
      <alignment horizontal="center" wrapText="1"/>
    </xf>
    <xf numFmtId="0" fontId="46" fillId="11" borderId="55" xfId="0" applyFont="1" applyFill="1" applyBorder="1" applyAlignment="1">
      <alignment horizontal="center"/>
    </xf>
    <xf numFmtId="0" fontId="46" fillId="11" borderId="30" xfId="0" applyFont="1" applyFill="1" applyBorder="1" applyAlignment="1">
      <alignment horizontal="center"/>
    </xf>
    <xf numFmtId="0" fontId="46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9" borderId="91" xfId="0" applyFill="1" applyBorder="1" applyAlignment="1">
      <alignment horizontal="center" vertical="top" wrapText="1"/>
    </xf>
    <xf numFmtId="0" fontId="0" fillId="29" borderId="42" xfId="0" applyFill="1" applyBorder="1" applyAlignment="1">
      <alignment horizontal="center" vertical="top" wrapText="1"/>
    </xf>
    <xf numFmtId="0" fontId="0" fillId="29" borderId="17" xfId="0" applyFill="1" applyBorder="1" applyAlignment="1">
      <alignment horizontal="center" vertical="top" wrapText="1"/>
    </xf>
    <xf numFmtId="0" fontId="0" fillId="29" borderId="7" xfId="0" applyFill="1" applyBorder="1" applyAlignment="1">
      <alignment horizontal="center" vertical="top" wrapText="1"/>
    </xf>
    <xf numFmtId="0" fontId="0" fillId="29" borderId="17" xfId="0" applyFill="1" applyBorder="1" applyAlignment="1">
      <alignment horizontal="center" vertical="center"/>
    </xf>
    <xf numFmtId="0" fontId="0" fillId="29" borderId="7" xfId="0" applyFill="1" applyBorder="1" applyAlignment="1">
      <alignment horizontal="center" vertical="center"/>
    </xf>
    <xf numFmtId="0" fontId="4" fillId="29" borderId="18" xfId="0" applyFont="1" applyFill="1" applyBorder="1" applyAlignment="1">
      <alignment horizontal="center" vertical="top" wrapText="1"/>
    </xf>
    <xf numFmtId="0" fontId="0" fillId="29" borderId="19" xfId="0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9" fillId="26" borderId="13" xfId="0" applyFont="1" applyFill="1" applyBorder="1" applyAlignment="1">
      <alignment horizontal="center"/>
    </xf>
    <xf numFmtId="0" fontId="49" fillId="26" borderId="0" xfId="0" applyFont="1" applyFill="1" applyBorder="1" applyAlignment="1">
      <alignment horizontal="center"/>
    </xf>
    <xf numFmtId="0" fontId="25" fillId="7" borderId="94" xfId="4" applyFont="1" applyFill="1" applyBorder="1" applyAlignment="1">
      <alignment horizontal="center" vertical="center" wrapText="1"/>
    </xf>
    <xf numFmtId="0" fontId="25" fillId="7" borderId="92" xfId="4" applyFont="1" applyFill="1" applyBorder="1" applyAlignment="1">
      <alignment horizontal="center" vertical="center" wrapText="1"/>
    </xf>
    <xf numFmtId="0" fontId="25" fillId="7" borderId="96" xfId="4" applyFont="1" applyFill="1" applyBorder="1" applyAlignment="1">
      <alignment horizontal="center" vertical="center" wrapText="1"/>
    </xf>
    <xf numFmtId="0" fontId="25" fillId="7" borderId="97" xfId="4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wrapText="1"/>
    </xf>
    <xf numFmtId="0" fontId="7" fillId="13" borderId="44" xfId="0" applyFont="1" applyFill="1" applyBorder="1" applyAlignment="1">
      <alignment horizontal="center" wrapText="1"/>
    </xf>
    <xf numFmtId="0" fontId="25" fillId="7" borderId="81" xfId="4" applyFont="1" applyFill="1" applyBorder="1" applyAlignment="1">
      <alignment horizontal="center" vertical="center" wrapText="1"/>
    </xf>
    <xf numFmtId="0" fontId="25" fillId="7" borderId="82" xfId="4" applyFont="1" applyFill="1" applyBorder="1" applyAlignment="1">
      <alignment horizontal="center" vertical="center" wrapText="1"/>
    </xf>
    <xf numFmtId="0" fontId="25" fillId="7" borderId="83" xfId="4" applyFont="1" applyFill="1" applyBorder="1" applyAlignment="1">
      <alignment horizontal="center" vertical="center" wrapText="1"/>
    </xf>
    <xf numFmtId="0" fontId="25" fillId="7" borderId="84" xfId="4" applyFont="1" applyFill="1" applyBorder="1" applyAlignment="1">
      <alignment horizontal="center" vertical="center" wrapText="1"/>
    </xf>
    <xf numFmtId="0" fontId="25" fillId="7" borderId="85" xfId="4" applyFont="1" applyFill="1" applyBorder="1" applyAlignment="1">
      <alignment horizontal="center" vertical="center" wrapText="1"/>
    </xf>
    <xf numFmtId="0" fontId="25" fillId="7" borderId="86" xfId="4" applyFont="1" applyFill="1" applyBorder="1" applyAlignment="1">
      <alignment horizontal="center" vertical="center" wrapText="1"/>
    </xf>
    <xf numFmtId="0" fontId="25" fillId="7" borderId="95" xfId="4" applyFont="1" applyFill="1" applyBorder="1" applyAlignment="1">
      <alignment horizontal="center" vertical="center" wrapText="1"/>
    </xf>
    <xf numFmtId="0" fontId="25" fillId="7" borderId="98" xfId="4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/>
    </xf>
    <xf numFmtId="17" fontId="8" fillId="2" borderId="23" xfId="0" applyNumberFormat="1" applyFont="1" applyFill="1" applyBorder="1" applyAlignment="1">
      <alignment horizontal="center"/>
    </xf>
    <xf numFmtId="17" fontId="8" fillId="2" borderId="22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3" fillId="0" borderId="1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6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6" fillId="0" borderId="57" xfId="0" applyFont="1" applyBorder="1" applyAlignment="1">
      <alignment horizontal="center"/>
    </xf>
    <xf numFmtId="0" fontId="12" fillId="11" borderId="34" xfId="0" applyFont="1" applyFill="1" applyBorder="1" applyAlignment="1">
      <alignment horizontal="center"/>
    </xf>
    <xf numFmtId="0" fontId="12" fillId="11" borderId="33" xfId="0" applyFont="1" applyFill="1" applyBorder="1" applyAlignment="1">
      <alignment horizontal="center"/>
    </xf>
    <xf numFmtId="0" fontId="12" fillId="11" borderId="6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61" xfId="0" applyFont="1" applyBorder="1" applyAlignment="1">
      <alignment horizontal="center"/>
    </xf>
    <xf numFmtId="0" fontId="25" fillId="0" borderId="48" xfId="0" applyFont="1" applyBorder="1" applyAlignment="1">
      <alignment horizontal="center"/>
    </xf>
    <xf numFmtId="0" fontId="66" fillId="0" borderId="48" xfId="0" applyFont="1" applyBorder="1" applyAlignment="1">
      <alignment horizontal="center"/>
    </xf>
    <xf numFmtId="1" fontId="66" fillId="0" borderId="48" xfId="0" applyNumberFormat="1" applyFont="1" applyBorder="1" applyAlignment="1">
      <alignment horizontal="center"/>
    </xf>
    <xf numFmtId="1" fontId="25" fillId="0" borderId="48" xfId="0" applyNumberFormat="1" applyFont="1" applyBorder="1" applyAlignment="1">
      <alignment horizontal="center" wrapText="1"/>
    </xf>
    <xf numFmtId="0" fontId="25" fillId="0" borderId="48" xfId="0" applyFont="1" applyBorder="1" applyAlignment="1">
      <alignment horizontal="center" wrapText="1"/>
    </xf>
    <xf numFmtId="0" fontId="67" fillId="0" borderId="48" xfId="0" applyFont="1" applyBorder="1" applyAlignment="1">
      <alignment horizontal="center" wrapText="1"/>
    </xf>
    <xf numFmtId="0" fontId="25" fillId="0" borderId="0" xfId="0" applyFont="1" applyAlignment="1">
      <alignment wrapText="1"/>
    </xf>
    <xf numFmtId="0" fontId="25" fillId="0" borderId="0" xfId="0" applyFont="1"/>
    <xf numFmtId="0" fontId="4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" fontId="2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68" fillId="0" borderId="0" xfId="0" applyNumberFormat="1" applyFont="1" applyAlignment="1">
      <alignment horizontal="center"/>
    </xf>
    <xf numFmtId="2" fontId="0" fillId="0" borderId="0" xfId="0" applyNumberFormat="1"/>
    <xf numFmtId="0" fontId="68" fillId="0" borderId="0" xfId="0" applyFont="1" applyAlignment="1">
      <alignment horizontal="center"/>
    </xf>
    <xf numFmtId="1" fontId="46" fillId="0" borderId="1" xfId="0" applyNumberFormat="1" applyFont="1" applyBorder="1"/>
  </cellXfs>
  <cellStyles count="10">
    <cellStyle name="Comma" xfId="1" builtinId="3"/>
    <cellStyle name="Comma 2" xfId="2"/>
    <cellStyle name="Comma 2 2" xfId="7"/>
    <cellStyle name="Currency" xfId="3" builtinId="4"/>
    <cellStyle name="Normal" xfId="0" builtinId="0"/>
    <cellStyle name="Normal 2" xfId="4"/>
    <cellStyle name="Normal 2 2" xfId="8"/>
    <cellStyle name="Normal 2 4" xfId="5"/>
    <cellStyle name="Normal 2 4 2" xfId="9"/>
    <cellStyle name="Percent" xfId="6" builtinId="5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1835.19</c:v>
                </c:pt>
                <c:pt idx="1">
                  <c:v>2768.05</c:v>
                </c:pt>
                <c:pt idx="2">
                  <c:v>1910.45</c:v>
                </c:pt>
                <c:pt idx="3">
                  <c:v>1785.28</c:v>
                </c:pt>
                <c:pt idx="4">
                  <c:v>1903.8600000000001</c:v>
                </c:pt>
                <c:pt idx="5">
                  <c:v>2010.19</c:v>
                </c:pt>
                <c:pt idx="6">
                  <c:v>1923.46</c:v>
                </c:pt>
                <c:pt idx="7">
                  <c:v>2043.56</c:v>
                </c:pt>
                <c:pt idx="8">
                  <c:v>2103.23</c:v>
                </c:pt>
                <c:pt idx="9">
                  <c:v>2044.33</c:v>
                </c:pt>
                <c:pt idx="10">
                  <c:v>1917.2399999999998</c:v>
                </c:pt>
                <c:pt idx="11">
                  <c:v>1891.5800000000002</c:v>
                </c:pt>
                <c:pt idx="12">
                  <c:v>1992.44</c:v>
                </c:pt>
                <c:pt idx="13">
                  <c:v>1937.98</c:v>
                </c:pt>
                <c:pt idx="14">
                  <c:v>2042.1299999999999</c:v>
                </c:pt>
                <c:pt idx="15">
                  <c:v>2099.06</c:v>
                </c:pt>
                <c:pt idx="16">
                  <c:v>2371.98</c:v>
                </c:pt>
                <c:pt idx="17">
                  <c:v>2258.75</c:v>
                </c:pt>
                <c:pt idx="18">
                  <c:v>2355.33</c:v>
                </c:pt>
                <c:pt idx="19">
                  <c:v>2159.4</c:v>
                </c:pt>
                <c:pt idx="20">
                  <c:v>2501.02</c:v>
                </c:pt>
                <c:pt idx="21">
                  <c:v>2375.4699999999998</c:v>
                </c:pt>
                <c:pt idx="22">
                  <c:v>2708.2799999999997</c:v>
                </c:pt>
                <c:pt idx="23">
                  <c:v>2810.4</c:v>
                </c:pt>
                <c:pt idx="24">
                  <c:v>2865.4999999999995</c:v>
                </c:pt>
                <c:pt idx="25">
                  <c:v>2635.34</c:v>
                </c:pt>
                <c:pt idx="26">
                  <c:v>3043.34</c:v>
                </c:pt>
                <c:pt idx="27">
                  <c:v>2871.9799999999996</c:v>
                </c:pt>
                <c:pt idx="28">
                  <c:v>3172.51</c:v>
                </c:pt>
                <c:pt idx="29">
                  <c:v>3058.7599999999998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978840"/>
        <c:axId val="7029784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13</c:v>
                </c:pt>
                <c:pt idx="1">
                  <c:v>13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20</c:v>
                </c:pt>
                <c:pt idx="6">
                  <c:v>23</c:v>
                </c:pt>
                <c:pt idx="7">
                  <c:v>37</c:v>
                </c:pt>
                <c:pt idx="8">
                  <c:v>44</c:v>
                </c:pt>
                <c:pt idx="9">
                  <c:v>45</c:v>
                </c:pt>
                <c:pt idx="10">
                  <c:v>21</c:v>
                </c:pt>
                <c:pt idx="11">
                  <c:v>23</c:v>
                </c:pt>
                <c:pt idx="12">
                  <c:v>21</c:v>
                </c:pt>
                <c:pt idx="13">
                  <c:v>11</c:v>
                </c:pt>
                <c:pt idx="14">
                  <c:v>21</c:v>
                </c:pt>
                <c:pt idx="15">
                  <c:v>24</c:v>
                </c:pt>
                <c:pt idx="16">
                  <c:v>41</c:v>
                </c:pt>
                <c:pt idx="17">
                  <c:v>35</c:v>
                </c:pt>
                <c:pt idx="18">
                  <c:v>34</c:v>
                </c:pt>
                <c:pt idx="19">
                  <c:v>41</c:v>
                </c:pt>
                <c:pt idx="20">
                  <c:v>41</c:v>
                </c:pt>
                <c:pt idx="21">
                  <c:v>35</c:v>
                </c:pt>
                <c:pt idx="22">
                  <c:v>40</c:v>
                </c:pt>
                <c:pt idx="23">
                  <c:v>73</c:v>
                </c:pt>
                <c:pt idx="24">
                  <c:v>70</c:v>
                </c:pt>
                <c:pt idx="25">
                  <c:v>60</c:v>
                </c:pt>
                <c:pt idx="26">
                  <c:v>62</c:v>
                </c:pt>
                <c:pt idx="27">
                  <c:v>73</c:v>
                </c:pt>
                <c:pt idx="28">
                  <c:v>61</c:v>
                </c:pt>
                <c:pt idx="29">
                  <c:v>66</c:v>
                </c:pt>
                <c:pt idx="30">
                  <c:v>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977664"/>
        <c:axId val="702977272"/>
      </c:lineChart>
      <c:catAx>
        <c:axId val="702978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78448"/>
        <c:crosses val="autoZero"/>
        <c:auto val="1"/>
        <c:lblAlgn val="ctr"/>
        <c:lblOffset val="100"/>
        <c:noMultiLvlLbl val="0"/>
      </c:catAx>
      <c:valAx>
        <c:axId val="7029784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78840"/>
        <c:crosses val="autoZero"/>
        <c:crossBetween val="between"/>
        <c:majorUnit val="200"/>
      </c:valAx>
      <c:catAx>
        <c:axId val="702977664"/>
        <c:scaling>
          <c:orientation val="minMax"/>
        </c:scaling>
        <c:delete val="1"/>
        <c:axPos val="b"/>
        <c:majorTickMark val="out"/>
        <c:minorTickMark val="none"/>
        <c:tickLblPos val="none"/>
        <c:crossAx val="702977272"/>
        <c:crosses val="autoZero"/>
        <c:auto val="1"/>
        <c:lblAlgn val="ctr"/>
        <c:lblOffset val="100"/>
        <c:noMultiLvlLbl val="0"/>
      </c:catAx>
      <c:valAx>
        <c:axId val="702977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77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44847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1867.92</c:v>
                </c:pt>
                <c:pt idx="1">
                  <c:v>1925.79</c:v>
                </c:pt>
                <c:pt idx="2">
                  <c:v>2876.42</c:v>
                </c:pt>
                <c:pt idx="3">
                  <c:v>2020.5</c:v>
                </c:pt>
                <c:pt idx="4">
                  <c:v>1785.28</c:v>
                </c:pt>
                <c:pt idx="5">
                  <c:v>2151.5100000000002</c:v>
                </c:pt>
                <c:pt idx="6">
                  <c:v>2234.36</c:v>
                </c:pt>
                <c:pt idx="7">
                  <c:v>2037.46</c:v>
                </c:pt>
                <c:pt idx="8">
                  <c:v>2578.12</c:v>
                </c:pt>
                <c:pt idx="9">
                  <c:v>2541.23</c:v>
                </c:pt>
                <c:pt idx="10">
                  <c:v>2266.66</c:v>
                </c:pt>
                <c:pt idx="11">
                  <c:v>2115.4799999999996</c:v>
                </c:pt>
                <c:pt idx="12">
                  <c:v>2005.68</c:v>
                </c:pt>
                <c:pt idx="13">
                  <c:v>2307.96</c:v>
                </c:pt>
                <c:pt idx="14">
                  <c:v>2509.3000000000002</c:v>
                </c:pt>
                <c:pt idx="15">
                  <c:v>2377.87</c:v>
                </c:pt>
                <c:pt idx="16">
                  <c:v>2680.37</c:v>
                </c:pt>
                <c:pt idx="17">
                  <c:v>2557.69</c:v>
                </c:pt>
                <c:pt idx="18">
                  <c:v>2376.75</c:v>
                </c:pt>
                <c:pt idx="19">
                  <c:v>3045.42</c:v>
                </c:pt>
                <c:pt idx="20">
                  <c:v>2703.78</c:v>
                </c:pt>
                <c:pt idx="21">
                  <c:v>2823.75</c:v>
                </c:pt>
                <c:pt idx="22">
                  <c:v>2469.3799999999997</c:v>
                </c:pt>
                <c:pt idx="23">
                  <c:v>3494.5499999999997</c:v>
                </c:pt>
                <c:pt idx="24">
                  <c:v>2984.84</c:v>
                </c:pt>
                <c:pt idx="25">
                  <c:v>3221.5799999999995</c:v>
                </c:pt>
                <c:pt idx="26">
                  <c:v>2839.03</c:v>
                </c:pt>
                <c:pt idx="27">
                  <c:v>3364.79</c:v>
                </c:pt>
                <c:pt idx="28">
                  <c:v>3119.0199999999995</c:v>
                </c:pt>
                <c:pt idx="29">
                  <c:v>3292.63</c:v>
                </c:pt>
                <c:pt idx="30">
                  <c:v>4342.8999999999996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976096"/>
        <c:axId val="702976488"/>
      </c:lineChart>
      <c:catAx>
        <c:axId val="70297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76488"/>
        <c:crosses val="autoZero"/>
        <c:auto val="1"/>
        <c:lblAlgn val="ctr"/>
        <c:lblOffset val="200"/>
        <c:tickLblSkip val="1"/>
        <c:noMultiLvlLbl val="0"/>
      </c:catAx>
      <c:valAx>
        <c:axId val="7029764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980016"/>
        <c:axId val="702980408"/>
      </c:lineChart>
      <c:catAx>
        <c:axId val="70298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80408"/>
        <c:crosses val="autoZero"/>
        <c:auto val="1"/>
        <c:lblAlgn val="ctr"/>
        <c:lblOffset val="100"/>
        <c:noMultiLvlLbl val="0"/>
      </c:catAx>
      <c:valAx>
        <c:axId val="702980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8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2256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4555</c:v>
                </c:pt>
                <c:pt idx="1">
                  <c:v>4679</c:v>
                </c:pt>
                <c:pt idx="2">
                  <c:v>4437</c:v>
                </c:pt>
                <c:pt idx="3">
                  <c:v>4694</c:v>
                </c:pt>
                <c:pt idx="4">
                  <c:v>4359</c:v>
                </c:pt>
                <c:pt idx="5">
                  <c:v>4710</c:v>
                </c:pt>
                <c:pt idx="6">
                  <c:v>4875</c:v>
                </c:pt>
                <c:pt idx="7">
                  <c:v>4801</c:v>
                </c:pt>
                <c:pt idx="8">
                  <c:v>4909</c:v>
                </c:pt>
                <c:pt idx="9">
                  <c:v>5316</c:v>
                </c:pt>
                <c:pt idx="10">
                  <c:v>4922</c:v>
                </c:pt>
                <c:pt idx="11">
                  <c:v>4870</c:v>
                </c:pt>
                <c:pt idx="12">
                  <c:v>4660</c:v>
                </c:pt>
                <c:pt idx="13">
                  <c:v>4748</c:v>
                </c:pt>
                <c:pt idx="14">
                  <c:v>4724</c:v>
                </c:pt>
                <c:pt idx="15">
                  <c:v>5005</c:v>
                </c:pt>
                <c:pt idx="16">
                  <c:v>5332</c:v>
                </c:pt>
                <c:pt idx="17">
                  <c:v>5890</c:v>
                </c:pt>
                <c:pt idx="18">
                  <c:v>5737</c:v>
                </c:pt>
                <c:pt idx="19">
                  <c:v>5582</c:v>
                </c:pt>
                <c:pt idx="20">
                  <c:v>5599</c:v>
                </c:pt>
                <c:pt idx="21">
                  <c:v>5928</c:v>
                </c:pt>
                <c:pt idx="22">
                  <c:v>5850</c:v>
                </c:pt>
                <c:pt idx="23">
                  <c:v>6147</c:v>
                </c:pt>
                <c:pt idx="24">
                  <c:v>6478</c:v>
                </c:pt>
                <c:pt idx="25">
                  <c:v>6636</c:v>
                </c:pt>
                <c:pt idx="26">
                  <c:v>6583</c:v>
                </c:pt>
                <c:pt idx="27">
                  <c:v>7094</c:v>
                </c:pt>
                <c:pt idx="28">
                  <c:v>7628</c:v>
                </c:pt>
                <c:pt idx="29">
                  <c:v>7378</c:v>
                </c:pt>
                <c:pt idx="30">
                  <c:v>7255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981192"/>
        <c:axId val="702981584"/>
      </c:lineChart>
      <c:catAx>
        <c:axId val="702981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81584"/>
        <c:crosses val="autoZero"/>
        <c:auto val="1"/>
        <c:lblAlgn val="ctr"/>
        <c:lblOffset val="100"/>
        <c:noMultiLvlLbl val="0"/>
      </c:catAx>
      <c:valAx>
        <c:axId val="7029815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2981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99</c:v>
                </c:pt>
                <c:pt idx="1">
                  <c:v>100</c:v>
                </c:pt>
                <c:pt idx="2">
                  <c:v>90</c:v>
                </c:pt>
                <c:pt idx="3">
                  <c:v>87</c:v>
                </c:pt>
                <c:pt idx="4">
                  <c:v>84</c:v>
                </c:pt>
                <c:pt idx="5">
                  <c:v>108</c:v>
                </c:pt>
                <c:pt idx="6">
                  <c:v>93</c:v>
                </c:pt>
                <c:pt idx="7">
                  <c:v>103</c:v>
                </c:pt>
                <c:pt idx="8">
                  <c:v>125</c:v>
                </c:pt>
                <c:pt idx="9">
                  <c:v>114</c:v>
                </c:pt>
                <c:pt idx="10">
                  <c:v>114</c:v>
                </c:pt>
                <c:pt idx="11">
                  <c:v>105</c:v>
                </c:pt>
                <c:pt idx="12">
                  <c:v>111</c:v>
                </c:pt>
                <c:pt idx="13">
                  <c:v>100</c:v>
                </c:pt>
                <c:pt idx="14">
                  <c:v>87</c:v>
                </c:pt>
                <c:pt idx="15">
                  <c:v>105</c:v>
                </c:pt>
                <c:pt idx="16">
                  <c:v>109</c:v>
                </c:pt>
                <c:pt idx="17">
                  <c:v>114</c:v>
                </c:pt>
                <c:pt idx="18">
                  <c:v>110</c:v>
                </c:pt>
                <c:pt idx="19">
                  <c:v>123</c:v>
                </c:pt>
                <c:pt idx="20">
                  <c:v>130</c:v>
                </c:pt>
                <c:pt idx="21">
                  <c:v>130</c:v>
                </c:pt>
                <c:pt idx="22">
                  <c:v>131</c:v>
                </c:pt>
                <c:pt idx="23">
                  <c:v>112</c:v>
                </c:pt>
                <c:pt idx="24">
                  <c:v>147</c:v>
                </c:pt>
                <c:pt idx="25">
                  <c:v>167</c:v>
                </c:pt>
                <c:pt idx="26">
                  <c:v>159</c:v>
                </c:pt>
                <c:pt idx="27">
                  <c:v>164</c:v>
                </c:pt>
                <c:pt idx="28">
                  <c:v>173</c:v>
                </c:pt>
                <c:pt idx="29">
                  <c:v>156</c:v>
                </c:pt>
                <c:pt idx="30">
                  <c:v>120</c:v>
                </c:pt>
                <c:pt idx="31" 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56016"/>
        <c:axId val="624784072"/>
      </c:lineChart>
      <c:catAx>
        <c:axId val="45775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4784072"/>
        <c:crosses val="autoZero"/>
        <c:auto val="1"/>
        <c:lblAlgn val="ctr"/>
        <c:lblOffset val="100"/>
        <c:noMultiLvlLbl val="0"/>
      </c:catAx>
      <c:valAx>
        <c:axId val="62478407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756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General</c:formatCode>
                <c:ptCount val="31"/>
                <c:pt idx="0">
                  <c:v>149.29200000000128</c:v>
                </c:pt>
                <c:pt idx="1">
                  <c:v>78.892000000001289</c:v>
                </c:pt>
                <c:pt idx="2">
                  <c:v>126.54399999997696</c:v>
                </c:pt>
                <c:pt idx="3">
                  <c:v>101.33200000002689</c:v>
                </c:pt>
                <c:pt idx="4">
                  <c:v>111.62799999997952</c:v>
                </c:pt>
                <c:pt idx="5">
                  <c:v>105.64400000000897</c:v>
                </c:pt>
                <c:pt idx="6">
                  <c:v>116.16000000000641</c:v>
                </c:pt>
                <c:pt idx="7">
                  <c:v>149.55599999999106</c:v>
                </c:pt>
                <c:pt idx="8">
                  <c:v>158.4</c:v>
                </c:pt>
                <c:pt idx="9">
                  <c:v>197.20799999999875</c:v>
                </c:pt>
                <c:pt idx="10">
                  <c:v>121.83600000001026</c:v>
                </c:pt>
                <c:pt idx="11">
                  <c:v>127.29200000000129</c:v>
                </c:pt>
                <c:pt idx="12">
                  <c:v>119.63599999997824</c:v>
                </c:pt>
                <c:pt idx="13">
                  <c:v>108.50400000001538</c:v>
                </c:pt>
                <c:pt idx="14">
                  <c:v>117.03999999999361</c:v>
                </c:pt>
                <c:pt idx="15">
                  <c:v>115.50000000000001</c:v>
                </c:pt>
                <c:pt idx="16">
                  <c:v>103.26800000000513</c:v>
                </c:pt>
                <c:pt idx="17">
                  <c:v>116.11599999999744</c:v>
                </c:pt>
                <c:pt idx="18">
                  <c:v>125.26800000000513</c:v>
                </c:pt>
                <c:pt idx="19">
                  <c:v>115.36800000000513</c:v>
                </c:pt>
                <c:pt idx="20">
                  <c:v>128.12799999997952</c:v>
                </c:pt>
                <c:pt idx="21">
                  <c:v>119.94400000000897</c:v>
                </c:pt>
                <c:pt idx="22">
                  <c:v>106.61200000001409</c:v>
                </c:pt>
                <c:pt idx="23">
                  <c:v>119.6799999999872</c:v>
                </c:pt>
                <c:pt idx="24">
                  <c:v>131.51599999999746</c:v>
                </c:pt>
                <c:pt idx="25">
                  <c:v>115.19200000000129</c:v>
                </c:pt>
                <c:pt idx="26">
                  <c:v>108.46000000000642</c:v>
                </c:pt>
                <c:pt idx="27">
                  <c:v>123.02399999999616</c:v>
                </c:pt>
                <c:pt idx="28">
                  <c:v>111.05599999999104</c:v>
                </c:pt>
                <c:pt idx="29">
                  <c:v>106.56800000000513</c:v>
                </c:pt>
                <c:pt idx="30">
                  <c:v>122.53999999999361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71672"/>
        <c:axId val="705172064"/>
      </c:lineChart>
      <c:catAx>
        <c:axId val="705171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2064"/>
        <c:crosses val="autoZero"/>
        <c:auto val="1"/>
        <c:lblAlgn val="ctr"/>
        <c:lblOffset val="100"/>
        <c:noMultiLvlLbl val="0"/>
      </c:catAx>
      <c:valAx>
        <c:axId val="705172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1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Report'!$W$4</c:f>
              <c:strCache>
                <c:ptCount val="1"/>
                <c:pt idx="0">
                  <c:v>Cost Occ%</c:v>
                </c:pt>
              </c:strCache>
            </c:strRef>
          </c:tx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Report'!$W$5:$W$36</c:f>
              <c:numCache>
                <c:formatCode>_("$"* #,##0.00_);_("$"* \(#,##0.00\);_("$"* "-"??_);_(@_)</c:formatCode>
                <c:ptCount val="32"/>
                <c:pt idx="0">
                  <c:v>15.058064728192265</c:v>
                </c:pt>
                <c:pt idx="1">
                  <c:v>0</c:v>
                </c:pt>
                <c:pt idx="2">
                  <c:v>0</c:v>
                </c:pt>
                <c:pt idx="3">
                  <c:v>1.758653304285025</c:v>
                </c:pt>
                <c:pt idx="4">
                  <c:v>2.2832261764702597</c:v>
                </c:pt>
                <c:pt idx="5">
                  <c:v>2.0391355265070272</c:v>
                </c:pt>
                <c:pt idx="6">
                  <c:v>1.7033159792653403</c:v>
                </c:pt>
                <c:pt idx="7">
                  <c:v>1.842907725408915</c:v>
                </c:pt>
                <c:pt idx="8">
                  <c:v>0</c:v>
                </c:pt>
                <c:pt idx="9">
                  <c:v>1.0633135589405589</c:v>
                </c:pt>
                <c:pt idx="10">
                  <c:v>0.68959740305015271</c:v>
                </c:pt>
                <c:pt idx="11">
                  <c:v>1.6699508040253268</c:v>
                </c:pt>
                <c:pt idx="12">
                  <c:v>1.4910789115244205</c:v>
                </c:pt>
                <c:pt idx="13">
                  <c:v>8.7328936247074296</c:v>
                </c:pt>
                <c:pt idx="14">
                  <c:v>17.894105275254997</c:v>
                </c:pt>
                <c:pt idx="15">
                  <c:v>9.2226455360905426</c:v>
                </c:pt>
                <c:pt idx="16">
                  <c:v>7.679198640961074</c:v>
                </c:pt>
                <c:pt idx="17">
                  <c:v>4.8369880361381856</c:v>
                </c:pt>
                <c:pt idx="18">
                  <c:v>5.8885106375295297</c:v>
                </c:pt>
                <c:pt idx="19">
                  <c:v>6.0855686026624909</c:v>
                </c:pt>
                <c:pt idx="20">
                  <c:v>5.29100064752798</c:v>
                </c:pt>
                <c:pt idx="21">
                  <c:v>5.0969569547657736</c:v>
                </c:pt>
                <c:pt idx="22">
                  <c:v>5.3143105652885616</c:v>
                </c:pt>
                <c:pt idx="23">
                  <c:v>5.4945921302145218</c:v>
                </c:pt>
                <c:pt idx="24">
                  <c:v>3.114838751017396</c:v>
                </c:pt>
                <c:pt idx="25">
                  <c:v>3.0393869965685614</c:v>
                </c:pt>
                <c:pt idx="26">
                  <c:v>3.2812563211126489</c:v>
                </c:pt>
                <c:pt idx="27">
                  <c:v>3.6275337669751684</c:v>
                </c:pt>
                <c:pt idx="28">
                  <c:v>2.8237232911347037</c:v>
                </c:pt>
                <c:pt idx="29">
                  <c:v>3.3221203083874951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'Summery Report'!$Y$4</c:f>
              <c:strCache>
                <c:ptCount val="1"/>
                <c:pt idx="0">
                  <c:v>Budget per room Occ</c:v>
                </c:pt>
              </c:strCache>
            </c:strRef>
          </c:tx>
          <c:marker>
            <c:symbol val="none"/>
          </c:marker>
          <c:val>
            <c:numRef>
              <c:f>'Summery Report'!$Y$5:$Y$35</c:f>
              <c:numCache>
                <c:formatCode>_("$"* #,##0.00_);_("$"* \(#,##0.00\);_("$"* "-"??_);_(@_)</c:formatCode>
                <c:ptCount val="31"/>
                <c:pt idx="0">
                  <c:v>106</c:v>
                </c:pt>
                <c:pt idx="1">
                  <c:v>106</c:v>
                </c:pt>
                <c:pt idx="2">
                  <c:v>106</c:v>
                </c:pt>
                <c:pt idx="3">
                  <c:v>106</c:v>
                </c:pt>
                <c:pt idx="4">
                  <c:v>106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106</c:v>
                </c:pt>
                <c:pt idx="9">
                  <c:v>106</c:v>
                </c:pt>
                <c:pt idx="10">
                  <c:v>106</c:v>
                </c:pt>
                <c:pt idx="11">
                  <c:v>106</c:v>
                </c:pt>
                <c:pt idx="12">
                  <c:v>106</c:v>
                </c:pt>
                <c:pt idx="13">
                  <c:v>106</c:v>
                </c:pt>
                <c:pt idx="14">
                  <c:v>106</c:v>
                </c:pt>
                <c:pt idx="15">
                  <c:v>106</c:v>
                </c:pt>
                <c:pt idx="16">
                  <c:v>106</c:v>
                </c:pt>
                <c:pt idx="17">
                  <c:v>106</c:v>
                </c:pt>
                <c:pt idx="18">
                  <c:v>106</c:v>
                </c:pt>
                <c:pt idx="19">
                  <c:v>106</c:v>
                </c:pt>
                <c:pt idx="20">
                  <c:v>106</c:v>
                </c:pt>
                <c:pt idx="21">
                  <c:v>106</c:v>
                </c:pt>
                <c:pt idx="22">
                  <c:v>106</c:v>
                </c:pt>
                <c:pt idx="23">
                  <c:v>106</c:v>
                </c:pt>
                <c:pt idx="24">
                  <c:v>106</c:v>
                </c:pt>
                <c:pt idx="25">
                  <c:v>106</c:v>
                </c:pt>
                <c:pt idx="26">
                  <c:v>106</c:v>
                </c:pt>
                <c:pt idx="27">
                  <c:v>106</c:v>
                </c:pt>
                <c:pt idx="28">
                  <c:v>106</c:v>
                </c:pt>
                <c:pt idx="29">
                  <c:v>106</c:v>
                </c:pt>
                <c:pt idx="30">
                  <c:v>106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72848"/>
        <c:axId val="705173240"/>
      </c:lineChart>
      <c:catAx>
        <c:axId val="7051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3240"/>
        <c:crosses val="autoZero"/>
        <c:auto val="1"/>
        <c:lblAlgn val="ctr"/>
        <c:lblOffset val="100"/>
        <c:noMultiLvlLbl val="0"/>
      </c:catAx>
      <c:valAx>
        <c:axId val="705173240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1825.13</c:v>
                </c:pt>
                <c:pt idx="1">
                  <c:v>1835.19</c:v>
                </c:pt>
                <c:pt idx="2">
                  <c:v>2768.05</c:v>
                </c:pt>
                <c:pt idx="3">
                  <c:v>1910.45</c:v>
                </c:pt>
                <c:pt idx="4">
                  <c:v>1785.28</c:v>
                </c:pt>
                <c:pt idx="5">
                  <c:v>1903.8600000000001</c:v>
                </c:pt>
                <c:pt idx="6">
                  <c:v>2010.19</c:v>
                </c:pt>
                <c:pt idx="7">
                  <c:v>1923.46</c:v>
                </c:pt>
                <c:pt idx="8">
                  <c:v>2043.56</c:v>
                </c:pt>
                <c:pt idx="9">
                  <c:v>2103.23</c:v>
                </c:pt>
                <c:pt idx="10">
                  <c:v>2044.33</c:v>
                </c:pt>
                <c:pt idx="11">
                  <c:v>1917.2399999999998</c:v>
                </c:pt>
                <c:pt idx="12">
                  <c:v>1891.5800000000002</c:v>
                </c:pt>
                <c:pt idx="13">
                  <c:v>1992.44</c:v>
                </c:pt>
                <c:pt idx="14">
                  <c:v>1937.98</c:v>
                </c:pt>
                <c:pt idx="15">
                  <c:v>2042.1299999999999</c:v>
                </c:pt>
                <c:pt idx="16">
                  <c:v>2099.06</c:v>
                </c:pt>
                <c:pt idx="17">
                  <c:v>2371.98</c:v>
                </c:pt>
                <c:pt idx="18">
                  <c:v>2258.75</c:v>
                </c:pt>
                <c:pt idx="19">
                  <c:v>2355.33</c:v>
                </c:pt>
                <c:pt idx="20">
                  <c:v>2159.4</c:v>
                </c:pt>
                <c:pt idx="21">
                  <c:v>2501.02</c:v>
                </c:pt>
                <c:pt idx="22">
                  <c:v>2375.4699999999998</c:v>
                </c:pt>
                <c:pt idx="23">
                  <c:v>2708.2799999999997</c:v>
                </c:pt>
                <c:pt idx="24">
                  <c:v>2810.4</c:v>
                </c:pt>
                <c:pt idx="25">
                  <c:v>2865.4999999999995</c:v>
                </c:pt>
                <c:pt idx="26">
                  <c:v>2635.34</c:v>
                </c:pt>
                <c:pt idx="27">
                  <c:v>3043.34</c:v>
                </c:pt>
                <c:pt idx="28">
                  <c:v>2871.9799999999996</c:v>
                </c:pt>
                <c:pt idx="29">
                  <c:v>3172.51</c:v>
                </c:pt>
                <c:pt idx="30">
                  <c:v>3058.7599999999998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74024"/>
        <c:axId val="705174416"/>
      </c:lineChart>
      <c:catAx>
        <c:axId val="705174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4416"/>
        <c:crosses val="autoZero"/>
        <c:auto val="1"/>
        <c:lblAlgn val="ctr"/>
        <c:lblOffset val="100"/>
        <c:noMultiLvlLbl val="0"/>
      </c:catAx>
      <c:valAx>
        <c:axId val="70517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4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51169"/>
          <c:y val="7.4713247051083009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KWV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4555</c:v>
                </c:pt>
                <c:pt idx="1">
                  <c:v>4679</c:v>
                </c:pt>
                <c:pt idx="2">
                  <c:v>4437</c:v>
                </c:pt>
                <c:pt idx="3">
                  <c:v>4694</c:v>
                </c:pt>
                <c:pt idx="4">
                  <c:v>4359</c:v>
                </c:pt>
                <c:pt idx="5">
                  <c:v>4710</c:v>
                </c:pt>
                <c:pt idx="6">
                  <c:v>4875</c:v>
                </c:pt>
                <c:pt idx="7">
                  <c:v>4801</c:v>
                </c:pt>
                <c:pt idx="8">
                  <c:v>4909</c:v>
                </c:pt>
                <c:pt idx="9">
                  <c:v>5316</c:v>
                </c:pt>
                <c:pt idx="10">
                  <c:v>4922</c:v>
                </c:pt>
                <c:pt idx="11">
                  <c:v>4870</c:v>
                </c:pt>
                <c:pt idx="12">
                  <c:v>4660</c:v>
                </c:pt>
                <c:pt idx="13">
                  <c:v>4748</c:v>
                </c:pt>
                <c:pt idx="14">
                  <c:v>4724</c:v>
                </c:pt>
                <c:pt idx="15">
                  <c:v>5005</c:v>
                </c:pt>
                <c:pt idx="16">
                  <c:v>5332</c:v>
                </c:pt>
                <c:pt idx="17">
                  <c:v>5890</c:v>
                </c:pt>
                <c:pt idx="18">
                  <c:v>5737</c:v>
                </c:pt>
                <c:pt idx="19">
                  <c:v>5582</c:v>
                </c:pt>
                <c:pt idx="20">
                  <c:v>5599</c:v>
                </c:pt>
                <c:pt idx="21">
                  <c:v>5928</c:v>
                </c:pt>
                <c:pt idx="22">
                  <c:v>5850</c:v>
                </c:pt>
                <c:pt idx="23">
                  <c:v>6147</c:v>
                </c:pt>
                <c:pt idx="24">
                  <c:v>6478</c:v>
                </c:pt>
                <c:pt idx="25">
                  <c:v>6636</c:v>
                </c:pt>
                <c:pt idx="26">
                  <c:v>6583</c:v>
                </c:pt>
                <c:pt idx="27">
                  <c:v>7094</c:v>
                </c:pt>
                <c:pt idx="28">
                  <c:v>7628</c:v>
                </c:pt>
                <c:pt idx="29">
                  <c:v>7378</c:v>
                </c:pt>
                <c:pt idx="30">
                  <c:v>7255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175200"/>
        <c:axId val="70517559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175984"/>
        <c:axId val="705176376"/>
      </c:lineChart>
      <c:catAx>
        <c:axId val="70517520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5592"/>
        <c:crosses val="autoZero"/>
        <c:auto val="0"/>
        <c:lblAlgn val="ctr"/>
        <c:lblOffset val="100"/>
        <c:tickMarkSkip val="1"/>
        <c:noMultiLvlLbl val="0"/>
      </c:catAx>
      <c:valAx>
        <c:axId val="7051755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5200"/>
        <c:crosses val="autoZero"/>
        <c:crossBetween val="between"/>
      </c:valAx>
      <c:catAx>
        <c:axId val="70517598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705176376"/>
        <c:crosses val="autoZero"/>
        <c:auto val="0"/>
        <c:lblAlgn val="ctr"/>
        <c:lblOffset val="100"/>
        <c:noMultiLvlLbl val="0"/>
      </c:catAx>
      <c:valAx>
        <c:axId val="7051763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2.2827509481668775</c:v>
                </c:pt>
                <c:pt idx="1">
                  <c:v>2.7155455606340562</c:v>
                </c:pt>
                <c:pt idx="2">
                  <c:v>4.0560235339881361</c:v>
                </c:pt>
                <c:pt idx="3">
                  <c:v>2.4692161820480405</c:v>
                </c:pt>
                <c:pt idx="4">
                  <c:v>2.7271976401179945</c:v>
                </c:pt>
                <c:pt idx="5">
                  <c:v>2.6293211125158029</c:v>
                </c:pt>
                <c:pt idx="6">
                  <c:v>2.04792793931732</c:v>
                </c:pt>
                <c:pt idx="7">
                  <c:v>1.6238756664651242</c:v>
                </c:pt>
                <c:pt idx="8">
                  <c:v>1.277300030751358</c:v>
                </c:pt>
                <c:pt idx="9">
                  <c:v>1.0587241409033443</c:v>
                </c:pt>
                <c:pt idx="10">
                  <c:v>0.92334794212670324</c:v>
                </c:pt>
                <c:pt idx="11">
                  <c:v>1.8466353621094451</c:v>
                </c:pt>
                <c:pt idx="12">
                  <c:v>1.5985466937833233</c:v>
                </c:pt>
                <c:pt idx="13">
                  <c:v>2.014654144843778</c:v>
                </c:pt>
                <c:pt idx="14">
                  <c:v>4.1816860131019427</c:v>
                </c:pt>
                <c:pt idx="15">
                  <c:v>2.0756796700981277</c:v>
                </c:pt>
                <c:pt idx="16">
                  <c:v>2.0472695427728613</c:v>
                </c:pt>
                <c:pt idx="17">
                  <c:v>1.1435510776725972</c:v>
                </c:pt>
                <c:pt idx="18">
                  <c:v>1.2448212028174102</c:v>
                </c:pt>
                <c:pt idx="19">
                  <c:v>1.6419495054659032</c:v>
                </c:pt>
                <c:pt idx="20">
                  <c:v>1.2088683666861955</c:v>
                </c:pt>
                <c:pt idx="21">
                  <c:v>1.2625073232401098</c:v>
                </c:pt>
                <c:pt idx="22">
                  <c:v>1.2933361025826258</c:v>
                </c:pt>
                <c:pt idx="23">
                  <c:v>1.6014846713021491</c:v>
                </c:pt>
                <c:pt idx="24">
                  <c:v>0.7495311985868417</c:v>
                </c:pt>
                <c:pt idx="25">
                  <c:v>0.84365017157305389</c:v>
                </c:pt>
                <c:pt idx="26">
                  <c:v>0.86738168984407926</c:v>
                </c:pt>
                <c:pt idx="27">
                  <c:v>0.99485043432160192</c:v>
                </c:pt>
                <c:pt idx="28">
                  <c:v>0.78322549919470752</c:v>
                </c:pt>
                <c:pt idx="29">
                  <c:v>0.98947451866282565</c:v>
                </c:pt>
                <c:pt idx="30">
                  <c:v>1.2062224648507833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177160"/>
        <c:axId val="705177552"/>
      </c:lineChart>
      <c:catAx>
        <c:axId val="705177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7552"/>
        <c:crosses val="autoZero"/>
        <c:auto val="1"/>
        <c:lblAlgn val="ctr"/>
        <c:lblOffset val="100"/>
        <c:noMultiLvlLbl val="0"/>
      </c:catAx>
      <c:valAx>
        <c:axId val="705177552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7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5296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2.2827509481668775</c:v>
                </c:pt>
                <c:pt idx="1">
                  <c:v>2.7155455606340562</c:v>
                </c:pt>
                <c:pt idx="2">
                  <c:v>4.0560235339881361</c:v>
                </c:pt>
                <c:pt idx="3">
                  <c:v>2.4692161820480405</c:v>
                </c:pt>
                <c:pt idx="4">
                  <c:v>2.7271976401179945</c:v>
                </c:pt>
                <c:pt idx="5">
                  <c:v>2.6293211125158029</c:v>
                </c:pt>
                <c:pt idx="6">
                  <c:v>2.04792793931732</c:v>
                </c:pt>
                <c:pt idx="7">
                  <c:v>1.6238756664651242</c:v>
                </c:pt>
                <c:pt idx="8">
                  <c:v>1.277300030751358</c:v>
                </c:pt>
                <c:pt idx="9">
                  <c:v>1.0587241409033443</c:v>
                </c:pt>
                <c:pt idx="10">
                  <c:v>0.92334794212670324</c:v>
                </c:pt>
                <c:pt idx="11">
                  <c:v>1.8466353621094451</c:v>
                </c:pt>
                <c:pt idx="12">
                  <c:v>1.5985466937833233</c:v>
                </c:pt>
                <c:pt idx="13">
                  <c:v>2.014654144843778</c:v>
                </c:pt>
                <c:pt idx="14">
                  <c:v>4.1816860131019427</c:v>
                </c:pt>
                <c:pt idx="15">
                  <c:v>2.0756796700981277</c:v>
                </c:pt>
                <c:pt idx="16">
                  <c:v>2.0472695427728613</c:v>
                </c:pt>
                <c:pt idx="17">
                  <c:v>1.1435510776725972</c:v>
                </c:pt>
                <c:pt idx="18">
                  <c:v>1.2448212028174102</c:v>
                </c:pt>
                <c:pt idx="19">
                  <c:v>1.6419495054659032</c:v>
                </c:pt>
                <c:pt idx="20">
                  <c:v>1.2088683666861955</c:v>
                </c:pt>
                <c:pt idx="21">
                  <c:v>1.2625073232401098</c:v>
                </c:pt>
                <c:pt idx="22">
                  <c:v>1.2933361025826258</c:v>
                </c:pt>
                <c:pt idx="23">
                  <c:v>1.6014846713021491</c:v>
                </c:pt>
                <c:pt idx="24">
                  <c:v>0.7495311985868417</c:v>
                </c:pt>
                <c:pt idx="25">
                  <c:v>0.84365017157305389</c:v>
                </c:pt>
                <c:pt idx="26">
                  <c:v>0.86738168984407926</c:v>
                </c:pt>
                <c:pt idx="27">
                  <c:v>0.99485043432160192</c:v>
                </c:pt>
                <c:pt idx="28">
                  <c:v>0.78322549919470752</c:v>
                </c:pt>
                <c:pt idx="29">
                  <c:v>0.98947451866282565</c:v>
                </c:pt>
                <c:pt idx="30">
                  <c:v>1.2062224648507833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178336"/>
        <c:axId val="705178728"/>
      </c:lineChart>
      <c:catAx>
        <c:axId val="70517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8728"/>
        <c:crosses val="autoZero"/>
        <c:auto val="1"/>
        <c:lblAlgn val="ctr"/>
        <c:lblOffset val="100"/>
        <c:noMultiLvlLbl val="0"/>
      </c:catAx>
      <c:valAx>
        <c:axId val="705178728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4296"/>
        <c:axId val="70409468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5080"/>
        <c:axId val="704095472"/>
      </c:lineChart>
      <c:catAx>
        <c:axId val="70409429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4688"/>
        <c:crosses val="autoZero"/>
        <c:auto val="0"/>
        <c:lblAlgn val="ctr"/>
        <c:lblOffset val="100"/>
        <c:tickMarkSkip val="1"/>
        <c:noMultiLvlLbl val="0"/>
      </c:catAx>
      <c:valAx>
        <c:axId val="7040946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4296"/>
        <c:crosses val="autoZero"/>
        <c:crossBetween val="between"/>
      </c:valAx>
      <c:catAx>
        <c:axId val="7040950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704095472"/>
        <c:crosses val="autoZero"/>
        <c:auto val="0"/>
        <c:lblAlgn val="ctr"/>
        <c:lblOffset val="100"/>
        <c:noMultiLvlLbl val="0"/>
      </c:catAx>
      <c:valAx>
        <c:axId val="70409547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50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24</c:v>
                </c:pt>
                <c:pt idx="1">
                  <c:v>27</c:v>
                </c:pt>
                <c:pt idx="2">
                  <c:v>29</c:v>
                </c:pt>
                <c:pt idx="3">
                  <c:v>21</c:v>
                </c:pt>
                <c:pt idx="4">
                  <c:v>27</c:v>
                </c:pt>
                <c:pt idx="5">
                  <c:v>46</c:v>
                </c:pt>
                <c:pt idx="6">
                  <c:v>32</c:v>
                </c:pt>
                <c:pt idx="7">
                  <c:v>34</c:v>
                </c:pt>
                <c:pt idx="8">
                  <c:v>28</c:v>
                </c:pt>
                <c:pt idx="9">
                  <c:v>39</c:v>
                </c:pt>
                <c:pt idx="10">
                  <c:v>-95</c:v>
                </c:pt>
                <c:pt idx="11">
                  <c:v>4</c:v>
                </c:pt>
                <c:pt idx="12">
                  <c:v>28</c:v>
                </c:pt>
                <c:pt idx="13">
                  <c:v>32</c:v>
                </c:pt>
                <c:pt idx="14">
                  <c:v>40</c:v>
                </c:pt>
                <c:pt idx="15">
                  <c:v>39</c:v>
                </c:pt>
                <c:pt idx="16">
                  <c:v>29</c:v>
                </c:pt>
                <c:pt idx="17">
                  <c:v>34</c:v>
                </c:pt>
                <c:pt idx="18">
                  <c:v>35</c:v>
                </c:pt>
                <c:pt idx="19">
                  <c:v>30</c:v>
                </c:pt>
                <c:pt idx="20">
                  <c:v>48</c:v>
                </c:pt>
                <c:pt idx="21">
                  <c:v>49</c:v>
                </c:pt>
                <c:pt idx="22">
                  <c:v>48</c:v>
                </c:pt>
                <c:pt idx="23">
                  <c:v>52</c:v>
                </c:pt>
                <c:pt idx="24">
                  <c:v>53</c:v>
                </c:pt>
                <c:pt idx="25">
                  <c:v>36</c:v>
                </c:pt>
                <c:pt idx="26">
                  <c:v>41</c:v>
                </c:pt>
                <c:pt idx="27">
                  <c:v>-176819</c:v>
                </c:pt>
                <c:pt idx="28">
                  <c:v>3670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6256"/>
        <c:axId val="70409664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43435</c:v>
                </c:pt>
                <c:pt idx="1">
                  <c:v>43436</c:v>
                </c:pt>
                <c:pt idx="2">
                  <c:v>43437</c:v>
                </c:pt>
                <c:pt idx="3">
                  <c:v>43438</c:v>
                </c:pt>
                <c:pt idx="4">
                  <c:v>43439</c:v>
                </c:pt>
                <c:pt idx="5">
                  <c:v>43440</c:v>
                </c:pt>
                <c:pt idx="6">
                  <c:v>43441</c:v>
                </c:pt>
                <c:pt idx="7">
                  <c:v>43442</c:v>
                </c:pt>
                <c:pt idx="8">
                  <c:v>43443</c:v>
                </c:pt>
                <c:pt idx="9">
                  <c:v>43444</c:v>
                </c:pt>
                <c:pt idx="10">
                  <c:v>43445</c:v>
                </c:pt>
                <c:pt idx="11">
                  <c:v>43446</c:v>
                </c:pt>
                <c:pt idx="12">
                  <c:v>43447</c:v>
                </c:pt>
                <c:pt idx="13">
                  <c:v>43448</c:v>
                </c:pt>
                <c:pt idx="14">
                  <c:v>43449</c:v>
                </c:pt>
                <c:pt idx="15">
                  <c:v>43450</c:v>
                </c:pt>
                <c:pt idx="16">
                  <c:v>43451</c:v>
                </c:pt>
                <c:pt idx="17">
                  <c:v>43452</c:v>
                </c:pt>
                <c:pt idx="18">
                  <c:v>43453</c:v>
                </c:pt>
                <c:pt idx="19">
                  <c:v>43454</c:v>
                </c:pt>
                <c:pt idx="20">
                  <c:v>43455</c:v>
                </c:pt>
                <c:pt idx="21">
                  <c:v>43456</c:v>
                </c:pt>
                <c:pt idx="22">
                  <c:v>43457</c:v>
                </c:pt>
                <c:pt idx="23">
                  <c:v>43458</c:v>
                </c:pt>
                <c:pt idx="24">
                  <c:v>43459</c:v>
                </c:pt>
                <c:pt idx="25">
                  <c:v>43460</c:v>
                </c:pt>
                <c:pt idx="26">
                  <c:v>43461</c:v>
                </c:pt>
                <c:pt idx="27">
                  <c:v>43462</c:v>
                </c:pt>
                <c:pt idx="28">
                  <c:v>43463</c:v>
                </c:pt>
                <c:pt idx="29">
                  <c:v>43464</c:v>
                </c:pt>
                <c:pt idx="30">
                  <c:v>43465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7040"/>
        <c:axId val="704097432"/>
      </c:lineChart>
      <c:catAx>
        <c:axId val="70409625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6648"/>
        <c:crosses val="autoZero"/>
        <c:auto val="0"/>
        <c:lblAlgn val="ctr"/>
        <c:lblOffset val="100"/>
        <c:tickMarkSkip val="1"/>
        <c:noMultiLvlLbl val="0"/>
      </c:catAx>
      <c:valAx>
        <c:axId val="7040966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6256"/>
        <c:crosses val="autoZero"/>
        <c:crossBetween val="between"/>
      </c:valAx>
      <c:catAx>
        <c:axId val="70409704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704097432"/>
        <c:crosses val="autoZero"/>
        <c:auto val="0"/>
        <c:lblAlgn val="ctr"/>
        <c:lblOffset val="100"/>
        <c:noMultiLvlLbl val="0"/>
      </c:catAx>
      <c:valAx>
        <c:axId val="70409743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70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4555</c:v>
                </c:pt>
                <c:pt idx="1">
                  <c:v>4679</c:v>
                </c:pt>
                <c:pt idx="2">
                  <c:v>4437</c:v>
                </c:pt>
                <c:pt idx="3">
                  <c:v>4694</c:v>
                </c:pt>
                <c:pt idx="4">
                  <c:v>4359</c:v>
                </c:pt>
                <c:pt idx="5">
                  <c:v>4710</c:v>
                </c:pt>
                <c:pt idx="6">
                  <c:v>4875</c:v>
                </c:pt>
                <c:pt idx="7">
                  <c:v>4801</c:v>
                </c:pt>
                <c:pt idx="8">
                  <c:v>4909</c:v>
                </c:pt>
                <c:pt idx="9">
                  <c:v>5316</c:v>
                </c:pt>
                <c:pt idx="10">
                  <c:v>4922</c:v>
                </c:pt>
                <c:pt idx="11">
                  <c:v>4870</c:v>
                </c:pt>
                <c:pt idx="12">
                  <c:v>4660</c:v>
                </c:pt>
                <c:pt idx="13">
                  <c:v>4748</c:v>
                </c:pt>
                <c:pt idx="14">
                  <c:v>4724</c:v>
                </c:pt>
                <c:pt idx="15">
                  <c:v>5005</c:v>
                </c:pt>
                <c:pt idx="16">
                  <c:v>5332</c:v>
                </c:pt>
                <c:pt idx="17">
                  <c:v>5890</c:v>
                </c:pt>
                <c:pt idx="18">
                  <c:v>5737</c:v>
                </c:pt>
                <c:pt idx="19">
                  <c:v>5582</c:v>
                </c:pt>
                <c:pt idx="20">
                  <c:v>5599</c:v>
                </c:pt>
                <c:pt idx="21">
                  <c:v>5928</c:v>
                </c:pt>
                <c:pt idx="22">
                  <c:v>5850</c:v>
                </c:pt>
                <c:pt idx="23">
                  <c:v>6147</c:v>
                </c:pt>
                <c:pt idx="24">
                  <c:v>6478</c:v>
                </c:pt>
                <c:pt idx="25">
                  <c:v>6636</c:v>
                </c:pt>
                <c:pt idx="26">
                  <c:v>6583</c:v>
                </c:pt>
                <c:pt idx="27">
                  <c:v>7094</c:v>
                </c:pt>
                <c:pt idx="28">
                  <c:v>7628</c:v>
                </c:pt>
                <c:pt idx="29">
                  <c:v>7378</c:v>
                </c:pt>
                <c:pt idx="30">
                  <c:v>7255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8216"/>
        <c:axId val="704098608"/>
      </c:lineChart>
      <c:catAx>
        <c:axId val="704098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8608"/>
        <c:crosses val="autoZero"/>
        <c:auto val="1"/>
        <c:lblAlgn val="ctr"/>
        <c:lblOffset val="100"/>
        <c:noMultiLvlLbl val="0"/>
      </c:catAx>
      <c:valAx>
        <c:axId val="70409860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8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99</c:v>
                </c:pt>
                <c:pt idx="1">
                  <c:v>100</c:v>
                </c:pt>
                <c:pt idx="2">
                  <c:v>90</c:v>
                </c:pt>
                <c:pt idx="3">
                  <c:v>87</c:v>
                </c:pt>
                <c:pt idx="4">
                  <c:v>84</c:v>
                </c:pt>
                <c:pt idx="5">
                  <c:v>108</c:v>
                </c:pt>
                <c:pt idx="6">
                  <c:v>93</c:v>
                </c:pt>
                <c:pt idx="7">
                  <c:v>103</c:v>
                </c:pt>
                <c:pt idx="8">
                  <c:v>125</c:v>
                </c:pt>
                <c:pt idx="9">
                  <c:v>114</c:v>
                </c:pt>
                <c:pt idx="10">
                  <c:v>114</c:v>
                </c:pt>
                <c:pt idx="11">
                  <c:v>105</c:v>
                </c:pt>
                <c:pt idx="12">
                  <c:v>111</c:v>
                </c:pt>
                <c:pt idx="13">
                  <c:v>100</c:v>
                </c:pt>
                <c:pt idx="14">
                  <c:v>87</c:v>
                </c:pt>
                <c:pt idx="15">
                  <c:v>105</c:v>
                </c:pt>
                <c:pt idx="16">
                  <c:v>109</c:v>
                </c:pt>
                <c:pt idx="17">
                  <c:v>114</c:v>
                </c:pt>
                <c:pt idx="18">
                  <c:v>110</c:v>
                </c:pt>
                <c:pt idx="19">
                  <c:v>123</c:v>
                </c:pt>
                <c:pt idx="20">
                  <c:v>130</c:v>
                </c:pt>
                <c:pt idx="21">
                  <c:v>130</c:v>
                </c:pt>
                <c:pt idx="22">
                  <c:v>131</c:v>
                </c:pt>
                <c:pt idx="23">
                  <c:v>112</c:v>
                </c:pt>
                <c:pt idx="24">
                  <c:v>147</c:v>
                </c:pt>
                <c:pt idx="25">
                  <c:v>167</c:v>
                </c:pt>
                <c:pt idx="26">
                  <c:v>159</c:v>
                </c:pt>
                <c:pt idx="27">
                  <c:v>164</c:v>
                </c:pt>
                <c:pt idx="28">
                  <c:v>173</c:v>
                </c:pt>
                <c:pt idx="29">
                  <c:v>156</c:v>
                </c:pt>
                <c:pt idx="30">
                  <c:v>120</c:v>
                </c:pt>
                <c:pt idx="31" 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99392"/>
        <c:axId val="704099784"/>
      </c:lineChart>
      <c:catAx>
        <c:axId val="70409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9784"/>
        <c:crosses val="autoZero"/>
        <c:auto val="1"/>
        <c:lblAlgn val="ctr"/>
        <c:lblOffset val="100"/>
        <c:noMultiLvlLbl val="0"/>
      </c:catAx>
      <c:valAx>
        <c:axId val="7040997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099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1867.92</c:v>
                </c:pt>
                <c:pt idx="1">
                  <c:v>1925.79</c:v>
                </c:pt>
                <c:pt idx="2">
                  <c:v>2876.42</c:v>
                </c:pt>
                <c:pt idx="3">
                  <c:v>2020.5</c:v>
                </c:pt>
                <c:pt idx="4">
                  <c:v>1785.28</c:v>
                </c:pt>
                <c:pt idx="5">
                  <c:v>2151.5100000000002</c:v>
                </c:pt>
                <c:pt idx="6">
                  <c:v>2234.36</c:v>
                </c:pt>
                <c:pt idx="7">
                  <c:v>2037.46</c:v>
                </c:pt>
                <c:pt idx="8">
                  <c:v>2578.12</c:v>
                </c:pt>
                <c:pt idx="9">
                  <c:v>2541.23</c:v>
                </c:pt>
                <c:pt idx="10">
                  <c:v>2266.66</c:v>
                </c:pt>
                <c:pt idx="11">
                  <c:v>2115.4799999999996</c:v>
                </c:pt>
                <c:pt idx="12">
                  <c:v>2005.68</c:v>
                </c:pt>
                <c:pt idx="13">
                  <c:v>2307.96</c:v>
                </c:pt>
                <c:pt idx="14">
                  <c:v>2509.3000000000002</c:v>
                </c:pt>
                <c:pt idx="15">
                  <c:v>2377.87</c:v>
                </c:pt>
                <c:pt idx="16">
                  <c:v>2680.37</c:v>
                </c:pt>
                <c:pt idx="17">
                  <c:v>2557.69</c:v>
                </c:pt>
                <c:pt idx="18">
                  <c:v>2376.75</c:v>
                </c:pt>
                <c:pt idx="19">
                  <c:v>3045.42</c:v>
                </c:pt>
                <c:pt idx="20">
                  <c:v>2703.78</c:v>
                </c:pt>
                <c:pt idx="21">
                  <c:v>2823.75</c:v>
                </c:pt>
                <c:pt idx="22">
                  <c:v>2469.3799999999997</c:v>
                </c:pt>
                <c:pt idx="23">
                  <c:v>3494.5499999999997</c:v>
                </c:pt>
                <c:pt idx="24">
                  <c:v>2984.84</c:v>
                </c:pt>
                <c:pt idx="25">
                  <c:v>3221.5799999999995</c:v>
                </c:pt>
                <c:pt idx="26">
                  <c:v>2839.03</c:v>
                </c:pt>
                <c:pt idx="27">
                  <c:v>3364.79</c:v>
                </c:pt>
                <c:pt idx="28">
                  <c:v>3119.0199999999995</c:v>
                </c:pt>
                <c:pt idx="29">
                  <c:v>3292.63</c:v>
                </c:pt>
                <c:pt idx="30">
                  <c:v>4342.8999999999996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100568"/>
        <c:axId val="704100960"/>
      </c:lineChart>
      <c:catAx>
        <c:axId val="704100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100960"/>
        <c:crosses val="autoZero"/>
        <c:auto val="1"/>
        <c:lblAlgn val="ctr"/>
        <c:lblOffset val="200"/>
        <c:tickLblSkip val="1"/>
        <c:noMultiLvlLbl val="0"/>
      </c:catAx>
      <c:valAx>
        <c:axId val="70410096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100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770936"/>
        <c:axId val="704771328"/>
      </c:lineChart>
      <c:catAx>
        <c:axId val="704770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1328"/>
        <c:crosses val="autoZero"/>
        <c:auto val="1"/>
        <c:lblAlgn val="ctr"/>
        <c:lblOffset val="100"/>
        <c:noMultiLvlLbl val="0"/>
      </c:catAx>
      <c:valAx>
        <c:axId val="7047713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0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43669527896999188"/>
          <c:y val="6.0606855961186673E-2"/>
          <c:w val="0.48712446351963518"/>
          <c:h val="0.24242662848962071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7752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General</c:formatCode>
                <c:ptCount val="31"/>
                <c:pt idx="0">
                  <c:v>149.29200000000128</c:v>
                </c:pt>
                <c:pt idx="1">
                  <c:v>78.892000000001289</c:v>
                </c:pt>
                <c:pt idx="2">
                  <c:v>126.54399999997696</c:v>
                </c:pt>
                <c:pt idx="3">
                  <c:v>101.33200000002689</c:v>
                </c:pt>
                <c:pt idx="4">
                  <c:v>111.62799999997952</c:v>
                </c:pt>
                <c:pt idx="5">
                  <c:v>105.64400000000897</c:v>
                </c:pt>
                <c:pt idx="6">
                  <c:v>116.16000000000641</c:v>
                </c:pt>
                <c:pt idx="7">
                  <c:v>149.55599999999106</c:v>
                </c:pt>
                <c:pt idx="8">
                  <c:v>158.4</c:v>
                </c:pt>
                <c:pt idx="9">
                  <c:v>197.20799999999875</c:v>
                </c:pt>
                <c:pt idx="10">
                  <c:v>121.83600000001026</c:v>
                </c:pt>
                <c:pt idx="11">
                  <c:v>127.29200000000129</c:v>
                </c:pt>
                <c:pt idx="12">
                  <c:v>119.63599999997824</c:v>
                </c:pt>
                <c:pt idx="13">
                  <c:v>108.50400000001538</c:v>
                </c:pt>
                <c:pt idx="14">
                  <c:v>117.03999999999361</c:v>
                </c:pt>
                <c:pt idx="15">
                  <c:v>115.50000000000001</c:v>
                </c:pt>
                <c:pt idx="16">
                  <c:v>103.26800000000513</c:v>
                </c:pt>
                <c:pt idx="17">
                  <c:v>116.11599999999744</c:v>
                </c:pt>
                <c:pt idx="18">
                  <c:v>125.26800000000513</c:v>
                </c:pt>
                <c:pt idx="19">
                  <c:v>115.36800000000513</c:v>
                </c:pt>
                <c:pt idx="20">
                  <c:v>128.12799999997952</c:v>
                </c:pt>
                <c:pt idx="21">
                  <c:v>119.94400000000897</c:v>
                </c:pt>
                <c:pt idx="22">
                  <c:v>106.61200000001409</c:v>
                </c:pt>
                <c:pt idx="23">
                  <c:v>119.6799999999872</c:v>
                </c:pt>
                <c:pt idx="24">
                  <c:v>131.51599999999746</c:v>
                </c:pt>
                <c:pt idx="25">
                  <c:v>115.19200000000129</c:v>
                </c:pt>
                <c:pt idx="26">
                  <c:v>108.46000000000642</c:v>
                </c:pt>
                <c:pt idx="27">
                  <c:v>123.02399999999616</c:v>
                </c:pt>
                <c:pt idx="28">
                  <c:v>111.05599999999104</c:v>
                </c:pt>
                <c:pt idx="29">
                  <c:v>106.56800000000513</c:v>
                </c:pt>
                <c:pt idx="30">
                  <c:v>122.53999999999361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772112"/>
        <c:axId val="704772504"/>
      </c:lineChart>
      <c:catAx>
        <c:axId val="70477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2504"/>
        <c:crosses val="autoZero"/>
        <c:auto val="1"/>
        <c:lblAlgn val="ctr"/>
        <c:lblOffset val="100"/>
        <c:noMultiLvlLbl val="0"/>
      </c:catAx>
      <c:valAx>
        <c:axId val="704772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5325035628420065"/>
          <c:y val="0.54491017964071853"/>
          <c:w val="0.99056702817808151"/>
          <c:h val="0.6706586826354783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4555</c:v>
                </c:pt>
                <c:pt idx="1">
                  <c:v>4679</c:v>
                </c:pt>
                <c:pt idx="2">
                  <c:v>4437</c:v>
                </c:pt>
                <c:pt idx="3">
                  <c:v>4694</c:v>
                </c:pt>
                <c:pt idx="4">
                  <c:v>4359</c:v>
                </c:pt>
                <c:pt idx="5">
                  <c:v>4710</c:v>
                </c:pt>
                <c:pt idx="6">
                  <c:v>4875</c:v>
                </c:pt>
                <c:pt idx="7">
                  <c:v>4801</c:v>
                </c:pt>
                <c:pt idx="8">
                  <c:v>4909</c:v>
                </c:pt>
                <c:pt idx="9">
                  <c:v>5316</c:v>
                </c:pt>
                <c:pt idx="10">
                  <c:v>4922</c:v>
                </c:pt>
                <c:pt idx="11">
                  <c:v>4870</c:v>
                </c:pt>
                <c:pt idx="12">
                  <c:v>4660</c:v>
                </c:pt>
                <c:pt idx="13">
                  <c:v>4748</c:v>
                </c:pt>
                <c:pt idx="14">
                  <c:v>4724</c:v>
                </c:pt>
                <c:pt idx="15">
                  <c:v>5005</c:v>
                </c:pt>
                <c:pt idx="16">
                  <c:v>5332</c:v>
                </c:pt>
                <c:pt idx="17">
                  <c:v>5890</c:v>
                </c:pt>
                <c:pt idx="18">
                  <c:v>5737</c:v>
                </c:pt>
                <c:pt idx="19">
                  <c:v>5582</c:v>
                </c:pt>
                <c:pt idx="20">
                  <c:v>5599</c:v>
                </c:pt>
                <c:pt idx="21">
                  <c:v>5928</c:v>
                </c:pt>
                <c:pt idx="22">
                  <c:v>5850</c:v>
                </c:pt>
                <c:pt idx="23">
                  <c:v>6147</c:v>
                </c:pt>
                <c:pt idx="24">
                  <c:v>6478</c:v>
                </c:pt>
                <c:pt idx="25">
                  <c:v>6636</c:v>
                </c:pt>
                <c:pt idx="26">
                  <c:v>6583</c:v>
                </c:pt>
                <c:pt idx="27">
                  <c:v>7094</c:v>
                </c:pt>
                <c:pt idx="28">
                  <c:v>7628</c:v>
                </c:pt>
                <c:pt idx="29">
                  <c:v>7378</c:v>
                </c:pt>
                <c:pt idx="30">
                  <c:v>7255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773288"/>
        <c:axId val="704773680"/>
      </c:lineChart>
      <c:catAx>
        <c:axId val="704773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3680"/>
        <c:crosses val="autoZero"/>
        <c:auto val="1"/>
        <c:lblAlgn val="ctr"/>
        <c:lblOffset val="100"/>
        <c:noMultiLvlLbl val="0"/>
      </c:catAx>
      <c:valAx>
        <c:axId val="70477368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3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99</c:v>
                </c:pt>
                <c:pt idx="1">
                  <c:v>100</c:v>
                </c:pt>
                <c:pt idx="2">
                  <c:v>90</c:v>
                </c:pt>
                <c:pt idx="3">
                  <c:v>87</c:v>
                </c:pt>
                <c:pt idx="4">
                  <c:v>84</c:v>
                </c:pt>
                <c:pt idx="5">
                  <c:v>108</c:v>
                </c:pt>
                <c:pt idx="6">
                  <c:v>93</c:v>
                </c:pt>
                <c:pt idx="7">
                  <c:v>103</c:v>
                </c:pt>
                <c:pt idx="8">
                  <c:v>125</c:v>
                </c:pt>
                <c:pt idx="9">
                  <c:v>114</c:v>
                </c:pt>
                <c:pt idx="10">
                  <c:v>114</c:v>
                </c:pt>
                <c:pt idx="11">
                  <c:v>105</c:v>
                </c:pt>
                <c:pt idx="12">
                  <c:v>111</c:v>
                </c:pt>
                <c:pt idx="13">
                  <c:v>100</c:v>
                </c:pt>
                <c:pt idx="14">
                  <c:v>87</c:v>
                </c:pt>
                <c:pt idx="15">
                  <c:v>105</c:v>
                </c:pt>
                <c:pt idx="16">
                  <c:v>109</c:v>
                </c:pt>
                <c:pt idx="17">
                  <c:v>114</c:v>
                </c:pt>
                <c:pt idx="18">
                  <c:v>110</c:v>
                </c:pt>
                <c:pt idx="19">
                  <c:v>123</c:v>
                </c:pt>
                <c:pt idx="20">
                  <c:v>130</c:v>
                </c:pt>
                <c:pt idx="21">
                  <c:v>130</c:v>
                </c:pt>
                <c:pt idx="22">
                  <c:v>131</c:v>
                </c:pt>
                <c:pt idx="23">
                  <c:v>112</c:v>
                </c:pt>
                <c:pt idx="24">
                  <c:v>147</c:v>
                </c:pt>
                <c:pt idx="25">
                  <c:v>167</c:v>
                </c:pt>
                <c:pt idx="26">
                  <c:v>159</c:v>
                </c:pt>
                <c:pt idx="27">
                  <c:v>164</c:v>
                </c:pt>
                <c:pt idx="28">
                  <c:v>173</c:v>
                </c:pt>
                <c:pt idx="29">
                  <c:v>156</c:v>
                </c:pt>
                <c:pt idx="30">
                  <c:v>120</c:v>
                </c:pt>
                <c:pt idx="31" 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774464"/>
        <c:axId val="704774856"/>
      </c:lineChart>
      <c:catAx>
        <c:axId val="70477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4856"/>
        <c:crosses val="autoZero"/>
        <c:auto val="1"/>
        <c:lblAlgn val="ctr"/>
        <c:lblOffset val="100"/>
        <c:noMultiLvlLbl val="0"/>
      </c:catAx>
      <c:valAx>
        <c:axId val="70477485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4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1867.92</c:v>
                </c:pt>
                <c:pt idx="1">
                  <c:v>1925.79</c:v>
                </c:pt>
                <c:pt idx="2">
                  <c:v>2876.42</c:v>
                </c:pt>
                <c:pt idx="3">
                  <c:v>2020.5</c:v>
                </c:pt>
                <c:pt idx="4">
                  <c:v>1785.28</c:v>
                </c:pt>
                <c:pt idx="5">
                  <c:v>2151.5100000000002</c:v>
                </c:pt>
                <c:pt idx="6">
                  <c:v>2234.36</c:v>
                </c:pt>
                <c:pt idx="7">
                  <c:v>2037.46</c:v>
                </c:pt>
                <c:pt idx="8">
                  <c:v>2578.12</c:v>
                </c:pt>
                <c:pt idx="9">
                  <c:v>2541.23</c:v>
                </c:pt>
                <c:pt idx="10">
                  <c:v>2266.66</c:v>
                </c:pt>
                <c:pt idx="11">
                  <c:v>2115.4799999999996</c:v>
                </c:pt>
                <c:pt idx="12">
                  <c:v>2005.68</c:v>
                </c:pt>
                <c:pt idx="13">
                  <c:v>2307.96</c:v>
                </c:pt>
                <c:pt idx="14">
                  <c:v>2509.3000000000002</c:v>
                </c:pt>
                <c:pt idx="15">
                  <c:v>2377.87</c:v>
                </c:pt>
                <c:pt idx="16">
                  <c:v>2680.37</c:v>
                </c:pt>
                <c:pt idx="17">
                  <c:v>2557.69</c:v>
                </c:pt>
                <c:pt idx="18">
                  <c:v>2376.75</c:v>
                </c:pt>
                <c:pt idx="19">
                  <c:v>3045.42</c:v>
                </c:pt>
                <c:pt idx="20">
                  <c:v>2703.78</c:v>
                </c:pt>
                <c:pt idx="21">
                  <c:v>2823.75</c:v>
                </c:pt>
                <c:pt idx="22">
                  <c:v>2469.3799999999997</c:v>
                </c:pt>
                <c:pt idx="23">
                  <c:v>3494.5499999999997</c:v>
                </c:pt>
                <c:pt idx="24">
                  <c:v>2984.84</c:v>
                </c:pt>
                <c:pt idx="25">
                  <c:v>3221.5799999999995</c:v>
                </c:pt>
                <c:pt idx="26">
                  <c:v>2839.03</c:v>
                </c:pt>
                <c:pt idx="27">
                  <c:v>3364.79</c:v>
                </c:pt>
                <c:pt idx="28">
                  <c:v>3119.0199999999995</c:v>
                </c:pt>
                <c:pt idx="29">
                  <c:v>3292.63</c:v>
                </c:pt>
                <c:pt idx="30">
                  <c:v>4342.8999999999996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775640"/>
        <c:axId val="704776032"/>
      </c:lineChart>
      <c:catAx>
        <c:axId val="704775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6032"/>
        <c:crosses val="autoZero"/>
        <c:auto val="1"/>
        <c:lblAlgn val="ctr"/>
        <c:lblOffset val="200"/>
        <c:tickLblSkip val="1"/>
        <c:noMultiLvlLbl val="0"/>
      </c:catAx>
      <c:valAx>
        <c:axId val="70477603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5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0.16800000000000001</c:v>
                </c:pt>
                <c:pt idx="1">
                  <c:v>0.1429</c:v>
                </c:pt>
                <c:pt idx="2">
                  <c:v>0.1429</c:v>
                </c:pt>
                <c:pt idx="3">
                  <c:v>0.16880000000000001</c:v>
                </c:pt>
                <c:pt idx="4">
                  <c:v>0.20780000000000001</c:v>
                </c:pt>
                <c:pt idx="5">
                  <c:v>0.29870000000000002</c:v>
                </c:pt>
                <c:pt idx="6">
                  <c:v>0.24679999999999999</c:v>
                </c:pt>
                <c:pt idx="7">
                  <c:v>0.28570000000000001</c:v>
                </c:pt>
                <c:pt idx="8">
                  <c:v>0.46750000000000003</c:v>
                </c:pt>
                <c:pt idx="9">
                  <c:v>0.55840000000000001</c:v>
                </c:pt>
                <c:pt idx="10">
                  <c:v>0.57140000000000002</c:v>
                </c:pt>
                <c:pt idx="11">
                  <c:v>0.23380000000000001</c:v>
                </c:pt>
                <c:pt idx="12">
                  <c:v>0.2727</c:v>
                </c:pt>
                <c:pt idx="13">
                  <c:v>0.25950000000000001</c:v>
                </c:pt>
                <c:pt idx="14">
                  <c:v>0.12989999999999999</c:v>
                </c:pt>
                <c:pt idx="15">
                  <c:v>0.25969999999999999</c:v>
                </c:pt>
                <c:pt idx="16">
                  <c:v>0.29870000000000002</c:v>
                </c:pt>
                <c:pt idx="17">
                  <c:v>0.50649999999999995</c:v>
                </c:pt>
                <c:pt idx="18">
                  <c:v>0.44159999999999999</c:v>
                </c:pt>
                <c:pt idx="19">
                  <c:v>0.40260000000000001</c:v>
                </c:pt>
                <c:pt idx="20">
                  <c:v>0.49349999999999999</c:v>
                </c:pt>
                <c:pt idx="21">
                  <c:v>0.49349999999999999</c:v>
                </c:pt>
                <c:pt idx="22">
                  <c:v>0.4456</c:v>
                </c:pt>
                <c:pt idx="23">
                  <c:v>0.50649999999999995</c:v>
                </c:pt>
                <c:pt idx="24">
                  <c:v>0.94810000000000005</c:v>
                </c:pt>
                <c:pt idx="25">
                  <c:v>0.90910000000000002</c:v>
                </c:pt>
                <c:pt idx="26">
                  <c:v>0.76619999999999999</c:v>
                </c:pt>
                <c:pt idx="27">
                  <c:v>0.7792</c:v>
                </c:pt>
                <c:pt idx="28">
                  <c:v>0.92210000000000003</c:v>
                </c:pt>
                <c:pt idx="29">
                  <c:v>0.7792</c:v>
                </c:pt>
                <c:pt idx="30">
                  <c:v>0.84419999999999995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776816"/>
        <c:axId val="704777208"/>
      </c:lineChart>
      <c:catAx>
        <c:axId val="70477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7208"/>
        <c:crosses val="autoZero"/>
        <c:auto val="1"/>
        <c:lblAlgn val="ctr"/>
        <c:lblOffset val="100"/>
        <c:noMultiLvlLbl val="0"/>
      </c:catAx>
      <c:valAx>
        <c:axId val="7047772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43669527896999188"/>
          <c:y val="6.0606855961186673E-2"/>
          <c:w val="0.48712446351963518"/>
          <c:h val="0.24242662848962071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7752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General</c:formatCode>
                <c:ptCount val="31"/>
                <c:pt idx="0">
                  <c:v>149.29200000000128</c:v>
                </c:pt>
                <c:pt idx="1">
                  <c:v>78.892000000001289</c:v>
                </c:pt>
                <c:pt idx="2">
                  <c:v>126.54399999997696</c:v>
                </c:pt>
                <c:pt idx="3">
                  <c:v>101.33200000002689</c:v>
                </c:pt>
                <c:pt idx="4">
                  <c:v>111.62799999997952</c:v>
                </c:pt>
                <c:pt idx="5">
                  <c:v>105.64400000000897</c:v>
                </c:pt>
                <c:pt idx="6">
                  <c:v>116.16000000000641</c:v>
                </c:pt>
                <c:pt idx="7">
                  <c:v>149.55599999999106</c:v>
                </c:pt>
                <c:pt idx="8">
                  <c:v>158.4</c:v>
                </c:pt>
                <c:pt idx="9">
                  <c:v>197.20799999999875</c:v>
                </c:pt>
                <c:pt idx="10">
                  <c:v>121.83600000001026</c:v>
                </c:pt>
                <c:pt idx="11">
                  <c:v>127.29200000000129</c:v>
                </c:pt>
                <c:pt idx="12">
                  <c:v>119.63599999997824</c:v>
                </c:pt>
                <c:pt idx="13">
                  <c:v>108.50400000001538</c:v>
                </c:pt>
                <c:pt idx="14">
                  <c:v>117.03999999999361</c:v>
                </c:pt>
                <c:pt idx="15">
                  <c:v>115.50000000000001</c:v>
                </c:pt>
                <c:pt idx="16">
                  <c:v>103.26800000000513</c:v>
                </c:pt>
                <c:pt idx="17">
                  <c:v>116.11599999999744</c:v>
                </c:pt>
                <c:pt idx="18">
                  <c:v>125.26800000000513</c:v>
                </c:pt>
                <c:pt idx="19">
                  <c:v>115.36800000000513</c:v>
                </c:pt>
                <c:pt idx="20">
                  <c:v>128.12799999997952</c:v>
                </c:pt>
                <c:pt idx="21">
                  <c:v>119.94400000000897</c:v>
                </c:pt>
                <c:pt idx="22">
                  <c:v>106.61200000001409</c:v>
                </c:pt>
                <c:pt idx="23">
                  <c:v>119.6799999999872</c:v>
                </c:pt>
                <c:pt idx="24">
                  <c:v>131.51599999999746</c:v>
                </c:pt>
                <c:pt idx="25">
                  <c:v>115.19200000000129</c:v>
                </c:pt>
                <c:pt idx="26">
                  <c:v>108.46000000000642</c:v>
                </c:pt>
                <c:pt idx="27">
                  <c:v>123.02399999999616</c:v>
                </c:pt>
                <c:pt idx="28">
                  <c:v>111.05599999999104</c:v>
                </c:pt>
                <c:pt idx="29">
                  <c:v>106.56800000000513</c:v>
                </c:pt>
                <c:pt idx="30">
                  <c:v>122.53999999999361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777992"/>
        <c:axId val="704778384"/>
      </c:lineChart>
      <c:catAx>
        <c:axId val="704777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8384"/>
        <c:crosses val="autoZero"/>
        <c:auto val="1"/>
        <c:lblAlgn val="ctr"/>
        <c:lblOffset val="100"/>
        <c:noMultiLvlLbl val="0"/>
      </c:catAx>
      <c:valAx>
        <c:axId val="70477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77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5325035628420065"/>
          <c:y val="0.54491017964071853"/>
          <c:w val="0.99056702817808151"/>
          <c:h val="0.6706586826354783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25</xdr:col>
      <xdr:colOff>0</xdr:colOff>
      <xdr:row>120</xdr:row>
      <xdr:rowOff>133350</xdr:rowOff>
    </xdr:to>
    <xdr:graphicFrame macro="">
      <xdr:nvGraphicFramePr>
        <xdr:cNvPr id="651187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25</xdr:col>
      <xdr:colOff>0</xdr:colOff>
      <xdr:row>94</xdr:row>
      <xdr:rowOff>123825</xdr:rowOff>
    </xdr:to>
    <xdr:graphicFrame macro="">
      <xdr:nvGraphicFramePr>
        <xdr:cNvPr id="6511878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25</xdr:col>
      <xdr:colOff>0</xdr:colOff>
      <xdr:row>53</xdr:row>
      <xdr:rowOff>57150</xdr:rowOff>
    </xdr:to>
    <xdr:graphicFrame macro="">
      <xdr:nvGraphicFramePr>
        <xdr:cNvPr id="651187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25</xdr:col>
      <xdr:colOff>485775</xdr:colOff>
      <xdr:row>65</xdr:row>
      <xdr:rowOff>95250</xdr:rowOff>
    </xdr:to>
    <xdr:graphicFrame macro="">
      <xdr:nvGraphicFramePr>
        <xdr:cNvPr id="6511879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25</xdr:col>
      <xdr:colOff>0</xdr:colOff>
      <xdr:row>86</xdr:row>
      <xdr:rowOff>104775</xdr:rowOff>
    </xdr:to>
    <xdr:graphicFrame macro="">
      <xdr:nvGraphicFramePr>
        <xdr:cNvPr id="65118791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25</xdr:col>
      <xdr:colOff>0</xdr:colOff>
      <xdr:row>109</xdr:row>
      <xdr:rowOff>152400</xdr:rowOff>
    </xdr:to>
    <xdr:graphicFrame macro="">
      <xdr:nvGraphicFramePr>
        <xdr:cNvPr id="6511879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25</xdr:col>
      <xdr:colOff>0</xdr:colOff>
      <xdr:row>78</xdr:row>
      <xdr:rowOff>0</xdr:rowOff>
    </xdr:to>
    <xdr:graphicFrame macro="">
      <xdr:nvGraphicFramePr>
        <xdr:cNvPr id="6511879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272142</xdr:colOff>
      <xdr:row>45</xdr:row>
      <xdr:rowOff>81644</xdr:rowOff>
    </xdr:from>
    <xdr:to>
      <xdr:col>4</xdr:col>
      <xdr:colOff>938892</xdr:colOff>
      <xdr:row>61</xdr:row>
      <xdr:rowOff>92424</xdr:rowOff>
    </xdr:to>
    <xdr:pic>
      <xdr:nvPicPr>
        <xdr:cNvPr id="3" name="Picture 2" descr="C:\Users\JOSEPH~1.MNG\AppData\Local\Temp\notes142542\IMG_20190101_06020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11035" y="10504715"/>
          <a:ext cx="2843893" cy="2623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176892</xdr:colOff>
      <xdr:row>45</xdr:row>
      <xdr:rowOff>108857</xdr:rowOff>
    </xdr:from>
    <xdr:to>
      <xdr:col>8</xdr:col>
      <xdr:colOff>585107</xdr:colOff>
      <xdr:row>60</xdr:row>
      <xdr:rowOff>149679</xdr:rowOff>
    </xdr:to>
    <xdr:pic>
      <xdr:nvPicPr>
        <xdr:cNvPr id="4" name="Picture 3" descr="C:\Users\JOSEPH~1.MNG\AppData\Local\Temp\notes142542\IMG_20190101_060329.jpg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374821" y="10545536"/>
          <a:ext cx="2381250" cy="2490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612321</xdr:colOff>
      <xdr:row>46</xdr:row>
      <xdr:rowOff>13606</xdr:rowOff>
    </xdr:from>
    <xdr:to>
      <xdr:col>12</xdr:col>
      <xdr:colOff>1074964</xdr:colOff>
      <xdr:row>60</xdr:row>
      <xdr:rowOff>40819</xdr:rowOff>
    </xdr:to>
    <xdr:pic>
      <xdr:nvPicPr>
        <xdr:cNvPr id="5" name="Picture 4" descr="C:\Users\JOSEPH~1.MNG\AppData\Local\Temp\notes142542\IMG_20190101_060436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477250" y="10613570"/>
          <a:ext cx="2286000" cy="23132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15</xdr:row>
      <xdr:rowOff>0</xdr:rowOff>
    </xdr:from>
    <xdr:to>
      <xdr:col>17</xdr:col>
      <xdr:colOff>304800</xdr:colOff>
      <xdr:row>16</xdr:row>
      <xdr:rowOff>19050</xdr:rowOff>
    </xdr:to>
    <xdr:sp macro="" textlink="">
      <xdr:nvSpPr>
        <xdr:cNvPr id="9217" name="thumbnail" descr="https://i.ytimg.com/an_webp/Wt4mMe5OGp4/mqdefault_6s.webp?du=3000&amp;sqp=CPjcseAF&amp;rs=AOn4CLD21K3tnLPeDcoshkD0j2osv1AX8Q"/>
        <xdr:cNvSpPr>
          <a:spLocks noChangeAspect="1" noChangeArrowheads="1"/>
        </xdr:cNvSpPr>
      </xdr:nvSpPr>
      <xdr:spPr bwMode="auto">
        <a:xfrm>
          <a:off x="11649075" y="4057650"/>
          <a:ext cx="304800" cy="304800"/>
        </a:xfrm>
        <a:prstGeom prst="rect">
          <a:avLst/>
        </a:prstGeom>
        <a:noFill/>
      </xdr:spPr>
      <xdr:txBody>
        <a:bodyPr/>
        <a:lstStyle/>
        <a:p>
          <a:r>
            <a:rPr lang="en-US"/>
            <a:t>7</a:t>
          </a:r>
        </a:p>
      </xdr:txBody>
    </xdr:sp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304800</xdr:colOff>
      <xdr:row>15</xdr:row>
      <xdr:rowOff>19050</xdr:rowOff>
    </xdr:to>
    <xdr:sp macro="" textlink="">
      <xdr:nvSpPr>
        <xdr:cNvPr id="3" name="thumbnail" descr="https://i.ytimg.com/an_webp/Wt4mMe5OGp4/mqdefault_6s.webp?du=3000&amp;sqp=CPjcseAF&amp;rs=AOn4CLD21K3tnLPeDcoshkD0j2osv1AX8Q"/>
        <xdr:cNvSpPr>
          <a:spLocks noChangeAspect="1" noChangeArrowheads="1"/>
        </xdr:cNvSpPr>
      </xdr:nvSpPr>
      <xdr:spPr bwMode="auto">
        <a:xfrm>
          <a:off x="11646477" y="4061114"/>
          <a:ext cx="304800" cy="304800"/>
        </a:xfrm>
        <a:prstGeom prst="rect">
          <a:avLst/>
        </a:prstGeom>
        <a:noFill/>
      </xdr:spPr>
      <xdr:txBody>
        <a:bodyPr/>
        <a:lstStyle/>
        <a:p>
          <a:r>
            <a:rPr lang="en-US"/>
            <a:t>7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3</xdr:row>
      <xdr:rowOff>9525</xdr:rowOff>
    </xdr:to>
    <xdr:pic>
      <xdr:nvPicPr>
        <xdr:cNvPr id="47872815" name="Picture 2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8382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63</xdr:row>
      <xdr:rowOff>38100</xdr:rowOff>
    </xdr:from>
    <xdr:to>
      <xdr:col>2</xdr:col>
      <xdr:colOff>762000</xdr:colOff>
      <xdr:row>73</xdr:row>
      <xdr:rowOff>76199</xdr:rowOff>
    </xdr:to>
    <xdr:pic>
      <xdr:nvPicPr>
        <xdr:cNvPr id="2" name="Picture 1" descr="C:\Users\JOSEPH~1.MNG\AppData\Local\Temp\notes142542\IMG_20190101_062835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325" y="10639425"/>
          <a:ext cx="1543050" cy="1657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66675</xdr:colOff>
      <xdr:row>63</xdr:row>
      <xdr:rowOff>76199</xdr:rowOff>
    </xdr:from>
    <xdr:to>
      <xdr:col>5</xdr:col>
      <xdr:colOff>752475</xdr:colOff>
      <xdr:row>73</xdr:row>
      <xdr:rowOff>142874</xdr:rowOff>
    </xdr:to>
    <xdr:pic>
      <xdr:nvPicPr>
        <xdr:cNvPr id="3" name="Picture 2" descr="C:\Users\JOSEPH~1.MNG\AppData\Local\Temp\notes142542\IMG_20190101_062715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57550" y="10687049"/>
          <a:ext cx="1504950" cy="1685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55</xdr:row>
      <xdr:rowOff>66675</xdr:rowOff>
    </xdr:from>
    <xdr:to>
      <xdr:col>3</xdr:col>
      <xdr:colOff>1019175</xdr:colOff>
      <xdr:row>66</xdr:row>
      <xdr:rowOff>85725</xdr:rowOff>
    </xdr:to>
    <xdr:pic>
      <xdr:nvPicPr>
        <xdr:cNvPr id="2" name="Picture 1" descr="C:\Users\JOSEPH~1.MNG\AppData\Local\Temp\notes142542\IMG_20190101_044448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9363075"/>
          <a:ext cx="1943100" cy="1800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85725</xdr:colOff>
      <xdr:row>55</xdr:row>
      <xdr:rowOff>47625</xdr:rowOff>
    </xdr:from>
    <xdr:to>
      <xdr:col>9</xdr:col>
      <xdr:colOff>914400</xdr:colOff>
      <xdr:row>67</xdr:row>
      <xdr:rowOff>163784</xdr:rowOff>
    </xdr:to>
    <xdr:pic>
      <xdr:nvPicPr>
        <xdr:cNvPr id="3" name="Picture 2" descr="C:\Users\JOSEPH~1.MNG\AppData\Local\Temp\notes142542\IMG_20190101_044338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353550"/>
          <a:ext cx="1704975" cy="2068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tilities%20Files/11%20NOVEMBER%20%202018%20HLP%20REPORT%20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9"/>
  <sheetViews>
    <sheetView tabSelected="1" workbookViewId="0">
      <selection activeCell="J2" sqref="J2"/>
    </sheetView>
  </sheetViews>
  <sheetFormatPr defaultColWidth="11.5703125" defaultRowHeight="12.75" x14ac:dyDescent="0.2"/>
  <cols>
    <col min="1" max="1" width="12.42578125" style="42" customWidth="1"/>
    <col min="2" max="3" width="11.5703125" style="1023"/>
    <col min="4" max="4" width="13.42578125" style="1024" customWidth="1"/>
    <col min="5" max="5" width="12.5703125" style="1025" customWidth="1"/>
    <col min="6" max="6" width="12.5703125" style="42" customWidth="1"/>
    <col min="7" max="7" width="11.5703125" style="42"/>
    <col min="8" max="8" width="11.5703125" style="1029"/>
    <col min="9" max="9" width="11.5703125" style="42"/>
    <col min="10" max="10" width="11.5703125" style="1029"/>
    <col min="11" max="11" width="11.5703125" style="10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1021" customFormat="1" ht="60.75" thickBot="1" x14ac:dyDescent="0.3">
      <c r="A1" s="1014" t="s">
        <v>429</v>
      </c>
      <c r="B1" s="1015" t="s">
        <v>430</v>
      </c>
      <c r="C1" s="1015" t="s">
        <v>431</v>
      </c>
      <c r="D1" s="1016" t="s">
        <v>432</v>
      </c>
      <c r="E1" s="1017" t="s">
        <v>433</v>
      </c>
      <c r="F1" s="1018" t="s">
        <v>434</v>
      </c>
      <c r="G1" s="1018" t="s">
        <v>435</v>
      </c>
      <c r="H1" s="1019" t="s">
        <v>436</v>
      </c>
      <c r="I1" s="1018" t="s">
        <v>437</v>
      </c>
      <c r="J1" s="1019" t="s">
        <v>438</v>
      </c>
      <c r="K1" s="1017" t="s">
        <v>439</v>
      </c>
      <c r="L1" s="1020" t="s">
        <v>440</v>
      </c>
    </row>
    <row r="2" spans="1:12" x14ac:dyDescent="0.2">
      <c r="A2" s="1022" t="s">
        <v>441</v>
      </c>
      <c r="B2" s="1023">
        <v>1</v>
      </c>
      <c r="C2" s="1023">
        <v>12</v>
      </c>
      <c r="D2" s="1024">
        <v>2018</v>
      </c>
      <c r="E2" s="1025">
        <f>Gen!T11</f>
        <v>4555</v>
      </c>
      <c r="F2" s="1026">
        <f>Gen!S11/Gen!T11</f>
        <v>0.40068715697036228</v>
      </c>
      <c r="G2" s="1026">
        <f>IF('Utility summery'!M6&lt;0,"0",'Utility summery'!M6)</f>
        <v>149.29200000000128</v>
      </c>
      <c r="H2" s="1027">
        <v>2.38</v>
      </c>
      <c r="I2" s="1026">
        <f>IF('Water-Meter'!E6&lt;0,"0",'Water-Meter'!E6)</f>
        <v>99</v>
      </c>
      <c r="J2" s="1027">
        <v>0</v>
      </c>
      <c r="K2" s="1025">
        <f>'Summery Report'!E5</f>
        <v>15</v>
      </c>
      <c r="L2" s="1028" t="e">
        <f>E2*F2+G2*H2+#REF!*#REF!+I2*J2</f>
        <v>#REF!</v>
      </c>
    </row>
    <row r="3" spans="1:12" x14ac:dyDescent="0.2">
      <c r="A3" s="1022" t="s">
        <v>441</v>
      </c>
      <c r="B3" s="1023">
        <f>B2+1</f>
        <v>2</v>
      </c>
      <c r="C3" s="1023">
        <v>12</v>
      </c>
      <c r="D3" s="1024">
        <v>2018</v>
      </c>
      <c r="E3" s="1025">
        <f>Gen!T12</f>
        <v>4679</v>
      </c>
      <c r="F3" s="1026">
        <f>Gen!S12/Gen!T12</f>
        <v>0.39221842273990171</v>
      </c>
      <c r="G3" s="1026">
        <f>IF('Utility summery'!M7&lt;0,"0",'Utility summery'!M7)</f>
        <v>78.892000000001289</v>
      </c>
      <c r="H3" s="1027">
        <v>2.38</v>
      </c>
      <c r="I3" s="1026">
        <f>IF('Water-Meter'!E7&lt;0,"0",'Water-Meter'!E7)</f>
        <v>100</v>
      </c>
      <c r="J3" s="1027">
        <v>0</v>
      </c>
      <c r="K3" s="1025">
        <f>'Summery Report'!E6</f>
        <v>13</v>
      </c>
      <c r="L3" s="1028" t="e">
        <f>E3*F3+G3*H3+#REF!*#REF!+I3*J3</f>
        <v>#REF!</v>
      </c>
    </row>
    <row r="4" spans="1:12" x14ac:dyDescent="0.2">
      <c r="A4" s="1022" t="s">
        <v>441</v>
      </c>
      <c r="B4" s="1023">
        <f t="shared" ref="B4:B32" si="0">B3+1</f>
        <v>3</v>
      </c>
      <c r="C4" s="1023">
        <v>12</v>
      </c>
      <c r="D4" s="1024">
        <v>2018</v>
      </c>
      <c r="E4" s="1025">
        <f>Gen!T13</f>
        <v>4437</v>
      </c>
      <c r="F4" s="1026">
        <f>Gen!S13/Gen!T13</f>
        <v>0.6238562091503268</v>
      </c>
      <c r="G4" s="1026">
        <f>IF('Utility summery'!M8&lt;0,"0",'Utility summery'!M8)</f>
        <v>126.54399999997696</v>
      </c>
      <c r="H4" s="1027">
        <v>2.38</v>
      </c>
      <c r="I4" s="1026">
        <f>IF('Water-Meter'!E8&lt;0,"0",'Water-Meter'!E8)</f>
        <v>90</v>
      </c>
      <c r="J4" s="1027">
        <v>0</v>
      </c>
      <c r="K4" s="1025">
        <f>'Summery Report'!E7</f>
        <v>13</v>
      </c>
      <c r="L4" s="1028" t="e">
        <f>E4*F4+G4*H4+#REF!*#REF!+I4*J4</f>
        <v>#REF!</v>
      </c>
    </row>
    <row r="5" spans="1:12" x14ac:dyDescent="0.2">
      <c r="A5" s="1022" t="s">
        <v>441</v>
      </c>
      <c r="B5" s="1023">
        <f t="shared" si="0"/>
        <v>4</v>
      </c>
      <c r="C5" s="1023">
        <v>12</v>
      </c>
      <c r="D5" s="1024">
        <v>2018</v>
      </c>
      <c r="E5" s="1025">
        <f>Gen!T14</f>
        <v>4694</v>
      </c>
      <c r="F5" s="1026">
        <f>Gen!S14/Gen!T14</f>
        <v>0.40699829569663404</v>
      </c>
      <c r="G5" s="1026">
        <f>IF('Utility summery'!M9&lt;0,"0",'Utility summery'!M9)</f>
        <v>101.33200000002689</v>
      </c>
      <c r="H5" s="1027">
        <v>2.38</v>
      </c>
      <c r="I5" s="1026">
        <f>IF('Water-Meter'!E9&lt;0,"0",'Water-Meter'!E9)</f>
        <v>87</v>
      </c>
      <c r="J5" s="1027">
        <v>0</v>
      </c>
      <c r="K5" s="1025">
        <f>'Summery Report'!E8</f>
        <v>15</v>
      </c>
      <c r="L5" s="1028" t="e">
        <f>E5*F5+G5*H5+#REF!*#REF!+I5*J5</f>
        <v>#REF!</v>
      </c>
    </row>
    <row r="6" spans="1:12" x14ac:dyDescent="0.2">
      <c r="A6" s="1022" t="s">
        <v>441</v>
      </c>
      <c r="B6" s="1023">
        <f t="shared" si="0"/>
        <v>5</v>
      </c>
      <c r="C6" s="1023">
        <v>12</v>
      </c>
      <c r="D6" s="1024">
        <v>2018</v>
      </c>
      <c r="E6" s="1025">
        <f>Gen!T15</f>
        <v>4359</v>
      </c>
      <c r="F6" s="1026">
        <f>Gen!S15/Gen!T15</f>
        <v>0.40956182610690522</v>
      </c>
      <c r="G6" s="1026">
        <f>IF('Utility summery'!M10&lt;0,"0",'Utility summery'!M10)</f>
        <v>111.62799999997952</v>
      </c>
      <c r="H6" s="1027">
        <v>2.38</v>
      </c>
      <c r="I6" s="1026">
        <f>IF('Water-Meter'!E10&lt;0,"0",'Water-Meter'!E10)</f>
        <v>84</v>
      </c>
      <c r="J6" s="1027">
        <v>0</v>
      </c>
      <c r="K6" s="1025">
        <f>'Summery Report'!E9</f>
        <v>12</v>
      </c>
      <c r="L6" s="1028" t="e">
        <f>E6*F6+G6*H6+#REF!*#REF!+I6*J6</f>
        <v>#REF!</v>
      </c>
    </row>
    <row r="7" spans="1:12" x14ac:dyDescent="0.2">
      <c r="A7" s="1022" t="s">
        <v>441</v>
      </c>
      <c r="B7" s="1023">
        <f t="shared" si="0"/>
        <v>6</v>
      </c>
      <c r="C7" s="1023">
        <v>12</v>
      </c>
      <c r="D7" s="1024">
        <v>2018</v>
      </c>
      <c r="E7" s="1025">
        <f>Gen!T16</f>
        <v>4710</v>
      </c>
      <c r="F7" s="1026">
        <f>Gen!S16/Gen!T16</f>
        <v>0.40421656050955418</v>
      </c>
      <c r="G7" s="1026">
        <f>IF('Utility summery'!M11&lt;0,"0",'Utility summery'!M11)</f>
        <v>105.64400000000897</v>
      </c>
      <c r="H7" s="1027">
        <v>2.38</v>
      </c>
      <c r="I7" s="1026">
        <f>IF('Water-Meter'!E11&lt;0,"0",'Water-Meter'!E11)</f>
        <v>108</v>
      </c>
      <c r="J7" s="1027">
        <v>0</v>
      </c>
      <c r="K7" s="1025">
        <f>'Summery Report'!E10</f>
        <v>15</v>
      </c>
      <c r="L7" s="1028" t="e">
        <f>E7*F7+G7*H7+#REF!*#REF!+I7*J7</f>
        <v>#REF!</v>
      </c>
    </row>
    <row r="8" spans="1:12" x14ac:dyDescent="0.2">
      <c r="A8" s="1022" t="s">
        <v>441</v>
      </c>
      <c r="B8" s="1023">
        <f t="shared" si="0"/>
        <v>7</v>
      </c>
      <c r="C8" s="1023">
        <v>12</v>
      </c>
      <c r="D8" s="1024">
        <v>2018</v>
      </c>
      <c r="E8" s="1025">
        <f>Gen!T17</f>
        <v>4875</v>
      </c>
      <c r="F8" s="1026">
        <f>Gen!S17/Gen!T17</f>
        <v>0.41234666666666669</v>
      </c>
      <c r="G8" s="1026">
        <f>IF('Utility summery'!M12&lt;0,"0",'Utility summery'!M12)</f>
        <v>116.16000000000641</v>
      </c>
      <c r="H8" s="1027">
        <v>2.38</v>
      </c>
      <c r="I8" s="1026">
        <f>IF('Water-Meter'!E12&lt;0,"0",'Water-Meter'!E12)</f>
        <v>93</v>
      </c>
      <c r="J8" s="1027">
        <v>0</v>
      </c>
      <c r="K8" s="1025">
        <f>'Summery Report'!E11</f>
        <v>20</v>
      </c>
      <c r="L8" s="1028" t="e">
        <f>E8*F8+G8*H8+#REF!*#REF!+I8*J8</f>
        <v>#REF!</v>
      </c>
    </row>
    <row r="9" spans="1:12" x14ac:dyDescent="0.2">
      <c r="A9" s="1022" t="s">
        <v>441</v>
      </c>
      <c r="B9" s="1023">
        <f t="shared" si="0"/>
        <v>8</v>
      </c>
      <c r="C9" s="1023">
        <v>12</v>
      </c>
      <c r="D9" s="1024">
        <v>2018</v>
      </c>
      <c r="E9" s="1025">
        <f>Gen!T18</f>
        <v>4801</v>
      </c>
      <c r="F9" s="1026">
        <f>Gen!S18/Gen!T18</f>
        <v>0.40063736721516352</v>
      </c>
      <c r="G9" s="1026">
        <f>IF('Utility summery'!M13&lt;0,"0",'Utility summery'!M13)</f>
        <v>149.55599999999106</v>
      </c>
      <c r="H9" s="1027">
        <v>2.38</v>
      </c>
      <c r="I9" s="1026">
        <f>IF('Water-Meter'!E13&lt;0,"0",'Water-Meter'!E13)</f>
        <v>103</v>
      </c>
      <c r="J9" s="1027">
        <v>0</v>
      </c>
      <c r="K9" s="1025">
        <f>'Summery Report'!E12</f>
        <v>23</v>
      </c>
      <c r="L9" s="1028" t="e">
        <f>E9*F9+G9*H9+#REF!*#REF!+I9*J9</f>
        <v>#REF!</v>
      </c>
    </row>
    <row r="10" spans="1:12" x14ac:dyDescent="0.2">
      <c r="A10" s="1022" t="s">
        <v>441</v>
      </c>
      <c r="B10" s="1023">
        <f t="shared" si="0"/>
        <v>9</v>
      </c>
      <c r="C10" s="1023">
        <v>12</v>
      </c>
      <c r="D10" s="1024">
        <v>2018</v>
      </c>
      <c r="E10" s="1025">
        <f>Gen!T19</f>
        <v>4909</v>
      </c>
      <c r="F10" s="1026">
        <f>Gen!S19/Gen!T19</f>
        <v>0.41628844978610713</v>
      </c>
      <c r="G10" s="1026">
        <f>IF('Utility summery'!M14&lt;0,"0",'Utility summery'!M14)</f>
        <v>158.4</v>
      </c>
      <c r="H10" s="1027">
        <v>2.38</v>
      </c>
      <c r="I10" s="1026">
        <f>IF('Water-Meter'!E14&lt;0,"0",'Water-Meter'!E14)</f>
        <v>125</v>
      </c>
      <c r="J10" s="1027">
        <v>0</v>
      </c>
      <c r="K10" s="1025">
        <f>'Summery Report'!E13</f>
        <v>37</v>
      </c>
      <c r="L10" s="1028" t="e">
        <f>E10*F10+G10*H10+#REF!*#REF!+I10*J10</f>
        <v>#REF!</v>
      </c>
    </row>
    <row r="11" spans="1:12" x14ac:dyDescent="0.2">
      <c r="A11" s="1022" t="s">
        <v>441</v>
      </c>
      <c r="B11" s="1023">
        <f t="shared" si="0"/>
        <v>10</v>
      </c>
      <c r="C11" s="1023">
        <v>12</v>
      </c>
      <c r="D11" s="1024">
        <v>2018</v>
      </c>
      <c r="E11" s="1025">
        <f>Gen!T20</f>
        <v>5316</v>
      </c>
      <c r="F11" s="1026">
        <f>Gen!S20/Gen!T20</f>
        <v>0.39564145974416853</v>
      </c>
      <c r="G11" s="1026">
        <f>IF('Utility summery'!M15&lt;0,"0",'Utility summery'!M15)</f>
        <v>197.20799999999875</v>
      </c>
      <c r="H11" s="1027">
        <v>2.38</v>
      </c>
      <c r="I11" s="1026">
        <f>IF('Water-Meter'!E15&lt;0,"0",'Water-Meter'!E15)</f>
        <v>114</v>
      </c>
      <c r="J11" s="1027">
        <v>0</v>
      </c>
      <c r="K11" s="1025">
        <f>'Summery Report'!E14</f>
        <v>44</v>
      </c>
      <c r="L11" s="1028" t="e">
        <f>E11*F11+G11*H11+#REF!*#REF!+I11*J11</f>
        <v>#REF!</v>
      </c>
    </row>
    <row r="12" spans="1:12" x14ac:dyDescent="0.2">
      <c r="A12" s="1022" t="s">
        <v>441</v>
      </c>
      <c r="B12" s="1023">
        <f t="shared" si="0"/>
        <v>11</v>
      </c>
      <c r="C12" s="1023">
        <v>12</v>
      </c>
      <c r="D12" s="1024">
        <v>2018</v>
      </c>
      <c r="E12" s="1025">
        <f>Gen!T21</f>
        <v>4922</v>
      </c>
      <c r="F12" s="1026">
        <f>Gen!S21/Gen!T21</f>
        <v>0.41534538805363674</v>
      </c>
      <c r="G12" s="1026">
        <f>IF('Utility summery'!M16&lt;0,"0",'Utility summery'!M16)</f>
        <v>121.83600000001026</v>
      </c>
      <c r="H12" s="1027">
        <v>2.38</v>
      </c>
      <c r="I12" s="1026">
        <f>IF('Water-Meter'!E16&lt;0,"0",'Water-Meter'!E16)</f>
        <v>114</v>
      </c>
      <c r="J12" s="1027">
        <v>0</v>
      </c>
      <c r="K12" s="1025">
        <f>'Summery Report'!E15</f>
        <v>45</v>
      </c>
      <c r="L12" s="1028" t="e">
        <f>E12*F12+G12*H12+#REF!*#REF!+I12*J12</f>
        <v>#REF!</v>
      </c>
    </row>
    <row r="13" spans="1:12" x14ac:dyDescent="0.2">
      <c r="A13" s="1022" t="s">
        <v>441</v>
      </c>
      <c r="B13" s="1023">
        <f t="shared" si="0"/>
        <v>12</v>
      </c>
      <c r="C13" s="1023">
        <v>12</v>
      </c>
      <c r="D13" s="1024">
        <v>2018</v>
      </c>
      <c r="E13" s="1025">
        <f>Gen!T22</f>
        <v>4870</v>
      </c>
      <c r="F13" s="1026">
        <f>Gen!S22/Gen!T22</f>
        <v>0.39368377823408618</v>
      </c>
      <c r="G13" s="1026">
        <f>IF('Utility summery'!M17&lt;0,"0",'Utility summery'!M17)</f>
        <v>127.29200000000129</v>
      </c>
      <c r="H13" s="1027">
        <v>2.38</v>
      </c>
      <c r="I13" s="1026">
        <f>IF('Water-Meter'!E17&lt;0,"0",'Water-Meter'!E17)</f>
        <v>105</v>
      </c>
      <c r="J13" s="1027">
        <v>0</v>
      </c>
      <c r="K13" s="1025">
        <f>'Summery Report'!E16</f>
        <v>21</v>
      </c>
      <c r="L13" s="1028" t="e">
        <f>E13*F13+G13*H13+#REF!*#REF!+I13*J13</f>
        <v>#REF!</v>
      </c>
    </row>
    <row r="14" spans="1:12" x14ac:dyDescent="0.2">
      <c r="A14" s="1022" t="s">
        <v>441</v>
      </c>
      <c r="B14" s="1023">
        <f t="shared" si="0"/>
        <v>13</v>
      </c>
      <c r="C14" s="1023">
        <v>12</v>
      </c>
      <c r="D14" s="1024">
        <v>2018</v>
      </c>
      <c r="E14" s="1025">
        <f>Gen!T23</f>
        <v>4660</v>
      </c>
      <c r="F14" s="1026">
        <f>Gen!S23/Gen!T23</f>
        <v>0.40591845493562234</v>
      </c>
      <c r="G14" s="1026">
        <f>IF('Utility summery'!M18&lt;0,"0",'Utility summery'!M18)</f>
        <v>119.63599999997824</v>
      </c>
      <c r="H14" s="1027">
        <v>2.38</v>
      </c>
      <c r="I14" s="1026">
        <f>IF('Water-Meter'!E18&lt;0,"0",'Water-Meter'!E18)</f>
        <v>111</v>
      </c>
      <c r="J14" s="1027">
        <v>0</v>
      </c>
      <c r="K14" s="1025">
        <f>'Summery Report'!E17</f>
        <v>23</v>
      </c>
      <c r="L14" s="1028" t="e">
        <f>E14*F14+G14*H14+#REF!*#REF!+I14*J14</f>
        <v>#REF!</v>
      </c>
    </row>
    <row r="15" spans="1:12" x14ac:dyDescent="0.2">
      <c r="A15" s="1022" t="s">
        <v>441</v>
      </c>
      <c r="B15" s="1023">
        <f t="shared" si="0"/>
        <v>14</v>
      </c>
      <c r="C15" s="1023">
        <v>12</v>
      </c>
      <c r="D15" s="1024">
        <v>2018</v>
      </c>
      <c r="E15" s="1025">
        <f>Gen!T24</f>
        <v>4748</v>
      </c>
      <c r="F15" s="1026">
        <f>Gen!S24/Gen!T24</f>
        <v>0.41963774220724515</v>
      </c>
      <c r="G15" s="1026">
        <f>IF('Utility summery'!M19&lt;0,"0",'Utility summery'!M19)</f>
        <v>108.50400000001538</v>
      </c>
      <c r="H15" s="1027">
        <v>2.38</v>
      </c>
      <c r="I15" s="1026">
        <f>IF('Water-Meter'!E19&lt;0,"0",'Water-Meter'!E19)</f>
        <v>100</v>
      </c>
      <c r="J15" s="1027">
        <v>0</v>
      </c>
      <c r="K15" s="1025">
        <f>'Summery Report'!E18</f>
        <v>21</v>
      </c>
      <c r="L15" s="1028" t="e">
        <f>E15*F15+G15*H15+#REF!*#REF!+I15*J15</f>
        <v>#REF!</v>
      </c>
    </row>
    <row r="16" spans="1:12" x14ac:dyDescent="0.2">
      <c r="A16" s="1022" t="s">
        <v>441</v>
      </c>
      <c r="B16" s="1023">
        <f t="shared" si="0"/>
        <v>15</v>
      </c>
      <c r="C16" s="1023">
        <v>12</v>
      </c>
      <c r="D16" s="1024">
        <v>2018</v>
      </c>
      <c r="E16" s="1025">
        <f>Gen!T25</f>
        <v>4724</v>
      </c>
      <c r="F16" s="1026">
        <f>Gen!S25/Gen!T25</f>
        <v>0.41024132091447923</v>
      </c>
      <c r="G16" s="1026">
        <f>IF('Utility summery'!M20&lt;0,"0",'Utility summery'!M20)</f>
        <v>117.03999999999361</v>
      </c>
      <c r="H16" s="1027">
        <v>2.38</v>
      </c>
      <c r="I16" s="1026">
        <f>IF('Water-Meter'!E20&lt;0,"0",'Water-Meter'!E20)</f>
        <v>87</v>
      </c>
      <c r="J16" s="1027">
        <v>0</v>
      </c>
      <c r="K16" s="1025">
        <f>'Summery Report'!E19</f>
        <v>11</v>
      </c>
      <c r="L16" s="1028" t="e">
        <f>E16*F16+G16*H16+#REF!*#REF!+I16*J16</f>
        <v>#REF!</v>
      </c>
    </row>
    <row r="17" spans="1:12" x14ac:dyDescent="0.2">
      <c r="A17" s="1022" t="s">
        <v>441</v>
      </c>
      <c r="B17" s="1023">
        <f t="shared" si="0"/>
        <v>16</v>
      </c>
      <c r="C17" s="1023">
        <v>12</v>
      </c>
      <c r="D17" s="1024">
        <v>2018</v>
      </c>
      <c r="E17" s="1025">
        <f>Gen!T26</f>
        <v>5005</v>
      </c>
      <c r="F17" s="1026">
        <f>Gen!S26/Gen!T26</f>
        <v>0.40801798201798201</v>
      </c>
      <c r="G17" s="1026">
        <f>IF('Utility summery'!M21&lt;0,"0",'Utility summery'!M21)</f>
        <v>115.50000000000001</v>
      </c>
      <c r="H17" s="1027">
        <v>2.38</v>
      </c>
      <c r="I17" s="1026">
        <f>IF('Water-Meter'!E21&lt;0,"0",'Water-Meter'!E21)</f>
        <v>105</v>
      </c>
      <c r="J17" s="1027">
        <v>0</v>
      </c>
      <c r="K17" s="1025">
        <f>'Summery Report'!E20</f>
        <v>21</v>
      </c>
      <c r="L17" s="1028" t="e">
        <f>E17*F17+G17*H17+#REF!*#REF!+I17*J17</f>
        <v>#REF!</v>
      </c>
    </row>
    <row r="18" spans="1:12" x14ac:dyDescent="0.2">
      <c r="A18" s="1022" t="s">
        <v>441</v>
      </c>
      <c r="B18" s="1023">
        <f t="shared" si="0"/>
        <v>17</v>
      </c>
      <c r="C18" s="1023">
        <v>12</v>
      </c>
      <c r="D18" s="1024">
        <v>2018</v>
      </c>
      <c r="E18" s="1025">
        <f>Gen!T27</f>
        <v>5332</v>
      </c>
      <c r="F18" s="1026">
        <f>Gen!S27/Gen!T27</f>
        <v>0.3936721680420105</v>
      </c>
      <c r="G18" s="1026">
        <f>IF('Utility summery'!M22&lt;0,"0",'Utility summery'!M22)</f>
        <v>103.26800000000513</v>
      </c>
      <c r="H18" s="1027">
        <v>2.38</v>
      </c>
      <c r="I18" s="1026">
        <f>IF('Water-Meter'!E22&lt;0,"0",'Water-Meter'!E22)</f>
        <v>109</v>
      </c>
      <c r="J18" s="1027">
        <v>0</v>
      </c>
      <c r="K18" s="1025">
        <f>'Summery Report'!E21</f>
        <v>24</v>
      </c>
      <c r="L18" s="1028" t="e">
        <f>E18*F18+G18*H18+#REF!*#REF!+I18*J18</f>
        <v>#REF!</v>
      </c>
    </row>
    <row r="19" spans="1:12" x14ac:dyDescent="0.2">
      <c r="A19" s="1022" t="s">
        <v>441</v>
      </c>
      <c r="B19" s="1023">
        <f t="shared" si="0"/>
        <v>18</v>
      </c>
      <c r="C19" s="1023">
        <v>12</v>
      </c>
      <c r="D19" s="1024">
        <v>2018</v>
      </c>
      <c r="E19" s="1025">
        <f>Gen!T28</f>
        <v>5890</v>
      </c>
      <c r="F19" s="1026">
        <f>Gen!S28/Gen!T28</f>
        <v>0.4027130730050934</v>
      </c>
      <c r="G19" s="1026">
        <f>IF('Utility summery'!M23&lt;0,"0",'Utility summery'!M23)</f>
        <v>116.11599999999744</v>
      </c>
      <c r="H19" s="1027">
        <v>2.38</v>
      </c>
      <c r="I19" s="1026">
        <f>IF('Water-Meter'!E23&lt;0,"0",'Water-Meter'!E23)</f>
        <v>114</v>
      </c>
      <c r="J19" s="1027">
        <v>0</v>
      </c>
      <c r="K19" s="1025">
        <f>'Summery Report'!E22</f>
        <v>41</v>
      </c>
      <c r="L19" s="1028" t="e">
        <f>E19*F19+G19*H19+#REF!*#REF!+I19*J19</f>
        <v>#REF!</v>
      </c>
    </row>
    <row r="20" spans="1:12" x14ac:dyDescent="0.2">
      <c r="A20" s="1022" t="s">
        <v>441</v>
      </c>
      <c r="B20" s="1023">
        <f t="shared" si="0"/>
        <v>19</v>
      </c>
      <c r="C20" s="1023">
        <v>12</v>
      </c>
      <c r="D20" s="1024">
        <v>2018</v>
      </c>
      <c r="E20" s="1025">
        <f>Gen!T29</f>
        <v>5737</v>
      </c>
      <c r="F20" s="1026">
        <f>Gen!S29/Gen!T29</f>
        <v>0.39371622799372497</v>
      </c>
      <c r="G20" s="1026">
        <f>IF('Utility summery'!M24&lt;0,"0",'Utility summery'!M24)</f>
        <v>125.26800000000513</v>
      </c>
      <c r="H20" s="1027">
        <v>2.38</v>
      </c>
      <c r="I20" s="1026">
        <f>IF('Water-Meter'!E24&lt;0,"0",'Water-Meter'!E24)</f>
        <v>110</v>
      </c>
      <c r="J20" s="1027">
        <v>0</v>
      </c>
      <c r="K20" s="1025">
        <f>'Summery Report'!E23</f>
        <v>35</v>
      </c>
      <c r="L20" s="1028" t="e">
        <f>E20*F20+G20*H20+#REF!*#REF!+I20*J20</f>
        <v>#REF!</v>
      </c>
    </row>
    <row r="21" spans="1:12" x14ac:dyDescent="0.2">
      <c r="A21" s="1022" t="s">
        <v>441</v>
      </c>
      <c r="B21" s="1023">
        <f t="shared" si="0"/>
        <v>20</v>
      </c>
      <c r="C21" s="1023">
        <v>12</v>
      </c>
      <c r="D21" s="1024">
        <v>2018</v>
      </c>
      <c r="E21" s="1025">
        <f>Gen!T30</f>
        <v>5582</v>
      </c>
      <c r="F21" s="1026">
        <f>Gen!S30/Gen!T30</f>
        <v>0.42195091365102111</v>
      </c>
      <c r="G21" s="1026">
        <f>IF('Utility summery'!M25&lt;0,"0",'Utility summery'!M25)</f>
        <v>115.36800000000513</v>
      </c>
      <c r="H21" s="1027">
        <v>2.38</v>
      </c>
      <c r="I21" s="1026">
        <f>IF('Water-Meter'!E25&lt;0,"0",'Water-Meter'!E25)</f>
        <v>123</v>
      </c>
      <c r="J21" s="1027">
        <v>0</v>
      </c>
      <c r="K21" s="1025">
        <f>'Summery Report'!E24</f>
        <v>34</v>
      </c>
      <c r="L21" s="1028" t="e">
        <f>E21*F21+G21*H21+#REF!*#REF!+I21*J21</f>
        <v>#REF!</v>
      </c>
    </row>
    <row r="22" spans="1:12" x14ac:dyDescent="0.2">
      <c r="A22" s="1022" t="s">
        <v>441</v>
      </c>
      <c r="B22" s="1023">
        <f t="shared" si="0"/>
        <v>21</v>
      </c>
      <c r="C22" s="1023">
        <v>12</v>
      </c>
      <c r="D22" s="1024">
        <v>2018</v>
      </c>
      <c r="E22" s="1025">
        <f>Gen!T31</f>
        <v>5599</v>
      </c>
      <c r="F22" s="1026">
        <f>Gen!S31/Gen!T31</f>
        <v>0.38567601357385251</v>
      </c>
      <c r="G22" s="1026">
        <f>IF('Utility summery'!M26&lt;0,"0",'Utility summery'!M26)</f>
        <v>128.12799999997952</v>
      </c>
      <c r="H22" s="1027">
        <v>2.38</v>
      </c>
      <c r="I22" s="1026">
        <f>IF('Water-Meter'!E26&lt;0,"0",'Water-Meter'!E26)</f>
        <v>130</v>
      </c>
      <c r="J22" s="1027">
        <v>0</v>
      </c>
      <c r="K22" s="1025">
        <f>'Summery Report'!E25</f>
        <v>41</v>
      </c>
      <c r="L22" s="1028" t="e">
        <f>E22*F22+G22*H22+#REF!*#REF!+I22*J22</f>
        <v>#REF!</v>
      </c>
    </row>
    <row r="23" spans="1:12" x14ac:dyDescent="0.2">
      <c r="A23" s="1022" t="s">
        <v>441</v>
      </c>
      <c r="B23" s="1023">
        <f t="shared" si="0"/>
        <v>22</v>
      </c>
      <c r="C23" s="1023">
        <v>12</v>
      </c>
      <c r="D23" s="1024">
        <v>2018</v>
      </c>
      <c r="E23" s="1025">
        <f>Gen!T32</f>
        <v>5928</v>
      </c>
      <c r="F23" s="1026">
        <f>Gen!S32/Gen!T32</f>
        <v>0.42189946018893387</v>
      </c>
      <c r="G23" s="1026">
        <f>IF('Utility summery'!M27&lt;0,"0",'Utility summery'!M27)</f>
        <v>119.94400000000897</v>
      </c>
      <c r="H23" s="1027">
        <v>2.38</v>
      </c>
      <c r="I23" s="1026">
        <f>IF('Water-Meter'!E27&lt;0,"0",'Water-Meter'!E27)</f>
        <v>130</v>
      </c>
      <c r="J23" s="1027">
        <v>0</v>
      </c>
      <c r="K23" s="1025">
        <f>'Summery Report'!E26</f>
        <v>41</v>
      </c>
      <c r="L23" s="1028" t="e">
        <f>E23*F23+G23*H23+#REF!*#REF!+I23*J23</f>
        <v>#REF!</v>
      </c>
    </row>
    <row r="24" spans="1:12" x14ac:dyDescent="0.2">
      <c r="A24" s="1022" t="s">
        <v>441</v>
      </c>
      <c r="B24" s="1023">
        <f t="shared" si="0"/>
        <v>23</v>
      </c>
      <c r="C24" s="1023">
        <v>12</v>
      </c>
      <c r="D24" s="1024">
        <v>2018</v>
      </c>
      <c r="E24" s="1025">
        <f>Gen!T33</f>
        <v>5850</v>
      </c>
      <c r="F24" s="1026">
        <f>Gen!S33/Gen!T33</f>
        <v>0.40606324786324782</v>
      </c>
      <c r="G24" s="1026">
        <f>IF('Utility summery'!M28&lt;0,"0",'Utility summery'!M28)</f>
        <v>106.61200000001409</v>
      </c>
      <c r="H24" s="1027">
        <v>2.38</v>
      </c>
      <c r="I24" s="1026">
        <f>IF('Water-Meter'!E28&lt;0,"0",'Water-Meter'!E28)</f>
        <v>131</v>
      </c>
      <c r="J24" s="1027">
        <v>0</v>
      </c>
      <c r="K24" s="1025">
        <f>'Summery Report'!E27</f>
        <v>35</v>
      </c>
      <c r="L24" s="1028" t="e">
        <f>E24*F24+G24*H24+#REF!*#REF!+I24*J24</f>
        <v>#REF!</v>
      </c>
    </row>
    <row r="25" spans="1:12" x14ac:dyDescent="0.2">
      <c r="A25" s="1022" t="s">
        <v>441</v>
      </c>
      <c r="B25" s="1023">
        <f t="shared" si="0"/>
        <v>24</v>
      </c>
      <c r="C25" s="1023">
        <v>12</v>
      </c>
      <c r="D25" s="1024">
        <v>2018</v>
      </c>
      <c r="E25" s="1025">
        <f>Gen!T34</f>
        <v>6147</v>
      </c>
      <c r="F25" s="1026">
        <f>Gen!S34/Gen!T34</f>
        <v>0.44058565153733525</v>
      </c>
      <c r="G25" s="1026">
        <f>IF('Utility summery'!M29&lt;0,"0",'Utility summery'!M29)</f>
        <v>119.6799999999872</v>
      </c>
      <c r="H25" s="1027">
        <v>2.38</v>
      </c>
      <c r="I25" s="1026">
        <f>IF('Water-Meter'!E29&lt;0,"0",'Water-Meter'!E29)</f>
        <v>112</v>
      </c>
      <c r="J25" s="1027">
        <v>0</v>
      </c>
      <c r="K25" s="1025">
        <f>'Summery Report'!E28</f>
        <v>40</v>
      </c>
      <c r="L25" s="1028" t="e">
        <f>E25*F25+G25*H25+#REF!*#REF!+I25*J25</f>
        <v>#REF!</v>
      </c>
    </row>
    <row r="26" spans="1:12" x14ac:dyDescent="0.2">
      <c r="A26" s="1022" t="s">
        <v>441</v>
      </c>
      <c r="B26" s="1023">
        <f>B25+1</f>
        <v>25</v>
      </c>
      <c r="C26" s="1023">
        <v>12</v>
      </c>
      <c r="D26" s="1024">
        <v>2018</v>
      </c>
      <c r="E26" s="1025">
        <f>Gen!T35</f>
        <v>6478</v>
      </c>
      <c r="F26" s="1026">
        <f>Gen!S35/Gen!T35</f>
        <v>0.43383760419882683</v>
      </c>
      <c r="G26" s="1026">
        <f>IF('Utility summery'!M30&lt;0,"0",'Utility summery'!M30)</f>
        <v>131.51599999999746</v>
      </c>
      <c r="H26" s="1027">
        <v>2.38</v>
      </c>
      <c r="I26" s="1026">
        <f>IF('Water-Meter'!E30&lt;0,"0",'Water-Meter'!E30)</f>
        <v>147</v>
      </c>
      <c r="J26" s="1027">
        <v>0</v>
      </c>
      <c r="K26" s="1025">
        <f>'Summery Report'!E29</f>
        <v>73</v>
      </c>
      <c r="L26" s="1028" t="e">
        <f>E26*F26+G26*H26+#REF!*#REF!+I26*J26</f>
        <v>#REF!</v>
      </c>
    </row>
    <row r="27" spans="1:12" x14ac:dyDescent="0.2">
      <c r="A27" s="1022" t="s">
        <v>441</v>
      </c>
      <c r="B27" s="1023">
        <f t="shared" si="0"/>
        <v>26</v>
      </c>
      <c r="C27" s="1023">
        <v>12</v>
      </c>
      <c r="D27" s="1024">
        <v>2018</v>
      </c>
      <c r="E27" s="1025">
        <f>Gen!T36</f>
        <v>6636</v>
      </c>
      <c r="F27" s="1026">
        <f>Gen!S36/Gen!T36</f>
        <v>0.43181133212778777</v>
      </c>
      <c r="G27" s="1026">
        <f>IF('Utility summery'!M31&lt;0,"0",'Utility summery'!M31)</f>
        <v>115.19200000000129</v>
      </c>
      <c r="H27" s="1027">
        <v>2.38</v>
      </c>
      <c r="I27" s="1026">
        <f>IF('Water-Meter'!E31&lt;0,"0",'Water-Meter'!E31)</f>
        <v>167</v>
      </c>
      <c r="J27" s="1027">
        <v>0</v>
      </c>
      <c r="K27" s="1025">
        <f>'Summery Report'!E30</f>
        <v>70</v>
      </c>
      <c r="L27" s="1028" t="e">
        <f>E27*F27+G27*H27+#REF!*#REF!+I27*J27</f>
        <v>#REF!</v>
      </c>
    </row>
    <row r="28" spans="1:12" x14ac:dyDescent="0.2">
      <c r="A28" s="1022" t="s">
        <v>441</v>
      </c>
      <c r="B28" s="1023">
        <f t="shared" si="0"/>
        <v>27</v>
      </c>
      <c r="C28" s="1023">
        <v>12</v>
      </c>
      <c r="D28" s="1024">
        <v>2018</v>
      </c>
      <c r="E28" s="1025">
        <f>Gen!T37</f>
        <v>6583</v>
      </c>
      <c r="F28" s="1026">
        <f>Gen!S37/Gen!T37</f>
        <v>0.4003250797508735</v>
      </c>
      <c r="G28" s="1026">
        <f>IF('Utility summery'!M32&lt;0,"0",'Utility summery'!M32)</f>
        <v>108.46000000000642</v>
      </c>
      <c r="H28" s="1027">
        <v>2.38</v>
      </c>
      <c r="I28" s="1026">
        <f>IF('Water-Meter'!E32&lt;0,"0",'Water-Meter'!E32)</f>
        <v>159</v>
      </c>
      <c r="J28" s="1027">
        <v>0</v>
      </c>
      <c r="K28" s="1025">
        <f>'Summery Report'!E31</f>
        <v>60</v>
      </c>
      <c r="L28" s="1028" t="e">
        <f>E28*F28+G28*H28+#REF!*#REF!+I28*J28</f>
        <v>#REF!</v>
      </c>
    </row>
    <row r="29" spans="1:12" x14ac:dyDescent="0.2">
      <c r="A29" s="1022" t="s">
        <v>441</v>
      </c>
      <c r="B29" s="1023">
        <f t="shared" si="0"/>
        <v>28</v>
      </c>
      <c r="C29" s="1023">
        <v>12</v>
      </c>
      <c r="D29" s="1024">
        <v>2018</v>
      </c>
      <c r="E29" s="1025">
        <f>Gen!T38</f>
        <v>7094</v>
      </c>
      <c r="F29" s="1026">
        <f>Gen!S38/Gen!T38</f>
        <v>0.42900197349873137</v>
      </c>
      <c r="G29" s="1026">
        <f>IF('Utility summery'!M33&lt;0,"0",'Utility summery'!M33)</f>
        <v>123.02399999999616</v>
      </c>
      <c r="H29" s="1027">
        <v>2.38</v>
      </c>
      <c r="I29" s="1026">
        <f>IF('Water-Meter'!E33&lt;0,"0",'Water-Meter'!E33)</f>
        <v>164</v>
      </c>
      <c r="J29" s="1027">
        <v>0</v>
      </c>
      <c r="K29" s="1025">
        <f>'Summery Report'!E32</f>
        <v>62</v>
      </c>
      <c r="L29" s="1028" t="e">
        <f>E29*F29+G29*H29+#REF!*#REF!+I29*J29</f>
        <v>#REF!</v>
      </c>
    </row>
    <row r="30" spans="1:12" x14ac:dyDescent="0.2">
      <c r="A30" s="1022" t="s">
        <v>441</v>
      </c>
      <c r="B30" s="1023">
        <f t="shared" si="0"/>
        <v>29</v>
      </c>
      <c r="C30" s="1023">
        <v>12</v>
      </c>
      <c r="D30" s="1024">
        <v>2018</v>
      </c>
      <c r="E30" s="1025">
        <f>Gen!T39</f>
        <v>7628</v>
      </c>
      <c r="F30" s="1026">
        <f>Gen!S39/Gen!T39</f>
        <v>0.37650498164656521</v>
      </c>
      <c r="G30" s="1026">
        <f>IF('Utility summery'!M34&lt;0,"0",'Utility summery'!M34)</f>
        <v>111.05599999999104</v>
      </c>
      <c r="H30" s="1027">
        <v>2.38</v>
      </c>
      <c r="I30" s="1026">
        <f>IF('Water-Meter'!E34&lt;0,"0",'Water-Meter'!E34)</f>
        <v>173</v>
      </c>
      <c r="J30" s="1027">
        <v>0</v>
      </c>
      <c r="K30" s="1025">
        <f>'Summery Report'!E33</f>
        <v>73</v>
      </c>
      <c r="L30" s="1028" t="e">
        <f>E30*F30+G30*H30+#REF!*#REF!+I30*J30</f>
        <v>#REF!</v>
      </c>
    </row>
    <row r="31" spans="1:12" x14ac:dyDescent="0.2">
      <c r="A31" s="1022" t="s">
        <v>441</v>
      </c>
      <c r="B31" s="1023">
        <f t="shared" si="0"/>
        <v>30</v>
      </c>
      <c r="C31" s="1023">
        <v>12</v>
      </c>
      <c r="D31" s="1024">
        <v>2018</v>
      </c>
      <c r="E31" s="1025">
        <f>Gen!T40</f>
        <v>7378</v>
      </c>
      <c r="F31" s="1026">
        <f>Gen!S40/Gen!T40</f>
        <v>0.42999593385741397</v>
      </c>
      <c r="G31" s="1026">
        <f>IF('Utility summery'!M35&lt;0,"0",'Utility summery'!M35)</f>
        <v>106.56800000000513</v>
      </c>
      <c r="H31" s="1027">
        <v>2.38</v>
      </c>
      <c r="I31" s="1026">
        <f>IF('Water-Meter'!E35&lt;0,"0",'Water-Meter'!E35)</f>
        <v>156</v>
      </c>
      <c r="J31" s="1027">
        <v>0</v>
      </c>
      <c r="K31" s="1025">
        <f>'Summery Report'!E34</f>
        <v>61</v>
      </c>
      <c r="L31" s="1028" t="e">
        <f>E31*F31+G31*H31+#REF!*#REF!+I31*J31</f>
        <v>#REF!</v>
      </c>
    </row>
    <row r="32" spans="1:12" x14ac:dyDescent="0.2">
      <c r="A32" s="1022" t="s">
        <v>441</v>
      </c>
      <c r="B32" s="1023">
        <f t="shared" si="0"/>
        <v>31</v>
      </c>
      <c r="C32" s="1023">
        <v>12</v>
      </c>
      <c r="D32" s="1024">
        <v>2018</v>
      </c>
      <c r="E32" s="1025">
        <f>Gen!T41</f>
        <v>7255</v>
      </c>
      <c r="F32" s="1026">
        <f>Gen!S41/Gen!T41</f>
        <v>0.42160716747070981</v>
      </c>
      <c r="G32" s="1026">
        <f>IF('Utility summery'!M36&lt;0,"0",'Utility summery'!M36)</f>
        <v>122.53999999999361</v>
      </c>
      <c r="H32" s="1027">
        <v>2.38</v>
      </c>
      <c r="I32" s="1026">
        <f>IF('Water-Meter'!E36&lt;0,"0",'Water-Meter'!E36)</f>
        <v>120</v>
      </c>
      <c r="J32" s="1027">
        <v>0</v>
      </c>
      <c r="K32" s="1025">
        <f>'Summery Report'!E35</f>
        <v>66</v>
      </c>
    </row>
    <row r="33" spans="6:10" x14ac:dyDescent="0.2">
      <c r="F33" s="1026"/>
      <c r="G33" s="1026"/>
      <c r="H33" s="1027"/>
      <c r="I33" s="1026"/>
      <c r="J33" s="1027"/>
    </row>
    <row r="34" spans="6:10" x14ac:dyDescent="0.2">
      <c r="F34" s="1026"/>
      <c r="G34" s="1026"/>
      <c r="H34" s="1027"/>
      <c r="I34" s="1026"/>
      <c r="J34" s="1027"/>
    </row>
    <row r="35" spans="6:10" x14ac:dyDescent="0.2">
      <c r="F35" s="1026"/>
      <c r="G35" s="1026"/>
      <c r="H35" s="1027"/>
      <c r="I35" s="1026"/>
      <c r="J35" s="1027"/>
    </row>
    <row r="36" spans="6:10" x14ac:dyDescent="0.2">
      <c r="F36" s="1026"/>
      <c r="G36" s="1026"/>
      <c r="H36" s="1027"/>
      <c r="I36" s="1026"/>
      <c r="J36" s="1027"/>
    </row>
    <row r="37" spans="6:10" x14ac:dyDescent="0.2">
      <c r="F37" s="1026"/>
      <c r="G37" s="1026"/>
      <c r="H37" s="1027"/>
      <c r="I37" s="1026"/>
      <c r="J37" s="1027"/>
    </row>
    <row r="38" spans="6:10" x14ac:dyDescent="0.2">
      <c r="F38" s="1026"/>
      <c r="G38" s="1026"/>
      <c r="H38" s="1027"/>
      <c r="I38" s="1026"/>
      <c r="J38" s="1027"/>
    </row>
    <row r="39" spans="6:10" x14ac:dyDescent="0.2">
      <c r="F39" s="1026"/>
      <c r="G39" s="1026"/>
      <c r="H39" s="1027"/>
      <c r="I39" s="1026"/>
      <c r="J39" s="10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T39"/>
  <sheetViews>
    <sheetView zoomScale="85" zoomScaleNormal="85" workbookViewId="0">
      <selection activeCell="M7" sqref="M7"/>
    </sheetView>
  </sheetViews>
  <sheetFormatPr defaultRowHeight="12.75" x14ac:dyDescent="0.2"/>
  <cols>
    <col min="1" max="1" width="11.42578125" customWidth="1"/>
    <col min="2" max="2" width="9" customWidth="1"/>
    <col min="3" max="3" width="9.8554687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1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4" spans="1:19" ht="45" x14ac:dyDescent="0.2">
      <c r="A4" s="257" t="s">
        <v>0</v>
      </c>
      <c r="B4" s="258" t="s">
        <v>181</v>
      </c>
      <c r="C4" s="173" t="s">
        <v>325</v>
      </c>
      <c r="D4" s="831" t="s">
        <v>175</v>
      </c>
      <c r="E4" s="831"/>
      <c r="F4" s="831"/>
      <c r="G4" s="832" t="s">
        <v>35</v>
      </c>
      <c r="H4" s="832"/>
      <c r="I4" s="832"/>
      <c r="J4" s="833" t="s">
        <v>87</v>
      </c>
      <c r="K4" s="833"/>
      <c r="L4" s="833"/>
      <c r="M4" s="833"/>
      <c r="N4" s="834" t="s">
        <v>183</v>
      </c>
      <c r="O4" s="834"/>
      <c r="P4" s="834"/>
      <c r="Q4" s="10"/>
      <c r="R4" s="10"/>
      <c r="S4" s="10"/>
    </row>
    <row r="5" spans="1:19" ht="33.75" x14ac:dyDescent="0.2">
      <c r="A5" s="252"/>
      <c r="B5" s="487"/>
      <c r="C5" s="252"/>
      <c r="D5" s="259" t="s">
        <v>176</v>
      </c>
      <c r="E5" s="259" t="s">
        <v>177</v>
      </c>
      <c r="F5" s="259" t="s">
        <v>161</v>
      </c>
      <c r="G5" s="262" t="s">
        <v>178</v>
      </c>
      <c r="H5" s="262" t="s">
        <v>26</v>
      </c>
      <c r="I5" s="263" t="s">
        <v>179</v>
      </c>
      <c r="J5" s="265" t="s">
        <v>182</v>
      </c>
      <c r="K5" s="265" t="s">
        <v>180</v>
      </c>
      <c r="L5" s="265" t="s">
        <v>180</v>
      </c>
      <c r="M5" s="268" t="s">
        <v>20</v>
      </c>
      <c r="N5" s="253" t="s">
        <v>184</v>
      </c>
      <c r="O5" s="253" t="s">
        <v>186</v>
      </c>
      <c r="P5" s="254" t="s">
        <v>185</v>
      </c>
      <c r="Q5" s="269" t="s">
        <v>188</v>
      </c>
      <c r="R5" s="269" t="s">
        <v>187</v>
      </c>
      <c r="S5" s="269" t="s">
        <v>189</v>
      </c>
    </row>
    <row r="6" spans="1:19" ht="14.25" x14ac:dyDescent="0.2">
      <c r="A6" s="507">
        <f>Gen!A11</f>
        <v>43435</v>
      </c>
      <c r="B6" s="10">
        <f>'Summery Report'!D5</f>
        <v>15</v>
      </c>
      <c r="C6" s="10">
        <f>'Daily report Gen'!AA6</f>
        <v>430</v>
      </c>
      <c r="D6" s="261">
        <f>Gen!S11</f>
        <v>1825.13</v>
      </c>
      <c r="E6" s="261">
        <f>Gen!AJ11</f>
        <v>42.79</v>
      </c>
      <c r="F6" s="261">
        <f>Gen!AR11</f>
        <v>1867.92</v>
      </c>
      <c r="G6" s="264">
        <f>'Utility report'!AA5</f>
        <v>0</v>
      </c>
      <c r="H6" s="264">
        <f>'Utility report'!AF6</f>
        <v>65</v>
      </c>
      <c r="I6" s="534">
        <f>'Utility report'!AE6</f>
        <v>0.65656565656565657</v>
      </c>
      <c r="J6" s="266">
        <f>'Lpg (2)'!B10</f>
        <v>85</v>
      </c>
      <c r="K6" s="267">
        <f>'Lpg (2)'!C12</f>
        <v>85</v>
      </c>
      <c r="L6" s="267">
        <f>'Lpg (2)'!D10</f>
        <v>75</v>
      </c>
      <c r="M6" s="266">
        <f>'Lpg (2)'!N10</f>
        <v>149.29200000000128</v>
      </c>
      <c r="N6" s="10"/>
      <c r="O6" s="256">
        <f>E6</f>
        <v>42.79</v>
      </c>
      <c r="P6" s="255">
        <f>'Lpg (2)'!G10</f>
        <v>150000</v>
      </c>
      <c r="Q6" s="256">
        <f>'Summery Report'!Q5</f>
        <v>54169.68</v>
      </c>
      <c r="R6" s="270">
        <f t="shared" ref="R6:R9" si="0">N6/B6</f>
        <v>0</v>
      </c>
      <c r="S6" s="124">
        <f t="shared" ref="S6:S9" si="1">Q6/B6</f>
        <v>3611.3119999999999</v>
      </c>
    </row>
    <row r="7" spans="1:19" ht="14.25" x14ac:dyDescent="0.2">
      <c r="A7" s="507">
        <f>Gen!A12</f>
        <v>43436</v>
      </c>
      <c r="B7" s="10">
        <f>'Summery Report'!D6</f>
        <v>13</v>
      </c>
      <c r="C7" s="10">
        <f>'Daily report Gen'!AA7</f>
        <v>410</v>
      </c>
      <c r="D7" s="261">
        <f>Gen!S12</f>
        <v>1835.19</v>
      </c>
      <c r="E7" s="261">
        <f>Gen!AJ12</f>
        <v>90.600000000000009</v>
      </c>
      <c r="F7" s="261">
        <f>SUM(D7+E7)</f>
        <v>1925.79</v>
      </c>
      <c r="G7" s="264" t="e">
        <f>'Utility report'!AA6</f>
        <v>#VALUE!</v>
      </c>
      <c r="H7" s="264">
        <f>'Utility report'!AF7</f>
        <v>45</v>
      </c>
      <c r="I7" s="534">
        <f>'Utility report'!AE7</f>
        <v>0.45</v>
      </c>
      <c r="J7" s="266">
        <f>'Lpg (2)'!B11</f>
        <v>85</v>
      </c>
      <c r="K7" s="267">
        <f>'Lpg (2)'!C11</f>
        <v>85</v>
      </c>
      <c r="L7" s="267">
        <f>'Lpg (2)'!D11</f>
        <v>61</v>
      </c>
      <c r="M7" s="266">
        <f>'Lpg (2)'!N11</f>
        <v>78.892000000001289</v>
      </c>
      <c r="N7" s="270">
        <f>D7*1.4</f>
        <v>2569.2660000000001</v>
      </c>
      <c r="O7" s="270">
        <f>E7*1.4</f>
        <v>126.84</v>
      </c>
      <c r="P7" s="255">
        <f>'Lpg (2)'!G11</f>
        <v>122000</v>
      </c>
      <c r="Q7" s="256">
        <f>'Summery Report'!Q6</f>
        <v>55847.909999999996</v>
      </c>
      <c r="R7" s="270">
        <f t="shared" si="0"/>
        <v>197.63584615384616</v>
      </c>
      <c r="S7" s="124">
        <f t="shared" si="1"/>
        <v>4295.9930769230768</v>
      </c>
    </row>
    <row r="8" spans="1:19" ht="14.25" x14ac:dyDescent="0.2">
      <c r="A8" s="507">
        <f>Gen!A13</f>
        <v>43437</v>
      </c>
      <c r="B8" s="10">
        <f>'Summery Report'!D7</f>
        <v>13</v>
      </c>
      <c r="C8" s="10">
        <f>'Daily report Gen'!AA8</f>
        <v>421</v>
      </c>
      <c r="D8" s="261">
        <f>Gen!S13</f>
        <v>2768.05</v>
      </c>
      <c r="E8" s="261">
        <f>Gen!AJ13</f>
        <v>108.37</v>
      </c>
      <c r="F8" s="261">
        <f t="shared" ref="F8:F36" si="2">SUM(D8+E8)</f>
        <v>2876.42</v>
      </c>
      <c r="G8" s="264">
        <f>'Utility report'!AA7</f>
        <v>956010.00000000012</v>
      </c>
      <c r="H8" s="264">
        <f>'Utility report'!AF8</f>
        <v>47</v>
      </c>
      <c r="I8" s="534">
        <f>'Utility report'!AE8</f>
        <v>0.52222222222222225</v>
      </c>
      <c r="J8" s="266">
        <f>'Lpg (2)'!B12</f>
        <v>85</v>
      </c>
      <c r="K8" s="267">
        <f>'Lpg (2)'!C12</f>
        <v>85</v>
      </c>
      <c r="L8" s="267">
        <f>'Lpg (2)'!D12</f>
        <v>52</v>
      </c>
      <c r="M8" s="266">
        <f>'Lpg (2)'!N12</f>
        <v>126.54399999997696</v>
      </c>
      <c r="N8" s="270">
        <f t="shared" ref="N8:N36" si="3">D8*1.4</f>
        <v>3875.27</v>
      </c>
      <c r="O8" s="270">
        <f t="shared" ref="O8:O36" si="4">E8*1.4</f>
        <v>151.71799999999999</v>
      </c>
      <c r="P8" s="255">
        <f>'Lpg (2)'!G12</f>
        <v>104000</v>
      </c>
      <c r="Q8" s="256">
        <f>'Summery Report'!Q7</f>
        <v>83416.180000000008</v>
      </c>
      <c r="R8" s="270">
        <f t="shared" si="0"/>
        <v>298.09769230769228</v>
      </c>
      <c r="S8" s="124">
        <f t="shared" si="1"/>
        <v>6416.6292307692311</v>
      </c>
    </row>
    <row r="9" spans="1:19" ht="14.25" x14ac:dyDescent="0.2">
      <c r="A9" s="507">
        <f>Gen!A14</f>
        <v>43438</v>
      </c>
      <c r="B9" s="10">
        <f>'Summery Report'!D8</f>
        <v>15</v>
      </c>
      <c r="C9" s="10">
        <f>'Daily report Gen'!AA9</f>
        <v>417</v>
      </c>
      <c r="D9" s="261">
        <f>Gen!S14</f>
        <v>1910.45</v>
      </c>
      <c r="E9" s="261">
        <f>Gen!AJ14</f>
        <v>110.05</v>
      </c>
      <c r="F9" s="261">
        <f t="shared" si="2"/>
        <v>2020.5</v>
      </c>
      <c r="G9" s="264">
        <f>'Utility report'!AA8</f>
        <v>1040878.8</v>
      </c>
      <c r="H9" s="264">
        <f>'Utility report'!AF9</f>
        <v>73</v>
      </c>
      <c r="I9" s="534">
        <f>'Utility report'!AE9</f>
        <v>0.83908045977011492</v>
      </c>
      <c r="J9" s="266">
        <f>'Lpg (2)'!B13</f>
        <v>85</v>
      </c>
      <c r="K9" s="267">
        <f>'Lpg (2)'!C13</f>
        <v>85</v>
      </c>
      <c r="L9" s="267">
        <f>'Lpg (2)'!D13</f>
        <v>45</v>
      </c>
      <c r="M9" s="266">
        <f>'Lpg (2)'!N13</f>
        <v>101.33200000002689</v>
      </c>
      <c r="N9" s="270">
        <f t="shared" si="3"/>
        <v>2674.63</v>
      </c>
      <c r="O9" s="270">
        <f t="shared" si="4"/>
        <v>154.07</v>
      </c>
      <c r="P9" s="255">
        <f>'Lpg (2)'!G13</f>
        <v>90000</v>
      </c>
      <c r="Q9" s="256">
        <f>'Summery Report'!Q8</f>
        <v>58594.5</v>
      </c>
      <c r="R9" s="270">
        <f t="shared" si="0"/>
        <v>178.30866666666668</v>
      </c>
      <c r="S9" s="124">
        <f t="shared" si="1"/>
        <v>3906.3</v>
      </c>
    </row>
    <row r="10" spans="1:19" ht="14.25" x14ac:dyDescent="0.2">
      <c r="A10" s="507">
        <f>Gen!A15</f>
        <v>43439</v>
      </c>
      <c r="B10" s="10">
        <f>'Summery Report'!D9</f>
        <v>12</v>
      </c>
      <c r="C10" s="10">
        <f>'Daily report Gen'!AA10</f>
        <v>369</v>
      </c>
      <c r="D10" s="261">
        <f>Gen!S15</f>
        <v>1785.28</v>
      </c>
      <c r="E10" s="261">
        <f>Gen!AJ15</f>
        <v>0</v>
      </c>
      <c r="F10" s="261">
        <f t="shared" si="2"/>
        <v>1785.28</v>
      </c>
      <c r="G10" s="264">
        <f>'Utility report'!AA9</f>
        <v>1042314.0000000001</v>
      </c>
      <c r="H10" s="264">
        <f>'Utility report'!AF10</f>
        <v>53</v>
      </c>
      <c r="I10" s="534">
        <f>'Utility report'!AE10</f>
        <v>0.63095238095238093</v>
      </c>
      <c r="J10" s="266">
        <f>'Lpg (2)'!B14</f>
        <v>85</v>
      </c>
      <c r="K10" s="267">
        <f>'Lpg (2)'!C14</f>
        <v>85</v>
      </c>
      <c r="L10" s="267">
        <f>'Lpg (2)'!D14</f>
        <v>40</v>
      </c>
      <c r="M10" s="266">
        <f>'Lpg (2)'!N14</f>
        <v>111.62799999997952</v>
      </c>
      <c r="N10" s="270">
        <f t="shared" si="3"/>
        <v>2499.3919999999998</v>
      </c>
      <c r="O10" s="270">
        <f t="shared" si="4"/>
        <v>0</v>
      </c>
      <c r="P10" s="255">
        <f>'Lpg (2)'!G14</f>
        <v>80000</v>
      </c>
      <c r="Q10" s="256">
        <f>'Summery Report'!Q9</f>
        <v>51773.120000000003</v>
      </c>
      <c r="R10" s="270">
        <f t="shared" ref="R10:R36" si="5">N10/B10</f>
        <v>208.28266666666664</v>
      </c>
      <c r="S10" s="124">
        <f t="shared" ref="S10:S37" si="6">Q10/B10</f>
        <v>4314.4266666666672</v>
      </c>
    </row>
    <row r="11" spans="1:19" ht="14.25" x14ac:dyDescent="0.2">
      <c r="A11" s="507">
        <f>Gen!A16</f>
        <v>43440</v>
      </c>
      <c r="B11" s="10">
        <f>'Summery Report'!D10</f>
        <v>15</v>
      </c>
      <c r="C11" s="10">
        <f>'Daily report Gen'!AA11</f>
        <v>416</v>
      </c>
      <c r="D11" s="261">
        <f>Gen!S16</f>
        <v>1903.8600000000001</v>
      </c>
      <c r="E11" s="261">
        <f>Gen!AJ16</f>
        <v>247.65</v>
      </c>
      <c r="F11" s="261">
        <f t="shared" si="2"/>
        <v>2151.5100000000002</v>
      </c>
      <c r="G11" s="264">
        <f>'Utility report'!AA10</f>
        <v>1087819.2000000002</v>
      </c>
      <c r="H11" s="264">
        <f>'Utility report'!AF11</f>
        <v>57</v>
      </c>
      <c r="I11" s="534">
        <f>'Utility report'!AE11</f>
        <v>0.52777777777777779</v>
      </c>
      <c r="J11" s="266">
        <f>'Lpg (2)'!B15</f>
        <v>85</v>
      </c>
      <c r="K11" s="267">
        <f>'Lpg (2)'!C15</f>
        <v>85</v>
      </c>
      <c r="L11" s="267">
        <f>'Lpg (2)'!D15</f>
        <v>36</v>
      </c>
      <c r="M11" s="266">
        <f>'Lpg (2)'!N15</f>
        <v>105.64400000000897</v>
      </c>
      <c r="N11" s="270">
        <f t="shared" si="3"/>
        <v>2665.404</v>
      </c>
      <c r="O11" s="270">
        <f t="shared" si="4"/>
        <v>346.71</v>
      </c>
      <c r="P11" s="255">
        <f>'Lpg (2)'!G15</f>
        <v>72000</v>
      </c>
      <c r="Q11" s="256">
        <f>'Summery Report'!Q10</f>
        <v>62393.790000000008</v>
      </c>
      <c r="R11" s="270">
        <f t="shared" si="5"/>
        <v>177.6936</v>
      </c>
      <c r="S11" s="124">
        <f t="shared" si="6"/>
        <v>4159.5860000000002</v>
      </c>
    </row>
    <row r="12" spans="1:19" ht="14.25" x14ac:dyDescent="0.2">
      <c r="A12" s="507">
        <f>Gen!A17</f>
        <v>43441</v>
      </c>
      <c r="B12" s="10">
        <f>'Summery Report'!D11</f>
        <v>20</v>
      </c>
      <c r="C12" s="10">
        <f>'Daily report Gen'!AA12</f>
        <v>389</v>
      </c>
      <c r="D12" s="261">
        <f>Gen!S17</f>
        <v>2010.19</v>
      </c>
      <c r="E12" s="261">
        <f>Gen!AJ17</f>
        <v>224.17000000000002</v>
      </c>
      <c r="F12" s="261">
        <f t="shared" si="2"/>
        <v>2234.36</v>
      </c>
      <c r="G12" s="264">
        <f>'Utility report'!AA11</f>
        <v>1089379.2000000002</v>
      </c>
      <c r="H12" s="264">
        <f>'Utility report'!AF12</f>
        <v>53</v>
      </c>
      <c r="I12" s="534">
        <f>'Utility report'!AE12</f>
        <v>0.56989247311827962</v>
      </c>
      <c r="J12" s="266">
        <f>'Lpg (2)'!B16</f>
        <v>85</v>
      </c>
      <c r="K12" s="267">
        <f>'Lpg (2)'!C16</f>
        <v>85</v>
      </c>
      <c r="L12" s="267">
        <f>'Lpg (2)'!D16</f>
        <v>30</v>
      </c>
      <c r="M12" s="266">
        <f>'Lpg (2)'!N16</f>
        <v>116.16000000000641</v>
      </c>
      <c r="N12" s="270">
        <f t="shared" si="3"/>
        <v>2814.2660000000001</v>
      </c>
      <c r="O12" s="270">
        <f t="shared" si="4"/>
        <v>313.83800000000002</v>
      </c>
      <c r="P12" s="255">
        <f>'Lpg (2)'!G16</f>
        <v>60000</v>
      </c>
      <c r="Q12" s="256">
        <f>'Summery Report'!Q11</f>
        <v>64796.44</v>
      </c>
      <c r="R12" s="270">
        <f t="shared" si="5"/>
        <v>140.7133</v>
      </c>
      <c r="S12" s="124">
        <f t="shared" si="6"/>
        <v>3239.8220000000001</v>
      </c>
    </row>
    <row r="13" spans="1:19" ht="14.25" x14ac:dyDescent="0.2">
      <c r="A13" s="507">
        <f>Gen!A18</f>
        <v>43442</v>
      </c>
      <c r="B13" s="10">
        <f>'Summery Report'!D12</f>
        <v>23</v>
      </c>
      <c r="C13" s="10">
        <f>'Daily report Gen'!AA13</f>
        <v>410</v>
      </c>
      <c r="D13" s="261">
        <f>Gen!S18</f>
        <v>1923.46</v>
      </c>
      <c r="E13" s="261">
        <f>Gen!AJ18</f>
        <v>114</v>
      </c>
      <c r="F13" s="261">
        <f t="shared" si="2"/>
        <v>2037.46</v>
      </c>
      <c r="G13" s="264">
        <f>'Utility report'!AA12</f>
        <v>136258.20000000001</v>
      </c>
      <c r="H13" s="264">
        <f>'Utility report'!AF13</f>
        <v>53</v>
      </c>
      <c r="I13" s="534">
        <f>'Utility report'!AE13</f>
        <v>0.5145631067961165</v>
      </c>
      <c r="J13" s="266">
        <f>'Lpg (2)'!B17</f>
        <v>85</v>
      </c>
      <c r="K13" s="267">
        <f>'Lpg (2)'!C17</f>
        <v>85</v>
      </c>
      <c r="L13" s="267">
        <f>'Lpg (2)'!D17</f>
        <v>23</v>
      </c>
      <c r="M13" s="266">
        <f>'Lpg (2)'!N17</f>
        <v>149.55599999999106</v>
      </c>
      <c r="N13" s="270">
        <f t="shared" si="3"/>
        <v>2692.8440000000001</v>
      </c>
      <c r="O13" s="270">
        <f t="shared" si="4"/>
        <v>159.6</v>
      </c>
      <c r="P13" s="255">
        <f>'Lpg (2)'!G17</f>
        <v>46000</v>
      </c>
      <c r="Q13" s="256">
        <f>'Summery Report'!Q12</f>
        <v>59086.340000000004</v>
      </c>
      <c r="R13" s="270">
        <f t="shared" si="5"/>
        <v>117.08017391304348</v>
      </c>
      <c r="S13" s="124">
        <f t="shared" si="6"/>
        <v>2568.9713043478264</v>
      </c>
    </row>
    <row r="14" spans="1:19" ht="14.25" x14ac:dyDescent="0.2">
      <c r="A14" s="507">
        <f>Gen!A19</f>
        <v>43443</v>
      </c>
      <c r="B14" s="10">
        <f>'Summery Report'!D13</f>
        <v>37</v>
      </c>
      <c r="C14" s="10">
        <f>'Daily report Gen'!AA14</f>
        <v>426</v>
      </c>
      <c r="D14" s="261">
        <f>Gen!S19</f>
        <v>2043.56</v>
      </c>
      <c r="E14" s="261">
        <f>Gen!AJ19</f>
        <v>534.55999999999995</v>
      </c>
      <c r="F14" s="261">
        <f t="shared" si="2"/>
        <v>2578.12</v>
      </c>
      <c r="G14" s="264">
        <f>'Utility report'!AA13</f>
        <v>1138540</v>
      </c>
      <c r="H14" s="264">
        <f>'Utility report'!AF14</f>
        <v>59</v>
      </c>
      <c r="I14" s="534">
        <f>'Utility report'!AE14</f>
        <v>0.47199999999999998</v>
      </c>
      <c r="J14" s="266">
        <f>'Lpg (2)'!B18</f>
        <v>85</v>
      </c>
      <c r="K14" s="267">
        <f>'Lpg (2)'!C18</f>
        <v>85</v>
      </c>
      <c r="L14" s="267">
        <f>'Lpg (2)'!D18</f>
        <v>16</v>
      </c>
      <c r="M14" s="266">
        <f>'Lpg (2)'!N18</f>
        <v>158.4</v>
      </c>
      <c r="N14" s="270">
        <f t="shared" si="3"/>
        <v>2860.9839999999999</v>
      </c>
      <c r="O14" s="270">
        <f t="shared" si="4"/>
        <v>748.3839999999999</v>
      </c>
      <c r="P14" s="255">
        <f>'Lpg (2)'!G18</f>
        <v>32000</v>
      </c>
      <c r="Q14" s="256">
        <f>'Summery Report'!Q13</f>
        <v>74765.48</v>
      </c>
      <c r="R14" s="270">
        <f t="shared" si="5"/>
        <v>77.32389189189189</v>
      </c>
      <c r="S14" s="124">
        <f t="shared" si="6"/>
        <v>2020.6886486486485</v>
      </c>
    </row>
    <row r="15" spans="1:19" ht="14.25" x14ac:dyDescent="0.2">
      <c r="A15" s="507">
        <f>Gen!A20</f>
        <v>43444</v>
      </c>
      <c r="B15" s="10">
        <f>'Summery Report'!D14</f>
        <v>44</v>
      </c>
      <c r="C15" s="10">
        <f>'Daily report Gen'!AA15</f>
        <v>420</v>
      </c>
      <c r="D15" s="261">
        <f>Gen!S20</f>
        <v>2103.23</v>
      </c>
      <c r="E15" s="261">
        <f>Gen!AJ20</f>
        <v>438</v>
      </c>
      <c r="F15" s="261">
        <f t="shared" si="2"/>
        <v>2541.23</v>
      </c>
      <c r="G15" s="264">
        <f>'Utility report'!AA14</f>
        <v>482377.5</v>
      </c>
      <c r="H15" s="264">
        <f>'Utility report'!AF15</f>
        <v>120</v>
      </c>
      <c r="I15" s="534">
        <f>'Utility report'!AE15</f>
        <v>1.0526315789473684</v>
      </c>
      <c r="J15" s="266">
        <f>'Lpg (2)'!B19</f>
        <v>85</v>
      </c>
      <c r="K15" s="267">
        <f>'Lpg (2)'!C19</f>
        <v>85</v>
      </c>
      <c r="L15" s="267">
        <f>'Lpg (2)'!D19</f>
        <v>9</v>
      </c>
      <c r="M15" s="266">
        <f>'Lpg (2)'!N19</f>
        <v>197.20799999999875</v>
      </c>
      <c r="N15" s="270">
        <f t="shared" si="3"/>
        <v>2944.5219999999999</v>
      </c>
      <c r="O15" s="270">
        <f t="shared" si="4"/>
        <v>613.19999999999993</v>
      </c>
      <c r="P15" s="255">
        <f>'Lpg (2)'!G19</f>
        <v>18000</v>
      </c>
      <c r="Q15" s="256">
        <f>'Summery Report'!Q14</f>
        <v>73695.67</v>
      </c>
      <c r="R15" s="270">
        <f t="shared" si="5"/>
        <v>66.920954545454549</v>
      </c>
      <c r="S15" s="124">
        <f t="shared" si="6"/>
        <v>1674.9015909090908</v>
      </c>
    </row>
    <row r="16" spans="1:19" ht="14.25" x14ac:dyDescent="0.2">
      <c r="A16" s="507">
        <f>Gen!A21</f>
        <v>43445</v>
      </c>
      <c r="B16" s="10">
        <f>'Summery Report'!D15</f>
        <v>45</v>
      </c>
      <c r="C16" s="10">
        <f>'Daily report Gen'!AA16</f>
        <v>425</v>
      </c>
      <c r="D16" s="261">
        <f>Gen!S21</f>
        <v>2044.33</v>
      </c>
      <c r="E16" s="261">
        <f>Gen!AJ21</f>
        <v>222.32999999999998</v>
      </c>
      <c r="F16" s="261">
        <f t="shared" si="2"/>
        <v>2266.66</v>
      </c>
      <c r="G16" s="264">
        <f>'Utility report'!AA15</f>
        <v>1981444.8</v>
      </c>
      <c r="H16" s="264">
        <f>'Utility report'!AF16</f>
        <v>59</v>
      </c>
      <c r="I16" s="534">
        <f>'Utility report'!AE16</f>
        <v>0.51754385964912286</v>
      </c>
      <c r="J16" s="266">
        <f>'Lpg (2)'!B20</f>
        <v>85</v>
      </c>
      <c r="K16" s="267">
        <f>'Lpg (2)'!C20</f>
        <v>85</v>
      </c>
      <c r="L16" s="267">
        <f>'Lpg (2)'!D20</f>
        <v>2</v>
      </c>
      <c r="M16" s="266">
        <f>'Lpg (2)'!N20</f>
        <v>121.83600000001026</v>
      </c>
      <c r="N16" s="270">
        <f t="shared" si="3"/>
        <v>2862.0619999999999</v>
      </c>
      <c r="O16" s="270">
        <f t="shared" si="4"/>
        <v>311.26199999999994</v>
      </c>
      <c r="P16" s="255">
        <f>'Lpg (2)'!G20</f>
        <v>4000</v>
      </c>
      <c r="Q16" s="256">
        <f>'Summery Report'!Q15</f>
        <v>65733.14</v>
      </c>
      <c r="R16" s="270">
        <f t="shared" si="5"/>
        <v>63.601377777777778</v>
      </c>
      <c r="S16" s="124">
        <f t="shared" si="6"/>
        <v>1460.7364444444445</v>
      </c>
    </row>
    <row r="17" spans="1:19" ht="14.25" x14ac:dyDescent="0.2">
      <c r="A17" s="507">
        <f>Gen!A22</f>
        <v>43446</v>
      </c>
      <c r="B17" s="10">
        <f>'Summery Report'!D16</f>
        <v>21</v>
      </c>
      <c r="C17" s="10">
        <f>'Daily report Gen'!AA17</f>
        <v>420</v>
      </c>
      <c r="D17" s="261">
        <f>Gen!S22</f>
        <v>1917.2399999999998</v>
      </c>
      <c r="E17" s="261">
        <f>Gen!AJ22</f>
        <v>198.24</v>
      </c>
      <c r="F17" s="261">
        <f t="shared" si="2"/>
        <v>2115.4799999999996</v>
      </c>
      <c r="G17" s="264">
        <f>'Utility report'!AA16</f>
        <v>1054380</v>
      </c>
      <c r="H17" s="264">
        <f>'Utility report'!AF17</f>
        <v>74</v>
      </c>
      <c r="I17" s="534">
        <f>'Utility report'!AE17</f>
        <v>0.70476190476190481</v>
      </c>
      <c r="J17" s="266">
        <f>'Lpg (2)'!B21</f>
        <v>85</v>
      </c>
      <c r="K17" s="267">
        <f>'Lpg (2)'!C21</f>
        <v>78</v>
      </c>
      <c r="L17" s="267">
        <f>'Lpg (2)'!D21</f>
        <v>0</v>
      </c>
      <c r="M17" s="266">
        <f>'Lpg (2)'!N21</f>
        <v>127.29200000000129</v>
      </c>
      <c r="N17" s="270">
        <f t="shared" si="3"/>
        <v>2684.1359999999995</v>
      </c>
      <c r="O17" s="270">
        <f t="shared" si="4"/>
        <v>277.536</v>
      </c>
      <c r="P17" s="255">
        <f>'Lpg (2)'!G21</f>
        <v>0</v>
      </c>
      <c r="Q17" s="256">
        <f>'Summery Report'!Q16</f>
        <v>61348.919999999984</v>
      </c>
      <c r="R17" s="270">
        <f t="shared" si="5"/>
        <v>127.81599999999997</v>
      </c>
      <c r="S17" s="124">
        <f t="shared" si="6"/>
        <v>2921.3771428571422</v>
      </c>
    </row>
    <row r="18" spans="1:19" ht="14.25" x14ac:dyDescent="0.2">
      <c r="A18" s="507">
        <f>Gen!A23</f>
        <v>43447</v>
      </c>
      <c r="B18" s="10">
        <f>'Summery Report'!D17</f>
        <v>23</v>
      </c>
      <c r="C18" s="10">
        <f>'Daily report Gen'!AA18</f>
        <v>435</v>
      </c>
      <c r="D18" s="261">
        <f>Gen!S23</f>
        <v>1891.5800000000002</v>
      </c>
      <c r="E18" s="261">
        <f>Gen!AJ23</f>
        <v>114.10000000000001</v>
      </c>
      <c r="F18" s="261">
        <f t="shared" si="2"/>
        <v>2005.68</v>
      </c>
      <c r="G18" s="264">
        <f>'Utility report'!AA17</f>
        <v>1055160</v>
      </c>
      <c r="H18" s="264">
        <f>'Utility report'!AF18</f>
        <v>74</v>
      </c>
      <c r="I18" s="534">
        <f>'Utility report'!AE18</f>
        <v>0.66666666666666663</v>
      </c>
      <c r="J18" s="266">
        <f>'Lpg (2)'!B22</f>
        <v>85</v>
      </c>
      <c r="K18" s="267">
        <f>'Lpg (2)'!C22</f>
        <v>66</v>
      </c>
      <c r="L18" s="267">
        <f>'Lpg (2)'!D22</f>
        <v>0</v>
      </c>
      <c r="M18" s="266">
        <f>'Lpg (2)'!N22</f>
        <v>119.63599999997824</v>
      </c>
      <c r="N18" s="270">
        <f t="shared" si="3"/>
        <v>2648.212</v>
      </c>
      <c r="O18" s="270">
        <f t="shared" si="4"/>
        <v>159.74</v>
      </c>
      <c r="P18" s="255">
        <f>'Lpg (2)'!G22</f>
        <v>0</v>
      </c>
      <c r="Q18" s="256">
        <f>'Summery Report'!Q17</f>
        <v>58164.72</v>
      </c>
      <c r="R18" s="270">
        <f t="shared" si="5"/>
        <v>115.13965217391305</v>
      </c>
      <c r="S18" s="124">
        <f t="shared" si="6"/>
        <v>2528.9008695652174</v>
      </c>
    </row>
    <row r="19" spans="1:19" ht="14.25" x14ac:dyDescent="0.2">
      <c r="A19" s="507">
        <f>Gen!A24</f>
        <v>43448</v>
      </c>
      <c r="B19" s="10">
        <f>'Summery Report'!D18</f>
        <v>21</v>
      </c>
      <c r="C19" s="10">
        <f>'Daily report Gen'!AA19</f>
        <v>421</v>
      </c>
      <c r="D19" s="261">
        <f>Gen!S24</f>
        <v>1992.44</v>
      </c>
      <c r="E19" s="261">
        <f>Gen!AJ24</f>
        <v>315.52</v>
      </c>
      <c r="F19" s="261">
        <f t="shared" si="2"/>
        <v>2307.96</v>
      </c>
      <c r="G19" s="264">
        <f>'Utility report'!AA18</f>
        <v>295965.60000000003</v>
      </c>
      <c r="H19" s="264">
        <f>'Utility report'!AF19</f>
        <v>56</v>
      </c>
      <c r="I19" s="534">
        <f>'Utility report'!AE19</f>
        <v>0.56000000000000005</v>
      </c>
      <c r="J19" s="266">
        <f>'Lpg (2)'!B23</f>
        <v>85</v>
      </c>
      <c r="K19" s="267">
        <f>'Lpg (2)'!C23</f>
        <v>60</v>
      </c>
      <c r="L19" s="267">
        <f>'Lpg (2)'!D23</f>
        <v>0</v>
      </c>
      <c r="M19" s="266">
        <f>'Lpg (2)'!N23</f>
        <v>108.50400000001538</v>
      </c>
      <c r="N19" s="270">
        <f t="shared" si="3"/>
        <v>2789.4159999999997</v>
      </c>
      <c r="O19" s="270">
        <f t="shared" si="4"/>
        <v>441.72799999999995</v>
      </c>
      <c r="P19" s="255">
        <f>'Lpg (2)'!G23</f>
        <v>0</v>
      </c>
      <c r="Q19" s="256">
        <f>'Summery Report'!Q18</f>
        <v>66930.84</v>
      </c>
      <c r="R19" s="270">
        <f t="shared" si="5"/>
        <v>132.82933333333332</v>
      </c>
      <c r="S19" s="124">
        <f t="shared" si="6"/>
        <v>3187.1828571428568</v>
      </c>
    </row>
    <row r="20" spans="1:19" ht="14.25" x14ac:dyDescent="0.2">
      <c r="A20" s="507">
        <f>Gen!A25</f>
        <v>43449</v>
      </c>
      <c r="B20" s="10">
        <f>'Summery Report'!D19</f>
        <v>11</v>
      </c>
      <c r="C20" s="10">
        <f>'Daily report Gen'!AA20</f>
        <v>405</v>
      </c>
      <c r="D20" s="261">
        <f>Gen!S25</f>
        <v>1937.98</v>
      </c>
      <c r="E20" s="261">
        <f>Gen!AJ25</f>
        <v>571.31999999999994</v>
      </c>
      <c r="F20" s="261">
        <f t="shared" si="2"/>
        <v>2509.3000000000002</v>
      </c>
      <c r="G20" s="264">
        <f>'Utility report'!AA19</f>
        <v>550399.19999999995</v>
      </c>
      <c r="H20" s="264">
        <f>'Utility report'!AF20</f>
        <v>37</v>
      </c>
      <c r="I20" s="534">
        <f>'Utility report'!AE20</f>
        <v>0.42528735632183906</v>
      </c>
      <c r="J20" s="266">
        <f>'Lpg (2)'!B24</f>
        <v>85</v>
      </c>
      <c r="K20" s="267">
        <f>'Lpg (2)'!C24</f>
        <v>56</v>
      </c>
      <c r="L20" s="267">
        <f>'Lpg (2)'!D24</f>
        <v>0</v>
      </c>
      <c r="M20" s="266">
        <f>'Lpg (2)'!N24</f>
        <v>117.03999999999361</v>
      </c>
      <c r="N20" s="270">
        <f t="shared" si="3"/>
        <v>2713.172</v>
      </c>
      <c r="O20" s="270">
        <f t="shared" si="4"/>
        <v>799.84799999999984</v>
      </c>
      <c r="P20" s="255">
        <f>'Lpg (2)'!G24</f>
        <v>0</v>
      </c>
      <c r="Q20" s="256">
        <f>'Summery Report'!Q19</f>
        <v>72769.700000000012</v>
      </c>
      <c r="R20" s="270">
        <f t="shared" si="5"/>
        <v>246.65200000000002</v>
      </c>
      <c r="S20" s="124">
        <f t="shared" si="6"/>
        <v>6615.4272727272737</v>
      </c>
    </row>
    <row r="21" spans="1:19" ht="14.25" x14ac:dyDescent="0.2">
      <c r="A21" s="507">
        <f>Gen!A26</f>
        <v>43450</v>
      </c>
      <c r="B21" s="10">
        <f>'Summery Report'!D20</f>
        <v>21</v>
      </c>
      <c r="C21" s="10">
        <f>'Daily report Gen'!AA21</f>
        <v>40</v>
      </c>
      <c r="D21" s="261">
        <f>Gen!S26</f>
        <v>2042.1299999999999</v>
      </c>
      <c r="E21" s="261">
        <f>Gen!AJ26</f>
        <v>335.74</v>
      </c>
      <c r="F21" s="261">
        <f t="shared" si="2"/>
        <v>2377.87</v>
      </c>
      <c r="G21" s="264">
        <f>'Utility report'!AA20</f>
        <v>1314127.2</v>
      </c>
      <c r="H21" s="264">
        <f>'Utility report'!AF21</f>
        <v>0</v>
      </c>
      <c r="I21" s="534">
        <f>'Utility report'!AE21</f>
        <v>0</v>
      </c>
      <c r="J21" s="266">
        <f>'Lpg (2)'!B25</f>
        <v>85</v>
      </c>
      <c r="K21" s="267">
        <f>'Lpg (2)'!C25</f>
        <v>52</v>
      </c>
      <c r="L21" s="267">
        <f>'Lpg (2)'!D25</f>
        <v>0</v>
      </c>
      <c r="M21" s="266">
        <f>'Lpg (2)'!N25</f>
        <v>115.50000000000001</v>
      </c>
      <c r="N21" s="270">
        <f t="shared" si="3"/>
        <v>2858.9819999999995</v>
      </c>
      <c r="O21" s="270">
        <f t="shared" si="4"/>
        <v>470.036</v>
      </c>
      <c r="P21" s="255">
        <f>'Lpg (2)'!G25</f>
        <v>0</v>
      </c>
      <c r="Q21" s="256">
        <f>'Summery Report'!Q20</f>
        <v>68958.23</v>
      </c>
      <c r="R21" s="270">
        <f t="shared" si="5"/>
        <v>136.14199999999997</v>
      </c>
      <c r="S21" s="124">
        <f t="shared" si="6"/>
        <v>3283.7252380952377</v>
      </c>
    </row>
    <row r="22" spans="1:19" ht="14.25" x14ac:dyDescent="0.2">
      <c r="A22" s="507">
        <f>Gen!A27</f>
        <v>43451</v>
      </c>
      <c r="B22" s="10">
        <f>'Summery Report'!D21</f>
        <v>24</v>
      </c>
      <c r="C22" s="10">
        <f>'Daily report Gen'!AA22</f>
        <v>421</v>
      </c>
      <c r="D22" s="261">
        <f>Gen!S27</f>
        <v>2099.06</v>
      </c>
      <c r="E22" s="261">
        <f>Gen!AJ27</f>
        <v>581.30999999999995</v>
      </c>
      <c r="F22" s="261">
        <f t="shared" si="2"/>
        <v>2680.37</v>
      </c>
      <c r="G22" s="264">
        <f>'Utility report'!AA21</f>
        <v>976432.79999999993</v>
      </c>
      <c r="H22" s="264">
        <f>'Utility report'!AF22</f>
        <v>49</v>
      </c>
      <c r="I22" s="534">
        <f>'Utility report'!AE22</f>
        <v>0.44954128440366975</v>
      </c>
      <c r="J22" s="266">
        <f>'Lpg (2)'!B26</f>
        <v>85</v>
      </c>
      <c r="K22" s="267">
        <f>'Lpg (2)'!C26</f>
        <v>49</v>
      </c>
      <c r="L22" s="267">
        <f>'Lpg (2)'!D26</f>
        <v>0</v>
      </c>
      <c r="M22" s="266">
        <f>'Lpg (2)'!N26</f>
        <v>103.26800000000513</v>
      </c>
      <c r="N22" s="270">
        <f t="shared" si="3"/>
        <v>2938.6839999999997</v>
      </c>
      <c r="O22" s="270">
        <f t="shared" si="4"/>
        <v>813.83399999999983</v>
      </c>
      <c r="P22" s="255">
        <f>'Lpg (2)'!G26</f>
        <v>0</v>
      </c>
      <c r="Q22" s="256">
        <f>'Summery Report'!Q21</f>
        <v>77730.73</v>
      </c>
      <c r="R22" s="270">
        <f t="shared" si="5"/>
        <v>122.44516666666665</v>
      </c>
      <c r="S22" s="124">
        <f t="shared" si="6"/>
        <v>3238.7804166666665</v>
      </c>
    </row>
    <row r="23" spans="1:19" ht="14.25" x14ac:dyDescent="0.2">
      <c r="A23" s="507">
        <f>Gen!A28</f>
        <v>43452</v>
      </c>
      <c r="B23" s="10">
        <f>'Summery Report'!D22</f>
        <v>41</v>
      </c>
      <c r="C23" s="10">
        <f>'Daily report Gen'!AA23</f>
        <v>457</v>
      </c>
      <c r="D23" s="261">
        <f>Gen!S28</f>
        <v>2371.98</v>
      </c>
      <c r="E23" s="261">
        <f>Gen!AJ28</f>
        <v>185.71</v>
      </c>
      <c r="F23" s="261">
        <f t="shared" si="2"/>
        <v>2557.69</v>
      </c>
      <c r="G23" s="264">
        <f>'Utility report'!AA22</f>
        <v>895822.39999999991</v>
      </c>
      <c r="H23" s="264">
        <f>'Utility report'!AF23</f>
        <v>48</v>
      </c>
      <c r="I23" s="534">
        <f>'Utility report'!AE23</f>
        <v>0.42105263157894735</v>
      </c>
      <c r="J23" s="266">
        <f>'Lpg (2)'!B27</f>
        <v>85</v>
      </c>
      <c r="K23" s="267">
        <f>'Lpg (2)'!C27</f>
        <v>37</v>
      </c>
      <c r="L23" s="267">
        <f>'Lpg (2)'!D27</f>
        <v>0</v>
      </c>
      <c r="M23" s="266">
        <f>'Lpg (2)'!N27</f>
        <v>116.11599999999744</v>
      </c>
      <c r="N23" s="270">
        <f t="shared" si="3"/>
        <v>3320.7719999999999</v>
      </c>
      <c r="O23" s="270">
        <f t="shared" si="4"/>
        <v>259.99399999999997</v>
      </c>
      <c r="P23" s="255">
        <f>'Lpg (2)'!G27</f>
        <v>0</v>
      </c>
      <c r="Q23" s="256">
        <f>'Summery Report'!Q22</f>
        <v>74173.009999999995</v>
      </c>
      <c r="R23" s="270">
        <f t="shared" si="5"/>
        <v>80.994439024390246</v>
      </c>
      <c r="S23" s="124">
        <f t="shared" si="6"/>
        <v>1809.0978048780487</v>
      </c>
    </row>
    <row r="24" spans="1:19" ht="14.25" x14ac:dyDescent="0.2">
      <c r="A24" s="507">
        <f>Gen!A29</f>
        <v>43453</v>
      </c>
      <c r="B24" s="10">
        <f>'Summery Report'!D23</f>
        <v>35</v>
      </c>
      <c r="C24" s="10">
        <f>'Daily report Gen'!AA24</f>
        <v>445</v>
      </c>
      <c r="D24" s="261">
        <f>Gen!S29</f>
        <v>2258.75</v>
      </c>
      <c r="E24" s="261">
        <f>Gen!AJ29</f>
        <v>118</v>
      </c>
      <c r="F24" s="261">
        <f t="shared" si="2"/>
        <v>2376.75</v>
      </c>
      <c r="G24" s="264">
        <f>'Utility report'!AA23</f>
        <v>1058878.5999999999</v>
      </c>
      <c r="H24" s="264">
        <f>'Utility report'!AF24</f>
        <v>108</v>
      </c>
      <c r="I24" s="534">
        <f>'Utility report'!AE24</f>
        <v>0.98181818181818181</v>
      </c>
      <c r="J24" s="266">
        <f>'Lpg (2)'!B28</f>
        <v>85</v>
      </c>
      <c r="K24" s="267">
        <f>'Lpg (2)'!C28</f>
        <v>29</v>
      </c>
      <c r="L24" s="267">
        <f>'Lpg (2)'!D28</f>
        <v>0</v>
      </c>
      <c r="M24" s="266">
        <f>'Lpg (2)'!N28</f>
        <v>125.26800000000513</v>
      </c>
      <c r="N24" s="270">
        <f t="shared" si="3"/>
        <v>3162.25</v>
      </c>
      <c r="O24" s="270">
        <f t="shared" si="4"/>
        <v>165.2</v>
      </c>
      <c r="P24" s="255">
        <f>'Lpg (2)'!G28</f>
        <v>0</v>
      </c>
      <c r="Q24" s="256">
        <f>'Summery Report'!Q23</f>
        <v>68925.75</v>
      </c>
      <c r="R24" s="270">
        <f t="shared" si="5"/>
        <v>90.35</v>
      </c>
      <c r="S24" s="124">
        <f t="shared" si="6"/>
        <v>1969.3071428571429</v>
      </c>
    </row>
    <row r="25" spans="1:19" ht="14.25" x14ac:dyDescent="0.2">
      <c r="A25" s="507">
        <f>Gen!A30</f>
        <v>43454</v>
      </c>
      <c r="B25" s="10">
        <f>'Summery Report'!D24</f>
        <v>34</v>
      </c>
      <c r="C25" s="10">
        <f>'Daily report Gen'!AA25</f>
        <v>468</v>
      </c>
      <c r="D25" s="261">
        <f>Gen!S30</f>
        <v>2355.33</v>
      </c>
      <c r="E25" s="261">
        <f>Gen!AJ30</f>
        <v>690.09</v>
      </c>
      <c r="F25" s="261">
        <f t="shared" si="2"/>
        <v>3045.42</v>
      </c>
      <c r="G25" s="264">
        <f>'Utility report'!AA24</f>
        <v>611719.5</v>
      </c>
      <c r="H25" s="264">
        <f>'Utility report'!AF25</f>
        <v>81</v>
      </c>
      <c r="I25" s="534">
        <f>'Utility report'!AE25</f>
        <v>0.65853658536585369</v>
      </c>
      <c r="J25" s="266">
        <f>'Lpg (2)'!B29</f>
        <v>85</v>
      </c>
      <c r="K25" s="267">
        <f>'Lpg (2)'!C29</f>
        <v>20</v>
      </c>
      <c r="L25" s="267">
        <f>'Lpg (2)'!D29</f>
        <v>0</v>
      </c>
      <c r="M25" s="266">
        <f>'Lpg (2)'!N29</f>
        <v>115.36800000000513</v>
      </c>
      <c r="N25" s="270">
        <f t="shared" si="3"/>
        <v>3297.4619999999995</v>
      </c>
      <c r="O25" s="270">
        <f t="shared" si="4"/>
        <v>966.12599999999998</v>
      </c>
      <c r="P25" s="255">
        <f>'Lpg (2)'!G29</f>
        <v>0</v>
      </c>
      <c r="Q25" s="256">
        <f>'Summery Report'!Q24</f>
        <v>88317.180000000008</v>
      </c>
      <c r="R25" s="270">
        <f t="shared" si="5"/>
        <v>96.984176470588224</v>
      </c>
      <c r="S25" s="124">
        <f t="shared" si="6"/>
        <v>2597.564117647059</v>
      </c>
    </row>
    <row r="26" spans="1:19" ht="14.25" x14ac:dyDescent="0.2">
      <c r="A26" s="507">
        <f>Gen!A31</f>
        <v>43455</v>
      </c>
      <c r="B26" s="10">
        <f>'Summery Report'!D25</f>
        <v>41</v>
      </c>
      <c r="C26" s="10">
        <f>'Daily report Gen'!AA26</f>
        <v>455</v>
      </c>
      <c r="D26" s="261">
        <f>Gen!S31</f>
        <v>2159.4</v>
      </c>
      <c r="E26" s="261">
        <f>Gen!AJ31</f>
        <v>544.38</v>
      </c>
      <c r="F26" s="261">
        <f t="shared" si="2"/>
        <v>2703.78</v>
      </c>
      <c r="G26" s="264">
        <f>'Utility report'!AA25</f>
        <v>122392.2</v>
      </c>
      <c r="H26" s="264">
        <f>'Utility report'!AF26</f>
        <v>81</v>
      </c>
      <c r="I26" s="534">
        <f>'Utility report'!AE26</f>
        <v>0.62307692307692308</v>
      </c>
      <c r="J26" s="266">
        <f>'Lpg (2)'!B30</f>
        <v>85</v>
      </c>
      <c r="K26" s="267">
        <f>'Lpg (2)'!C30</f>
        <v>15</v>
      </c>
      <c r="L26" s="267">
        <f>'Lpg (2)'!D30</f>
        <v>0</v>
      </c>
      <c r="M26" s="266">
        <f>'Lpg (2)'!N30</f>
        <v>128.12799999997952</v>
      </c>
      <c r="N26" s="270">
        <f t="shared" si="3"/>
        <v>3023.16</v>
      </c>
      <c r="O26" s="270">
        <f t="shared" si="4"/>
        <v>762.13199999999995</v>
      </c>
      <c r="P26" s="255">
        <f>'Lpg (2)'!G30</f>
        <v>0</v>
      </c>
      <c r="Q26" s="256">
        <f>'Summery Report'!Q25</f>
        <v>78409.62000000001</v>
      </c>
      <c r="R26" s="270">
        <f t="shared" si="5"/>
        <v>73.73560975609756</v>
      </c>
      <c r="S26" s="124">
        <f t="shared" si="6"/>
        <v>1912.4297560975613</v>
      </c>
    </row>
    <row r="27" spans="1:19" ht="14.25" x14ac:dyDescent="0.2">
      <c r="A27" s="507">
        <f>Gen!A32</f>
        <v>43456</v>
      </c>
      <c r="B27" s="10">
        <f>'Summery Report'!D26</f>
        <v>41</v>
      </c>
      <c r="C27" s="10">
        <f>'Daily report Gen'!AA27</f>
        <v>473</v>
      </c>
      <c r="D27" s="261">
        <f>Gen!S32</f>
        <v>2501.02</v>
      </c>
      <c r="E27" s="261">
        <f>Gen!AJ32</f>
        <v>322.73</v>
      </c>
      <c r="F27" s="261">
        <f t="shared" si="2"/>
        <v>2823.75</v>
      </c>
      <c r="G27" s="264">
        <f>'Utility report'!AA26</f>
        <v>1192732.7999999998</v>
      </c>
      <c r="H27" s="264">
        <f>'Utility report'!AF27</f>
        <v>85</v>
      </c>
      <c r="I27" s="534">
        <f>'Utility report'!AE27</f>
        <v>0.65384615384615385</v>
      </c>
      <c r="J27" s="266">
        <f>'Lpg (2)'!B31</f>
        <v>85</v>
      </c>
      <c r="K27" s="267">
        <f>'Lpg (2)'!C31</f>
        <v>11</v>
      </c>
      <c r="L27" s="267">
        <f>'Lpg (2)'!D31</f>
        <v>0</v>
      </c>
      <c r="M27" s="266">
        <f>'Lpg (2)'!N31</f>
        <v>119.94400000000897</v>
      </c>
      <c r="N27" s="270">
        <f t="shared" si="3"/>
        <v>3501.4279999999999</v>
      </c>
      <c r="O27" s="270">
        <f t="shared" si="4"/>
        <v>451.822</v>
      </c>
      <c r="P27" s="255">
        <f>'Lpg (2)'!G31</f>
        <v>0</v>
      </c>
      <c r="Q27" s="256">
        <f>'Summery Report'!Q26</f>
        <v>81888.75</v>
      </c>
      <c r="R27" s="270">
        <f t="shared" si="5"/>
        <v>85.400682926829262</v>
      </c>
      <c r="S27" s="124">
        <f t="shared" si="6"/>
        <v>1997.2865853658536</v>
      </c>
    </row>
    <row r="28" spans="1:19" ht="14.25" x14ac:dyDescent="0.2">
      <c r="A28" s="507">
        <f>Gen!A33</f>
        <v>43457</v>
      </c>
      <c r="B28" s="10">
        <f>'Summery Report'!D27</f>
        <v>35</v>
      </c>
      <c r="C28" s="10">
        <f>'Daily report Gen'!AA28</f>
        <v>481</v>
      </c>
      <c r="D28" s="261">
        <f>Gen!S33</f>
        <v>2375.4699999999998</v>
      </c>
      <c r="E28" s="261">
        <f>Gen!AJ33</f>
        <v>93.91</v>
      </c>
      <c r="F28" s="261">
        <f t="shared" si="2"/>
        <v>2469.3799999999997</v>
      </c>
      <c r="G28" s="264">
        <f>'Utility report'!AA27</f>
        <v>347880.39999999997</v>
      </c>
      <c r="H28" s="264">
        <f>'Utility report'!AF28</f>
        <v>75</v>
      </c>
      <c r="I28" s="534">
        <f>'Utility report'!AE28</f>
        <v>0.5725190839694656</v>
      </c>
      <c r="J28" s="266">
        <f>'Lpg (2)'!B32</f>
        <v>85</v>
      </c>
      <c r="K28" s="267">
        <f>'Lpg (2)'!C32</f>
        <v>7</v>
      </c>
      <c r="L28" s="267">
        <f>'Lpg (2)'!D32</f>
        <v>0</v>
      </c>
      <c r="M28" s="266">
        <f>'Lpg (2)'!N32</f>
        <v>106.61200000001409</v>
      </c>
      <c r="N28" s="270">
        <f t="shared" si="3"/>
        <v>3325.6579999999994</v>
      </c>
      <c r="O28" s="270">
        <f t="shared" si="4"/>
        <v>131.47399999999999</v>
      </c>
      <c r="P28" s="255">
        <f>'Lpg (2)'!G32</f>
        <v>0</v>
      </c>
      <c r="Q28" s="256">
        <f>'Summery Report'!Q27</f>
        <v>71612.01999999999</v>
      </c>
      <c r="R28" s="270">
        <f t="shared" si="5"/>
        <v>95.018799999999985</v>
      </c>
      <c r="S28" s="124">
        <f t="shared" si="6"/>
        <v>2046.0577142857139</v>
      </c>
    </row>
    <row r="29" spans="1:19" ht="14.25" x14ac:dyDescent="0.2">
      <c r="A29" s="507">
        <f>Gen!A34</f>
        <v>43458</v>
      </c>
      <c r="B29" s="10">
        <f>'Summery Report'!D28</f>
        <v>40</v>
      </c>
      <c r="C29" s="10">
        <f>'Daily report Gen'!AA29</f>
        <v>468</v>
      </c>
      <c r="D29" s="261">
        <f>Gen!S34</f>
        <v>2708.2799999999997</v>
      </c>
      <c r="E29" s="261">
        <f>Gen!AJ34</f>
        <v>786.27</v>
      </c>
      <c r="F29" s="261">
        <f t="shared" si="2"/>
        <v>3494.5499999999997</v>
      </c>
      <c r="G29" s="264">
        <f>'Utility report'!AA28</f>
        <v>468784.8</v>
      </c>
      <c r="H29" s="264">
        <f>'Utility report'!AF29</f>
        <v>77</v>
      </c>
      <c r="I29" s="534">
        <f>'Utility report'!AE29</f>
        <v>0.6875</v>
      </c>
      <c r="J29" s="266">
        <f>'Lpg (2)'!B33</f>
        <v>85</v>
      </c>
      <c r="K29" s="267">
        <f>'Lpg (2)'!C33</f>
        <v>4</v>
      </c>
      <c r="L29" s="267">
        <f>'Lpg (2)'!D33</f>
        <v>0</v>
      </c>
      <c r="M29" s="266">
        <f>'Lpg (2)'!N33</f>
        <v>119.6799999999872</v>
      </c>
      <c r="N29" s="270">
        <f t="shared" si="3"/>
        <v>3791.5919999999992</v>
      </c>
      <c r="O29" s="270">
        <f t="shared" si="4"/>
        <v>1100.7779999999998</v>
      </c>
      <c r="P29" s="255">
        <f>'Lpg (2)'!G33</f>
        <v>0</v>
      </c>
      <c r="Q29" s="256">
        <f>'Summery Report'!Q28</f>
        <v>101341.95</v>
      </c>
      <c r="R29" s="270">
        <f t="shared" si="5"/>
        <v>94.789799999999985</v>
      </c>
      <c r="S29" s="124">
        <f t="shared" si="6"/>
        <v>2533.5487499999999</v>
      </c>
    </row>
    <row r="30" spans="1:19" ht="14.25" x14ac:dyDescent="0.2">
      <c r="A30" s="507">
        <f>Gen!A35</f>
        <v>43459</v>
      </c>
      <c r="B30" s="10">
        <f>'Summery Report'!D29</f>
        <v>73</v>
      </c>
      <c r="C30" s="10">
        <f>'Daily report Gen'!AA30</f>
        <v>590</v>
      </c>
      <c r="D30" s="261">
        <f>Gen!S35</f>
        <v>2810.4</v>
      </c>
      <c r="E30" s="261">
        <f>Gen!AJ35</f>
        <v>174.44</v>
      </c>
      <c r="F30" s="261">
        <f t="shared" si="2"/>
        <v>2984.84</v>
      </c>
      <c r="G30" s="264">
        <f>'Utility report'!AA29</f>
        <v>0</v>
      </c>
      <c r="H30" s="264">
        <f>'Utility report'!AF30</f>
        <v>73</v>
      </c>
      <c r="I30" s="534">
        <f>'Utility report'!AE30</f>
        <v>0.49659863945578231</v>
      </c>
      <c r="J30" s="266">
        <f>'Lpg (2)'!B34</f>
        <v>85</v>
      </c>
      <c r="K30" s="267" t="str">
        <f>'Lpg (2)'!C34</f>
        <v>o</v>
      </c>
      <c r="L30" s="267">
        <f>'Lpg (2)'!D34</f>
        <v>0</v>
      </c>
      <c r="M30" s="266">
        <f>'Lpg (2)'!N34</f>
        <v>131.51599999999746</v>
      </c>
      <c r="N30" s="270">
        <f t="shared" si="3"/>
        <v>3934.56</v>
      </c>
      <c r="O30" s="270">
        <f t="shared" si="4"/>
        <v>244.21599999999998</v>
      </c>
      <c r="P30" s="255">
        <f>'Lpg (2)'!G34</f>
        <v>0</v>
      </c>
      <c r="Q30" s="256">
        <f>'Summery Report'!Q29</f>
        <v>86560.36</v>
      </c>
      <c r="R30" s="270">
        <f t="shared" si="5"/>
        <v>53.898082191780823</v>
      </c>
      <c r="S30" s="124">
        <f t="shared" si="6"/>
        <v>1185.7583561643835</v>
      </c>
    </row>
    <row r="31" spans="1:19" ht="14.25" x14ac:dyDescent="0.2">
      <c r="A31" s="507">
        <f>Gen!A36</f>
        <v>43460</v>
      </c>
      <c r="B31" s="10">
        <f>'Summery Report'!D30</f>
        <v>70</v>
      </c>
      <c r="C31" s="10">
        <f>'Daily report Gen'!AA31</f>
        <v>568</v>
      </c>
      <c r="D31" s="261">
        <f>Gen!S36</f>
        <v>2865.4999999999995</v>
      </c>
      <c r="E31" s="261">
        <f>Gen!AJ36</f>
        <v>356.08</v>
      </c>
      <c r="F31" s="261">
        <f t="shared" si="2"/>
        <v>3221.5799999999995</v>
      </c>
      <c r="G31" s="264">
        <f>'Utility report'!AA30</f>
        <v>326765.59999999998</v>
      </c>
      <c r="H31" s="264">
        <f>'Utility report'!AF31</f>
        <v>74</v>
      </c>
      <c r="I31" s="534">
        <f>'Utility report'!AE31</f>
        <v>0.44311377245508982</v>
      </c>
      <c r="J31" s="266">
        <f>'Lpg (2)'!B35</f>
        <v>85</v>
      </c>
      <c r="K31" s="267">
        <f>'Lpg (2)'!C35</f>
        <v>0</v>
      </c>
      <c r="L31" s="267">
        <f>'Lpg (2)'!D35</f>
        <v>0</v>
      </c>
      <c r="M31" s="266">
        <f>'Lpg (2)'!N35</f>
        <v>115.19200000000129</v>
      </c>
      <c r="N31" s="270">
        <f t="shared" si="3"/>
        <v>4011.6999999999989</v>
      </c>
      <c r="O31" s="270">
        <f t="shared" si="4"/>
        <v>498.51199999999994</v>
      </c>
      <c r="P31" s="255">
        <f>'Lpg (2)'!G35</f>
        <v>0</v>
      </c>
      <c r="Q31" s="256">
        <f>'Summery Report'!Q30</f>
        <v>93425.819999999978</v>
      </c>
      <c r="R31" s="270">
        <f t="shared" si="5"/>
        <v>57.309999999999981</v>
      </c>
      <c r="S31" s="124">
        <f t="shared" si="6"/>
        <v>1334.6545714285712</v>
      </c>
    </row>
    <row r="32" spans="1:19" ht="14.25" x14ac:dyDescent="0.2">
      <c r="A32" s="507">
        <f>Gen!A37</f>
        <v>43461</v>
      </c>
      <c r="B32" s="10">
        <f>'Summery Report'!D31</f>
        <v>60</v>
      </c>
      <c r="C32" s="10">
        <f>'Daily report Gen'!AA32</f>
        <v>575</v>
      </c>
      <c r="D32" s="261">
        <f>Gen!S37</f>
        <v>2635.34</v>
      </c>
      <c r="E32" s="261">
        <f>Gen!AJ37</f>
        <v>203.69</v>
      </c>
      <c r="F32" s="261">
        <f t="shared" si="2"/>
        <v>2839.03</v>
      </c>
      <c r="G32" s="264">
        <f>'Utility report'!AA31</f>
        <v>0</v>
      </c>
      <c r="H32" s="264">
        <f>'Utility report'!AF32</f>
        <v>74</v>
      </c>
      <c r="I32" s="534">
        <f>'Utility report'!AE32</f>
        <v>0.46540880503144655</v>
      </c>
      <c r="J32" s="266">
        <f>'Lpg (2)'!B36</f>
        <v>83</v>
      </c>
      <c r="K32" s="267">
        <f>'Lpg (2)'!C36</f>
        <v>0</v>
      </c>
      <c r="L32" s="267">
        <f>'Lpg (2)'!D36</f>
        <v>0</v>
      </c>
      <c r="M32" s="266">
        <f>'Lpg (2)'!N36</f>
        <v>108.46000000000642</v>
      </c>
      <c r="N32" s="270">
        <f t="shared" si="3"/>
        <v>3689.4760000000001</v>
      </c>
      <c r="O32" s="270">
        <f t="shared" si="4"/>
        <v>285.166</v>
      </c>
      <c r="P32" s="255">
        <f>'Lpg (2)'!G36</f>
        <v>0</v>
      </c>
      <c r="Q32" s="256">
        <f>'Summery Report'!Q31</f>
        <v>82331.87000000001</v>
      </c>
      <c r="R32" s="270">
        <f t="shared" si="5"/>
        <v>61.491266666666668</v>
      </c>
      <c r="S32" s="124">
        <f t="shared" si="6"/>
        <v>1372.1978333333334</v>
      </c>
    </row>
    <row r="33" spans="1:20" ht="14.25" x14ac:dyDescent="0.2">
      <c r="A33" s="507">
        <f>Gen!A38</f>
        <v>43462</v>
      </c>
      <c r="B33" s="10">
        <f>'Summery Report'!D32</f>
        <v>62</v>
      </c>
      <c r="C33" s="10">
        <f>'Daily report Gen'!AA33</f>
        <v>630</v>
      </c>
      <c r="D33" s="261">
        <f>Gen!S38</f>
        <v>3043.34</v>
      </c>
      <c r="E33" s="261">
        <f>Gen!AJ38</f>
        <v>321.45</v>
      </c>
      <c r="F33" s="261">
        <f t="shared" si="2"/>
        <v>3364.79</v>
      </c>
      <c r="G33" s="264">
        <f>'Utility report'!AA32</f>
        <v>0</v>
      </c>
      <c r="H33" s="264">
        <f>'Utility report'!AF33</f>
        <v>72</v>
      </c>
      <c r="I33" s="534">
        <f>'Utility report'!AE33</f>
        <v>0.43902439024390244</v>
      </c>
      <c r="J33" s="266">
        <f>'Lpg (2)'!B37</f>
        <v>80</v>
      </c>
      <c r="K33" s="267">
        <f>'Lpg (2)'!C37</f>
        <v>0</v>
      </c>
      <c r="L33" s="267">
        <f>'Lpg (2)'!D37</f>
        <v>0</v>
      </c>
      <c r="M33" s="266">
        <f>'Lpg (2)'!N37</f>
        <v>123.02399999999616</v>
      </c>
      <c r="N33" s="270">
        <f t="shared" si="3"/>
        <v>4260.6760000000004</v>
      </c>
      <c r="O33" s="270">
        <f t="shared" si="4"/>
        <v>450.03</v>
      </c>
      <c r="P33" s="255">
        <f>'Lpg (2)'!G37</f>
        <v>0</v>
      </c>
      <c r="Q33" s="256">
        <f>'Summery Report'!Q32</f>
        <v>97578.91</v>
      </c>
      <c r="R33" s="270">
        <f t="shared" si="5"/>
        <v>68.720580645161291</v>
      </c>
      <c r="S33" s="124">
        <f t="shared" si="6"/>
        <v>1573.8533870967742</v>
      </c>
      <c r="T33">
        <f>3124/13</f>
        <v>240.30769230769232</v>
      </c>
    </row>
    <row r="34" spans="1:20" ht="14.25" x14ac:dyDescent="0.2">
      <c r="A34" s="507">
        <f>Gen!A39</f>
        <v>43463</v>
      </c>
      <c r="B34" s="10">
        <f>'Summery Report'!D33</f>
        <v>73</v>
      </c>
      <c r="C34" s="10">
        <f>'Daily report Gen'!AA34</f>
        <v>640</v>
      </c>
      <c r="D34" s="261">
        <f>Gen!S39</f>
        <v>2871.9799999999996</v>
      </c>
      <c r="E34" s="261">
        <f>Gen!AJ39</f>
        <v>247.04</v>
      </c>
      <c r="F34" s="261">
        <f t="shared" si="2"/>
        <v>3119.0199999999995</v>
      </c>
      <c r="G34" s="264">
        <f>'Utility report'!AA33</f>
        <v>206352.4</v>
      </c>
      <c r="H34" s="264">
        <f>'Utility report'!AF34</f>
        <v>70</v>
      </c>
      <c r="I34" s="534">
        <f>'Utility report'!AE34</f>
        <v>0.40462427745664742</v>
      </c>
      <c r="J34" s="266">
        <f>'Lpg (2)'!B38</f>
        <v>79</v>
      </c>
      <c r="K34" s="267">
        <f>'Lpg (2)'!C38</f>
        <v>0</v>
      </c>
      <c r="L34" s="267">
        <f>'Lpg (2)'!D38</f>
        <v>0</v>
      </c>
      <c r="M34" s="266">
        <f>'Lpg (2)'!N38</f>
        <v>111.05599999999104</v>
      </c>
      <c r="N34" s="270">
        <f t="shared" si="3"/>
        <v>4020.771999999999</v>
      </c>
      <c r="O34" s="270">
        <f t="shared" si="4"/>
        <v>345.85599999999999</v>
      </c>
      <c r="P34" s="255">
        <f>'Lpg (2)'!G38</f>
        <v>0</v>
      </c>
      <c r="Q34" s="256">
        <f>'Summery Report'!Q33</f>
        <v>90451.579999999987</v>
      </c>
      <c r="R34" s="270">
        <f t="shared" si="5"/>
        <v>55.079068493150672</v>
      </c>
      <c r="S34" s="124">
        <f t="shared" si="6"/>
        <v>1239.0627397260273</v>
      </c>
    </row>
    <row r="35" spans="1:20" ht="14.25" x14ac:dyDescent="0.2">
      <c r="A35" s="507">
        <f>Gen!A40</f>
        <v>43464</v>
      </c>
      <c r="B35" s="10">
        <f>'Summery Report'!D34</f>
        <v>61</v>
      </c>
      <c r="C35" s="10">
        <f>'Daily report Gen'!AA35</f>
        <v>596</v>
      </c>
      <c r="D35" s="261">
        <f>Gen!S40</f>
        <v>3172.51</v>
      </c>
      <c r="E35" s="261">
        <f>Gen!AJ40</f>
        <v>120.12</v>
      </c>
      <c r="F35" s="261">
        <f t="shared" si="2"/>
        <v>3292.63</v>
      </c>
      <c r="G35" s="264">
        <f>'Utility report'!AA34</f>
        <v>0</v>
      </c>
      <c r="H35" s="264">
        <f>'Utility report'!AF35</f>
        <v>71</v>
      </c>
      <c r="I35" s="534">
        <f>'Utility report'!AE35</f>
        <v>0.45512820512820512</v>
      </c>
      <c r="J35" s="266">
        <f>'Lpg (2)'!B39</f>
        <v>76</v>
      </c>
      <c r="K35" s="267">
        <f>'Lpg (2)'!C39</f>
        <v>0</v>
      </c>
      <c r="L35" s="267">
        <f>'Lpg (2)'!D39</f>
        <v>0</v>
      </c>
      <c r="M35" s="266">
        <f>'Lpg (2)'!N39</f>
        <v>106.56800000000513</v>
      </c>
      <c r="N35" s="270">
        <f t="shared" si="3"/>
        <v>4441.5140000000001</v>
      </c>
      <c r="O35" s="270">
        <f t="shared" si="4"/>
        <v>168.16800000000001</v>
      </c>
      <c r="P35" s="255">
        <f>'Lpg (2)'!G39</f>
        <v>0</v>
      </c>
      <c r="Q35" s="256">
        <f>'Summery Report'!Q34</f>
        <v>95486.27</v>
      </c>
      <c r="R35" s="270">
        <f t="shared" si="5"/>
        <v>72.811704918032788</v>
      </c>
      <c r="S35" s="124">
        <f t="shared" si="6"/>
        <v>1565.3486885245902</v>
      </c>
    </row>
    <row r="36" spans="1:20" ht="14.25" x14ac:dyDescent="0.2">
      <c r="A36" s="507">
        <f>Gen!A41</f>
        <v>43465</v>
      </c>
      <c r="B36" s="10">
        <f>'Summery Report'!D35</f>
        <v>66</v>
      </c>
      <c r="C36" s="10">
        <f>'Daily report Gen'!AA36</f>
        <v>568</v>
      </c>
      <c r="D36" s="261">
        <f>Gen!S41</f>
        <v>3058.7599999999998</v>
      </c>
      <c r="E36" s="261">
        <f>Gen!AJ41</f>
        <v>1284.1399999999999</v>
      </c>
      <c r="F36" s="261">
        <f t="shared" si="2"/>
        <v>4342.8999999999996</v>
      </c>
      <c r="G36" s="264">
        <f>'Utility report'!AA35</f>
        <v>0</v>
      </c>
      <c r="H36" s="264">
        <f>'Utility report'!AF36</f>
        <v>-180052</v>
      </c>
      <c r="I36" s="534">
        <f>'Utility report'!AE36</f>
        <v>-1500.4333333333334</v>
      </c>
      <c r="J36" s="266">
        <f>'Lpg (2)'!B40</f>
        <v>72</v>
      </c>
      <c r="K36" s="267">
        <f>'Lpg (2)'!B39</f>
        <v>76</v>
      </c>
      <c r="L36" s="267">
        <f>'Lpg (2)'!C39</f>
        <v>0</v>
      </c>
      <c r="M36" s="266">
        <f>'Lpg (2)'!N40</f>
        <v>122.53999999999361</v>
      </c>
      <c r="N36" s="270">
        <f t="shared" si="3"/>
        <v>4282.2639999999992</v>
      </c>
      <c r="O36" s="270">
        <f t="shared" si="4"/>
        <v>1797.7959999999996</v>
      </c>
      <c r="P36" s="255">
        <f>'Lpg (2)'!G40</f>
        <v>0</v>
      </c>
      <c r="Q36" s="256">
        <f>'Summery Report'!Q35</f>
        <v>125944.09999999999</v>
      </c>
      <c r="R36" s="270">
        <f t="shared" si="5"/>
        <v>64.882787878787866</v>
      </c>
      <c r="S36" s="124">
        <f t="shared" si="6"/>
        <v>1908.2439393939392</v>
      </c>
    </row>
    <row r="37" spans="1:20" ht="14.25" x14ac:dyDescent="0.2">
      <c r="A37" s="507">
        <f>Gen!A42</f>
        <v>0</v>
      </c>
      <c r="B37" s="10">
        <f>'Summery Report'!D36</f>
        <v>55</v>
      </c>
      <c r="C37" s="10"/>
      <c r="D37" s="260"/>
      <c r="E37" s="261">
        <f>'Utility report'!K34</f>
        <v>247.04</v>
      </c>
      <c r="F37" s="260"/>
      <c r="G37" s="264"/>
      <c r="H37" s="264"/>
      <c r="I37" s="264"/>
      <c r="J37" s="266"/>
      <c r="K37" s="266"/>
      <c r="L37" s="266"/>
      <c r="M37" s="266"/>
      <c r="N37" s="10"/>
      <c r="O37" s="10"/>
      <c r="P37" s="10"/>
      <c r="Q37" s="256">
        <f>'Summery Report'!Q36</f>
        <v>0</v>
      </c>
      <c r="R37" s="256"/>
      <c r="S37" s="124">
        <f t="shared" si="6"/>
        <v>0</v>
      </c>
    </row>
    <row r="38" spans="1:20" ht="14.25" x14ac:dyDescent="0.2">
      <c r="A38" s="507"/>
    </row>
    <row r="39" spans="1:20" x14ac:dyDescent="0.2">
      <c r="A39" t="s">
        <v>14</v>
      </c>
      <c r="B39" s="124">
        <f>SUM(B7:B37)</f>
        <v>1145</v>
      </c>
      <c r="C39" s="124">
        <f>SUM(C7:C35)</f>
        <v>13091</v>
      </c>
      <c r="D39" s="124">
        <f>SUM(D7:D35)</f>
        <v>66337.329999999987</v>
      </c>
      <c r="E39" s="124">
        <f t="shared" ref="E39:S39" si="7">SUM(E7:E35)</f>
        <v>8369.869999999999</v>
      </c>
      <c r="F39" s="124">
        <f t="shared" si="7"/>
        <v>74707.199999999997</v>
      </c>
      <c r="G39" s="124" t="e">
        <f t="shared" si="7"/>
        <v>#VALUE!</v>
      </c>
      <c r="H39" s="124">
        <f t="shared" si="7"/>
        <v>1898</v>
      </c>
      <c r="I39" s="124">
        <f t="shared" si="7"/>
        <v>16.205168720814065</v>
      </c>
      <c r="J39" s="124">
        <f t="shared" si="7"/>
        <v>2443</v>
      </c>
      <c r="K39" s="124">
        <f t="shared" si="7"/>
        <v>1334</v>
      </c>
      <c r="L39" s="124">
        <f t="shared" si="7"/>
        <v>314</v>
      </c>
      <c r="M39" s="124">
        <f t="shared" si="7"/>
        <v>3485.3719999999885</v>
      </c>
      <c r="N39" s="124">
        <f t="shared" si="7"/>
        <v>92872.261999999988</v>
      </c>
      <c r="O39" s="124">
        <f t="shared" si="7"/>
        <v>11717.817999999999</v>
      </c>
      <c r="P39" s="124">
        <f t="shared" si="7"/>
        <v>628000</v>
      </c>
      <c r="Q39" s="124">
        <f t="shared" si="7"/>
        <v>2166508.8000000003</v>
      </c>
      <c r="R39" s="124">
        <f t="shared" si="7"/>
        <v>3393.2665331896496</v>
      </c>
      <c r="S39" s="124">
        <f t="shared" si="7"/>
        <v>78969.616207168452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L74"/>
  <sheetViews>
    <sheetView view="pageLayout" zoomScale="110" zoomScalePageLayoutView="110" workbookViewId="0">
      <selection activeCell="AD37" sqref="AD37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0.28515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1.7109375" customWidth="1"/>
    <col min="32" max="32" width="12.28515625" bestFit="1" customWidth="1"/>
    <col min="33" max="34" width="9.28515625" bestFit="1" customWidth="1"/>
    <col min="35" max="35" width="8.5703125" bestFit="1" customWidth="1"/>
    <col min="36" max="36" width="11.28515625" bestFit="1" customWidth="1"/>
    <col min="37" max="37" width="11.85546875" bestFit="1" customWidth="1"/>
    <col min="38" max="38" width="6.85546875" bestFit="1" customWidth="1"/>
  </cols>
  <sheetData>
    <row r="1" spans="1:38" ht="24" thickBot="1" x14ac:dyDescent="0.25">
      <c r="A1" s="843" t="s">
        <v>323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  <c r="Y1" s="844"/>
      <c r="Z1" s="844"/>
      <c r="AA1" s="844"/>
      <c r="AB1" s="844"/>
      <c r="AC1" s="844"/>
      <c r="AD1" s="844"/>
      <c r="AE1" s="844"/>
      <c r="AF1" s="844"/>
      <c r="AG1" s="844"/>
      <c r="AH1" s="844"/>
      <c r="AI1" s="844"/>
      <c r="AJ1" s="844"/>
      <c r="AK1" s="844"/>
      <c r="AL1" s="845"/>
    </row>
    <row r="2" spans="1:38" ht="61.5" customHeight="1" thickBot="1" x14ac:dyDescent="0.25">
      <c r="A2" s="217" t="s">
        <v>136</v>
      </c>
      <c r="B2" s="846" t="s">
        <v>137</v>
      </c>
      <c r="C2" s="847"/>
      <c r="D2" s="848"/>
      <c r="E2" s="218"/>
      <c r="F2" s="218"/>
      <c r="G2" s="218"/>
      <c r="H2" s="215" t="s">
        <v>164</v>
      </c>
      <c r="I2" s="514" t="s">
        <v>138</v>
      </c>
      <c r="J2" s="853" t="s">
        <v>162</v>
      </c>
      <c r="K2" s="515"/>
      <c r="L2" s="855" t="s">
        <v>163</v>
      </c>
      <c r="M2" s="516" t="s">
        <v>139</v>
      </c>
      <c r="N2" s="853" t="s">
        <v>140</v>
      </c>
      <c r="O2" s="835" t="s">
        <v>141</v>
      </c>
      <c r="P2" s="836"/>
      <c r="Q2" s="836"/>
      <c r="R2" s="836"/>
      <c r="S2" s="836"/>
      <c r="T2" s="836"/>
      <c r="U2" s="836"/>
      <c r="V2" s="836"/>
      <c r="W2" s="836"/>
      <c r="X2" s="836"/>
      <c r="Y2" s="836"/>
      <c r="Z2" s="836"/>
      <c r="AA2" s="517" t="s">
        <v>142</v>
      </c>
      <c r="AB2" s="846" t="s">
        <v>206</v>
      </c>
      <c r="AC2" s="848"/>
      <c r="AD2" s="214">
        <v>0</v>
      </c>
      <c r="AE2" s="851" t="s">
        <v>143</v>
      </c>
      <c r="AF2" s="852"/>
      <c r="AG2" s="219" t="s">
        <v>144</v>
      </c>
      <c r="AH2" s="215" t="s">
        <v>145</v>
      </c>
      <c r="AI2" s="219" t="s">
        <v>146</v>
      </c>
      <c r="AJ2" s="215" t="s">
        <v>147</v>
      </c>
      <c r="AK2" s="216" t="s">
        <v>148</v>
      </c>
      <c r="AL2" s="215" t="s">
        <v>149</v>
      </c>
    </row>
    <row r="3" spans="1:38" ht="44.25" customHeight="1" thickBot="1" x14ac:dyDescent="0.3">
      <c r="A3" s="226" t="s">
        <v>165</v>
      </c>
      <c r="B3" s="227">
        <v>1640</v>
      </c>
      <c r="C3" s="225" t="s">
        <v>166</v>
      </c>
      <c r="D3" s="227">
        <v>2175</v>
      </c>
      <c r="E3" s="228"/>
      <c r="F3" s="849">
        <f>SUM(D3/B3)</f>
        <v>1.3262195121951219</v>
      </c>
      <c r="G3" s="850"/>
      <c r="H3" s="188" t="e">
        <f>SUM(Gen!C9)</f>
        <v>#REF!</v>
      </c>
      <c r="I3" s="202"/>
      <c r="J3" s="853"/>
      <c r="K3" s="515" t="s">
        <v>207</v>
      </c>
      <c r="L3" s="855"/>
      <c r="M3" s="518" t="s">
        <v>150</v>
      </c>
      <c r="N3" s="853"/>
      <c r="O3" s="835" t="s">
        <v>151</v>
      </c>
      <c r="P3" s="836"/>
      <c r="Q3" s="836"/>
      <c r="R3" s="836"/>
      <c r="S3" s="837" t="s">
        <v>152</v>
      </c>
      <c r="T3" s="838"/>
      <c r="U3" s="838"/>
      <c r="V3" s="839"/>
      <c r="W3" s="840" t="s">
        <v>153</v>
      </c>
      <c r="X3" s="841"/>
      <c r="Y3" s="841"/>
      <c r="Z3" s="842"/>
      <c r="AA3" s="519" t="s">
        <v>154</v>
      </c>
      <c r="AB3" s="187" t="s">
        <v>150</v>
      </c>
      <c r="AC3" s="187" t="s">
        <v>156</v>
      </c>
      <c r="AD3" s="187">
        <v>0</v>
      </c>
      <c r="AE3" s="213" t="s">
        <v>155</v>
      </c>
      <c r="AF3" s="187" t="s">
        <v>156</v>
      </c>
      <c r="AG3" s="189" t="s">
        <v>157</v>
      </c>
      <c r="AH3" s="190" t="s">
        <v>157</v>
      </c>
      <c r="AI3" s="191" t="s">
        <v>157</v>
      </c>
      <c r="AJ3" s="192" t="s">
        <v>158</v>
      </c>
      <c r="AK3" s="193" t="s">
        <v>154</v>
      </c>
      <c r="AL3" s="194" t="s">
        <v>154</v>
      </c>
    </row>
    <row r="4" spans="1:38" ht="75" x14ac:dyDescent="0.25">
      <c r="A4" s="315"/>
      <c r="B4" s="316" t="s">
        <v>170</v>
      </c>
      <c r="C4" s="317" t="s">
        <v>1</v>
      </c>
      <c r="D4" s="318" t="s">
        <v>167</v>
      </c>
      <c r="E4" s="319"/>
      <c r="F4" s="319" t="s">
        <v>168</v>
      </c>
      <c r="G4" s="319" t="s">
        <v>169</v>
      </c>
      <c r="H4" s="320"/>
      <c r="I4" s="320"/>
      <c r="J4" s="853"/>
      <c r="K4" s="515"/>
      <c r="L4" s="855"/>
      <c r="M4" s="207"/>
      <c r="N4" s="854"/>
      <c r="O4" s="520" t="s">
        <v>215</v>
      </c>
      <c r="P4" s="521" t="s">
        <v>213</v>
      </c>
      <c r="Q4" s="521" t="s">
        <v>160</v>
      </c>
      <c r="R4" s="318" t="s">
        <v>214</v>
      </c>
      <c r="S4" s="520" t="s">
        <v>215</v>
      </c>
      <c r="T4" s="521" t="s">
        <v>213</v>
      </c>
      <c r="U4" s="521" t="s">
        <v>160</v>
      </c>
      <c r="V4" s="318" t="s">
        <v>214</v>
      </c>
      <c r="W4" s="520" t="s">
        <v>215</v>
      </c>
      <c r="X4" s="522"/>
      <c r="Y4" s="522" t="s">
        <v>160</v>
      </c>
      <c r="Z4" s="521" t="s">
        <v>214</v>
      </c>
      <c r="AA4" s="523" t="s">
        <v>159</v>
      </c>
      <c r="AB4" s="342"/>
      <c r="AC4" s="326" t="s">
        <v>159</v>
      </c>
      <c r="AD4" s="342"/>
      <c r="AE4" s="212" t="s">
        <v>1</v>
      </c>
      <c r="AF4" s="326" t="s">
        <v>159</v>
      </c>
      <c r="AG4" s="327">
        <v>2000</v>
      </c>
      <c r="AH4" s="328">
        <v>1000</v>
      </c>
      <c r="AI4" s="329">
        <v>1000</v>
      </c>
      <c r="AJ4" s="330">
        <f>SUM([1]Sheet1!$AA$36)</f>
        <v>950</v>
      </c>
      <c r="AK4" s="331" t="s">
        <v>11</v>
      </c>
      <c r="AL4" s="330" t="s">
        <v>159</v>
      </c>
    </row>
    <row r="5" spans="1:38" ht="16.5" thickBot="1" x14ac:dyDescent="0.3">
      <c r="A5" s="321"/>
      <c r="B5" s="322"/>
      <c r="C5" s="323"/>
      <c r="D5" s="322"/>
      <c r="E5" s="322"/>
      <c r="F5" s="322"/>
      <c r="G5" s="322"/>
      <c r="H5" s="324"/>
      <c r="I5" s="324"/>
      <c r="J5" s="325"/>
      <c r="K5" s="325"/>
      <c r="L5" s="325"/>
      <c r="M5" s="207">
        <f>'Water-Meter'!D5</f>
        <v>173149</v>
      </c>
      <c r="N5" s="325"/>
      <c r="O5" s="325"/>
      <c r="P5" s="755">
        <v>16896</v>
      </c>
      <c r="Q5" s="115"/>
      <c r="R5" s="325"/>
      <c r="S5" s="325"/>
      <c r="T5" s="542">
        <v>15027</v>
      </c>
      <c r="U5" s="325"/>
      <c r="V5" s="325"/>
      <c r="W5" s="325"/>
      <c r="X5" s="754">
        <v>17291</v>
      </c>
      <c r="Y5" s="325"/>
      <c r="Z5" s="325"/>
      <c r="AA5" s="325"/>
      <c r="AB5" s="711">
        <v>96419</v>
      </c>
      <c r="AC5" s="321"/>
      <c r="AD5" s="325">
        <v>178089</v>
      </c>
      <c r="AE5" s="303"/>
      <c r="AF5" s="321"/>
      <c r="AG5" s="341">
        <v>0.85</v>
      </c>
      <c r="AH5" s="341">
        <v>0.85</v>
      </c>
      <c r="AI5" s="341">
        <v>0.17</v>
      </c>
      <c r="AJ5" s="325"/>
      <c r="AK5" s="325"/>
      <c r="AL5" s="325"/>
    </row>
    <row r="6" spans="1:38" ht="18" thickBot="1" x14ac:dyDescent="0.35">
      <c r="A6" s="138">
        <f>Gen!A11</f>
        <v>43435</v>
      </c>
      <c r="B6" s="231">
        <f>'Summery Report'!E5</f>
        <v>15</v>
      </c>
      <c r="C6" s="230">
        <f>SUM(Gen!B11)</f>
        <v>0.16800000000000001</v>
      </c>
      <c r="D6" s="229">
        <f>'Summery Report'!E5</f>
        <v>15</v>
      </c>
      <c r="E6" s="195">
        <f>SUM(F3)</f>
        <v>1.3262195121951219</v>
      </c>
      <c r="F6" s="211">
        <f>SUM(J6*E6)/D6</f>
        <v>161.3682012195122</v>
      </c>
      <c r="G6" s="211">
        <f t="shared" ref="G6:G36" si="0">SUM(L6*E6)/D6</f>
        <v>165.15146341463415</v>
      </c>
      <c r="H6" s="195" t="e">
        <f>SUM(Gen!C11)</f>
        <v>#REF!</v>
      </c>
      <c r="I6" s="203">
        <f>SUM(Gen!D11)</f>
        <v>0</v>
      </c>
      <c r="J6" s="205">
        <f>SUM(Gen!S11)</f>
        <v>1825.13</v>
      </c>
      <c r="K6" s="205">
        <f>Gen!AJ11</f>
        <v>42.79</v>
      </c>
      <c r="L6" s="205">
        <f t="shared" ref="L6:L37" si="1">SUM(J6:K6)</f>
        <v>1867.92</v>
      </c>
      <c r="M6" s="207">
        <f>'Water-Meter'!D6</f>
        <v>173248</v>
      </c>
      <c r="N6" s="313">
        <f>'Water-Meter'!E6</f>
        <v>99</v>
      </c>
      <c r="O6" s="314">
        <v>2.2999999999999998</v>
      </c>
      <c r="P6" s="755">
        <v>16896</v>
      </c>
      <c r="Q6" s="337">
        <f t="shared" ref="Q6:Q36" si="2">SUM(P6-P5)</f>
        <v>0</v>
      </c>
      <c r="R6" s="338">
        <f>SUM(Q6*O6)</f>
        <v>0</v>
      </c>
      <c r="S6" s="641"/>
      <c r="T6" s="542">
        <v>15027</v>
      </c>
      <c r="U6" s="337">
        <f>T6-T5</f>
        <v>0</v>
      </c>
      <c r="V6" s="339" t="s">
        <v>320</v>
      </c>
      <c r="W6" s="325">
        <v>2.7</v>
      </c>
      <c r="X6" s="598">
        <v>17311</v>
      </c>
      <c r="Y6" s="337">
        <f>X6-X5</f>
        <v>20</v>
      </c>
      <c r="Z6" s="339" t="s">
        <v>320</v>
      </c>
      <c r="AA6" s="339" t="e">
        <f>SUM(Z6*X8)</f>
        <v>#VALUE!</v>
      </c>
      <c r="AB6" s="711">
        <v>96494</v>
      </c>
      <c r="AC6" s="196">
        <f>AB6-AB5</f>
        <v>75</v>
      </c>
      <c r="AD6" s="325">
        <v>178154</v>
      </c>
      <c r="AE6" s="333">
        <f t="shared" ref="AE6:AE37" si="3">SUM(AF6/N6)</f>
        <v>0.65656565656565657</v>
      </c>
      <c r="AF6" s="332">
        <f>AD6-AD5</f>
        <v>65</v>
      </c>
      <c r="AG6" s="477">
        <f>'Lpg (2)'!B9*2000/85</f>
        <v>0</v>
      </c>
      <c r="AH6" s="478">
        <f>'Lpg (2)'!C9*1000/85</f>
        <v>0</v>
      </c>
      <c r="AI6" s="479">
        <f>'Lpg (2)'!D9*1000/85</f>
        <v>0</v>
      </c>
      <c r="AJ6" s="334">
        <f>SUM(AG6*2000)+(AH6*1000)+(AI6*1000)</f>
        <v>0</v>
      </c>
      <c r="AK6" s="198">
        <f t="shared" ref="AK6:AK36" si="4">SUM(AJ5-AJ6)</f>
        <v>0</v>
      </c>
      <c r="AL6" s="335"/>
    </row>
    <row r="7" spans="1:38" ht="18" thickBot="1" x14ac:dyDescent="0.35">
      <c r="A7" s="138">
        <f>Gen!A12</f>
        <v>43436</v>
      </c>
      <c r="B7" s="231">
        <f t="shared" ref="B7:B35" si="5">SUM(77*C7)</f>
        <v>11.003299999999999</v>
      </c>
      <c r="C7" s="230">
        <f>SUM(Gen!B12)</f>
        <v>0.1429</v>
      </c>
      <c r="D7" s="229">
        <f>SUM('Summery Report'!E6)</f>
        <v>13</v>
      </c>
      <c r="E7" s="195">
        <f>SUM(E6)</f>
        <v>1.3262195121951219</v>
      </c>
      <c r="F7" s="211">
        <f>SUM(J7*E7)/D7</f>
        <v>187.2203681988743</v>
      </c>
      <c r="G7" s="211">
        <f t="shared" si="0"/>
        <v>196.46309803001876</v>
      </c>
      <c r="H7" s="195" t="e">
        <f>SUM(Gen!C12)</f>
        <v>#REF!</v>
      </c>
      <c r="I7" s="204">
        <f>SUM(Gen!D12)</f>
        <v>0</v>
      </c>
      <c r="J7" s="206">
        <f>SUM(Gen!S12)</f>
        <v>1835.19</v>
      </c>
      <c r="K7" s="205">
        <f>Gen!AJ12</f>
        <v>90.600000000000009</v>
      </c>
      <c r="L7" s="205">
        <f t="shared" si="1"/>
        <v>1925.79</v>
      </c>
      <c r="M7" s="207">
        <f>'Water-Meter'!D7</f>
        <v>173348</v>
      </c>
      <c r="N7" s="313">
        <f>'Water-Meter'!E7</f>
        <v>100</v>
      </c>
      <c r="O7" s="314">
        <v>2.2999999999999998</v>
      </c>
      <c r="P7" s="314">
        <v>16941</v>
      </c>
      <c r="Q7" s="337">
        <f t="shared" si="2"/>
        <v>45</v>
      </c>
      <c r="R7" s="338">
        <f t="shared" ref="R7:R36" si="6">SUM(Q7*O7)</f>
        <v>103.49999999999999</v>
      </c>
      <c r="S7" s="641"/>
      <c r="T7" s="542">
        <v>15027</v>
      </c>
      <c r="U7" s="337">
        <f t="shared" ref="U7:U36" si="7">T7-T6</f>
        <v>0</v>
      </c>
      <c r="V7" s="339">
        <f t="shared" ref="V7:V9" si="8">SUM(U7*S7)</f>
        <v>0</v>
      </c>
      <c r="W7" s="325">
        <v>2.2000000000000002</v>
      </c>
      <c r="X7" s="598">
        <v>17336</v>
      </c>
      <c r="Y7" s="337">
        <f t="shared" ref="Y7:Y36" si="9">X7-X6</f>
        <v>25</v>
      </c>
      <c r="Z7" s="339">
        <f t="shared" ref="Z7:Z36" si="10">SUM(Y7*W7)</f>
        <v>55.000000000000007</v>
      </c>
      <c r="AA7" s="339">
        <f t="shared" ref="AA7:AA36" si="11">SUM(Z7*X9)</f>
        <v>956010.00000000012</v>
      </c>
      <c r="AB7" s="711">
        <v>96591</v>
      </c>
      <c r="AC7" s="196">
        <f t="shared" ref="AC7:AC13" si="12">SUM(AB7-AB6)</f>
        <v>97</v>
      </c>
      <c r="AD7" s="325">
        <v>178199</v>
      </c>
      <c r="AE7" s="333">
        <f t="shared" si="3"/>
        <v>0.45</v>
      </c>
      <c r="AF7" s="332">
        <f t="shared" ref="AF7:AF37" si="13">AD7-AD6</f>
        <v>45</v>
      </c>
      <c r="AG7" s="477">
        <f>'Lpg (2)'!B10*2000/85</f>
        <v>2000</v>
      </c>
      <c r="AH7" s="478">
        <f>'Lpg (2)'!C10*1000/85</f>
        <v>1000</v>
      </c>
      <c r="AI7" s="479">
        <f>'Lpg (2)'!D10*1000/85</f>
        <v>882.35294117647061</v>
      </c>
      <c r="AJ7" s="197">
        <f t="shared" ref="AJ7:AJ14" si="14">SUM(AG6*2000)+(AH7*1000)+(AI7*1000)</f>
        <v>1882352.9411764706</v>
      </c>
      <c r="AK7" s="198">
        <f t="shared" si="4"/>
        <v>-1882352.9411764706</v>
      </c>
      <c r="AL7" s="208"/>
    </row>
    <row r="8" spans="1:38" ht="18" thickBot="1" x14ac:dyDescent="0.35">
      <c r="A8" s="138">
        <f>Gen!A13</f>
        <v>43437</v>
      </c>
      <c r="B8" s="231">
        <f t="shared" si="5"/>
        <v>11.003299999999999</v>
      </c>
      <c r="C8" s="230">
        <f>SUM(Gen!B13)</f>
        <v>0.1429</v>
      </c>
      <c r="D8" s="229">
        <f>SUM('Summery Report'!E7)</f>
        <v>13</v>
      </c>
      <c r="E8" s="195">
        <f t="shared" ref="E8:E36" si="15">SUM(E7)</f>
        <v>1.3262195121951219</v>
      </c>
      <c r="F8" s="211">
        <f t="shared" ref="F8:F36" si="16">SUM(J8*E8)/D8</f>
        <v>282.3878400562852</v>
      </c>
      <c r="G8" s="211">
        <f t="shared" si="0"/>
        <v>293.44340994371481</v>
      </c>
      <c r="H8" s="195" t="e">
        <f>SUM(Gen!C13)</f>
        <v>#REF!</v>
      </c>
      <c r="I8" s="204">
        <f>SUM(Gen!D13)</f>
        <v>0</v>
      </c>
      <c r="J8" s="206">
        <f>SUM(Gen!S13)</f>
        <v>2768.05</v>
      </c>
      <c r="K8" s="205">
        <f>Gen!AJ13</f>
        <v>108.37</v>
      </c>
      <c r="L8" s="205">
        <f t="shared" si="1"/>
        <v>2876.42</v>
      </c>
      <c r="M8" s="207">
        <f>'Water-Meter'!D8</f>
        <v>173438</v>
      </c>
      <c r="N8" s="313">
        <f>'Water-Meter'!E8</f>
        <v>90</v>
      </c>
      <c r="O8" s="314">
        <v>1.2</v>
      </c>
      <c r="P8" s="314">
        <v>16965</v>
      </c>
      <c r="Q8" s="337">
        <f t="shared" si="2"/>
        <v>24</v>
      </c>
      <c r="R8" s="338">
        <f t="shared" si="6"/>
        <v>28.799999999999997</v>
      </c>
      <c r="S8" s="641"/>
      <c r="T8" s="542">
        <v>15027</v>
      </c>
      <c r="U8" s="337">
        <f t="shared" si="7"/>
        <v>0</v>
      </c>
      <c r="V8" s="339">
        <f t="shared" si="8"/>
        <v>0</v>
      </c>
      <c r="W8" s="325">
        <v>2.6</v>
      </c>
      <c r="X8" s="598">
        <v>17359</v>
      </c>
      <c r="Y8" s="337">
        <f t="shared" si="9"/>
        <v>23</v>
      </c>
      <c r="Z8" s="339">
        <f t="shared" si="10"/>
        <v>59.800000000000004</v>
      </c>
      <c r="AA8" s="339">
        <f t="shared" si="11"/>
        <v>1040878.8</v>
      </c>
      <c r="AB8" s="711">
        <v>96668</v>
      </c>
      <c r="AC8" s="196">
        <f t="shared" si="12"/>
        <v>77</v>
      </c>
      <c r="AD8" s="325">
        <v>178246</v>
      </c>
      <c r="AE8" s="333">
        <f t="shared" si="3"/>
        <v>0.52222222222222225</v>
      </c>
      <c r="AF8" s="332">
        <f t="shared" si="13"/>
        <v>47</v>
      </c>
      <c r="AG8" s="477">
        <f>'Lpg (2)'!B11*2000/85</f>
        <v>2000</v>
      </c>
      <c r="AH8" s="478">
        <f>'Lpg (2)'!C11*1000/85</f>
        <v>1000</v>
      </c>
      <c r="AI8" s="479">
        <f>'Lpg (2)'!D11*1000/85</f>
        <v>717.64705882352939</v>
      </c>
      <c r="AJ8" s="197">
        <f t="shared" si="14"/>
        <v>5717647.0588235296</v>
      </c>
      <c r="AK8" s="198">
        <f t="shared" si="4"/>
        <v>-3835294.1176470593</v>
      </c>
      <c r="AL8" s="208"/>
    </row>
    <row r="9" spans="1:38" ht="18" thickBot="1" x14ac:dyDescent="0.35">
      <c r="A9" s="138">
        <f>Gen!A14</f>
        <v>43438</v>
      </c>
      <c r="B9" s="231">
        <f t="shared" si="5"/>
        <v>12.9976</v>
      </c>
      <c r="C9" s="230">
        <f>SUM(Gen!B14)</f>
        <v>0.16880000000000001</v>
      </c>
      <c r="D9" s="229">
        <f>SUM('Summery Report'!E8)</f>
        <v>15</v>
      </c>
      <c r="E9" s="195">
        <f t="shared" si="15"/>
        <v>1.3262195121951219</v>
      </c>
      <c r="F9" s="211">
        <f t="shared" si="16"/>
        <v>168.91173780487804</v>
      </c>
      <c r="G9" s="211">
        <f t="shared" si="0"/>
        <v>178.64176829268294</v>
      </c>
      <c r="H9" s="195" t="e">
        <f>SUM(Gen!C14)</f>
        <v>#REF!</v>
      </c>
      <c r="I9" s="204">
        <f>SUM(Gen!D14)</f>
        <v>17000</v>
      </c>
      <c r="J9" s="206">
        <f>SUM(Gen!S14)</f>
        <v>1910.45</v>
      </c>
      <c r="K9" s="205">
        <f>Gen!AJ14</f>
        <v>110.05</v>
      </c>
      <c r="L9" s="205">
        <f t="shared" si="1"/>
        <v>2020.5</v>
      </c>
      <c r="M9" s="207">
        <f>'Water-Meter'!D9</f>
        <v>173525</v>
      </c>
      <c r="N9" s="313">
        <f>'Water-Meter'!E9</f>
        <v>87</v>
      </c>
      <c r="O9" s="314">
        <v>1.2</v>
      </c>
      <c r="P9" s="314">
        <v>16988</v>
      </c>
      <c r="Q9" s="337">
        <f t="shared" si="2"/>
        <v>23</v>
      </c>
      <c r="R9" s="338">
        <f t="shared" si="6"/>
        <v>27.599999999999998</v>
      </c>
      <c r="S9" s="641"/>
      <c r="T9" s="542">
        <v>15027</v>
      </c>
      <c r="U9" s="337">
        <f t="shared" si="7"/>
        <v>0</v>
      </c>
      <c r="V9" s="339">
        <f t="shared" si="8"/>
        <v>0</v>
      </c>
      <c r="W9" s="325">
        <v>2.6</v>
      </c>
      <c r="X9" s="598">
        <v>17382</v>
      </c>
      <c r="Y9" s="337">
        <f t="shared" si="9"/>
        <v>23</v>
      </c>
      <c r="Z9" s="339">
        <f t="shared" si="10"/>
        <v>59.800000000000004</v>
      </c>
      <c r="AA9" s="339">
        <f t="shared" si="11"/>
        <v>1042314.0000000001</v>
      </c>
      <c r="AB9" s="711">
        <v>96751</v>
      </c>
      <c r="AC9" s="196">
        <f t="shared" si="12"/>
        <v>83</v>
      </c>
      <c r="AD9" s="325">
        <v>178319</v>
      </c>
      <c r="AE9" s="333">
        <f t="shared" si="3"/>
        <v>0.83908045977011492</v>
      </c>
      <c r="AF9" s="332">
        <f t="shared" si="13"/>
        <v>73</v>
      </c>
      <c r="AG9" s="477">
        <f>'Lpg (2)'!B12*2000/85</f>
        <v>2000</v>
      </c>
      <c r="AH9" s="478">
        <f>'Lpg (2)'!C12*1000/85</f>
        <v>1000</v>
      </c>
      <c r="AI9" s="479">
        <f>'Lpg (2)'!D12*1000/85</f>
        <v>611.76470588235293</v>
      </c>
      <c r="AJ9" s="197">
        <f t="shared" si="14"/>
        <v>5611764.7058823528</v>
      </c>
      <c r="AK9" s="198">
        <f t="shared" si="4"/>
        <v>105882.35294117685</v>
      </c>
      <c r="AL9" s="208"/>
    </row>
    <row r="10" spans="1:38" ht="18" thickBot="1" x14ac:dyDescent="0.35">
      <c r="A10" s="138">
        <f>Gen!A15</f>
        <v>43439</v>
      </c>
      <c r="B10" s="231">
        <f t="shared" si="5"/>
        <v>16.000600000000002</v>
      </c>
      <c r="C10" s="230">
        <f>SUM(Gen!B15)</f>
        <v>0.20780000000000001</v>
      </c>
      <c r="D10" s="229">
        <f>SUM('Summery Report'!E9)</f>
        <v>12</v>
      </c>
      <c r="E10" s="195">
        <f t="shared" si="15"/>
        <v>1.3262195121951219</v>
      </c>
      <c r="F10" s="211">
        <f t="shared" si="16"/>
        <v>197.30609756097559</v>
      </c>
      <c r="G10" s="211">
        <f t="shared" si="0"/>
        <v>197.30609756097559</v>
      </c>
      <c r="H10" s="195" t="e">
        <f>SUM(Gen!C15)</f>
        <v>#REF!</v>
      </c>
      <c r="I10" s="204">
        <f>SUM(Gen!D15)</f>
        <v>0</v>
      </c>
      <c r="J10" s="206">
        <f>SUM(Gen!S15)</f>
        <v>1785.28</v>
      </c>
      <c r="K10" s="205">
        <f>Gen!AJ15</f>
        <v>0</v>
      </c>
      <c r="L10" s="205">
        <f t="shared" si="1"/>
        <v>1785.28</v>
      </c>
      <c r="M10" s="207">
        <f>'Water-Meter'!D10</f>
        <v>173609</v>
      </c>
      <c r="N10" s="313">
        <f>'Water-Meter'!E10</f>
        <v>84</v>
      </c>
      <c r="O10" s="314">
        <v>1.2</v>
      </c>
      <c r="P10" s="314">
        <v>16994</v>
      </c>
      <c r="Q10" s="337">
        <f t="shared" si="2"/>
        <v>6</v>
      </c>
      <c r="R10" s="338">
        <f t="shared" si="6"/>
        <v>7.1999999999999993</v>
      </c>
      <c r="S10" s="641"/>
      <c r="T10" s="542">
        <v>15027</v>
      </c>
      <c r="U10" s="337">
        <f t="shared" si="7"/>
        <v>0</v>
      </c>
      <c r="V10" s="339">
        <f t="shared" ref="V10:V16" si="17">SUM(U10*S10)</f>
        <v>0</v>
      </c>
      <c r="W10" s="325">
        <v>2.6</v>
      </c>
      <c r="X10" s="598">
        <v>17406</v>
      </c>
      <c r="Y10" s="337">
        <f t="shared" si="9"/>
        <v>24</v>
      </c>
      <c r="Z10" s="339">
        <f t="shared" si="10"/>
        <v>62.400000000000006</v>
      </c>
      <c r="AA10" s="339">
        <f t="shared" si="11"/>
        <v>1087819.2000000002</v>
      </c>
      <c r="AB10" s="711">
        <v>96816</v>
      </c>
      <c r="AC10" s="196">
        <f t="shared" si="12"/>
        <v>65</v>
      </c>
      <c r="AD10" s="325">
        <v>178372</v>
      </c>
      <c r="AE10" s="333">
        <f>SUM(AF10/N10)</f>
        <v>0.63095238095238093</v>
      </c>
      <c r="AF10" s="332">
        <f t="shared" si="13"/>
        <v>53</v>
      </c>
      <c r="AG10" s="477">
        <f>'Lpg (2)'!B13*2000/85</f>
        <v>2000</v>
      </c>
      <c r="AH10" s="478">
        <f>'Lpg (2)'!C13*1000/85</f>
        <v>1000</v>
      </c>
      <c r="AI10" s="479">
        <f>'Lpg (2)'!D13*1000/85</f>
        <v>529.41176470588232</v>
      </c>
      <c r="AJ10" s="197">
        <f t="shared" si="14"/>
        <v>5529411.7647058824</v>
      </c>
      <c r="AK10" s="198">
        <f t="shared" si="4"/>
        <v>82352.941176470369</v>
      </c>
      <c r="AL10" s="208"/>
    </row>
    <row r="11" spans="1:38" ht="18" thickBot="1" x14ac:dyDescent="0.35">
      <c r="A11" s="138">
        <f>Gen!A16</f>
        <v>43440</v>
      </c>
      <c r="B11" s="231">
        <f t="shared" si="5"/>
        <v>22.9999</v>
      </c>
      <c r="C11" s="230">
        <f>SUM(Gen!B16)</f>
        <v>0.29870000000000002</v>
      </c>
      <c r="D11" s="229">
        <f>SUM('Summery Report'!E10)</f>
        <v>15</v>
      </c>
      <c r="E11" s="195">
        <f t="shared" si="15"/>
        <v>1.3262195121951219</v>
      </c>
      <c r="F11" s="211">
        <f t="shared" si="16"/>
        <v>168.32908536585367</v>
      </c>
      <c r="G11" s="211">
        <f t="shared" si="0"/>
        <v>190.22496951219512</v>
      </c>
      <c r="H11" s="195" t="e">
        <f>SUM(Gen!C16)</f>
        <v>#REF!</v>
      </c>
      <c r="I11" s="204">
        <f>SUM(Gen!D16)</f>
        <v>0</v>
      </c>
      <c r="J11" s="206">
        <f>SUM(Gen!S16)</f>
        <v>1903.8600000000001</v>
      </c>
      <c r="K11" s="205">
        <f>Gen!AJ16</f>
        <v>247.65</v>
      </c>
      <c r="L11" s="205">
        <f t="shared" si="1"/>
        <v>2151.5100000000002</v>
      </c>
      <c r="M11" s="207">
        <f>'Water-Meter'!D11</f>
        <v>173717</v>
      </c>
      <c r="N11" s="313">
        <f>'Water-Meter'!E11</f>
        <v>108</v>
      </c>
      <c r="O11" s="314">
        <v>1.2</v>
      </c>
      <c r="P11" s="314">
        <v>17009</v>
      </c>
      <c r="Q11" s="337">
        <f t="shared" si="2"/>
        <v>15</v>
      </c>
      <c r="R11" s="338">
        <f t="shared" si="6"/>
        <v>18</v>
      </c>
      <c r="S11" s="641"/>
      <c r="T11" s="542">
        <v>15027</v>
      </c>
      <c r="U11" s="337">
        <f t="shared" si="7"/>
        <v>0</v>
      </c>
      <c r="V11" s="339">
        <f t="shared" si="17"/>
        <v>0</v>
      </c>
      <c r="W11" s="325">
        <v>2.6</v>
      </c>
      <c r="X11" s="598">
        <v>17430</v>
      </c>
      <c r="Y11" s="337">
        <f t="shared" si="9"/>
        <v>24</v>
      </c>
      <c r="Z11" s="339">
        <f t="shared" si="10"/>
        <v>62.400000000000006</v>
      </c>
      <c r="AA11" s="339">
        <f t="shared" si="11"/>
        <v>1089379.2000000002</v>
      </c>
      <c r="AB11" s="711">
        <v>96861</v>
      </c>
      <c r="AC11" s="196">
        <f t="shared" si="12"/>
        <v>45</v>
      </c>
      <c r="AD11" s="325">
        <v>178429</v>
      </c>
      <c r="AE11" s="333">
        <f t="shared" ref="AE11:AE36" si="18">SUM(AF11/N11)</f>
        <v>0.52777777777777779</v>
      </c>
      <c r="AF11" s="332">
        <f t="shared" si="13"/>
        <v>57</v>
      </c>
      <c r="AG11" s="477">
        <f>'Lpg (2)'!B14*2000/85</f>
        <v>2000</v>
      </c>
      <c r="AH11" s="478">
        <f>'Lpg (2)'!C14*1000/85</f>
        <v>1000</v>
      </c>
      <c r="AI11" s="479">
        <f>'Lpg (2)'!D14*1000/85</f>
        <v>470.58823529411762</v>
      </c>
      <c r="AJ11" s="197">
        <f t="shared" si="14"/>
        <v>5470588.2352941176</v>
      </c>
      <c r="AK11" s="198">
        <f t="shared" si="4"/>
        <v>58823.529411764815</v>
      </c>
      <c r="AL11" s="208"/>
    </row>
    <row r="12" spans="1:38" ht="18" thickBot="1" x14ac:dyDescent="0.35">
      <c r="A12" s="138">
        <f>Gen!A17</f>
        <v>43441</v>
      </c>
      <c r="B12" s="231">
        <f t="shared" si="5"/>
        <v>19.003599999999999</v>
      </c>
      <c r="C12" s="230">
        <f>SUM(Gen!B17)</f>
        <v>0.24679999999999999</v>
      </c>
      <c r="D12" s="229">
        <f>SUM('Summery Report'!E11)</f>
        <v>20</v>
      </c>
      <c r="E12" s="195">
        <f t="shared" si="15"/>
        <v>1.3262195121951219</v>
      </c>
      <c r="F12" s="211">
        <f t="shared" si="16"/>
        <v>133.2976600609756</v>
      </c>
      <c r="G12" s="211">
        <f t="shared" si="0"/>
        <v>148.16259146341463</v>
      </c>
      <c r="H12" s="195" t="e">
        <f>SUM(Gen!C17)</f>
        <v>#REF!</v>
      </c>
      <c r="I12" s="204">
        <f>SUM(Gen!D17)</f>
        <v>0</v>
      </c>
      <c r="J12" s="206">
        <f>SUM(Gen!S17)</f>
        <v>2010.19</v>
      </c>
      <c r="K12" s="205">
        <f>Gen!AJ17</f>
        <v>224.17000000000002</v>
      </c>
      <c r="L12" s="205">
        <f t="shared" si="1"/>
        <v>2234.36</v>
      </c>
      <c r="M12" s="207">
        <f>'Water-Meter'!D12</f>
        <v>173810</v>
      </c>
      <c r="N12" s="313">
        <f>'Water-Meter'!E12</f>
        <v>93</v>
      </c>
      <c r="O12" s="314"/>
      <c r="P12" s="314">
        <v>17033</v>
      </c>
      <c r="Q12" s="337">
        <f t="shared" si="2"/>
        <v>24</v>
      </c>
      <c r="R12" s="338">
        <f t="shared" si="6"/>
        <v>0</v>
      </c>
      <c r="S12" s="641"/>
      <c r="T12" s="542">
        <v>15027</v>
      </c>
      <c r="U12" s="337">
        <f t="shared" si="7"/>
        <v>0</v>
      </c>
      <c r="V12" s="339">
        <f t="shared" si="17"/>
        <v>0</v>
      </c>
      <c r="W12" s="325">
        <v>2.6</v>
      </c>
      <c r="X12" s="598">
        <v>17433</v>
      </c>
      <c r="Y12" s="337">
        <f t="shared" si="9"/>
        <v>3</v>
      </c>
      <c r="Z12" s="339">
        <f t="shared" si="10"/>
        <v>7.8000000000000007</v>
      </c>
      <c r="AA12" s="339">
        <f t="shared" si="11"/>
        <v>136258.20000000001</v>
      </c>
      <c r="AB12" s="711">
        <v>96973</v>
      </c>
      <c r="AC12" s="196">
        <f t="shared" si="12"/>
        <v>112</v>
      </c>
      <c r="AD12" s="325">
        <v>178482</v>
      </c>
      <c r="AE12" s="333">
        <f t="shared" si="18"/>
        <v>0.56989247311827962</v>
      </c>
      <c r="AF12" s="332">
        <f t="shared" si="13"/>
        <v>53</v>
      </c>
      <c r="AG12" s="477">
        <f>'Lpg (2)'!B15*2000/85</f>
        <v>2000</v>
      </c>
      <c r="AH12" s="478">
        <f>'Lpg (2)'!C15*1000/85</f>
        <v>1000</v>
      </c>
      <c r="AI12" s="479">
        <f>'Lpg (2)'!D15*1000/85</f>
        <v>423.52941176470586</v>
      </c>
      <c r="AJ12" s="197">
        <f t="shared" si="14"/>
        <v>5423529.4117647056</v>
      </c>
      <c r="AK12" s="198">
        <f t="shared" si="4"/>
        <v>47058.823529412039</v>
      </c>
      <c r="AL12" s="208"/>
    </row>
    <row r="13" spans="1:38" ht="18" thickBot="1" x14ac:dyDescent="0.35">
      <c r="A13" s="138">
        <f>Gen!A18</f>
        <v>43442</v>
      </c>
      <c r="B13" s="231">
        <f t="shared" si="5"/>
        <v>21.998899999999999</v>
      </c>
      <c r="C13" s="230">
        <f>SUM(Gen!B18)</f>
        <v>0.28570000000000001</v>
      </c>
      <c r="D13" s="229">
        <f>SUM('Summery Report'!E12)</f>
        <v>23</v>
      </c>
      <c r="E13" s="195">
        <f t="shared" si="15"/>
        <v>1.3262195121951219</v>
      </c>
      <c r="F13" s="211">
        <f t="shared" si="16"/>
        <v>110.9100079533404</v>
      </c>
      <c r="G13" s="211">
        <f t="shared" si="0"/>
        <v>117.48344379639448</v>
      </c>
      <c r="H13" s="195" t="e">
        <f>SUM(Gen!C18)</f>
        <v>#REF!</v>
      </c>
      <c r="I13" s="204">
        <f>SUM(Gen!D18)</f>
        <v>0</v>
      </c>
      <c r="J13" s="206">
        <f>SUM(Gen!S18)</f>
        <v>1923.46</v>
      </c>
      <c r="K13" s="205">
        <f>Gen!AJ18</f>
        <v>114</v>
      </c>
      <c r="L13" s="205">
        <f t="shared" si="1"/>
        <v>2037.46</v>
      </c>
      <c r="M13" s="207">
        <f>'Water-Meter'!D13</f>
        <v>173913</v>
      </c>
      <c r="N13" s="313">
        <f>'Water-Meter'!E13</f>
        <v>103</v>
      </c>
      <c r="O13" s="314"/>
      <c r="P13" s="314">
        <v>17038</v>
      </c>
      <c r="Q13" s="337">
        <f t="shared" si="2"/>
        <v>5</v>
      </c>
      <c r="R13" s="338">
        <f t="shared" si="6"/>
        <v>0</v>
      </c>
      <c r="S13" s="641"/>
      <c r="T13" s="542">
        <v>15027</v>
      </c>
      <c r="U13" s="337">
        <f t="shared" si="7"/>
        <v>0</v>
      </c>
      <c r="V13" s="339">
        <f t="shared" si="17"/>
        <v>0</v>
      </c>
      <c r="W13" s="325">
        <v>2.6</v>
      </c>
      <c r="X13" s="598">
        <v>17458</v>
      </c>
      <c r="Y13" s="337">
        <f t="shared" si="9"/>
        <v>25</v>
      </c>
      <c r="Z13" s="339">
        <f t="shared" si="10"/>
        <v>65</v>
      </c>
      <c r="AA13" s="339">
        <f t="shared" si="11"/>
        <v>1138540</v>
      </c>
      <c r="AB13" s="711">
        <v>96993</v>
      </c>
      <c r="AC13" s="196">
        <f t="shared" si="12"/>
        <v>20</v>
      </c>
      <c r="AD13" s="325">
        <v>178535</v>
      </c>
      <c r="AE13" s="333">
        <f t="shared" si="18"/>
        <v>0.5145631067961165</v>
      </c>
      <c r="AF13" s="332">
        <f t="shared" si="13"/>
        <v>53</v>
      </c>
      <c r="AG13" s="477">
        <f>'Lpg (2)'!B16*2000/85</f>
        <v>2000</v>
      </c>
      <c r="AH13" s="478">
        <f>'Lpg (2)'!C16*1000/85</f>
        <v>1000</v>
      </c>
      <c r="AI13" s="479">
        <f>'Lpg (2)'!D16*1000/85</f>
        <v>352.94117647058823</v>
      </c>
      <c r="AJ13" s="197">
        <f t="shared" si="14"/>
        <v>5352941.176470588</v>
      </c>
      <c r="AK13" s="198">
        <f t="shared" si="4"/>
        <v>70588.235294117592</v>
      </c>
      <c r="AL13" s="209"/>
    </row>
    <row r="14" spans="1:38" ht="18" thickBot="1" x14ac:dyDescent="0.35">
      <c r="A14" s="138">
        <f>Gen!A19</f>
        <v>43443</v>
      </c>
      <c r="B14" s="231">
        <f t="shared" si="5"/>
        <v>35.997500000000002</v>
      </c>
      <c r="C14" s="230">
        <f>SUM(Gen!B19)</f>
        <v>0.46750000000000003</v>
      </c>
      <c r="D14" s="229">
        <f>SUM('Summery Report'!E13)</f>
        <v>37</v>
      </c>
      <c r="E14" s="195">
        <f t="shared" si="15"/>
        <v>1.3262195121951219</v>
      </c>
      <c r="F14" s="211">
        <f t="shared" si="16"/>
        <v>73.248895847066564</v>
      </c>
      <c r="G14" s="211">
        <f t="shared" si="0"/>
        <v>92.409541858932101</v>
      </c>
      <c r="H14" s="195" t="e">
        <f>SUM(Gen!C19)</f>
        <v>#REF!</v>
      </c>
      <c r="I14" s="204">
        <f>SUM(Gen!D19)</f>
        <v>0</v>
      </c>
      <c r="J14" s="206">
        <f>SUM(Gen!S19)</f>
        <v>2043.56</v>
      </c>
      <c r="K14" s="205">
        <f>Gen!AJ19</f>
        <v>534.55999999999995</v>
      </c>
      <c r="L14" s="205">
        <f t="shared" si="1"/>
        <v>2578.12</v>
      </c>
      <c r="M14" s="207">
        <f>'Water-Meter'!D14</f>
        <v>174038</v>
      </c>
      <c r="N14" s="313">
        <f>'Water-Meter'!E14</f>
        <v>125</v>
      </c>
      <c r="O14" s="314">
        <v>1.2</v>
      </c>
      <c r="P14" s="314">
        <v>17064</v>
      </c>
      <c r="Q14" s="337">
        <f t="shared" si="2"/>
        <v>26</v>
      </c>
      <c r="R14" s="338">
        <f t="shared" si="6"/>
        <v>31.2</v>
      </c>
      <c r="S14" s="641"/>
      <c r="T14" s="542">
        <v>15027</v>
      </c>
      <c r="U14" s="337">
        <f t="shared" si="7"/>
        <v>0</v>
      </c>
      <c r="V14" s="339">
        <f t="shared" si="17"/>
        <v>0</v>
      </c>
      <c r="W14" s="325">
        <v>2.5</v>
      </c>
      <c r="X14" s="598">
        <v>17469</v>
      </c>
      <c r="Y14" s="337">
        <f t="shared" si="9"/>
        <v>11</v>
      </c>
      <c r="Z14" s="339">
        <f t="shared" si="10"/>
        <v>27.5</v>
      </c>
      <c r="AA14" s="339">
        <f t="shared" si="11"/>
        <v>482377.5</v>
      </c>
      <c r="AB14" s="711">
        <v>97031</v>
      </c>
      <c r="AC14" s="196">
        <f t="shared" ref="AC14:AC37" si="19">SUM(AB14-AB13)</f>
        <v>38</v>
      </c>
      <c r="AD14" s="325">
        <v>178594</v>
      </c>
      <c r="AE14" s="333">
        <f t="shared" si="18"/>
        <v>0.47199999999999998</v>
      </c>
      <c r="AF14" s="332">
        <f t="shared" si="13"/>
        <v>59</v>
      </c>
      <c r="AG14" s="477">
        <f>'Lpg (2)'!B17*2000/85</f>
        <v>2000</v>
      </c>
      <c r="AH14" s="478">
        <f>'Lpg (2)'!C17*1000/85</f>
        <v>1000</v>
      </c>
      <c r="AI14" s="479">
        <f>'Lpg (2)'!D17*1000/85</f>
        <v>270.58823529411762</v>
      </c>
      <c r="AJ14" s="197">
        <f t="shared" si="14"/>
        <v>5270588.2352941176</v>
      </c>
      <c r="AK14" s="198">
        <f t="shared" si="4"/>
        <v>82352.941176470369</v>
      </c>
      <c r="AL14" s="208"/>
    </row>
    <row r="15" spans="1:38" ht="18" thickBot="1" x14ac:dyDescent="0.35">
      <c r="A15" s="138">
        <f>Gen!A20</f>
        <v>43444</v>
      </c>
      <c r="B15" s="231">
        <f t="shared" si="5"/>
        <v>42.9968</v>
      </c>
      <c r="C15" s="230">
        <f>SUM(Gen!B20)</f>
        <v>0.55840000000000001</v>
      </c>
      <c r="D15" s="229">
        <f>SUM('Summery Report'!E14)</f>
        <v>44</v>
      </c>
      <c r="E15" s="195">
        <f t="shared" si="15"/>
        <v>1.3262195121951219</v>
      </c>
      <c r="F15" s="211">
        <f t="shared" si="16"/>
        <v>63.394196923503323</v>
      </c>
      <c r="G15" s="211">
        <f t="shared" si="0"/>
        <v>76.596109340354758</v>
      </c>
      <c r="H15" s="195" t="e">
        <f>SUM(Gen!C20)</f>
        <v>#REF!</v>
      </c>
      <c r="I15" s="204">
        <f>SUM(Gen!D20)</f>
        <v>12000</v>
      </c>
      <c r="J15" s="206">
        <f>SUM(Gen!S20)</f>
        <v>2103.23</v>
      </c>
      <c r="K15" s="205">
        <f>Gen!AJ20</f>
        <v>438</v>
      </c>
      <c r="L15" s="205">
        <f t="shared" si="1"/>
        <v>2541.23</v>
      </c>
      <c r="M15" s="207">
        <f>'Water-Meter'!D15</f>
        <v>174152</v>
      </c>
      <c r="N15" s="313">
        <f>'Water-Meter'!E15</f>
        <v>114</v>
      </c>
      <c r="O15" s="314">
        <v>1.2</v>
      </c>
      <c r="P15" s="314">
        <v>17064</v>
      </c>
      <c r="Q15" s="337">
        <f t="shared" si="2"/>
        <v>0</v>
      </c>
      <c r="R15" s="338">
        <f t="shared" si="6"/>
        <v>0</v>
      </c>
      <c r="S15" s="641">
        <v>2.5</v>
      </c>
      <c r="T15" s="542">
        <v>15046</v>
      </c>
      <c r="U15" s="337">
        <f t="shared" si="7"/>
        <v>19</v>
      </c>
      <c r="V15" s="339">
        <f t="shared" si="17"/>
        <v>47.5</v>
      </c>
      <c r="W15" s="325">
        <v>2.4</v>
      </c>
      <c r="X15" s="598">
        <v>17516</v>
      </c>
      <c r="Y15" s="337">
        <f t="shared" si="9"/>
        <v>47</v>
      </c>
      <c r="Z15" s="339">
        <f t="shared" si="10"/>
        <v>112.8</v>
      </c>
      <c r="AA15" s="339">
        <f t="shared" si="11"/>
        <v>1981444.8</v>
      </c>
      <c r="AB15" s="711">
        <v>97126</v>
      </c>
      <c r="AC15" s="196">
        <f t="shared" si="19"/>
        <v>95</v>
      </c>
      <c r="AD15" s="325">
        <v>178714</v>
      </c>
      <c r="AE15" s="333">
        <f t="shared" si="18"/>
        <v>1.0526315789473684</v>
      </c>
      <c r="AF15" s="332">
        <f>AD15-AD14</f>
        <v>120</v>
      </c>
      <c r="AG15" s="477">
        <f>'Lpg (2)'!B18*2000/85</f>
        <v>2000</v>
      </c>
      <c r="AH15" s="478">
        <f>'Lpg (2)'!C18*1000/85</f>
        <v>1000</v>
      </c>
      <c r="AI15" s="479">
        <f>'Lpg (2)'!D18*1000/85</f>
        <v>188.23529411764707</v>
      </c>
      <c r="AJ15" s="197">
        <f t="shared" ref="AJ15:AJ35" si="20">SUM(AG15*2000)+(AH15*1000)+(AI15*1000)</f>
        <v>5188235.2941176472</v>
      </c>
      <c r="AK15" s="198">
        <f t="shared" si="4"/>
        <v>82352.941176470369</v>
      </c>
      <c r="AL15" s="208"/>
    </row>
    <row r="16" spans="1:38" ht="18" thickBot="1" x14ac:dyDescent="0.35">
      <c r="A16" s="138">
        <f>Gen!A21</f>
        <v>43445</v>
      </c>
      <c r="B16" s="231">
        <f t="shared" si="5"/>
        <v>43.997799999999998</v>
      </c>
      <c r="C16" s="230">
        <f>SUM(Gen!B21)</f>
        <v>0.57140000000000002</v>
      </c>
      <c r="D16" s="229">
        <f>SUM('Summery Report'!E15)</f>
        <v>45</v>
      </c>
      <c r="E16" s="195">
        <f t="shared" si="15"/>
        <v>1.3262195121951219</v>
      </c>
      <c r="F16" s="211">
        <f t="shared" si="16"/>
        <v>60.249563008130082</v>
      </c>
      <c r="G16" s="211">
        <f t="shared" si="0"/>
        <v>66.801971544715443</v>
      </c>
      <c r="H16" s="195" t="e">
        <f>SUM(Gen!C21)</f>
        <v>#REF!</v>
      </c>
      <c r="I16" s="204">
        <f>SUM(Gen!D21)</f>
        <v>0</v>
      </c>
      <c r="J16" s="206">
        <f>SUM(Gen!S21)</f>
        <v>2044.33</v>
      </c>
      <c r="K16" s="205">
        <f>Gen!AJ21</f>
        <v>222.32999999999998</v>
      </c>
      <c r="L16" s="205">
        <f t="shared" si="1"/>
        <v>2266.66</v>
      </c>
      <c r="M16" s="207">
        <f>'Water-Meter'!D16</f>
        <v>174266</v>
      </c>
      <c r="N16" s="313">
        <f>'Water-Meter'!E16</f>
        <v>114</v>
      </c>
      <c r="O16" s="314">
        <v>1.2</v>
      </c>
      <c r="P16" s="314">
        <v>17064</v>
      </c>
      <c r="Q16" s="337">
        <f t="shared" si="2"/>
        <v>0</v>
      </c>
      <c r="R16" s="338">
        <f t="shared" si="6"/>
        <v>0</v>
      </c>
      <c r="S16" s="641">
        <v>2.5</v>
      </c>
      <c r="T16" s="542">
        <v>15071</v>
      </c>
      <c r="U16" s="337">
        <f t="shared" si="7"/>
        <v>25</v>
      </c>
      <c r="V16" s="339">
        <f t="shared" si="17"/>
        <v>62.5</v>
      </c>
      <c r="W16" s="325">
        <v>2.4</v>
      </c>
      <c r="X16" s="598">
        <v>17541</v>
      </c>
      <c r="Y16" s="337">
        <f t="shared" si="9"/>
        <v>25</v>
      </c>
      <c r="Z16" s="339">
        <f t="shared" si="10"/>
        <v>60</v>
      </c>
      <c r="AA16" s="339">
        <f t="shared" si="11"/>
        <v>1054380</v>
      </c>
      <c r="AB16" s="711">
        <v>97333</v>
      </c>
      <c r="AC16" s="196">
        <f t="shared" si="19"/>
        <v>207</v>
      </c>
      <c r="AD16" s="325">
        <v>178773</v>
      </c>
      <c r="AE16" s="333">
        <f t="shared" si="18"/>
        <v>0.51754385964912286</v>
      </c>
      <c r="AF16" s="332">
        <f t="shared" si="13"/>
        <v>59</v>
      </c>
      <c r="AG16" s="477">
        <f>'Lpg (2)'!B19*2000/85</f>
        <v>2000</v>
      </c>
      <c r="AH16" s="478">
        <f>'Lpg (2)'!C19*1000/85</f>
        <v>1000</v>
      </c>
      <c r="AI16" s="479">
        <f>'Lpg (2)'!D19*1000/85</f>
        <v>105.88235294117646</v>
      </c>
      <c r="AJ16" s="197">
        <f t="shared" si="20"/>
        <v>5105882.3529411769</v>
      </c>
      <c r="AK16" s="198">
        <f t="shared" si="4"/>
        <v>82352.941176470369</v>
      </c>
      <c r="AL16" s="208"/>
    </row>
    <row r="17" spans="1:38" ht="18" thickBot="1" x14ac:dyDescent="0.35">
      <c r="A17" s="138">
        <f>Gen!A22</f>
        <v>43446</v>
      </c>
      <c r="B17" s="231">
        <f t="shared" si="5"/>
        <v>18.002600000000001</v>
      </c>
      <c r="C17" s="230">
        <f>SUM(Gen!B22)</f>
        <v>0.23380000000000001</v>
      </c>
      <c r="D17" s="229">
        <f>SUM('Summery Report'!E16)</f>
        <v>21</v>
      </c>
      <c r="E17" s="195">
        <f t="shared" si="15"/>
        <v>1.3262195121951219</v>
      </c>
      <c r="F17" s="211">
        <f t="shared" si="16"/>
        <v>121.08005226480834</v>
      </c>
      <c r="G17" s="211">
        <f t="shared" si="0"/>
        <v>133.59956445993026</v>
      </c>
      <c r="H17" s="195" t="e">
        <f>SUM(Gen!C22)</f>
        <v>#REF!</v>
      </c>
      <c r="I17" s="204">
        <f>SUM(Gen!D22)</f>
        <v>0</v>
      </c>
      <c r="J17" s="206">
        <f>SUM(Gen!S22)</f>
        <v>1917.2399999999998</v>
      </c>
      <c r="K17" s="205">
        <f>Gen!AJ22</f>
        <v>198.24</v>
      </c>
      <c r="L17" s="205">
        <f t="shared" si="1"/>
        <v>2115.4799999999996</v>
      </c>
      <c r="M17" s="207">
        <f>'Water-Meter'!D17</f>
        <v>174371</v>
      </c>
      <c r="N17" s="313">
        <f>'Water-Meter'!E17</f>
        <v>105</v>
      </c>
      <c r="O17" s="314">
        <v>1.2</v>
      </c>
      <c r="P17" s="314">
        <v>17064</v>
      </c>
      <c r="Q17" s="337">
        <f t="shared" si="2"/>
        <v>0</v>
      </c>
      <c r="R17" s="338">
        <f t="shared" si="6"/>
        <v>0</v>
      </c>
      <c r="S17" s="641">
        <v>2.5</v>
      </c>
      <c r="T17" s="542">
        <v>15096</v>
      </c>
      <c r="U17" s="337">
        <f t="shared" si="7"/>
        <v>25</v>
      </c>
      <c r="V17" s="339">
        <f t="shared" ref="V17:V36" si="21">SUM(U17*S17)</f>
        <v>62.5</v>
      </c>
      <c r="W17" s="325">
        <v>2.4</v>
      </c>
      <c r="X17" s="598">
        <v>17566</v>
      </c>
      <c r="Y17" s="337">
        <f t="shared" si="9"/>
        <v>25</v>
      </c>
      <c r="Z17" s="339">
        <f t="shared" si="10"/>
        <v>60</v>
      </c>
      <c r="AA17" s="339">
        <f t="shared" si="11"/>
        <v>1055160</v>
      </c>
      <c r="AB17" s="711">
        <v>97450</v>
      </c>
      <c r="AC17" s="196">
        <f t="shared" si="19"/>
        <v>117</v>
      </c>
      <c r="AD17" s="325">
        <v>178847</v>
      </c>
      <c r="AE17" s="333">
        <f t="shared" si="18"/>
        <v>0.70476190476190481</v>
      </c>
      <c r="AF17" s="332">
        <f t="shared" si="13"/>
        <v>74</v>
      </c>
      <c r="AG17" s="477">
        <f>'Lpg (2)'!B20*2000/85</f>
        <v>2000</v>
      </c>
      <c r="AH17" s="478">
        <f>'Lpg (2)'!C20*1000/85</f>
        <v>1000</v>
      </c>
      <c r="AI17" s="479">
        <f>'Lpg (2)'!D20*1000/85</f>
        <v>23.529411764705884</v>
      </c>
      <c r="AJ17" s="197">
        <f t="shared" si="20"/>
        <v>5023529.4117647056</v>
      </c>
      <c r="AK17" s="198">
        <f t="shared" si="4"/>
        <v>82352.9411764713</v>
      </c>
      <c r="AL17" s="208"/>
    </row>
    <row r="18" spans="1:38" ht="18" thickBot="1" x14ac:dyDescent="0.35">
      <c r="A18" s="138">
        <f>Gen!A23</f>
        <v>43447</v>
      </c>
      <c r="B18" s="231">
        <f t="shared" si="5"/>
        <v>20.997900000000001</v>
      </c>
      <c r="C18" s="230">
        <f>SUM(Gen!B23)</f>
        <v>0.2727</v>
      </c>
      <c r="D18" s="229">
        <f>SUM('Summery Report'!E17)</f>
        <v>23</v>
      </c>
      <c r="E18" s="195">
        <f t="shared" si="15"/>
        <v>1.3262195121951219</v>
      </c>
      <c r="F18" s="211">
        <f t="shared" si="16"/>
        <v>109.07175238600212</v>
      </c>
      <c r="G18" s="211">
        <f t="shared" si="0"/>
        <v>115.65095440084835</v>
      </c>
      <c r="H18" s="195" t="e">
        <f>SUM(Gen!C23)</f>
        <v>#REF!</v>
      </c>
      <c r="I18" s="204">
        <f>SUM(Gen!D23)</f>
        <v>0</v>
      </c>
      <c r="J18" s="206">
        <f>SUM(Gen!S23)</f>
        <v>1891.5800000000002</v>
      </c>
      <c r="K18" s="205">
        <f>Gen!AJ23</f>
        <v>114.10000000000001</v>
      </c>
      <c r="L18" s="205">
        <f t="shared" si="1"/>
        <v>2005.68</v>
      </c>
      <c r="M18" s="207">
        <f>'Water-Meter'!D18</f>
        <v>174482</v>
      </c>
      <c r="N18" s="313">
        <f>'Water-Meter'!E18</f>
        <v>111</v>
      </c>
      <c r="O18" s="314">
        <v>1.2</v>
      </c>
      <c r="P18" s="314">
        <v>17064</v>
      </c>
      <c r="Q18" s="337">
        <f t="shared" si="2"/>
        <v>0</v>
      </c>
      <c r="R18" s="338">
        <f t="shared" si="6"/>
        <v>0</v>
      </c>
      <c r="S18" s="641">
        <v>2.5</v>
      </c>
      <c r="T18" s="542">
        <v>15096</v>
      </c>
      <c r="U18" s="337">
        <f t="shared" si="7"/>
        <v>0</v>
      </c>
      <c r="V18" s="339">
        <f t="shared" si="21"/>
        <v>0</v>
      </c>
      <c r="W18" s="325">
        <v>2.4</v>
      </c>
      <c r="X18" s="598">
        <v>17573</v>
      </c>
      <c r="Y18" s="337">
        <f t="shared" si="9"/>
        <v>7</v>
      </c>
      <c r="Z18" s="339">
        <f t="shared" si="10"/>
        <v>16.8</v>
      </c>
      <c r="AA18" s="339">
        <f t="shared" si="11"/>
        <v>295965.60000000003</v>
      </c>
      <c r="AB18" s="711">
        <v>97479</v>
      </c>
      <c r="AC18" s="196">
        <f t="shared" si="19"/>
        <v>29</v>
      </c>
      <c r="AD18" s="325">
        <v>178921</v>
      </c>
      <c r="AE18" s="333">
        <f t="shared" si="18"/>
        <v>0.66666666666666663</v>
      </c>
      <c r="AF18" s="332">
        <f t="shared" si="13"/>
        <v>74</v>
      </c>
      <c r="AG18" s="477">
        <f>'Lpg (2)'!B21*2000/85</f>
        <v>2000</v>
      </c>
      <c r="AH18" s="478">
        <f>'Lpg (2)'!C21*1000/85</f>
        <v>917.64705882352939</v>
      </c>
      <c r="AI18" s="479">
        <f>'Lpg (2)'!D21*1000/85</f>
        <v>0</v>
      </c>
      <c r="AJ18" s="197">
        <f t="shared" si="20"/>
        <v>4917647.0588235296</v>
      </c>
      <c r="AK18" s="198">
        <f t="shared" si="4"/>
        <v>105882.35294117592</v>
      </c>
      <c r="AL18" s="208"/>
    </row>
    <row r="19" spans="1:38" ht="18" thickBot="1" x14ac:dyDescent="0.35">
      <c r="A19" s="138">
        <f>Gen!A24</f>
        <v>43448</v>
      </c>
      <c r="B19" s="231">
        <f t="shared" si="5"/>
        <v>19.9815</v>
      </c>
      <c r="C19" s="230">
        <f>SUM(Gen!B24)</f>
        <v>0.25950000000000001</v>
      </c>
      <c r="D19" s="229">
        <f>SUM('Summery Report'!E18)</f>
        <v>21</v>
      </c>
      <c r="E19" s="195">
        <f t="shared" si="15"/>
        <v>1.3262195121951219</v>
      </c>
      <c r="F19" s="211">
        <f t="shared" si="16"/>
        <v>125.829181184669</v>
      </c>
      <c r="G19" s="211">
        <f t="shared" si="0"/>
        <v>145.75531358885016</v>
      </c>
      <c r="H19" s="195" t="e">
        <f>SUM(Gen!C24)</f>
        <v>#REF!</v>
      </c>
      <c r="I19" s="204">
        <f>SUM(Gen!D24)</f>
        <v>0</v>
      </c>
      <c r="J19" s="206">
        <f>SUM(Gen!S24)</f>
        <v>1992.44</v>
      </c>
      <c r="K19" s="205">
        <f>Gen!AJ24</f>
        <v>315.52</v>
      </c>
      <c r="L19" s="205">
        <f t="shared" si="1"/>
        <v>2307.96</v>
      </c>
      <c r="M19" s="207">
        <f>'Water-Meter'!D19</f>
        <v>174582</v>
      </c>
      <c r="N19" s="313">
        <f>'Water-Meter'!E19</f>
        <v>100</v>
      </c>
      <c r="O19" s="314">
        <v>1.2</v>
      </c>
      <c r="P19" s="314">
        <v>17064</v>
      </c>
      <c r="Q19" s="337">
        <f t="shared" si="2"/>
        <v>0</v>
      </c>
      <c r="R19" s="338">
        <f t="shared" si="6"/>
        <v>0</v>
      </c>
      <c r="S19" s="641">
        <v>2.5</v>
      </c>
      <c r="T19" s="542">
        <v>15096</v>
      </c>
      <c r="U19" s="337">
        <f t="shared" si="7"/>
        <v>0</v>
      </c>
      <c r="V19" s="339">
        <f t="shared" si="21"/>
        <v>0</v>
      </c>
      <c r="W19" s="325">
        <v>2.4</v>
      </c>
      <c r="X19" s="598">
        <v>17586</v>
      </c>
      <c r="Y19" s="337">
        <f t="shared" si="9"/>
        <v>13</v>
      </c>
      <c r="Z19" s="339">
        <f t="shared" si="10"/>
        <v>31.2</v>
      </c>
      <c r="AA19" s="339">
        <f t="shared" si="11"/>
        <v>550399.19999999995</v>
      </c>
      <c r="AB19" s="711">
        <v>97530</v>
      </c>
      <c r="AC19" s="196">
        <f t="shared" si="19"/>
        <v>51</v>
      </c>
      <c r="AD19" s="325">
        <v>178977</v>
      </c>
      <c r="AE19" s="333">
        <f t="shared" si="18"/>
        <v>0.56000000000000005</v>
      </c>
      <c r="AF19" s="332">
        <f t="shared" si="13"/>
        <v>56</v>
      </c>
      <c r="AG19" s="477">
        <f>'Lpg (2)'!B22*2000/85</f>
        <v>2000</v>
      </c>
      <c r="AH19" s="478">
        <f>'Lpg (2)'!C22*1000/85</f>
        <v>776.47058823529414</v>
      </c>
      <c r="AI19" s="479">
        <f>'Lpg (2)'!D22*1000/85</f>
        <v>0</v>
      </c>
      <c r="AJ19" s="197">
        <f t="shared" si="20"/>
        <v>4776470.5882352944</v>
      </c>
      <c r="AK19" s="198">
        <f t="shared" si="4"/>
        <v>141176.47058823518</v>
      </c>
      <c r="AL19" s="208"/>
    </row>
    <row r="20" spans="1:38" ht="18" thickBot="1" x14ac:dyDescent="0.35">
      <c r="A20" s="138">
        <f>Gen!A25</f>
        <v>43449</v>
      </c>
      <c r="B20" s="231">
        <f t="shared" si="5"/>
        <v>10.002299999999998</v>
      </c>
      <c r="C20" s="230">
        <f>SUM(Gen!B25)</f>
        <v>0.12989999999999999</v>
      </c>
      <c r="D20" s="229">
        <f>SUM('Summery Report'!E19)</f>
        <v>11</v>
      </c>
      <c r="E20" s="195">
        <f t="shared" si="15"/>
        <v>1.3262195121951219</v>
      </c>
      <c r="F20" s="211">
        <f t="shared" si="16"/>
        <v>233.65335365853659</v>
      </c>
      <c r="G20" s="211">
        <f t="shared" si="0"/>
        <v>302.53478381374725</v>
      </c>
      <c r="H20" s="195" t="e">
        <f>SUM(Gen!C25)</f>
        <v>#REF!</v>
      </c>
      <c r="I20" s="204">
        <f>SUM(Gen!D25)</f>
        <v>0</v>
      </c>
      <c r="J20" s="206">
        <f>SUM(Gen!S25)</f>
        <v>1937.98</v>
      </c>
      <c r="K20" s="205">
        <f>Gen!AJ25</f>
        <v>571.31999999999994</v>
      </c>
      <c r="L20" s="205">
        <f t="shared" si="1"/>
        <v>2509.3000000000002</v>
      </c>
      <c r="M20" s="207">
        <f>'Water-Meter'!D20</f>
        <v>174669</v>
      </c>
      <c r="N20" s="313">
        <f>'Water-Meter'!E20</f>
        <v>87</v>
      </c>
      <c r="O20" s="314">
        <v>1.2</v>
      </c>
      <c r="P20" s="314">
        <v>17064</v>
      </c>
      <c r="Q20" s="337">
        <f t="shared" si="2"/>
        <v>0</v>
      </c>
      <c r="R20" s="338">
        <f t="shared" si="6"/>
        <v>0</v>
      </c>
      <c r="S20" s="641">
        <v>2.5</v>
      </c>
      <c r="T20" s="542">
        <v>15096</v>
      </c>
      <c r="U20" s="337">
        <f t="shared" si="7"/>
        <v>0</v>
      </c>
      <c r="V20" s="339">
        <f t="shared" si="21"/>
        <v>0</v>
      </c>
      <c r="W20" s="325">
        <v>2.4</v>
      </c>
      <c r="X20" s="598">
        <v>17617</v>
      </c>
      <c r="Y20" s="337">
        <f t="shared" si="9"/>
        <v>31</v>
      </c>
      <c r="Z20" s="339">
        <f t="shared" si="10"/>
        <v>74.399999999999991</v>
      </c>
      <c r="AA20" s="339">
        <f t="shared" si="11"/>
        <v>1314127.2</v>
      </c>
      <c r="AB20" s="711">
        <v>97591</v>
      </c>
      <c r="AC20" s="196">
        <f t="shared" si="19"/>
        <v>61</v>
      </c>
      <c r="AD20" s="325">
        <v>179014</v>
      </c>
      <c r="AE20" s="333">
        <f t="shared" si="18"/>
        <v>0.42528735632183906</v>
      </c>
      <c r="AF20" s="332">
        <f t="shared" si="13"/>
        <v>37</v>
      </c>
      <c r="AG20" s="477">
        <f>'Lpg (2)'!B23*2000/85</f>
        <v>2000</v>
      </c>
      <c r="AH20" s="478">
        <f>'Lpg (2)'!C23*1000/85</f>
        <v>705.88235294117646</v>
      </c>
      <c r="AI20" s="479">
        <f>'Lpg (2)'!D23*1000/85</f>
        <v>0</v>
      </c>
      <c r="AJ20" s="197">
        <f t="shared" si="20"/>
        <v>4705882.3529411769</v>
      </c>
      <c r="AK20" s="198">
        <f t="shared" si="4"/>
        <v>70588.235294117592</v>
      </c>
      <c r="AL20" s="208"/>
    </row>
    <row r="21" spans="1:38" ht="18" thickBot="1" x14ac:dyDescent="0.35">
      <c r="A21" s="138">
        <f>Gen!A26</f>
        <v>43450</v>
      </c>
      <c r="B21" s="231">
        <f t="shared" si="5"/>
        <v>19.9969</v>
      </c>
      <c r="C21" s="230">
        <f>SUM(Gen!B26)</f>
        <v>0.25969999999999999</v>
      </c>
      <c r="D21" s="229">
        <f>SUM('Summery Report'!E20)</f>
        <v>21</v>
      </c>
      <c r="E21" s="195">
        <f t="shared" si="15"/>
        <v>1.3262195121951219</v>
      </c>
      <c r="F21" s="211">
        <f t="shared" si="16"/>
        <v>128.96726916376306</v>
      </c>
      <c r="G21" s="211">
        <f t="shared" si="0"/>
        <v>150.17036149825785</v>
      </c>
      <c r="H21" s="195" t="e">
        <f>SUM(Gen!C26)</f>
        <v>#REF!</v>
      </c>
      <c r="I21" s="204">
        <f>SUM(Gen!D26)</f>
        <v>12000</v>
      </c>
      <c r="J21" s="206">
        <f>SUM(Gen!S26)</f>
        <v>2042.1299999999999</v>
      </c>
      <c r="K21" s="205">
        <f>Gen!AJ26</f>
        <v>335.74</v>
      </c>
      <c r="L21" s="205">
        <f t="shared" si="1"/>
        <v>2377.87</v>
      </c>
      <c r="M21" s="207">
        <f>'Water-Meter'!D21</f>
        <v>174774</v>
      </c>
      <c r="N21" s="313">
        <f>'Water-Meter'!E21</f>
        <v>105</v>
      </c>
      <c r="O21" s="314">
        <v>2.6</v>
      </c>
      <c r="P21" s="314">
        <v>17097</v>
      </c>
      <c r="Q21" s="337">
        <f t="shared" si="2"/>
        <v>33</v>
      </c>
      <c r="R21" s="338">
        <f t="shared" si="6"/>
        <v>85.8</v>
      </c>
      <c r="S21" s="641">
        <v>2.5</v>
      </c>
      <c r="T21" s="542">
        <v>15096</v>
      </c>
      <c r="U21" s="337">
        <f t="shared" si="7"/>
        <v>0</v>
      </c>
      <c r="V21" s="339">
        <f t="shared" si="21"/>
        <v>0</v>
      </c>
      <c r="W21" s="325">
        <v>2.2999999999999998</v>
      </c>
      <c r="X21" s="598">
        <v>17641</v>
      </c>
      <c r="Y21" s="337">
        <f t="shared" si="9"/>
        <v>24</v>
      </c>
      <c r="Z21" s="339">
        <f t="shared" si="10"/>
        <v>55.199999999999996</v>
      </c>
      <c r="AA21" s="339">
        <f t="shared" si="11"/>
        <v>976432.79999999993</v>
      </c>
      <c r="AB21" s="711">
        <v>97691</v>
      </c>
      <c r="AC21" s="196">
        <f t="shared" si="19"/>
        <v>100</v>
      </c>
      <c r="AD21" s="325">
        <v>179014</v>
      </c>
      <c r="AE21" s="333">
        <f t="shared" si="18"/>
        <v>0</v>
      </c>
      <c r="AF21" s="332">
        <f t="shared" si="13"/>
        <v>0</v>
      </c>
      <c r="AG21" s="477">
        <f>'Lpg (2)'!B24*2000/85</f>
        <v>2000</v>
      </c>
      <c r="AH21" s="478">
        <f>'Lpg (2)'!C24*1000/85</f>
        <v>658.82352941176475</v>
      </c>
      <c r="AI21" s="479">
        <f>'Lpg (2)'!D24*1000/85</f>
        <v>0</v>
      </c>
      <c r="AJ21" s="197">
        <f t="shared" si="20"/>
        <v>4658823.5294117648</v>
      </c>
      <c r="AK21" s="198">
        <f t="shared" si="4"/>
        <v>47058.823529412039</v>
      </c>
      <c r="AL21" s="208"/>
    </row>
    <row r="22" spans="1:38" ht="18" thickBot="1" x14ac:dyDescent="0.35">
      <c r="A22" s="138">
        <f>Gen!A27</f>
        <v>43451</v>
      </c>
      <c r="B22" s="231">
        <f t="shared" si="5"/>
        <v>22.9999</v>
      </c>
      <c r="C22" s="230">
        <f>SUM(Gen!B27)</f>
        <v>0.29870000000000002</v>
      </c>
      <c r="D22" s="229">
        <f>SUM('Summery Report'!E21)</f>
        <v>24</v>
      </c>
      <c r="E22" s="195">
        <f t="shared" si="15"/>
        <v>1.3262195121951219</v>
      </c>
      <c r="F22" s="211">
        <f t="shared" si="16"/>
        <v>115.9922637195122</v>
      </c>
      <c r="G22" s="211">
        <f t="shared" si="0"/>
        <v>148.11495807926829</v>
      </c>
      <c r="H22" s="195" t="e">
        <f>SUM(Gen!C27)</f>
        <v>#REF!</v>
      </c>
      <c r="I22" s="204">
        <f>SUM(Gen!D27)</f>
        <v>0</v>
      </c>
      <c r="J22" s="206">
        <f>SUM(Gen!S27)</f>
        <v>2099.06</v>
      </c>
      <c r="K22" s="205">
        <f>Gen!AJ27</f>
        <v>581.30999999999995</v>
      </c>
      <c r="L22" s="205">
        <f t="shared" si="1"/>
        <v>2680.37</v>
      </c>
      <c r="M22" s="207">
        <f>'Water-Meter'!D22</f>
        <v>174883</v>
      </c>
      <c r="N22" s="313">
        <f>'Water-Meter'!E22</f>
        <v>109</v>
      </c>
      <c r="O22" s="314">
        <v>2.6</v>
      </c>
      <c r="P22" s="314">
        <v>17121</v>
      </c>
      <c r="Q22" s="337">
        <f t="shared" si="2"/>
        <v>24</v>
      </c>
      <c r="R22" s="338">
        <f t="shared" si="6"/>
        <v>62.400000000000006</v>
      </c>
      <c r="S22" s="641">
        <v>2.5</v>
      </c>
      <c r="T22" s="542">
        <v>15096</v>
      </c>
      <c r="U22" s="337">
        <f t="shared" si="7"/>
        <v>0</v>
      </c>
      <c r="V22" s="339">
        <f t="shared" si="21"/>
        <v>0</v>
      </c>
      <c r="W22" s="325">
        <v>2.2999999999999998</v>
      </c>
      <c r="X22" s="598">
        <v>17663</v>
      </c>
      <c r="Y22" s="337">
        <f t="shared" si="9"/>
        <v>22</v>
      </c>
      <c r="Z22" s="339">
        <f t="shared" si="10"/>
        <v>50.599999999999994</v>
      </c>
      <c r="AA22" s="339">
        <f t="shared" si="11"/>
        <v>895822.39999999991</v>
      </c>
      <c r="AB22" s="711">
        <v>97796</v>
      </c>
      <c r="AC22" s="196">
        <f t="shared" si="19"/>
        <v>105</v>
      </c>
      <c r="AD22" s="325">
        <v>179063</v>
      </c>
      <c r="AE22" s="333">
        <f t="shared" si="18"/>
        <v>0.44954128440366975</v>
      </c>
      <c r="AF22" s="332">
        <f t="shared" si="13"/>
        <v>49</v>
      </c>
      <c r="AG22" s="477">
        <f>'Lpg (2)'!B25*2000/85</f>
        <v>2000</v>
      </c>
      <c r="AH22" s="478">
        <f>'Lpg (2)'!C25*1000/85</f>
        <v>611.76470588235293</v>
      </c>
      <c r="AI22" s="479">
        <f>'Lpg (2)'!D25*1000/85</f>
        <v>0</v>
      </c>
      <c r="AJ22" s="197">
        <f t="shared" si="20"/>
        <v>4611764.7058823528</v>
      </c>
      <c r="AK22" s="198">
        <f t="shared" si="4"/>
        <v>47058.823529412039</v>
      </c>
      <c r="AL22" s="208"/>
    </row>
    <row r="23" spans="1:38" ht="18" thickBot="1" x14ac:dyDescent="0.35">
      <c r="A23" s="138">
        <f>Gen!A28</f>
        <v>43452</v>
      </c>
      <c r="B23" s="231">
        <f t="shared" si="5"/>
        <v>39.000499999999995</v>
      </c>
      <c r="C23" s="230">
        <f>SUM(Gen!B28)</f>
        <v>0.50649999999999995</v>
      </c>
      <c r="D23" s="229">
        <f>SUM('Summery Report'!E22)</f>
        <v>41</v>
      </c>
      <c r="E23" s="195">
        <f t="shared" si="15"/>
        <v>1.3262195121951219</v>
      </c>
      <c r="F23" s="211">
        <f t="shared" si="16"/>
        <v>76.726003866745984</v>
      </c>
      <c r="G23" s="211">
        <f t="shared" si="0"/>
        <v>82.733131320642471</v>
      </c>
      <c r="H23" s="195" t="e">
        <f>SUM(Gen!C28)</f>
        <v>#REF!</v>
      </c>
      <c r="I23" s="204">
        <f>SUM(Gen!D28)</f>
        <v>0</v>
      </c>
      <c r="J23" s="206">
        <f>SUM(Gen!S28)</f>
        <v>2371.98</v>
      </c>
      <c r="K23" s="205">
        <f>Gen!AJ28</f>
        <v>185.71</v>
      </c>
      <c r="L23" s="205">
        <f t="shared" si="1"/>
        <v>2557.69</v>
      </c>
      <c r="M23" s="207">
        <f>'Water-Meter'!D23</f>
        <v>174997</v>
      </c>
      <c r="N23" s="313">
        <f>'Water-Meter'!E23</f>
        <v>114</v>
      </c>
      <c r="O23" s="314">
        <v>2.6</v>
      </c>
      <c r="P23" s="314">
        <v>17145</v>
      </c>
      <c r="Q23" s="337">
        <f t="shared" si="2"/>
        <v>24</v>
      </c>
      <c r="R23" s="338">
        <f t="shared" si="6"/>
        <v>62.400000000000006</v>
      </c>
      <c r="S23" s="641">
        <v>2.5</v>
      </c>
      <c r="T23" s="542">
        <v>15096</v>
      </c>
      <c r="U23" s="337">
        <f t="shared" si="7"/>
        <v>0</v>
      </c>
      <c r="V23" s="339">
        <f t="shared" si="21"/>
        <v>0</v>
      </c>
      <c r="W23" s="325">
        <v>2.2999999999999998</v>
      </c>
      <c r="X23" s="598">
        <v>17689</v>
      </c>
      <c r="Y23" s="337">
        <f t="shared" si="9"/>
        <v>26</v>
      </c>
      <c r="Z23" s="339">
        <f t="shared" si="10"/>
        <v>59.8</v>
      </c>
      <c r="AA23" s="339">
        <f t="shared" si="11"/>
        <v>1058878.5999999999</v>
      </c>
      <c r="AB23" s="711">
        <v>97900</v>
      </c>
      <c r="AC23" s="196">
        <f t="shared" si="19"/>
        <v>104</v>
      </c>
      <c r="AD23" s="325">
        <v>179111</v>
      </c>
      <c r="AE23" s="333">
        <f t="shared" si="18"/>
        <v>0.42105263157894735</v>
      </c>
      <c r="AF23" s="332">
        <f t="shared" si="13"/>
        <v>48</v>
      </c>
      <c r="AG23" s="477">
        <f>'Lpg (2)'!B26*2000/85</f>
        <v>2000</v>
      </c>
      <c r="AH23" s="478">
        <f>'Lpg (2)'!C26*1000/85</f>
        <v>576.47058823529414</v>
      </c>
      <c r="AI23" s="479">
        <f>'Lpg (2)'!D26*1000/85</f>
        <v>0</v>
      </c>
      <c r="AJ23" s="197">
        <f t="shared" si="20"/>
        <v>4576470.5882352944</v>
      </c>
      <c r="AK23" s="198">
        <f t="shared" si="4"/>
        <v>35294.11764705833</v>
      </c>
      <c r="AL23" s="208"/>
    </row>
    <row r="24" spans="1:38" ht="18" thickBot="1" x14ac:dyDescent="0.35">
      <c r="A24" s="138">
        <f>Gen!A29</f>
        <v>43453</v>
      </c>
      <c r="B24" s="231">
        <f t="shared" si="5"/>
        <v>34.0032</v>
      </c>
      <c r="C24" s="230">
        <f>SUM(Gen!B29)</f>
        <v>0.44159999999999999</v>
      </c>
      <c r="D24" s="229">
        <f>SUM('Summery Report'!E23)</f>
        <v>35</v>
      </c>
      <c r="E24" s="195">
        <f t="shared" si="15"/>
        <v>1.3262195121951219</v>
      </c>
      <c r="F24" s="211">
        <f t="shared" si="16"/>
        <v>85.588523519163758</v>
      </c>
      <c r="G24" s="211">
        <f t="shared" si="0"/>
        <v>90.05977787456446</v>
      </c>
      <c r="H24" s="195" t="e">
        <f>SUM(Gen!C29)</f>
        <v>#REF!</v>
      </c>
      <c r="I24" s="204">
        <f>SUM(Gen!D29)</f>
        <v>0</v>
      </c>
      <c r="J24" s="206">
        <f>SUM(Gen!S29)</f>
        <v>2258.75</v>
      </c>
      <c r="K24" s="205">
        <f>Gen!AJ29</f>
        <v>118</v>
      </c>
      <c r="L24" s="205">
        <f t="shared" si="1"/>
        <v>2376.75</v>
      </c>
      <c r="M24" s="207">
        <f>'Water-Meter'!D24</f>
        <v>175107</v>
      </c>
      <c r="N24" s="313">
        <f>'Water-Meter'!E24</f>
        <v>110</v>
      </c>
      <c r="O24" s="314">
        <v>2.6</v>
      </c>
      <c r="P24" s="314">
        <v>17160</v>
      </c>
      <c r="Q24" s="337">
        <f t="shared" si="2"/>
        <v>15</v>
      </c>
      <c r="R24" s="338">
        <f t="shared" si="6"/>
        <v>39</v>
      </c>
      <c r="S24" s="641">
        <v>2.5</v>
      </c>
      <c r="T24" s="542">
        <v>15096</v>
      </c>
      <c r="U24" s="337">
        <f t="shared" si="7"/>
        <v>0</v>
      </c>
      <c r="V24" s="339">
        <f t="shared" si="21"/>
        <v>0</v>
      </c>
      <c r="W24" s="325">
        <v>2.2999999999999998</v>
      </c>
      <c r="X24" s="598">
        <v>17704</v>
      </c>
      <c r="Y24" s="337">
        <f t="shared" si="9"/>
        <v>15</v>
      </c>
      <c r="Z24" s="339">
        <f t="shared" si="10"/>
        <v>34.5</v>
      </c>
      <c r="AA24" s="339">
        <f t="shared" si="11"/>
        <v>611719.5</v>
      </c>
      <c r="AB24" s="711">
        <v>97960</v>
      </c>
      <c r="AC24" s="196">
        <f t="shared" si="19"/>
        <v>60</v>
      </c>
      <c r="AD24" s="325">
        <v>179219</v>
      </c>
      <c r="AE24" s="333">
        <f t="shared" si="18"/>
        <v>0.98181818181818181</v>
      </c>
      <c r="AF24" s="332">
        <f t="shared" si="13"/>
        <v>108</v>
      </c>
      <c r="AG24" s="477">
        <f>'Lpg (2)'!B27*2000/85</f>
        <v>2000</v>
      </c>
      <c r="AH24" s="478">
        <f>'Lpg (2)'!C27*1000/85</f>
        <v>435.29411764705884</v>
      </c>
      <c r="AI24" s="479">
        <f>'Lpg (2)'!D27*1000/85</f>
        <v>0</v>
      </c>
      <c r="AJ24" s="197">
        <f t="shared" si="20"/>
        <v>4435294.1176470593</v>
      </c>
      <c r="AK24" s="198">
        <f t="shared" si="4"/>
        <v>141176.47058823518</v>
      </c>
      <c r="AL24" s="208"/>
    </row>
    <row r="25" spans="1:38" ht="18" thickBot="1" x14ac:dyDescent="0.35">
      <c r="A25" s="138">
        <f>Gen!A30</f>
        <v>43454</v>
      </c>
      <c r="B25" s="231">
        <f t="shared" si="5"/>
        <v>31.0002</v>
      </c>
      <c r="C25" s="230">
        <f>SUM(Gen!B30)</f>
        <v>0.40260000000000001</v>
      </c>
      <c r="D25" s="229">
        <f>SUM('Summery Report'!E24)</f>
        <v>34</v>
      </c>
      <c r="E25" s="195">
        <f t="shared" si="15"/>
        <v>1.3262195121951219</v>
      </c>
      <c r="F25" s="211">
        <f t="shared" si="16"/>
        <v>91.87307657819224</v>
      </c>
      <c r="G25" s="211">
        <f t="shared" si="0"/>
        <v>118.79104196556671</v>
      </c>
      <c r="H25" s="195" t="e">
        <f>SUM(Gen!C30)</f>
        <v>#REF!</v>
      </c>
      <c r="I25" s="204">
        <f>SUM(Gen!D30)</f>
        <v>0</v>
      </c>
      <c r="J25" s="206">
        <f>SUM(Gen!S30)</f>
        <v>2355.33</v>
      </c>
      <c r="K25" s="205">
        <f>Gen!AJ30</f>
        <v>690.09</v>
      </c>
      <c r="L25" s="205">
        <f t="shared" si="1"/>
        <v>3045.42</v>
      </c>
      <c r="M25" s="207">
        <f>'Water-Meter'!D25</f>
        <v>175230</v>
      </c>
      <c r="N25" s="313">
        <f>'Water-Meter'!E25</f>
        <v>123</v>
      </c>
      <c r="O25" s="314">
        <v>2.6</v>
      </c>
      <c r="P25" s="314">
        <v>17160</v>
      </c>
      <c r="Q25" s="337">
        <f t="shared" si="2"/>
        <v>0</v>
      </c>
      <c r="R25" s="338">
        <f t="shared" si="6"/>
        <v>0</v>
      </c>
      <c r="S25" s="641">
        <v>2.5</v>
      </c>
      <c r="T25" s="542">
        <v>15107</v>
      </c>
      <c r="U25" s="337">
        <f t="shared" si="7"/>
        <v>11</v>
      </c>
      <c r="V25" s="339">
        <f t="shared" si="21"/>
        <v>27.5</v>
      </c>
      <c r="W25" s="325">
        <v>2.2999999999999998</v>
      </c>
      <c r="X25" s="598">
        <v>17707</v>
      </c>
      <c r="Y25" s="337">
        <f t="shared" si="9"/>
        <v>3</v>
      </c>
      <c r="Z25" s="339">
        <f t="shared" si="10"/>
        <v>6.8999999999999995</v>
      </c>
      <c r="AA25" s="339">
        <f t="shared" si="11"/>
        <v>122392.2</v>
      </c>
      <c r="AB25" s="711">
        <v>97983</v>
      </c>
      <c r="AC25" s="196">
        <f t="shared" si="19"/>
        <v>23</v>
      </c>
      <c r="AD25" s="325">
        <v>179300</v>
      </c>
      <c r="AE25" s="333">
        <f t="shared" si="18"/>
        <v>0.65853658536585369</v>
      </c>
      <c r="AF25" s="332">
        <f t="shared" si="13"/>
        <v>81</v>
      </c>
      <c r="AG25" s="477">
        <f>'Lpg (2)'!B28*2000/85</f>
        <v>2000</v>
      </c>
      <c r="AH25" s="478">
        <f>'Lpg (2)'!C28*1000/85</f>
        <v>341.1764705882353</v>
      </c>
      <c r="AI25" s="479">
        <f>'Lpg (2)'!D28*1000/85</f>
        <v>0</v>
      </c>
      <c r="AJ25" s="197">
        <f t="shared" si="20"/>
        <v>4341176.4705882352</v>
      </c>
      <c r="AK25" s="198">
        <f t="shared" si="4"/>
        <v>94117.647058824077</v>
      </c>
      <c r="AL25" s="208"/>
    </row>
    <row r="26" spans="1:38" ht="18" thickBot="1" x14ac:dyDescent="0.35">
      <c r="A26" s="138">
        <f>Gen!A31</f>
        <v>43455</v>
      </c>
      <c r="B26" s="231">
        <f t="shared" si="5"/>
        <v>37.999499999999998</v>
      </c>
      <c r="C26" s="230">
        <f>SUM(Gen!B31)</f>
        <v>0.49349999999999999</v>
      </c>
      <c r="D26" s="229">
        <f>SUM('Summery Report'!E25)</f>
        <v>41</v>
      </c>
      <c r="E26" s="195">
        <f t="shared" si="15"/>
        <v>1.3262195121951219</v>
      </c>
      <c r="F26" s="211">
        <f>SUM(J26*E26)/D26</f>
        <v>69.849717430101137</v>
      </c>
      <c r="G26" s="211">
        <f t="shared" si="0"/>
        <v>87.458677870315285</v>
      </c>
      <c r="H26" s="195" t="e">
        <f>SUM(Gen!C31)</f>
        <v>#REF!</v>
      </c>
      <c r="I26" s="204">
        <f>SUM(Gen!D31)</f>
        <v>0</v>
      </c>
      <c r="J26" s="206">
        <f>SUM(Gen!S31)</f>
        <v>2159.4</v>
      </c>
      <c r="K26" s="205">
        <f>Gen!AJ31</f>
        <v>544.38</v>
      </c>
      <c r="L26" s="205">
        <f t="shared" si="1"/>
        <v>2703.78</v>
      </c>
      <c r="M26" s="207">
        <f>'Water-Meter'!D26</f>
        <v>175360</v>
      </c>
      <c r="N26" s="313">
        <f>'Water-Meter'!E26</f>
        <v>130</v>
      </c>
      <c r="O26" s="314">
        <v>2.5</v>
      </c>
      <c r="P26" s="314">
        <v>17163</v>
      </c>
      <c r="Q26" s="337">
        <f t="shared" si="2"/>
        <v>3</v>
      </c>
      <c r="R26" s="338">
        <f t="shared" si="6"/>
        <v>7.5</v>
      </c>
      <c r="S26" s="641">
        <v>2.5</v>
      </c>
      <c r="T26" s="542">
        <v>15128</v>
      </c>
      <c r="U26" s="337">
        <f t="shared" si="7"/>
        <v>21</v>
      </c>
      <c r="V26" s="339">
        <f t="shared" si="21"/>
        <v>52.5</v>
      </c>
      <c r="W26" s="325">
        <v>2.8</v>
      </c>
      <c r="X26" s="598">
        <v>17731</v>
      </c>
      <c r="Y26" s="337">
        <f t="shared" si="9"/>
        <v>24</v>
      </c>
      <c r="Z26" s="339">
        <f t="shared" si="10"/>
        <v>67.199999999999989</v>
      </c>
      <c r="AA26" s="339">
        <f t="shared" si="11"/>
        <v>1192732.7999999998</v>
      </c>
      <c r="AB26" s="711">
        <v>98110</v>
      </c>
      <c r="AC26" s="196">
        <f t="shared" si="19"/>
        <v>127</v>
      </c>
      <c r="AD26" s="325">
        <v>179381</v>
      </c>
      <c r="AE26" s="333">
        <f t="shared" si="18"/>
        <v>0.62307692307692308</v>
      </c>
      <c r="AF26" s="332">
        <f t="shared" si="13"/>
        <v>81</v>
      </c>
      <c r="AG26" s="477">
        <f>'Lpg (2)'!B29*2000/85</f>
        <v>2000</v>
      </c>
      <c r="AH26" s="478">
        <f>'Lpg (2)'!C29*1000/85</f>
        <v>235.29411764705881</v>
      </c>
      <c r="AI26" s="479">
        <f>'Lpg (2)'!D29*1000/85</f>
        <v>0</v>
      </c>
      <c r="AJ26" s="197">
        <f t="shared" si="20"/>
        <v>4235294.1176470593</v>
      </c>
      <c r="AK26" s="198">
        <f t="shared" si="4"/>
        <v>105882.35294117592</v>
      </c>
      <c r="AL26" s="208"/>
    </row>
    <row r="27" spans="1:38" ht="18" thickBot="1" x14ac:dyDescent="0.35">
      <c r="A27" s="138">
        <f>Gen!A32</f>
        <v>43456</v>
      </c>
      <c r="B27" s="231">
        <f t="shared" si="5"/>
        <v>37.999499999999998</v>
      </c>
      <c r="C27" s="230">
        <f>SUM(Gen!B32)</f>
        <v>0.49349999999999999</v>
      </c>
      <c r="D27" s="229">
        <f>SUM('Summery Report'!E26)</f>
        <v>41</v>
      </c>
      <c r="E27" s="195">
        <f t="shared" si="15"/>
        <v>1.3262195121951219</v>
      </c>
      <c r="F27" s="211">
        <f t="shared" si="16"/>
        <v>80.900037180249839</v>
      </c>
      <c r="G27" s="211">
        <f t="shared" si="0"/>
        <v>91.339325550267688</v>
      </c>
      <c r="H27" s="195" t="e">
        <f>SUM(Gen!C32)</f>
        <v>#REF!</v>
      </c>
      <c r="I27" s="204">
        <f>SUM(Gen!D32)</f>
        <v>16800</v>
      </c>
      <c r="J27" s="206">
        <f>SUM(Gen!S32)</f>
        <v>2501.02</v>
      </c>
      <c r="K27" s="205">
        <f>Gen!AJ32</f>
        <v>322.73</v>
      </c>
      <c r="L27" s="205">
        <f t="shared" si="1"/>
        <v>2823.75</v>
      </c>
      <c r="M27" s="207">
        <f>'Water-Meter'!D27</f>
        <v>175490</v>
      </c>
      <c r="N27" s="313">
        <f>'Water-Meter'!E27</f>
        <v>130</v>
      </c>
      <c r="O27" s="314">
        <v>2.5</v>
      </c>
      <c r="P27" s="314">
        <v>17164</v>
      </c>
      <c r="Q27" s="337">
        <f t="shared" si="2"/>
        <v>1</v>
      </c>
      <c r="R27" s="338">
        <f t="shared" si="6"/>
        <v>2.5</v>
      </c>
      <c r="S27" s="641">
        <v>2.5</v>
      </c>
      <c r="T27" s="542">
        <v>15128</v>
      </c>
      <c r="U27" s="337">
        <f t="shared" si="7"/>
        <v>0</v>
      </c>
      <c r="V27" s="339">
        <f t="shared" si="21"/>
        <v>0</v>
      </c>
      <c r="W27" s="325">
        <v>2.8</v>
      </c>
      <c r="X27" s="598">
        <v>17738</v>
      </c>
      <c r="Y27" s="337">
        <f t="shared" si="9"/>
        <v>7</v>
      </c>
      <c r="Z27" s="339">
        <f t="shared" si="10"/>
        <v>19.599999999999998</v>
      </c>
      <c r="AA27" s="339">
        <f t="shared" si="11"/>
        <v>347880.39999999997</v>
      </c>
      <c r="AB27" s="711">
        <v>98145</v>
      </c>
      <c r="AC27" s="196">
        <f t="shared" si="19"/>
        <v>35</v>
      </c>
      <c r="AD27" s="325">
        <v>179466</v>
      </c>
      <c r="AE27" s="333">
        <f t="shared" si="18"/>
        <v>0.65384615384615385</v>
      </c>
      <c r="AF27" s="332">
        <f t="shared" si="13"/>
        <v>85</v>
      </c>
      <c r="AG27" s="477">
        <f>'Lpg (2)'!B30*2000/85</f>
        <v>2000</v>
      </c>
      <c r="AH27" s="478">
        <f>'Lpg (2)'!C30*1000/85</f>
        <v>176.47058823529412</v>
      </c>
      <c r="AI27" s="479">
        <f>'Lpg (2)'!D30*1000/85</f>
        <v>0</v>
      </c>
      <c r="AJ27" s="197">
        <f t="shared" si="20"/>
        <v>4176470.588235294</v>
      </c>
      <c r="AK27" s="198">
        <f t="shared" si="4"/>
        <v>58823.529411765281</v>
      </c>
      <c r="AL27" s="208"/>
    </row>
    <row r="28" spans="1:38" ht="18" thickBot="1" x14ac:dyDescent="0.35">
      <c r="A28" s="138">
        <f>Gen!A33</f>
        <v>43457</v>
      </c>
      <c r="B28" s="231">
        <f t="shared" si="5"/>
        <v>34.311199999999999</v>
      </c>
      <c r="C28" s="230">
        <f>SUM(Gen!B33)</f>
        <v>0.4456</v>
      </c>
      <c r="D28" s="229">
        <f>SUM('Summery Report'!E27)</f>
        <v>35</v>
      </c>
      <c r="E28" s="195">
        <f t="shared" si="15"/>
        <v>1.3262195121951219</v>
      </c>
      <c r="F28" s="211">
        <f t="shared" si="16"/>
        <v>90.011276132404177</v>
      </c>
      <c r="G28" s="211">
        <f t="shared" si="0"/>
        <v>93.56971254355399</v>
      </c>
      <c r="H28" s="195" t="e">
        <f>SUM(Gen!C33)</f>
        <v>#REF!</v>
      </c>
      <c r="I28" s="204">
        <f>SUM(Gen!D33)</f>
        <v>0</v>
      </c>
      <c r="J28" s="206">
        <f>SUM(Gen!S33)</f>
        <v>2375.4699999999998</v>
      </c>
      <c r="K28" s="205">
        <f>Gen!AJ33</f>
        <v>93.91</v>
      </c>
      <c r="L28" s="205">
        <f t="shared" si="1"/>
        <v>2469.3799999999997</v>
      </c>
      <c r="M28" s="207">
        <f>'Water-Meter'!D28</f>
        <v>175621</v>
      </c>
      <c r="N28" s="313">
        <f>'Water-Meter'!E28</f>
        <v>131</v>
      </c>
      <c r="O28" s="314"/>
      <c r="P28" s="314">
        <v>17164</v>
      </c>
      <c r="Q28" s="337">
        <f t="shared" si="2"/>
        <v>0</v>
      </c>
      <c r="R28" s="338">
        <f t="shared" si="6"/>
        <v>0</v>
      </c>
      <c r="S28" s="641"/>
      <c r="T28" s="542">
        <v>15128</v>
      </c>
      <c r="U28" s="337">
        <f t="shared" si="7"/>
        <v>0</v>
      </c>
      <c r="V28" s="339">
        <f t="shared" si="21"/>
        <v>0</v>
      </c>
      <c r="W28" s="325">
        <v>2.4</v>
      </c>
      <c r="X28" s="598">
        <v>17749</v>
      </c>
      <c r="Y28" s="337">
        <f t="shared" si="9"/>
        <v>11</v>
      </c>
      <c r="Z28" s="339">
        <f t="shared" si="10"/>
        <v>26.4</v>
      </c>
      <c r="AA28" s="339">
        <f t="shared" si="11"/>
        <v>468784.8</v>
      </c>
      <c r="AB28" s="711">
        <v>98175</v>
      </c>
      <c r="AC28" s="196">
        <f t="shared" si="19"/>
        <v>30</v>
      </c>
      <c r="AD28" s="325">
        <v>179541</v>
      </c>
      <c r="AE28" s="333">
        <f t="shared" si="18"/>
        <v>0.5725190839694656</v>
      </c>
      <c r="AF28" s="332">
        <f t="shared" si="13"/>
        <v>75</v>
      </c>
      <c r="AG28" s="477">
        <f>'Lpg (2)'!B31*2000/85</f>
        <v>2000</v>
      </c>
      <c r="AH28" s="478">
        <f>'Lpg (2)'!C31*1000/85</f>
        <v>129.41176470588235</v>
      </c>
      <c r="AI28" s="479">
        <f>'Lpg (2)'!D31*1000/85</f>
        <v>0</v>
      </c>
      <c r="AJ28" s="197">
        <f t="shared" si="20"/>
        <v>4129411.7647058824</v>
      </c>
      <c r="AK28" s="198">
        <f t="shared" si="4"/>
        <v>47058.823529411573</v>
      </c>
      <c r="AL28" s="208"/>
    </row>
    <row r="29" spans="1:38" ht="18" thickBot="1" x14ac:dyDescent="0.35">
      <c r="A29" s="138">
        <f>Gen!A34</f>
        <v>43458</v>
      </c>
      <c r="B29" s="231">
        <f t="shared" si="5"/>
        <v>39.000499999999995</v>
      </c>
      <c r="C29" s="230">
        <f>SUM(Gen!B34)</f>
        <v>0.50649999999999995</v>
      </c>
      <c r="D29" s="229">
        <f>SUM('Summery Report'!E28)</f>
        <v>40</v>
      </c>
      <c r="E29" s="195">
        <f t="shared" si="15"/>
        <v>1.3262195121951219</v>
      </c>
      <c r="F29" s="211">
        <f t="shared" si="16"/>
        <v>89.79434451219511</v>
      </c>
      <c r="G29" s="211">
        <f t="shared" si="0"/>
        <v>115.86350990853657</v>
      </c>
      <c r="H29" s="195" t="e">
        <f>SUM(Gen!C34)</f>
        <v>#REF!</v>
      </c>
      <c r="I29" s="204">
        <f>SUM(Gen!D34)</f>
        <v>0</v>
      </c>
      <c r="J29" s="206">
        <f>SUM(Gen!S34)</f>
        <v>2708.2799999999997</v>
      </c>
      <c r="K29" s="205">
        <f>Gen!AJ34</f>
        <v>786.27</v>
      </c>
      <c r="L29" s="205">
        <f t="shared" si="1"/>
        <v>3494.5499999999997</v>
      </c>
      <c r="M29" s="207">
        <f>'Water-Meter'!D29</f>
        <v>175733</v>
      </c>
      <c r="N29" s="313">
        <f>'Water-Meter'!E29</f>
        <v>112</v>
      </c>
      <c r="O29" s="314"/>
      <c r="P29" s="314">
        <v>17164</v>
      </c>
      <c r="Q29" s="337">
        <f t="shared" si="2"/>
        <v>0</v>
      </c>
      <c r="R29" s="338">
        <f t="shared" si="6"/>
        <v>0</v>
      </c>
      <c r="S29" s="641"/>
      <c r="T29" s="542">
        <v>15128</v>
      </c>
      <c r="U29" s="337">
        <f t="shared" si="7"/>
        <v>0</v>
      </c>
      <c r="V29" s="339">
        <f t="shared" si="21"/>
        <v>0</v>
      </c>
      <c r="W29" s="325"/>
      <c r="X29" s="598">
        <v>17749</v>
      </c>
      <c r="Y29" s="337">
        <f t="shared" si="9"/>
        <v>0</v>
      </c>
      <c r="Z29" s="339">
        <f t="shared" si="10"/>
        <v>0</v>
      </c>
      <c r="AA29" s="339">
        <f t="shared" si="11"/>
        <v>0</v>
      </c>
      <c r="AB29" s="711">
        <v>98175</v>
      </c>
      <c r="AC29" s="196">
        <f t="shared" si="19"/>
        <v>0</v>
      </c>
      <c r="AD29" s="325">
        <v>179618</v>
      </c>
      <c r="AE29" s="333">
        <f t="shared" si="18"/>
        <v>0.6875</v>
      </c>
      <c r="AF29" s="332">
        <f t="shared" si="13"/>
        <v>77</v>
      </c>
      <c r="AG29" s="477">
        <f>'Lpg (2)'!B32*2000/85</f>
        <v>2000</v>
      </c>
      <c r="AH29" s="478">
        <f>'Lpg (2)'!C32*1000/85</f>
        <v>82.352941176470594</v>
      </c>
      <c r="AI29" s="479">
        <f>'Lpg (2)'!D32*1000/85</f>
        <v>0</v>
      </c>
      <c r="AJ29" s="197">
        <f t="shared" si="20"/>
        <v>4082352.9411764704</v>
      </c>
      <c r="AK29" s="198">
        <f t="shared" si="4"/>
        <v>47058.823529412039</v>
      </c>
      <c r="AL29" s="208"/>
    </row>
    <row r="30" spans="1:38" ht="18" thickBot="1" x14ac:dyDescent="0.35">
      <c r="A30" s="138">
        <f>Gen!A35</f>
        <v>43459</v>
      </c>
      <c r="B30" s="231">
        <f t="shared" si="5"/>
        <v>73.003700000000009</v>
      </c>
      <c r="C30" s="230">
        <f>SUM(Gen!B35)</f>
        <v>0.94810000000000005</v>
      </c>
      <c r="D30" s="229">
        <f>SUM('Summery Report'!E29)</f>
        <v>73</v>
      </c>
      <c r="E30" s="195">
        <f t="shared" si="15"/>
        <v>1.3262195121951219</v>
      </c>
      <c r="F30" s="211">
        <f t="shared" si="16"/>
        <v>51.057634480454389</v>
      </c>
      <c r="G30" s="211">
        <f t="shared" si="0"/>
        <v>54.22675409288339</v>
      </c>
      <c r="H30" s="195" t="e">
        <f>SUM(Gen!C35)</f>
        <v>#REF!</v>
      </c>
      <c r="I30" s="204">
        <f>SUM(Gen!D35)</f>
        <v>0</v>
      </c>
      <c r="J30" s="206">
        <f>SUM(Gen!S35)</f>
        <v>2810.4</v>
      </c>
      <c r="K30" s="205">
        <f>Gen!AJ35</f>
        <v>174.44</v>
      </c>
      <c r="L30" s="205">
        <f t="shared" si="1"/>
        <v>2984.84</v>
      </c>
      <c r="M30" s="207">
        <f>'Water-Meter'!D30</f>
        <v>175880</v>
      </c>
      <c r="N30" s="313">
        <f>'Water-Meter'!E30</f>
        <v>147</v>
      </c>
      <c r="O30" s="314"/>
      <c r="P30" s="314">
        <v>17164</v>
      </c>
      <c r="Q30" s="337">
        <f t="shared" si="2"/>
        <v>0</v>
      </c>
      <c r="R30" s="338">
        <f t="shared" si="6"/>
        <v>0</v>
      </c>
      <c r="S30" s="641"/>
      <c r="T30" s="542">
        <v>15128</v>
      </c>
      <c r="U30" s="337">
        <f t="shared" si="7"/>
        <v>0</v>
      </c>
      <c r="V30" s="339">
        <f t="shared" si="21"/>
        <v>0</v>
      </c>
      <c r="W30" s="325">
        <v>2.2999999999999998</v>
      </c>
      <c r="X30" s="598">
        <v>17757</v>
      </c>
      <c r="Y30" s="337">
        <f t="shared" si="9"/>
        <v>8</v>
      </c>
      <c r="Z30" s="339">
        <f t="shared" si="10"/>
        <v>18.399999999999999</v>
      </c>
      <c r="AA30" s="339">
        <f t="shared" si="11"/>
        <v>326765.59999999998</v>
      </c>
      <c r="AB30" s="711">
        <v>98196</v>
      </c>
      <c r="AC30" s="196">
        <f t="shared" si="19"/>
        <v>21</v>
      </c>
      <c r="AD30" s="325">
        <v>179691</v>
      </c>
      <c r="AE30" s="333">
        <f t="shared" si="18"/>
        <v>0.49659863945578231</v>
      </c>
      <c r="AF30" s="332">
        <f t="shared" si="13"/>
        <v>73</v>
      </c>
      <c r="AG30" s="477">
        <f>'Lpg (2)'!B33*2000/85</f>
        <v>2000</v>
      </c>
      <c r="AH30" s="478">
        <f>'Lpg (2)'!C33*1000/85</f>
        <v>47.058823529411768</v>
      </c>
      <c r="AI30" s="479">
        <f>'Lpg (2)'!D33*1000/85</f>
        <v>0</v>
      </c>
      <c r="AJ30" s="197">
        <f t="shared" si="20"/>
        <v>4047058.8235294116</v>
      </c>
      <c r="AK30" s="198">
        <f t="shared" si="4"/>
        <v>35294.117647058796</v>
      </c>
      <c r="AL30" s="208"/>
    </row>
    <row r="31" spans="1:38" ht="18" thickBot="1" x14ac:dyDescent="0.35">
      <c r="A31" s="138">
        <f>Gen!A36</f>
        <v>43460</v>
      </c>
      <c r="B31" s="231">
        <f t="shared" si="5"/>
        <v>70.000699999999995</v>
      </c>
      <c r="C31" s="230">
        <f>SUM(Gen!B36)</f>
        <v>0.90910000000000002</v>
      </c>
      <c r="D31" s="229">
        <f>SUM('Summery Report'!E30)</f>
        <v>70</v>
      </c>
      <c r="E31" s="195">
        <f t="shared" si="15"/>
        <v>1.3262195121951219</v>
      </c>
      <c r="F31" s="211">
        <f t="shared" si="16"/>
        <v>54.289743031358874</v>
      </c>
      <c r="G31" s="211">
        <f t="shared" si="0"/>
        <v>61.036032229965144</v>
      </c>
      <c r="H31" s="195" t="e">
        <f>SUM(Gen!C36)</f>
        <v>#REF!</v>
      </c>
      <c r="I31" s="204">
        <f>SUM(Gen!D36)</f>
        <v>0</v>
      </c>
      <c r="J31" s="206">
        <f>SUM(Gen!S36)</f>
        <v>2865.4999999999995</v>
      </c>
      <c r="K31" s="205">
        <f>Gen!AJ36</f>
        <v>356.08</v>
      </c>
      <c r="L31" s="205">
        <f t="shared" si="1"/>
        <v>3221.5799999999995</v>
      </c>
      <c r="M31" s="207">
        <f>'Water-Meter'!D31</f>
        <v>176047</v>
      </c>
      <c r="N31" s="313">
        <f>'Water-Meter'!E31</f>
        <v>167</v>
      </c>
      <c r="O31" s="314"/>
      <c r="P31" s="314">
        <v>17164</v>
      </c>
      <c r="Q31" s="337">
        <f t="shared" si="2"/>
        <v>0</v>
      </c>
      <c r="R31" s="338">
        <f t="shared" si="6"/>
        <v>0</v>
      </c>
      <c r="S31" s="641"/>
      <c r="T31" s="542">
        <v>15128</v>
      </c>
      <c r="U31" s="337">
        <f t="shared" si="7"/>
        <v>0</v>
      </c>
      <c r="V31" s="339">
        <f t="shared" si="21"/>
        <v>0</v>
      </c>
      <c r="W31" s="325"/>
      <c r="X31" s="598">
        <v>17757</v>
      </c>
      <c r="Y31" s="337">
        <f t="shared" si="9"/>
        <v>0</v>
      </c>
      <c r="Z31" s="339">
        <f t="shared" si="10"/>
        <v>0</v>
      </c>
      <c r="AA31" s="339">
        <f t="shared" si="11"/>
        <v>0</v>
      </c>
      <c r="AB31" s="711">
        <v>98196</v>
      </c>
      <c r="AC31" s="196">
        <f t="shared" si="19"/>
        <v>0</v>
      </c>
      <c r="AD31" s="325">
        <v>179765</v>
      </c>
      <c r="AE31" s="333">
        <f t="shared" si="18"/>
        <v>0.44311377245508982</v>
      </c>
      <c r="AF31" s="332">
        <f t="shared" si="13"/>
        <v>74</v>
      </c>
      <c r="AG31" s="477">
        <f>'Lpg (2)'!B34*2000/85</f>
        <v>2000</v>
      </c>
      <c r="AH31" s="478" t="e">
        <f>'Lpg (2)'!C34*1000/85</f>
        <v>#VALUE!</v>
      </c>
      <c r="AI31" s="479">
        <f>'Lpg (2)'!D34*1000/85</f>
        <v>0</v>
      </c>
      <c r="AJ31" s="197" t="e">
        <f t="shared" si="20"/>
        <v>#VALUE!</v>
      </c>
      <c r="AK31" s="198" t="e">
        <f t="shared" si="4"/>
        <v>#VALUE!</v>
      </c>
      <c r="AL31" s="208"/>
    </row>
    <row r="32" spans="1:38" ht="18" thickBot="1" x14ac:dyDescent="0.35">
      <c r="A32" s="138">
        <f>Gen!A37</f>
        <v>43461</v>
      </c>
      <c r="B32" s="231">
        <f t="shared" si="5"/>
        <v>58.997399999999999</v>
      </c>
      <c r="C32" s="230">
        <f>SUM(Gen!B37)</f>
        <v>0.76619999999999999</v>
      </c>
      <c r="D32" s="229">
        <f>SUM('Summery Report'!E31)</f>
        <v>60</v>
      </c>
      <c r="E32" s="195">
        <f t="shared" si="15"/>
        <v>1.3262195121951219</v>
      </c>
      <c r="F32" s="211">
        <f t="shared" si="16"/>
        <v>58.250655487804885</v>
      </c>
      <c r="G32" s="211">
        <f t="shared" si="0"/>
        <v>62.752949695121956</v>
      </c>
      <c r="H32" s="195" t="e">
        <f>SUM(Gen!C37)</f>
        <v>#REF!</v>
      </c>
      <c r="I32" s="204">
        <f>SUM(Gen!D37)</f>
        <v>0</v>
      </c>
      <c r="J32" s="206">
        <f>SUM(Gen!S37)</f>
        <v>2635.34</v>
      </c>
      <c r="K32" s="205">
        <f>Gen!AJ37</f>
        <v>203.69</v>
      </c>
      <c r="L32" s="205">
        <f t="shared" si="1"/>
        <v>2839.03</v>
      </c>
      <c r="M32" s="207">
        <f>'Water-Meter'!D32</f>
        <v>176206</v>
      </c>
      <c r="N32" s="313">
        <f>'Water-Meter'!E32</f>
        <v>159</v>
      </c>
      <c r="O32" s="314"/>
      <c r="P32" s="314">
        <v>17164</v>
      </c>
      <c r="Q32" s="337">
        <f t="shared" si="2"/>
        <v>0</v>
      </c>
      <c r="R32" s="338">
        <f t="shared" si="6"/>
        <v>0</v>
      </c>
      <c r="S32" s="641"/>
      <c r="T32" s="542">
        <v>15128</v>
      </c>
      <c r="U32" s="337">
        <f t="shared" si="7"/>
        <v>0</v>
      </c>
      <c r="V32" s="339">
        <f t="shared" si="21"/>
        <v>0</v>
      </c>
      <c r="W32" s="325"/>
      <c r="X32" s="598">
        <v>17759</v>
      </c>
      <c r="Y32" s="337">
        <f t="shared" si="9"/>
        <v>2</v>
      </c>
      <c r="Z32" s="339">
        <f t="shared" si="10"/>
        <v>0</v>
      </c>
      <c r="AA32" s="339">
        <f t="shared" si="11"/>
        <v>0</v>
      </c>
      <c r="AB32" s="711">
        <v>98202</v>
      </c>
      <c r="AC32" s="196">
        <f t="shared" si="19"/>
        <v>6</v>
      </c>
      <c r="AD32" s="325">
        <v>179839</v>
      </c>
      <c r="AE32" s="333">
        <f t="shared" si="18"/>
        <v>0.46540880503144655</v>
      </c>
      <c r="AF32" s="332">
        <f t="shared" si="13"/>
        <v>74</v>
      </c>
      <c r="AG32" s="477">
        <f>'Lpg (2)'!B35*2000/85</f>
        <v>2000</v>
      </c>
      <c r="AH32" s="478">
        <f>'Lpg (2)'!C35*1000/85</f>
        <v>0</v>
      </c>
      <c r="AI32" s="479">
        <f>'Lpg (2)'!D35*1000/85</f>
        <v>0</v>
      </c>
      <c r="AJ32" s="197">
        <f t="shared" si="20"/>
        <v>4000000</v>
      </c>
      <c r="AK32" s="198" t="e">
        <f t="shared" si="4"/>
        <v>#VALUE!</v>
      </c>
      <c r="AL32" s="208"/>
    </row>
    <row r="33" spans="1:38" ht="18" thickBot="1" x14ac:dyDescent="0.35">
      <c r="A33" s="138">
        <f>Gen!A38</f>
        <v>43462</v>
      </c>
      <c r="B33" s="231">
        <f t="shared" si="5"/>
        <v>59.998400000000004</v>
      </c>
      <c r="C33" s="230">
        <f>SUM(Gen!B38)</f>
        <v>0.7792</v>
      </c>
      <c r="D33" s="229">
        <f>SUM('Summery Report'!E32)</f>
        <v>62</v>
      </c>
      <c r="E33" s="195">
        <f t="shared" si="15"/>
        <v>1.3262195121951219</v>
      </c>
      <c r="F33" s="211">
        <f t="shared" si="16"/>
        <v>65.098982100708113</v>
      </c>
      <c r="G33" s="211">
        <f t="shared" si="0"/>
        <v>71.975002458693936</v>
      </c>
      <c r="H33" s="195" t="e">
        <f>SUM(Gen!C38)</f>
        <v>#REF!</v>
      </c>
      <c r="I33" s="204">
        <f>SUM(Gen!D38)</f>
        <v>12000</v>
      </c>
      <c r="J33" s="206">
        <f>SUM(Gen!S38)</f>
        <v>3043.34</v>
      </c>
      <c r="K33" s="205">
        <f>Gen!AJ38</f>
        <v>321.45</v>
      </c>
      <c r="L33" s="205">
        <f t="shared" si="1"/>
        <v>3364.79</v>
      </c>
      <c r="M33" s="207">
        <f>'Water-Meter'!D33</f>
        <v>176370</v>
      </c>
      <c r="N33" s="313">
        <f>'Water-Meter'!E33</f>
        <v>164</v>
      </c>
      <c r="O33" s="314"/>
      <c r="P33" s="314">
        <v>17164</v>
      </c>
      <c r="Q33" s="337">
        <f t="shared" si="2"/>
        <v>0</v>
      </c>
      <c r="R33" s="338">
        <f t="shared" si="6"/>
        <v>0</v>
      </c>
      <c r="S33" s="641"/>
      <c r="T33" s="542">
        <v>15128</v>
      </c>
      <c r="U33" s="337">
        <f t="shared" si="7"/>
        <v>0</v>
      </c>
      <c r="V33" s="339">
        <f t="shared" si="21"/>
        <v>0</v>
      </c>
      <c r="W33" s="325">
        <v>2.9</v>
      </c>
      <c r="X33" s="598">
        <v>17763</v>
      </c>
      <c r="Y33" s="337">
        <f t="shared" si="9"/>
        <v>4</v>
      </c>
      <c r="Z33" s="339">
        <f t="shared" si="10"/>
        <v>11.6</v>
      </c>
      <c r="AA33" s="339">
        <f t="shared" si="11"/>
        <v>206352.4</v>
      </c>
      <c r="AB33" s="711">
        <v>98213</v>
      </c>
      <c r="AC33" s="196">
        <f t="shared" si="19"/>
        <v>11</v>
      </c>
      <c r="AD33" s="325">
        <v>179911</v>
      </c>
      <c r="AE33" s="333">
        <f t="shared" si="18"/>
        <v>0.43902439024390244</v>
      </c>
      <c r="AF33" s="332">
        <f t="shared" si="13"/>
        <v>72</v>
      </c>
      <c r="AG33" s="477">
        <f>'Lpg (2)'!B36*2000/85</f>
        <v>1952.9411764705883</v>
      </c>
      <c r="AH33" s="478">
        <f>'Lpg (2)'!C36*1000/85</f>
        <v>0</v>
      </c>
      <c r="AI33" s="479">
        <f>'Lpg (2)'!D36*1000/85</f>
        <v>0</v>
      </c>
      <c r="AJ33" s="197">
        <f t="shared" si="20"/>
        <v>3905882.3529411764</v>
      </c>
      <c r="AK33" s="198">
        <f t="shared" si="4"/>
        <v>94117.647058823612</v>
      </c>
      <c r="AL33" s="208"/>
    </row>
    <row r="34" spans="1:38" ht="18" thickBot="1" x14ac:dyDescent="0.35">
      <c r="A34" s="138">
        <f>Gen!A39</f>
        <v>43463</v>
      </c>
      <c r="B34" s="231">
        <f t="shared" si="5"/>
        <v>71.0017</v>
      </c>
      <c r="C34" s="230">
        <f>SUM(Gen!B39)</f>
        <v>0.92210000000000003</v>
      </c>
      <c r="D34" s="229">
        <f>SUM('Summery Report'!E33)</f>
        <v>73</v>
      </c>
      <c r="E34" s="195">
        <f t="shared" si="15"/>
        <v>1.3262195121951219</v>
      </c>
      <c r="F34" s="211">
        <f t="shared" si="16"/>
        <v>52.17638239224857</v>
      </c>
      <c r="G34" s="211">
        <f t="shared" si="0"/>
        <v>56.664454560641488</v>
      </c>
      <c r="H34" s="195" t="e">
        <f>SUM(Gen!C39)</f>
        <v>#REF!</v>
      </c>
      <c r="I34" s="204">
        <f>SUM(Gen!D39)</f>
        <v>0</v>
      </c>
      <c r="J34" s="206">
        <f>SUM(Gen!S39)</f>
        <v>2871.9799999999996</v>
      </c>
      <c r="K34" s="205">
        <f>Gen!AJ39</f>
        <v>247.04</v>
      </c>
      <c r="L34" s="205">
        <f t="shared" si="1"/>
        <v>3119.0199999999995</v>
      </c>
      <c r="M34" s="207">
        <f>'Water-Meter'!D34</f>
        <v>176543</v>
      </c>
      <c r="N34" s="313">
        <f>'Water-Meter'!E34</f>
        <v>173</v>
      </c>
      <c r="O34" s="314"/>
      <c r="P34" s="314">
        <v>17168</v>
      </c>
      <c r="Q34" s="337">
        <f t="shared" si="2"/>
        <v>4</v>
      </c>
      <c r="R34" s="338">
        <f t="shared" si="6"/>
        <v>0</v>
      </c>
      <c r="S34" s="641"/>
      <c r="T34" s="542">
        <v>15128</v>
      </c>
      <c r="U34" s="337">
        <f t="shared" si="7"/>
        <v>0</v>
      </c>
      <c r="V34" s="339">
        <f t="shared" si="21"/>
        <v>0</v>
      </c>
      <c r="W34" s="325">
        <v>3</v>
      </c>
      <c r="X34" s="598">
        <v>17770</v>
      </c>
      <c r="Y34" s="337">
        <f t="shared" si="9"/>
        <v>7</v>
      </c>
      <c r="Z34" s="339">
        <f t="shared" si="10"/>
        <v>21</v>
      </c>
      <c r="AA34" s="339">
        <f t="shared" si="11"/>
        <v>0</v>
      </c>
      <c r="AB34" s="711">
        <v>98235</v>
      </c>
      <c r="AC34" s="196">
        <f t="shared" si="19"/>
        <v>22</v>
      </c>
      <c r="AD34" s="325">
        <v>179981</v>
      </c>
      <c r="AE34" s="333">
        <f t="shared" si="18"/>
        <v>0.40462427745664742</v>
      </c>
      <c r="AF34" s="332">
        <f t="shared" si="13"/>
        <v>70</v>
      </c>
      <c r="AG34" s="477">
        <f>'Lpg (2)'!B37*2000/85</f>
        <v>1882.3529411764705</v>
      </c>
      <c r="AH34" s="478">
        <f>'Lpg (2)'!C37*1000/85</f>
        <v>0</v>
      </c>
      <c r="AI34" s="479">
        <f>'Lpg (2)'!D37*1000/85</f>
        <v>0</v>
      </c>
      <c r="AJ34" s="197">
        <f t="shared" si="20"/>
        <v>3764705.8823529412</v>
      </c>
      <c r="AK34" s="198">
        <f t="shared" si="4"/>
        <v>141176.47058823518</v>
      </c>
      <c r="AL34" s="208"/>
    </row>
    <row r="35" spans="1:38" ht="18" thickBot="1" x14ac:dyDescent="0.35">
      <c r="A35" s="138">
        <f>Gen!A40</f>
        <v>43464</v>
      </c>
      <c r="B35" s="231">
        <f t="shared" si="5"/>
        <v>59.998400000000004</v>
      </c>
      <c r="C35" s="230">
        <f>SUM(Gen!B40)</f>
        <v>0.7792</v>
      </c>
      <c r="D35" s="229">
        <f>SUM('Summery Report'!E34)</f>
        <v>61</v>
      </c>
      <c r="E35" s="195">
        <f t="shared" si="15"/>
        <v>1.3262195121951219</v>
      </c>
      <c r="F35" s="211">
        <f t="shared" si="16"/>
        <v>68.974502698920432</v>
      </c>
      <c r="G35" s="211">
        <f t="shared" si="0"/>
        <v>71.5860680727709</v>
      </c>
      <c r="H35" s="195" t="e">
        <f>SUM(Gen!C40)</f>
        <v>#REF!</v>
      </c>
      <c r="I35" s="204">
        <f>SUM(Gen!D40)</f>
        <v>0</v>
      </c>
      <c r="J35" s="206">
        <f>SUM(Gen!S40)</f>
        <v>3172.51</v>
      </c>
      <c r="K35" s="205">
        <f>Gen!AJ40</f>
        <v>120.12</v>
      </c>
      <c r="L35" s="205">
        <f t="shared" si="1"/>
        <v>3292.63</v>
      </c>
      <c r="M35" s="207">
        <f>'Water-Meter'!D35</f>
        <v>176699</v>
      </c>
      <c r="N35" s="313">
        <f>'Water-Meter'!E35</f>
        <v>156</v>
      </c>
      <c r="O35" s="314"/>
      <c r="P35" s="314"/>
      <c r="Q35" s="337">
        <f t="shared" si="2"/>
        <v>-17168</v>
      </c>
      <c r="R35" s="338">
        <f t="shared" si="6"/>
        <v>0</v>
      </c>
      <c r="S35" s="641"/>
      <c r="T35" s="542"/>
      <c r="U35" s="337">
        <f t="shared" si="7"/>
        <v>-15128</v>
      </c>
      <c r="V35" s="339">
        <f t="shared" si="21"/>
        <v>0</v>
      </c>
      <c r="W35" s="325"/>
      <c r="X35" s="598">
        <v>17789</v>
      </c>
      <c r="Y35" s="337">
        <f t="shared" si="9"/>
        <v>19</v>
      </c>
      <c r="Z35" s="339">
        <f t="shared" si="10"/>
        <v>0</v>
      </c>
      <c r="AA35" s="339">
        <f t="shared" si="11"/>
        <v>0</v>
      </c>
      <c r="AB35" s="711">
        <v>98310</v>
      </c>
      <c r="AC35" s="196">
        <f t="shared" si="19"/>
        <v>75</v>
      </c>
      <c r="AD35" s="325">
        <v>180052</v>
      </c>
      <c r="AE35" s="333">
        <f t="shared" si="18"/>
        <v>0.45512820512820512</v>
      </c>
      <c r="AF35" s="332">
        <f t="shared" si="13"/>
        <v>71</v>
      </c>
      <c r="AG35" s="477">
        <f>'Lpg (2)'!B38*2000/85</f>
        <v>1858.8235294117646</v>
      </c>
      <c r="AH35" s="478">
        <f>'Lpg (2)'!C38*1000/85</f>
        <v>0</v>
      </c>
      <c r="AI35" s="479">
        <f>'Lpg (2)'!D38*1000/85</f>
        <v>0</v>
      </c>
      <c r="AJ35" s="197">
        <f t="shared" si="20"/>
        <v>3717647.0588235292</v>
      </c>
      <c r="AK35" s="198">
        <f t="shared" si="4"/>
        <v>47058.823529412039</v>
      </c>
      <c r="AL35" s="210"/>
    </row>
    <row r="36" spans="1:38" ht="18" thickBot="1" x14ac:dyDescent="0.35">
      <c r="A36" s="138">
        <f>Gen!A41</f>
        <v>43465</v>
      </c>
      <c r="B36" s="232">
        <f t="shared" ref="B36" si="22">SUM(77*C36)</f>
        <v>65.003399999999999</v>
      </c>
      <c r="C36" s="230">
        <f>SUM(Gen!B41)</f>
        <v>0.84419999999999995</v>
      </c>
      <c r="D36" s="229">
        <f>SUM('Summery Report'!E35)</f>
        <v>66</v>
      </c>
      <c r="E36" s="195">
        <f t="shared" si="15"/>
        <v>1.3262195121951219</v>
      </c>
      <c r="F36" s="211">
        <f t="shared" si="16"/>
        <v>61.463442350332585</v>
      </c>
      <c r="G36" s="211">
        <f t="shared" si="0"/>
        <v>87.267253325942335</v>
      </c>
      <c r="H36" s="220" t="e">
        <f>SUM(Gen!C41)</f>
        <v>#REF!</v>
      </c>
      <c r="I36" s="221">
        <f>SUM(Gen!D41)</f>
        <v>12000</v>
      </c>
      <c r="J36" s="222">
        <f>SUM(Gen!S41)</f>
        <v>3058.7599999999998</v>
      </c>
      <c r="K36" s="205">
        <f>Gen!AJ41</f>
        <v>1284.1399999999999</v>
      </c>
      <c r="L36" s="205">
        <f t="shared" si="1"/>
        <v>4342.8999999999996</v>
      </c>
      <c r="M36" s="207">
        <f>'Water-Meter'!D36</f>
        <v>176819</v>
      </c>
      <c r="N36" s="313">
        <f>'Water-Meter'!E36</f>
        <v>120</v>
      </c>
      <c r="O36" s="314"/>
      <c r="P36" s="314"/>
      <c r="Q36" s="337">
        <f t="shared" si="2"/>
        <v>0</v>
      </c>
      <c r="R36" s="338">
        <f t="shared" si="6"/>
        <v>0</v>
      </c>
      <c r="S36" s="641"/>
      <c r="T36" s="542"/>
      <c r="U36" s="337">
        <f t="shared" si="7"/>
        <v>0</v>
      </c>
      <c r="V36" s="339">
        <f t="shared" si="21"/>
        <v>0</v>
      </c>
      <c r="W36" s="325"/>
      <c r="X36" s="598"/>
      <c r="Y36" s="337">
        <f t="shared" si="9"/>
        <v>-17789</v>
      </c>
      <c r="Z36" s="339">
        <f t="shared" si="10"/>
        <v>0</v>
      </c>
      <c r="AA36" s="339">
        <f t="shared" si="11"/>
        <v>0</v>
      </c>
      <c r="AB36" s="711"/>
      <c r="AC36" s="196">
        <f t="shared" si="19"/>
        <v>-98310</v>
      </c>
      <c r="AD36" s="325"/>
      <c r="AE36" s="333">
        <f t="shared" si="18"/>
        <v>-1500.4333333333334</v>
      </c>
      <c r="AF36" s="332">
        <f t="shared" si="13"/>
        <v>-180052</v>
      </c>
      <c r="AG36" s="477">
        <f>'Lpg (2)'!B39*2000/85</f>
        <v>1788.2352941176471</v>
      </c>
      <c r="AH36" s="478">
        <f>'Lpg (2)'!C39*1000/85</f>
        <v>0</v>
      </c>
      <c r="AI36" s="479">
        <f>'Lpg (2)'!D39*1000/85</f>
        <v>0</v>
      </c>
      <c r="AJ36" s="199">
        <f>SUM(AG36*1000)+(AH36*1000)+(AI36*2000)</f>
        <v>1788235.294117647</v>
      </c>
      <c r="AK36" s="223">
        <f t="shared" si="4"/>
        <v>1929411.7647058822</v>
      </c>
      <c r="AL36" s="210"/>
    </row>
    <row r="37" spans="1:38" s="19" customFormat="1" ht="15.75" thickBot="1" x14ac:dyDescent="0.25">
      <c r="A37" s="236" t="s">
        <v>100</v>
      </c>
      <c r="B37" s="237">
        <v>0</v>
      </c>
      <c r="C37" s="238"/>
      <c r="D37" s="238"/>
      <c r="E37" s="238"/>
      <c r="F37" s="238"/>
      <c r="G37" s="238"/>
      <c r="H37" s="239"/>
      <c r="I37" s="240"/>
      <c r="J37" s="241">
        <f>SUM(J6:J36)</f>
        <v>71221.219999999987</v>
      </c>
      <c r="K37" s="241"/>
      <c r="L37" s="205">
        <f t="shared" si="1"/>
        <v>71221.219999999987</v>
      </c>
      <c r="M37" s="242"/>
      <c r="N37" s="207">
        <f>'Water-Meter'!E37</f>
        <v>-176819</v>
      </c>
      <c r="O37" s="242"/>
      <c r="P37" s="242"/>
      <c r="Q37" s="242"/>
      <c r="R37" s="242"/>
      <c r="S37" s="242"/>
      <c r="T37" s="242"/>
      <c r="U37" s="512"/>
      <c r="V37" s="242"/>
      <c r="W37" s="242"/>
      <c r="X37" s="242"/>
      <c r="Y37" s="242"/>
      <c r="Z37" s="242"/>
      <c r="AA37" s="312"/>
      <c r="AB37" s="243"/>
      <c r="AC37" s="196">
        <f t="shared" si="19"/>
        <v>0</v>
      </c>
      <c r="AD37" s="325"/>
      <c r="AE37" s="244">
        <f t="shared" si="3"/>
        <v>0</v>
      </c>
      <c r="AF37" s="332">
        <f t="shared" si="13"/>
        <v>0</v>
      </c>
      <c r="AG37" s="242"/>
      <c r="AH37" s="242"/>
      <c r="AI37" s="242"/>
      <c r="AJ37" s="239"/>
      <c r="AK37" s="245" t="e">
        <f>SUM(AK6:AK36)</f>
        <v>#VALUE!</v>
      </c>
      <c r="AL37" s="246">
        <f>SUM(AL6:AL36)</f>
        <v>0</v>
      </c>
    </row>
    <row r="38" spans="1:38" s="114" customFormat="1" x14ac:dyDescent="0.2">
      <c r="A38" s="508"/>
      <c r="B38" s="509"/>
      <c r="C38" s="510"/>
      <c r="D38" s="510"/>
      <c r="E38" s="510"/>
      <c r="F38" s="510"/>
      <c r="G38" s="510"/>
      <c r="H38" s="509"/>
      <c r="I38" s="509"/>
      <c r="J38" s="511"/>
      <c r="K38" s="511"/>
      <c r="L38" s="511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233"/>
      <c r="Y38" s="233"/>
      <c r="Z38" s="233"/>
      <c r="AA38" s="200"/>
      <c r="AB38" s="200"/>
      <c r="AC38" s="235"/>
      <c r="AD38" s="200"/>
      <c r="AE38" s="234"/>
      <c r="AF38" s="235"/>
      <c r="AG38" s="233"/>
      <c r="AH38" s="233"/>
      <c r="AI38" s="233"/>
      <c r="AJ38" s="200"/>
      <c r="AK38" s="200"/>
      <c r="AL38" s="233"/>
    </row>
    <row r="39" spans="1:38" x14ac:dyDescent="0.2">
      <c r="C39" s="201"/>
      <c r="J39" s="201"/>
      <c r="X39" s="201"/>
      <c r="AG39" s="201"/>
      <c r="AI39" s="200"/>
    </row>
    <row r="40" spans="1:38" ht="30.75" customHeight="1" x14ac:dyDescent="0.2">
      <c r="C40" s="201"/>
      <c r="J40" s="201"/>
      <c r="X40" s="201"/>
    </row>
    <row r="41" spans="1:38" x14ac:dyDescent="0.2">
      <c r="C41" s="201"/>
      <c r="J41" s="201"/>
    </row>
    <row r="42" spans="1:38" x14ac:dyDescent="0.2">
      <c r="C42" s="201"/>
      <c r="J42" s="201"/>
    </row>
    <row r="43" spans="1:38" ht="15" x14ac:dyDescent="0.25">
      <c r="C43" s="201"/>
      <c r="J43" s="201"/>
      <c r="X43" s="247"/>
    </row>
    <row r="44" spans="1:38" ht="15" x14ac:dyDescent="0.25">
      <c r="C44" s="201"/>
      <c r="J44" s="201"/>
      <c r="X44" s="248"/>
    </row>
    <row r="45" spans="1:38" ht="15" x14ac:dyDescent="0.25">
      <c r="C45" s="201"/>
      <c r="J45" s="201"/>
      <c r="X45" s="247"/>
    </row>
    <row r="46" spans="1:38" ht="15" x14ac:dyDescent="0.25">
      <c r="C46" s="201"/>
      <c r="J46" s="201"/>
      <c r="X46" s="248"/>
    </row>
    <row r="47" spans="1:38" x14ac:dyDescent="0.2">
      <c r="C47" s="201"/>
      <c r="J47" s="201"/>
    </row>
    <row r="48" spans="1:38" x14ac:dyDescent="0.2">
      <c r="C48" s="201"/>
      <c r="J48" s="201"/>
    </row>
    <row r="49" spans="3:10" x14ac:dyDescent="0.2">
      <c r="C49" s="201"/>
      <c r="J49" s="201"/>
    </row>
    <row r="50" spans="3:10" x14ac:dyDescent="0.2">
      <c r="C50" s="201"/>
      <c r="J50" s="201"/>
    </row>
    <row r="51" spans="3:10" x14ac:dyDescent="0.2">
      <c r="C51" s="201"/>
      <c r="J51" s="201"/>
    </row>
    <row r="52" spans="3:10" x14ac:dyDescent="0.2">
      <c r="C52" s="201"/>
      <c r="J52" s="201"/>
    </row>
    <row r="53" spans="3:10" x14ac:dyDescent="0.2">
      <c r="C53" s="201"/>
      <c r="J53" s="201"/>
    </row>
    <row r="54" spans="3:10" x14ac:dyDescent="0.2">
      <c r="C54" s="201"/>
      <c r="J54" s="201"/>
    </row>
    <row r="55" spans="3:10" x14ac:dyDescent="0.2">
      <c r="C55" s="201"/>
      <c r="J55" s="201"/>
    </row>
    <row r="56" spans="3:10" x14ac:dyDescent="0.2">
      <c r="C56" s="201"/>
      <c r="J56" s="201"/>
    </row>
    <row r="57" spans="3:10" x14ac:dyDescent="0.2">
      <c r="C57" s="201"/>
      <c r="J57" s="201"/>
    </row>
    <row r="58" spans="3:10" x14ac:dyDescent="0.2">
      <c r="C58" s="201"/>
      <c r="J58" s="201"/>
    </row>
    <row r="59" spans="3:10" x14ac:dyDescent="0.2">
      <c r="C59" s="201"/>
      <c r="J59" s="201"/>
    </row>
    <row r="60" spans="3:10" x14ac:dyDescent="0.2">
      <c r="C60" s="201"/>
      <c r="J60" s="201"/>
    </row>
    <row r="61" spans="3:10" x14ac:dyDescent="0.2">
      <c r="C61" s="201"/>
      <c r="J61" s="201"/>
    </row>
    <row r="62" spans="3:10" x14ac:dyDescent="0.2">
      <c r="C62" s="201"/>
      <c r="J62" s="201"/>
    </row>
    <row r="63" spans="3:10" x14ac:dyDescent="0.2">
      <c r="C63" s="201"/>
      <c r="J63" s="201"/>
    </row>
    <row r="64" spans="3:10" x14ac:dyDescent="0.2">
      <c r="C64" s="201"/>
      <c r="J64" s="201"/>
    </row>
    <row r="65" spans="3:24" x14ac:dyDescent="0.2">
      <c r="C65" s="201"/>
      <c r="J65" s="201"/>
    </row>
    <row r="66" spans="3:24" ht="15" x14ac:dyDescent="0.25">
      <c r="C66" s="201"/>
      <c r="J66" s="201"/>
      <c r="X66" s="310"/>
    </row>
    <row r="67" spans="3:24" ht="15" x14ac:dyDescent="0.25">
      <c r="C67" s="201"/>
      <c r="J67" s="201"/>
      <c r="X67" s="311"/>
    </row>
    <row r="68" spans="3:24" ht="15" x14ac:dyDescent="0.25">
      <c r="C68" s="201"/>
      <c r="J68" s="201"/>
      <c r="X68" s="311"/>
    </row>
    <row r="69" spans="3:24" ht="15" x14ac:dyDescent="0.25">
      <c r="C69" s="201"/>
      <c r="J69" s="201"/>
      <c r="X69" s="311"/>
    </row>
    <row r="70" spans="3:24" ht="15" x14ac:dyDescent="0.25">
      <c r="C70" s="201"/>
      <c r="J70" s="201"/>
      <c r="X70" s="311"/>
    </row>
    <row r="71" spans="3:24" ht="15" x14ac:dyDescent="0.25">
      <c r="C71" s="201"/>
      <c r="J71" s="201"/>
      <c r="X71" s="311"/>
    </row>
    <row r="72" spans="3:24" x14ac:dyDescent="0.2">
      <c r="C72" s="201"/>
      <c r="J72" s="201"/>
      <c r="X72" s="50"/>
    </row>
    <row r="73" spans="3:24" x14ac:dyDescent="0.2">
      <c r="C73" s="201"/>
      <c r="J73" s="201"/>
      <c r="X73" s="50"/>
    </row>
    <row r="74" spans="3:24" x14ac:dyDescent="0.2">
      <c r="C74" s="201"/>
      <c r="J74" s="201"/>
    </row>
  </sheetData>
  <mergeCells count="12">
    <mergeCell ref="O3:R3"/>
    <mergeCell ref="S3:V3"/>
    <mergeCell ref="W3:Z3"/>
    <mergeCell ref="O2:Z2"/>
    <mergeCell ref="A1:AL1"/>
    <mergeCell ref="B2:D2"/>
    <mergeCell ref="F3:G3"/>
    <mergeCell ref="AE2:AF2"/>
    <mergeCell ref="AB2:AC2"/>
    <mergeCell ref="N2:N4"/>
    <mergeCell ref="J2:J4"/>
    <mergeCell ref="L2:L4"/>
  </mergeCells>
  <pageMargins left="0.7" right="0.7" top="0.75" bottom="0.75" header="0.3" footer="0.3"/>
  <pageSetup paperSize="9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topLeftCell="A7" zoomScale="86" zoomScaleNormal="86" workbookViewId="0">
      <selection activeCell="W36" sqref="W36"/>
    </sheetView>
  </sheetViews>
  <sheetFormatPr defaultRowHeight="12.75" x14ac:dyDescent="0.2"/>
  <cols>
    <col min="1" max="1" width="9.140625" style="90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4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 x14ac:dyDescent="0.35">
      <c r="B1" s="856" t="s">
        <v>190</v>
      </c>
      <c r="C1" s="857"/>
      <c r="D1" s="857"/>
      <c r="E1" s="857"/>
      <c r="F1" s="858"/>
      <c r="G1" s="275"/>
      <c r="H1" s="856" t="s">
        <v>191</v>
      </c>
      <c r="I1" s="857"/>
      <c r="J1" s="857"/>
      <c r="K1" s="857"/>
      <c r="L1" s="858"/>
      <c r="M1" s="856" t="s">
        <v>212</v>
      </c>
      <c r="N1" s="857"/>
      <c r="O1" s="857"/>
      <c r="P1" s="857"/>
      <c r="Q1" s="858"/>
      <c r="R1" s="275"/>
      <c r="T1" s="856" t="s">
        <v>208</v>
      </c>
      <c r="U1" s="857"/>
      <c r="V1" s="857"/>
      <c r="W1" s="857"/>
      <c r="X1" s="858"/>
      <c r="Y1" s="856" t="s">
        <v>211</v>
      </c>
      <c r="Z1" s="857"/>
      <c r="AA1" s="857"/>
      <c r="AB1" s="857"/>
      <c r="AC1" s="858"/>
    </row>
    <row r="2" spans="1:34" ht="75.75" thickBot="1" x14ac:dyDescent="0.3">
      <c r="A2" s="294" t="s">
        <v>54</v>
      </c>
      <c r="B2" s="276" t="s">
        <v>192</v>
      </c>
      <c r="C2" s="277" t="s">
        <v>193</v>
      </c>
      <c r="D2" s="278" t="s">
        <v>194</v>
      </c>
      <c r="E2" s="278" t="s">
        <v>195</v>
      </c>
      <c r="F2" s="279" t="s">
        <v>201</v>
      </c>
      <c r="G2" s="280"/>
      <c r="H2" s="276" t="s">
        <v>192</v>
      </c>
      <c r="I2" s="277" t="s">
        <v>193</v>
      </c>
      <c r="J2" s="278" t="s">
        <v>205</v>
      </c>
      <c r="K2" s="278" t="s">
        <v>204</v>
      </c>
      <c r="L2" s="297" t="s">
        <v>202</v>
      </c>
      <c r="M2" s="276" t="s">
        <v>192</v>
      </c>
      <c r="N2" s="277" t="s">
        <v>193</v>
      </c>
      <c r="O2" s="278" t="s">
        <v>205</v>
      </c>
      <c r="P2" s="278" t="s">
        <v>204</v>
      </c>
      <c r="Q2" s="297" t="s">
        <v>202</v>
      </c>
      <c r="R2" s="623" t="s">
        <v>203</v>
      </c>
      <c r="S2" s="624" t="s">
        <v>200</v>
      </c>
      <c r="T2" s="276" t="s">
        <v>192</v>
      </c>
      <c r="U2" s="277" t="s">
        <v>193</v>
      </c>
      <c r="V2" s="278" t="s">
        <v>210</v>
      </c>
      <c r="W2" s="278" t="s">
        <v>209</v>
      </c>
      <c r="X2" s="279" t="s">
        <v>201</v>
      </c>
      <c r="Y2" s="276" t="s">
        <v>192</v>
      </c>
      <c r="Z2" s="277" t="s">
        <v>193</v>
      </c>
      <c r="AA2" s="278" t="s">
        <v>205</v>
      </c>
      <c r="AB2" s="278" t="s">
        <v>204</v>
      </c>
      <c r="AC2" s="279" t="s">
        <v>202</v>
      </c>
    </row>
    <row r="3" spans="1:34" ht="31.5" customHeight="1" thickBot="1" x14ac:dyDescent="0.35">
      <c r="A3" s="295">
        <v>43070</v>
      </c>
      <c r="B3" s="859" t="s">
        <v>198</v>
      </c>
      <c r="C3" s="860"/>
      <c r="D3" s="292"/>
      <c r="E3" s="289"/>
      <c r="F3" s="293" t="s">
        <v>199</v>
      </c>
      <c r="G3" s="283"/>
      <c r="H3" s="859" t="s">
        <v>198</v>
      </c>
      <c r="I3" s="860"/>
      <c r="J3" s="430"/>
      <c r="K3" s="622">
        <f>'Water-Meter'!G5</f>
        <v>31114</v>
      </c>
      <c r="L3" s="430"/>
      <c r="M3" s="859" t="s">
        <v>198</v>
      </c>
      <c r="N3" s="860"/>
      <c r="O3" s="292"/>
      <c r="P3" s="301">
        <f>'Water-Meter'!J5</f>
        <v>6197</v>
      </c>
      <c r="Q3" s="291"/>
      <c r="R3" s="430"/>
      <c r="S3" s="627"/>
      <c r="T3" s="859" t="s">
        <v>198</v>
      </c>
      <c r="U3" s="860"/>
      <c r="V3" s="292"/>
      <c r="W3" s="282">
        <v>5758.8</v>
      </c>
      <c r="X3" s="290">
        <f t="shared" ref="X3:X8" si="0">(W3-V3)*200</f>
        <v>1151760</v>
      </c>
      <c r="Y3" s="859" t="s">
        <v>198</v>
      </c>
      <c r="Z3" s="860"/>
      <c r="AA3" s="292"/>
      <c r="AB3" s="301">
        <f>'Water-Meter'!P5</f>
        <v>15270</v>
      </c>
      <c r="AC3" s="307"/>
    </row>
    <row r="4" spans="1:34" ht="19.5" thickBot="1" x14ac:dyDescent="0.35">
      <c r="A4" s="296">
        <f>Gen!B11</f>
        <v>0.16800000000000001</v>
      </c>
      <c r="B4" s="138">
        <f>Gen!A11</f>
        <v>43435</v>
      </c>
      <c r="C4" s="288"/>
      <c r="D4" s="281">
        <f>E3</f>
        <v>0</v>
      </c>
      <c r="E4" s="289">
        <v>6968.7</v>
      </c>
      <c r="F4" s="290">
        <f t="shared" ref="F4:F15" si="1">SUM(E4-D4)*120</f>
        <v>836244</v>
      </c>
      <c r="G4" s="283"/>
      <c r="H4" s="340">
        <f>B4</f>
        <v>43435</v>
      </c>
      <c r="I4" s="281"/>
      <c r="J4" s="281">
        <f t="shared" ref="J4:J30" si="2">SUM(K3)</f>
        <v>31114</v>
      </c>
      <c r="K4" s="485">
        <f>'Water-Meter'!G6</f>
        <v>31126</v>
      </c>
      <c r="L4" s="298">
        <f t="shared" ref="L4:L34" si="3">SUM(K4-J4)</f>
        <v>12</v>
      </c>
      <c r="M4" s="625">
        <f>H4</f>
        <v>43435</v>
      </c>
      <c r="N4" s="288"/>
      <c r="O4" s="288">
        <f t="shared" ref="O4:O33" si="4">SUM(P3)</f>
        <v>6197</v>
      </c>
      <c r="P4" s="626">
        <f>'Water-Meter'!J6</f>
        <v>6201</v>
      </c>
      <c r="Q4" s="298">
        <f t="shared" ref="Q4:Q34" si="5">SUM(P4-O4)</f>
        <v>4</v>
      </c>
      <c r="R4" s="304">
        <f t="shared" ref="R4:R20" si="6">SUM(Q4/1615)</f>
        <v>2.4767801857585141E-3</v>
      </c>
      <c r="S4" s="305" t="e">
        <f>SUM(F4/Gen!T10)</f>
        <v>#DIV/0!</v>
      </c>
      <c r="T4" s="625">
        <f>M4</f>
        <v>43435</v>
      </c>
      <c r="U4" s="288"/>
      <c r="V4" s="289">
        <f>W3</f>
        <v>5758.8</v>
      </c>
      <c r="W4" s="282">
        <v>5760.4</v>
      </c>
      <c r="X4" s="290">
        <f t="shared" si="0"/>
        <v>319.99999999989086</v>
      </c>
      <c r="Y4" s="340">
        <f>T4</f>
        <v>43435</v>
      </c>
      <c r="Z4" s="281"/>
      <c r="AA4" s="281">
        <v>3397.9</v>
      </c>
      <c r="AB4" s="301">
        <f>'Water-Meter'!P6</f>
        <v>15280</v>
      </c>
      <c r="AC4" s="290">
        <f t="shared" ref="AC4:AC34" si="7">SUM(AB4-AA4)</f>
        <v>11882.1</v>
      </c>
    </row>
    <row r="5" spans="1:34" ht="19.5" thickBot="1" x14ac:dyDescent="0.35">
      <c r="A5" s="296">
        <f>Gen!B12</f>
        <v>0.1429</v>
      </c>
      <c r="B5" s="138">
        <f>Gen!A12</f>
        <v>43436</v>
      </c>
      <c r="C5" s="281"/>
      <c r="D5" s="281">
        <f t="shared" ref="D5:D20" si="8">E4</f>
        <v>6968.7</v>
      </c>
      <c r="E5" s="289">
        <v>6971.2</v>
      </c>
      <c r="F5" s="290">
        <f t="shared" si="1"/>
        <v>300</v>
      </c>
      <c r="G5" s="283"/>
      <c r="H5" s="340">
        <f t="shared" ref="H5:H35" si="9">B5</f>
        <v>43436</v>
      </c>
      <c r="I5" s="281"/>
      <c r="J5" s="281">
        <f t="shared" si="2"/>
        <v>31126</v>
      </c>
      <c r="K5" s="336">
        <f>'Water-Meter'!G7</f>
        <v>31137</v>
      </c>
      <c r="L5" s="298">
        <f t="shared" si="3"/>
        <v>11</v>
      </c>
      <c r="M5" s="340">
        <f t="shared" ref="M5:M35" si="10">H5</f>
        <v>43436</v>
      </c>
      <c r="N5" s="281"/>
      <c r="O5" s="281">
        <f t="shared" si="4"/>
        <v>6201</v>
      </c>
      <c r="P5" s="301">
        <f>'Water-Meter'!J7</f>
        <v>6204</v>
      </c>
      <c r="Q5" s="298">
        <f t="shared" si="5"/>
        <v>3</v>
      </c>
      <c r="R5" s="304">
        <f t="shared" si="6"/>
        <v>1.8575851393188853E-3</v>
      </c>
      <c r="S5" s="305">
        <f>SUM(F5/Gen!T11)</f>
        <v>6.5861690450054883E-2</v>
      </c>
      <c r="T5" s="340">
        <f t="shared" ref="T5:T30" si="11">M5</f>
        <v>43436</v>
      </c>
      <c r="U5" s="281"/>
      <c r="V5" s="281">
        <f t="shared" ref="V5:V16" si="12">W4</f>
        <v>5760.4</v>
      </c>
      <c r="W5" s="282">
        <v>5762.7</v>
      </c>
      <c r="X5" s="290">
        <f t="shared" si="0"/>
        <v>460.00000000003638</v>
      </c>
      <c r="Y5" s="340">
        <f t="shared" ref="Y5:Y30" si="13">T5</f>
        <v>43436</v>
      </c>
      <c r="Z5" s="281"/>
      <c r="AA5" s="281">
        <f t="shared" ref="AA5:AA35" si="14">SUM(AB4)</f>
        <v>15280</v>
      </c>
      <c r="AB5" s="301">
        <f>'Water-Meter'!P7</f>
        <v>15292</v>
      </c>
      <c r="AC5" s="290">
        <f t="shared" si="7"/>
        <v>12</v>
      </c>
    </row>
    <row r="6" spans="1:34" ht="19.5" thickBot="1" x14ac:dyDescent="0.35">
      <c r="A6" s="296">
        <f>Gen!B13</f>
        <v>0.1429</v>
      </c>
      <c r="B6" s="138">
        <f>Gen!A13</f>
        <v>43437</v>
      </c>
      <c r="C6" s="281"/>
      <c r="D6" s="281">
        <f t="shared" si="8"/>
        <v>6971.2</v>
      </c>
      <c r="E6" s="289">
        <v>6973.3</v>
      </c>
      <c r="F6" s="290">
        <f t="shared" si="1"/>
        <v>252.00000000004366</v>
      </c>
      <c r="G6" s="283"/>
      <c r="H6" s="340">
        <f t="shared" si="9"/>
        <v>43437</v>
      </c>
      <c r="I6" s="281"/>
      <c r="J6" s="281">
        <f t="shared" si="2"/>
        <v>31137</v>
      </c>
      <c r="K6" s="336">
        <f>'Water-Meter'!G8</f>
        <v>31148</v>
      </c>
      <c r="L6" s="298">
        <f t="shared" si="3"/>
        <v>11</v>
      </c>
      <c r="M6" s="340">
        <f t="shared" si="10"/>
        <v>43437</v>
      </c>
      <c r="N6" s="281"/>
      <c r="O6" s="281">
        <f t="shared" si="4"/>
        <v>6204</v>
      </c>
      <c r="P6" s="301">
        <f>'Water-Meter'!J8</f>
        <v>6207</v>
      </c>
      <c r="Q6" s="298">
        <f t="shared" si="5"/>
        <v>3</v>
      </c>
      <c r="R6" s="300">
        <f t="shared" si="6"/>
        <v>1.8575851393188853E-3</v>
      </c>
      <c r="S6" s="302">
        <f>SUM(F6/Gen!T12)</f>
        <v>5.3857661893576332E-2</v>
      </c>
      <c r="T6" s="340">
        <f t="shared" si="11"/>
        <v>43437</v>
      </c>
      <c r="U6" s="281"/>
      <c r="V6" s="281">
        <f t="shared" si="12"/>
        <v>5762.7</v>
      </c>
      <c r="W6" s="282">
        <v>5764.3</v>
      </c>
      <c r="X6" s="290">
        <f t="shared" si="0"/>
        <v>320.00000000007276</v>
      </c>
      <c r="Y6" s="340">
        <f t="shared" si="13"/>
        <v>43437</v>
      </c>
      <c r="Z6" s="281"/>
      <c r="AA6" s="281">
        <f t="shared" si="14"/>
        <v>15292</v>
      </c>
      <c r="AB6" s="301">
        <f>'Water-Meter'!P8</f>
        <v>15305</v>
      </c>
      <c r="AC6" s="290">
        <f t="shared" si="7"/>
        <v>13</v>
      </c>
    </row>
    <row r="7" spans="1:34" ht="19.5" thickBot="1" x14ac:dyDescent="0.35">
      <c r="A7" s="296">
        <f>Gen!B14</f>
        <v>0.16880000000000001</v>
      </c>
      <c r="B7" s="138">
        <f>Gen!A14</f>
        <v>43438</v>
      </c>
      <c r="C7" s="281"/>
      <c r="D7" s="281">
        <f t="shared" si="8"/>
        <v>6973.3</v>
      </c>
      <c r="E7" s="289">
        <v>6975.9</v>
      </c>
      <c r="F7" s="290">
        <f t="shared" si="1"/>
        <v>311.99999999993452</v>
      </c>
      <c r="G7" s="283"/>
      <c r="H7" s="340">
        <f t="shared" si="9"/>
        <v>43438</v>
      </c>
      <c r="I7" s="281"/>
      <c r="J7" s="281">
        <f t="shared" si="2"/>
        <v>31148</v>
      </c>
      <c r="K7" s="336">
        <f>'Water-Meter'!G9</f>
        <v>31160</v>
      </c>
      <c r="L7" s="298">
        <f t="shared" si="3"/>
        <v>12</v>
      </c>
      <c r="M7" s="340">
        <f t="shared" si="10"/>
        <v>43438</v>
      </c>
      <c r="N7" s="281"/>
      <c r="O7" s="281">
        <f t="shared" si="4"/>
        <v>6207</v>
      </c>
      <c r="P7" s="301">
        <f>'Water-Meter'!J9</f>
        <v>6210</v>
      </c>
      <c r="Q7" s="298">
        <f t="shared" si="5"/>
        <v>3</v>
      </c>
      <c r="R7" s="300">
        <f t="shared" si="6"/>
        <v>1.8575851393188853E-3</v>
      </c>
      <c r="S7" s="302">
        <f>SUM(F7/Gen!T13)</f>
        <v>7.0317782285313171E-2</v>
      </c>
      <c r="T7" s="340">
        <f t="shared" si="11"/>
        <v>43438</v>
      </c>
      <c r="U7" s="281"/>
      <c r="V7" s="281">
        <f t="shared" si="12"/>
        <v>5764.3</v>
      </c>
      <c r="W7" s="282">
        <v>5766.9</v>
      </c>
      <c r="X7" s="290">
        <f t="shared" si="0"/>
        <v>519.99999999989086</v>
      </c>
      <c r="Y7" s="340">
        <f t="shared" si="13"/>
        <v>43438</v>
      </c>
      <c r="Z7" s="281"/>
      <c r="AA7" s="281">
        <f t="shared" si="14"/>
        <v>15305</v>
      </c>
      <c r="AB7" s="301">
        <f>'Water-Meter'!P9</f>
        <v>15317</v>
      </c>
      <c r="AC7" s="290">
        <f t="shared" si="7"/>
        <v>12</v>
      </c>
    </row>
    <row r="8" spans="1:34" ht="19.5" thickBot="1" x14ac:dyDescent="0.35">
      <c r="A8" s="296">
        <f>Gen!B15</f>
        <v>0.20780000000000001</v>
      </c>
      <c r="B8" s="138">
        <f>Gen!A15</f>
        <v>43439</v>
      </c>
      <c r="C8" s="281"/>
      <c r="D8" s="281">
        <f t="shared" si="8"/>
        <v>6975.9</v>
      </c>
      <c r="E8" s="289">
        <v>6978.5</v>
      </c>
      <c r="F8" s="290">
        <f t="shared" si="1"/>
        <v>312.00000000004366</v>
      </c>
      <c r="G8" s="283"/>
      <c r="H8" s="340">
        <f t="shared" si="9"/>
        <v>43439</v>
      </c>
      <c r="I8" s="281"/>
      <c r="J8" s="281">
        <f t="shared" si="2"/>
        <v>31160</v>
      </c>
      <c r="K8" s="336">
        <f>'Water-Meter'!G10</f>
        <v>31172</v>
      </c>
      <c r="L8" s="298">
        <f t="shared" si="3"/>
        <v>12</v>
      </c>
      <c r="M8" s="340">
        <f t="shared" si="10"/>
        <v>43439</v>
      </c>
      <c r="N8" s="281"/>
      <c r="O8" s="281">
        <f t="shared" si="4"/>
        <v>6210</v>
      </c>
      <c r="P8" s="301">
        <f>'Water-Meter'!J10</f>
        <v>6213</v>
      </c>
      <c r="Q8" s="298">
        <f t="shared" si="5"/>
        <v>3</v>
      </c>
      <c r="R8" s="300">
        <f t="shared" si="6"/>
        <v>1.8575851393188853E-3</v>
      </c>
      <c r="S8" s="302">
        <f>SUM(F8/Gen!T14)</f>
        <v>6.6467831273976069E-2</v>
      </c>
      <c r="T8" s="340">
        <f t="shared" si="11"/>
        <v>43439</v>
      </c>
      <c r="U8" s="281"/>
      <c r="V8" s="281">
        <f t="shared" si="12"/>
        <v>5766.9</v>
      </c>
      <c r="W8" s="282">
        <v>5769.1</v>
      </c>
      <c r="X8" s="290">
        <f t="shared" si="0"/>
        <v>440.00000000014552</v>
      </c>
      <c r="Y8" s="340">
        <f t="shared" si="13"/>
        <v>43439</v>
      </c>
      <c r="Z8" s="281"/>
      <c r="AA8" s="281">
        <f t="shared" si="14"/>
        <v>15317</v>
      </c>
      <c r="AB8" s="301">
        <f>'Water-Meter'!P10</f>
        <v>15326</v>
      </c>
      <c r="AC8" s="290">
        <f t="shared" si="7"/>
        <v>9</v>
      </c>
    </row>
    <row r="9" spans="1:34" ht="19.5" thickBot="1" x14ac:dyDescent="0.35">
      <c r="A9" s="296">
        <f>Gen!B16</f>
        <v>0.29870000000000002</v>
      </c>
      <c r="B9" s="138">
        <f>Gen!A16</f>
        <v>43440</v>
      </c>
      <c r="C9" s="281"/>
      <c r="D9" s="281">
        <f t="shared" si="8"/>
        <v>6978.5</v>
      </c>
      <c r="E9" s="289">
        <v>6981.1</v>
      </c>
      <c r="F9" s="290">
        <f t="shared" si="1"/>
        <v>312.00000000004366</v>
      </c>
      <c r="G9" s="283"/>
      <c r="H9" s="340">
        <f t="shared" si="9"/>
        <v>43440</v>
      </c>
      <c r="I9" s="281"/>
      <c r="J9" s="281">
        <f t="shared" si="2"/>
        <v>31172</v>
      </c>
      <c r="K9" s="336">
        <f>'Water-Meter'!G11</f>
        <v>31186</v>
      </c>
      <c r="L9" s="298">
        <f t="shared" si="3"/>
        <v>14</v>
      </c>
      <c r="M9" s="340">
        <f t="shared" si="10"/>
        <v>43440</v>
      </c>
      <c r="N9" s="281"/>
      <c r="O9" s="281">
        <f t="shared" si="4"/>
        <v>6213</v>
      </c>
      <c r="P9" s="301">
        <f>'Water-Meter'!J11</f>
        <v>6216</v>
      </c>
      <c r="Q9" s="298">
        <f t="shared" si="5"/>
        <v>3</v>
      </c>
      <c r="R9" s="300">
        <f t="shared" si="6"/>
        <v>1.8575851393188853E-3</v>
      </c>
      <c r="S9" s="302">
        <f>SUM(F9/Gen!T15)</f>
        <v>7.1576049552659698E-2</v>
      </c>
      <c r="T9" s="340">
        <f t="shared" si="11"/>
        <v>43440</v>
      </c>
      <c r="U9" s="281"/>
      <c r="V9" s="281">
        <f t="shared" si="12"/>
        <v>5769.1</v>
      </c>
      <c r="W9" s="282">
        <v>5771.7</v>
      </c>
      <c r="X9" s="290">
        <f t="shared" ref="X9:X34" si="15">(W9-V9)*200</f>
        <v>519.99999999989086</v>
      </c>
      <c r="Y9" s="340">
        <f t="shared" si="13"/>
        <v>43440</v>
      </c>
      <c r="Z9" s="281"/>
      <c r="AA9" s="281">
        <f t="shared" si="14"/>
        <v>15326</v>
      </c>
      <c r="AB9" s="301">
        <f>'Water-Meter'!P11</f>
        <v>15336</v>
      </c>
      <c r="AC9" s="290">
        <f t="shared" si="7"/>
        <v>10</v>
      </c>
    </row>
    <row r="10" spans="1:34" ht="19.5" thickBot="1" x14ac:dyDescent="0.35">
      <c r="A10" s="296">
        <f>Gen!B17</f>
        <v>0.24679999999999999</v>
      </c>
      <c r="B10" s="138">
        <f>Gen!A17</f>
        <v>43441</v>
      </c>
      <c r="C10" s="281"/>
      <c r="D10" s="281">
        <f t="shared" si="8"/>
        <v>6981.1</v>
      </c>
      <c r="E10" s="289">
        <v>6983.2</v>
      </c>
      <c r="F10" s="290">
        <f t="shared" si="1"/>
        <v>251.99999999993452</v>
      </c>
      <c r="G10" s="283"/>
      <c r="H10" s="340">
        <f t="shared" si="9"/>
        <v>43441</v>
      </c>
      <c r="I10" s="281"/>
      <c r="J10" s="281">
        <f t="shared" si="2"/>
        <v>31186</v>
      </c>
      <c r="K10" s="336">
        <f>'Water-Meter'!G12</f>
        <v>31199</v>
      </c>
      <c r="L10" s="298">
        <f t="shared" si="3"/>
        <v>13</v>
      </c>
      <c r="M10" s="340">
        <f t="shared" si="10"/>
        <v>43441</v>
      </c>
      <c r="N10" s="281"/>
      <c r="O10" s="281">
        <f t="shared" si="4"/>
        <v>6216</v>
      </c>
      <c r="P10" s="301">
        <f>'Water-Meter'!J12</f>
        <v>6220</v>
      </c>
      <c r="Q10" s="298">
        <f t="shared" si="5"/>
        <v>4</v>
      </c>
      <c r="R10" s="300">
        <f t="shared" si="6"/>
        <v>2.4767801857585141E-3</v>
      </c>
      <c r="S10" s="302">
        <f>SUM(F10/Gen!T16)</f>
        <v>5.3503184713361893E-2</v>
      </c>
      <c r="T10" s="340">
        <f t="shared" si="11"/>
        <v>43441</v>
      </c>
      <c r="U10" s="281"/>
      <c r="V10" s="281">
        <f t="shared" si="12"/>
        <v>5771.7</v>
      </c>
      <c r="W10" s="282">
        <v>5773.8</v>
      </c>
      <c r="X10" s="290">
        <f t="shared" si="15"/>
        <v>420.00000000007276</v>
      </c>
      <c r="Y10" s="340">
        <f t="shared" si="13"/>
        <v>43441</v>
      </c>
      <c r="Z10" s="281"/>
      <c r="AA10" s="281">
        <f t="shared" si="14"/>
        <v>15336</v>
      </c>
      <c r="AB10" s="301">
        <f>'Water-Meter'!P12</f>
        <v>15348</v>
      </c>
      <c r="AC10" s="290">
        <f t="shared" si="7"/>
        <v>12</v>
      </c>
      <c r="AH10">
        <v>5850</v>
      </c>
    </row>
    <row r="11" spans="1:34" ht="19.5" thickBot="1" x14ac:dyDescent="0.35">
      <c r="A11" s="296">
        <f>Gen!B18</f>
        <v>0.28570000000000001</v>
      </c>
      <c r="B11" s="138">
        <f>Gen!A18</f>
        <v>43442</v>
      </c>
      <c r="C11" s="281"/>
      <c r="D11" s="281">
        <f t="shared" si="8"/>
        <v>6983.2</v>
      </c>
      <c r="E11" s="289">
        <v>6985.5</v>
      </c>
      <c r="F11" s="290">
        <f t="shared" si="1"/>
        <v>276.00000000002183</v>
      </c>
      <c r="G11" s="283"/>
      <c r="H11" s="340">
        <f t="shared" si="9"/>
        <v>43442</v>
      </c>
      <c r="I11" s="281"/>
      <c r="J11" s="281">
        <f t="shared" si="2"/>
        <v>31199</v>
      </c>
      <c r="K11" s="336">
        <f>'Water-Meter'!G13</f>
        <v>31213</v>
      </c>
      <c r="L11" s="298">
        <f t="shared" si="3"/>
        <v>14</v>
      </c>
      <c r="M11" s="340">
        <f t="shared" si="10"/>
        <v>43442</v>
      </c>
      <c r="N11" s="281"/>
      <c r="O11" s="281">
        <f t="shared" si="4"/>
        <v>6220</v>
      </c>
      <c r="P11" s="301">
        <f>'Water-Meter'!J13</f>
        <v>6223</v>
      </c>
      <c r="Q11" s="298">
        <f t="shared" si="5"/>
        <v>3</v>
      </c>
      <c r="R11" s="300">
        <f t="shared" si="6"/>
        <v>1.8575851393188853E-3</v>
      </c>
      <c r="S11" s="302">
        <f>SUM(F11/Gen!T17)</f>
        <v>5.6615384615389092E-2</v>
      </c>
      <c r="T11" s="340">
        <f t="shared" si="11"/>
        <v>43442</v>
      </c>
      <c r="U11" s="281"/>
      <c r="V11" s="281">
        <f t="shared" si="12"/>
        <v>5773.8</v>
      </c>
      <c r="W11" s="282">
        <v>5776.4</v>
      </c>
      <c r="X11" s="290">
        <f t="shared" si="15"/>
        <v>519.99999999989086</v>
      </c>
      <c r="Y11" s="340">
        <f t="shared" si="13"/>
        <v>43442</v>
      </c>
      <c r="Z11" s="281"/>
      <c r="AA11" s="281">
        <f t="shared" si="14"/>
        <v>15348</v>
      </c>
      <c r="AB11" s="301">
        <f>'Water-Meter'!P13</f>
        <v>15352</v>
      </c>
      <c r="AC11" s="290">
        <f t="shared" si="7"/>
        <v>4</v>
      </c>
    </row>
    <row r="12" spans="1:34" ht="19.5" thickBot="1" x14ac:dyDescent="0.35">
      <c r="A12" s="296">
        <f>Gen!B19</f>
        <v>0.46750000000000003</v>
      </c>
      <c r="B12" s="138">
        <f>Gen!A19</f>
        <v>43443</v>
      </c>
      <c r="C12" s="281"/>
      <c r="D12" s="281">
        <f t="shared" si="8"/>
        <v>6985.5</v>
      </c>
      <c r="E12" s="289">
        <v>6987.9</v>
      </c>
      <c r="F12" s="290">
        <f t="shared" si="1"/>
        <v>287.99999999995634</v>
      </c>
      <c r="G12" s="283"/>
      <c r="H12" s="340">
        <f t="shared" si="9"/>
        <v>43443</v>
      </c>
      <c r="I12" s="281"/>
      <c r="J12" s="281">
        <f t="shared" si="2"/>
        <v>31213</v>
      </c>
      <c r="K12" s="336">
        <f>'Water-Meter'!G14</f>
        <v>31228</v>
      </c>
      <c r="L12" s="298">
        <f t="shared" si="3"/>
        <v>15</v>
      </c>
      <c r="M12" s="340">
        <f t="shared" si="10"/>
        <v>43443</v>
      </c>
      <c r="N12" s="281"/>
      <c r="O12" s="281">
        <f t="shared" si="4"/>
        <v>6223</v>
      </c>
      <c r="P12" s="301">
        <f>'Water-Meter'!J14</f>
        <v>6226</v>
      </c>
      <c r="Q12" s="298">
        <f t="shared" si="5"/>
        <v>3</v>
      </c>
      <c r="R12" s="300">
        <f t="shared" si="6"/>
        <v>1.8575851393188853E-3</v>
      </c>
      <c r="S12" s="302">
        <f>SUM(F12/Gen!T18)</f>
        <v>5.9987502603615149E-2</v>
      </c>
      <c r="T12" s="340">
        <f t="shared" si="11"/>
        <v>43443</v>
      </c>
      <c r="U12" s="281"/>
      <c r="V12" s="281">
        <f t="shared" si="12"/>
        <v>5776.4</v>
      </c>
      <c r="W12" s="282">
        <v>5779.6</v>
      </c>
      <c r="X12" s="290">
        <f t="shared" si="15"/>
        <v>640.00000000014552</v>
      </c>
      <c r="Y12" s="340">
        <f t="shared" si="13"/>
        <v>43443</v>
      </c>
      <c r="Z12" s="281"/>
      <c r="AA12" s="281">
        <f t="shared" si="14"/>
        <v>15352</v>
      </c>
      <c r="AB12" s="301">
        <f>'Water-Meter'!P14</f>
        <v>15361</v>
      </c>
      <c r="AC12" s="290"/>
    </row>
    <row r="13" spans="1:34" ht="19.5" thickBot="1" x14ac:dyDescent="0.35">
      <c r="A13" s="296">
        <f>Gen!B20</f>
        <v>0.55840000000000001</v>
      </c>
      <c r="B13" s="138">
        <f>Gen!A20</f>
        <v>43444</v>
      </c>
      <c r="C13" s="281"/>
      <c r="D13" s="281">
        <f t="shared" si="8"/>
        <v>6987.9</v>
      </c>
      <c r="E13" s="289">
        <v>6990.1</v>
      </c>
      <c r="F13" s="290">
        <f t="shared" si="1"/>
        <v>264.00000000008731</v>
      </c>
      <c r="G13" s="283"/>
      <c r="H13" s="340">
        <f t="shared" si="9"/>
        <v>43444</v>
      </c>
      <c r="I13" s="281"/>
      <c r="J13" s="281">
        <f t="shared" si="2"/>
        <v>31228</v>
      </c>
      <c r="K13" s="336">
        <f>'Water-Meter'!G15</f>
        <v>31244</v>
      </c>
      <c r="L13" s="298">
        <f t="shared" si="3"/>
        <v>16</v>
      </c>
      <c r="M13" s="340">
        <f t="shared" si="10"/>
        <v>43444</v>
      </c>
      <c r="N13" s="281"/>
      <c r="O13" s="281">
        <f t="shared" si="4"/>
        <v>6226</v>
      </c>
      <c r="P13" s="301">
        <f>'Water-Meter'!J15</f>
        <v>6235</v>
      </c>
      <c r="Q13" s="298">
        <f t="shared" si="5"/>
        <v>9</v>
      </c>
      <c r="R13" s="300">
        <f t="shared" si="6"/>
        <v>5.5727554179566567E-3</v>
      </c>
      <c r="S13" s="302">
        <f>SUM(F13/Gen!T19)</f>
        <v>5.3778773681011881E-2</v>
      </c>
      <c r="T13" s="340">
        <f t="shared" si="11"/>
        <v>43444</v>
      </c>
      <c r="U13" s="281"/>
      <c r="V13" s="281">
        <f t="shared" si="12"/>
        <v>5779.6</v>
      </c>
      <c r="W13" s="282">
        <v>5783.3</v>
      </c>
      <c r="X13" s="290">
        <f t="shared" si="15"/>
        <v>739.99999999996362</v>
      </c>
      <c r="Y13" s="340">
        <f t="shared" si="13"/>
        <v>43444</v>
      </c>
      <c r="Z13" s="281"/>
      <c r="AA13" s="281">
        <f t="shared" si="14"/>
        <v>15361</v>
      </c>
      <c r="AB13" s="301">
        <f>'Water-Meter'!P15</f>
        <v>15382</v>
      </c>
      <c r="AC13" s="290">
        <f>SUM(AB13-AA13)</f>
        <v>21</v>
      </c>
    </row>
    <row r="14" spans="1:34" ht="19.5" thickBot="1" x14ac:dyDescent="0.35">
      <c r="A14" s="296">
        <f>Gen!B21</f>
        <v>0.57140000000000002</v>
      </c>
      <c r="B14" s="138">
        <f>Gen!A21</f>
        <v>43445</v>
      </c>
      <c r="C14" s="281"/>
      <c r="D14" s="281">
        <f t="shared" si="8"/>
        <v>6990.1</v>
      </c>
      <c r="E14" s="289">
        <v>6992.4</v>
      </c>
      <c r="F14" s="290">
        <f t="shared" si="1"/>
        <v>275.99999999991269</v>
      </c>
      <c r="G14" s="283"/>
      <c r="H14" s="340">
        <f t="shared" si="9"/>
        <v>43445</v>
      </c>
      <c r="I14" s="281"/>
      <c r="J14" s="281">
        <f t="shared" si="2"/>
        <v>31244</v>
      </c>
      <c r="K14" s="336">
        <f>'Water-Meter'!G16</f>
        <v>31259</v>
      </c>
      <c r="L14" s="298">
        <f t="shared" si="3"/>
        <v>15</v>
      </c>
      <c r="M14" s="340">
        <f t="shared" si="10"/>
        <v>43445</v>
      </c>
      <c r="N14" s="281"/>
      <c r="O14" s="281">
        <f t="shared" si="4"/>
        <v>6235</v>
      </c>
      <c r="P14" s="301">
        <f>'Water-Meter'!J16</f>
        <v>6239</v>
      </c>
      <c r="Q14" s="298">
        <f t="shared" si="5"/>
        <v>4</v>
      </c>
      <c r="R14" s="300">
        <f t="shared" si="6"/>
        <v>2.4767801857585141E-3</v>
      </c>
      <c r="S14" s="302">
        <f>SUM(F14/Gen!T20)</f>
        <v>5.1918735891631429E-2</v>
      </c>
      <c r="T14" s="340">
        <f t="shared" si="11"/>
        <v>43445</v>
      </c>
      <c r="U14" s="281"/>
      <c r="V14" s="281">
        <f t="shared" si="12"/>
        <v>5783.3</v>
      </c>
      <c r="W14" s="282">
        <v>5787.7</v>
      </c>
      <c r="X14" s="290">
        <f t="shared" si="15"/>
        <v>879.99999999992724</v>
      </c>
      <c r="Y14" s="340">
        <f t="shared" si="13"/>
        <v>43445</v>
      </c>
      <c r="Z14" s="281"/>
      <c r="AA14" s="281">
        <f t="shared" si="14"/>
        <v>15382</v>
      </c>
      <c r="AB14" s="301">
        <f>'Water-Meter'!P16</f>
        <v>15395</v>
      </c>
      <c r="AC14" s="290">
        <f t="shared" si="7"/>
        <v>13</v>
      </c>
    </row>
    <row r="15" spans="1:34" ht="19.5" thickBot="1" x14ac:dyDescent="0.35">
      <c r="A15" s="296">
        <f>Gen!B22</f>
        <v>0.23380000000000001</v>
      </c>
      <c r="B15" s="138">
        <f>Gen!A22</f>
        <v>43446</v>
      </c>
      <c r="C15" s="281"/>
      <c r="D15" s="281">
        <f t="shared" si="8"/>
        <v>6992.4</v>
      </c>
      <c r="E15" s="289">
        <v>6994.6</v>
      </c>
      <c r="F15" s="290">
        <f t="shared" si="1"/>
        <v>264.00000000008731</v>
      </c>
      <c r="G15" s="283"/>
      <c r="H15" s="340">
        <f t="shared" si="9"/>
        <v>43446</v>
      </c>
      <c r="I15" s="281"/>
      <c r="J15" s="281">
        <f t="shared" si="2"/>
        <v>31259</v>
      </c>
      <c r="K15" s="336">
        <f>'Water-Meter'!G17</f>
        <v>31273</v>
      </c>
      <c r="L15" s="298">
        <f t="shared" si="3"/>
        <v>14</v>
      </c>
      <c r="M15" s="340">
        <f t="shared" si="10"/>
        <v>43446</v>
      </c>
      <c r="N15" s="281"/>
      <c r="O15" s="281">
        <f t="shared" si="4"/>
        <v>6239</v>
      </c>
      <c r="P15" s="301">
        <f>'Water-Meter'!J17</f>
        <v>6244</v>
      </c>
      <c r="Q15" s="298">
        <f t="shared" si="5"/>
        <v>5</v>
      </c>
      <c r="R15" s="300">
        <f t="shared" si="6"/>
        <v>3.0959752321981426E-3</v>
      </c>
      <c r="S15" s="302">
        <f>SUM(F15/Gen!T21)</f>
        <v>5.363673303536922E-2</v>
      </c>
      <c r="T15" s="340">
        <f t="shared" si="11"/>
        <v>43446</v>
      </c>
      <c r="U15" s="281"/>
      <c r="V15" s="281">
        <f t="shared" si="12"/>
        <v>5787.7</v>
      </c>
      <c r="W15" s="282">
        <v>5790.7</v>
      </c>
      <c r="X15" s="290">
        <f t="shared" si="15"/>
        <v>600</v>
      </c>
      <c r="Y15" s="340">
        <f t="shared" si="13"/>
        <v>43446</v>
      </c>
      <c r="Z15" s="281"/>
      <c r="AA15" s="281">
        <f t="shared" si="14"/>
        <v>15395</v>
      </c>
      <c r="AB15" s="301">
        <f>'Water-Meter'!P17</f>
        <v>15410</v>
      </c>
      <c r="AC15" s="290">
        <f t="shared" si="7"/>
        <v>15</v>
      </c>
    </row>
    <row r="16" spans="1:34" ht="19.5" thickBot="1" x14ac:dyDescent="0.35">
      <c r="A16" s="296">
        <f>Gen!B23</f>
        <v>0.2727</v>
      </c>
      <c r="B16" s="138">
        <f>Gen!A23</f>
        <v>43447</v>
      </c>
      <c r="C16" s="281"/>
      <c r="D16" s="281">
        <f t="shared" si="8"/>
        <v>6994.6</v>
      </c>
      <c r="E16" s="289">
        <v>6996.9</v>
      </c>
      <c r="F16" s="290">
        <f>SUM(E16-D16)*120</f>
        <v>275.99999999991269</v>
      </c>
      <c r="G16" s="283"/>
      <c r="H16" s="340">
        <f t="shared" si="9"/>
        <v>43447</v>
      </c>
      <c r="I16" s="281"/>
      <c r="J16" s="281">
        <f t="shared" si="2"/>
        <v>31273</v>
      </c>
      <c r="K16" s="336">
        <f>'Water-Meter'!G18</f>
        <v>31288</v>
      </c>
      <c r="L16" s="298">
        <f t="shared" si="3"/>
        <v>15</v>
      </c>
      <c r="M16" s="340">
        <f t="shared" si="10"/>
        <v>43447</v>
      </c>
      <c r="N16" s="281"/>
      <c r="O16" s="281">
        <f t="shared" si="4"/>
        <v>6244</v>
      </c>
      <c r="P16" s="301">
        <f>'Water-Meter'!J18</f>
        <v>6246</v>
      </c>
      <c r="Q16" s="298">
        <f t="shared" si="5"/>
        <v>2</v>
      </c>
      <c r="R16" s="300">
        <f t="shared" si="6"/>
        <v>1.238390092879257E-3</v>
      </c>
      <c r="S16" s="302">
        <f>SUM(F16/Gen!T22)</f>
        <v>5.6673511293616571E-2</v>
      </c>
      <c r="T16" s="340">
        <f t="shared" si="11"/>
        <v>43447</v>
      </c>
      <c r="U16" s="281"/>
      <c r="V16" s="281">
        <f t="shared" si="12"/>
        <v>5790.7</v>
      </c>
      <c r="W16" s="282">
        <v>5793.6</v>
      </c>
      <c r="X16" s="290">
        <f t="shared" si="15"/>
        <v>580.00000000010914</v>
      </c>
      <c r="Y16" s="340">
        <f t="shared" si="13"/>
        <v>43447</v>
      </c>
      <c r="Z16" s="281"/>
      <c r="AA16" s="281">
        <f t="shared" si="14"/>
        <v>15410</v>
      </c>
      <c r="AB16" s="301">
        <f>'Water-Meter'!P18</f>
        <v>15421</v>
      </c>
      <c r="AC16" s="290">
        <f t="shared" si="7"/>
        <v>11</v>
      </c>
    </row>
    <row r="17" spans="1:29" ht="19.5" thickBot="1" x14ac:dyDescent="0.35">
      <c r="A17" s="296">
        <f>Gen!B24</f>
        <v>0.25950000000000001</v>
      </c>
      <c r="B17" s="138">
        <f>Gen!A24</f>
        <v>43448</v>
      </c>
      <c r="C17" s="281"/>
      <c r="D17" s="281">
        <f t="shared" si="8"/>
        <v>6996.9</v>
      </c>
      <c r="E17" s="289">
        <v>6999.3</v>
      </c>
      <c r="F17" s="290">
        <f>SUM(E17-D17)*120</f>
        <v>288.00000000006548</v>
      </c>
      <c r="G17" s="283"/>
      <c r="H17" s="340">
        <f t="shared" si="9"/>
        <v>43448</v>
      </c>
      <c r="I17" s="281"/>
      <c r="J17" s="281">
        <f t="shared" si="2"/>
        <v>31288</v>
      </c>
      <c r="K17" s="336">
        <f>'Water-Meter'!G19</f>
        <v>31303</v>
      </c>
      <c r="L17" s="298">
        <f t="shared" si="3"/>
        <v>15</v>
      </c>
      <c r="M17" s="340">
        <f t="shared" si="10"/>
        <v>43448</v>
      </c>
      <c r="N17" s="281"/>
      <c r="O17" s="281">
        <f t="shared" si="4"/>
        <v>6246</v>
      </c>
      <c r="P17" s="301">
        <f>'Water-Meter'!J19</f>
        <v>6249</v>
      </c>
      <c r="Q17" s="298">
        <f t="shared" si="5"/>
        <v>3</v>
      </c>
      <c r="R17" s="300">
        <f t="shared" si="6"/>
        <v>1.8575851393188853E-3</v>
      </c>
      <c r="S17" s="302">
        <f>SUM(F17/Gen!T23)</f>
        <v>6.1802575107310187E-2</v>
      </c>
      <c r="T17" s="340">
        <f t="shared" si="11"/>
        <v>43448</v>
      </c>
      <c r="U17" s="281"/>
      <c r="V17" s="281">
        <f t="shared" ref="V17:V33" si="16">W16</f>
        <v>5793.6</v>
      </c>
      <c r="W17" s="282">
        <v>5797.8</v>
      </c>
      <c r="X17" s="290">
        <f t="shared" si="15"/>
        <v>839.99999999996362</v>
      </c>
      <c r="Y17" s="340">
        <f t="shared" si="13"/>
        <v>43448</v>
      </c>
      <c r="Z17" s="281"/>
      <c r="AA17" s="281">
        <f t="shared" si="14"/>
        <v>15421</v>
      </c>
      <c r="AB17" s="301">
        <f>'Water-Meter'!P19</f>
        <v>15442</v>
      </c>
      <c r="AC17" s="290">
        <f t="shared" si="7"/>
        <v>21</v>
      </c>
    </row>
    <row r="18" spans="1:29" ht="19.5" thickBot="1" x14ac:dyDescent="0.35">
      <c r="A18" s="296">
        <f>Gen!B25</f>
        <v>0.12989999999999999</v>
      </c>
      <c r="B18" s="138">
        <f>Gen!A25</f>
        <v>43449</v>
      </c>
      <c r="C18" s="281"/>
      <c r="D18" s="281">
        <f t="shared" si="8"/>
        <v>6999.3</v>
      </c>
      <c r="E18" s="289">
        <v>7001.4</v>
      </c>
      <c r="F18" s="290">
        <f t="shared" ref="F18:F22" si="17">SUM(E18-D18)*120</f>
        <v>251.99999999993452</v>
      </c>
      <c r="G18" s="283"/>
      <c r="H18" s="340">
        <f t="shared" si="9"/>
        <v>43449</v>
      </c>
      <c r="I18" s="281"/>
      <c r="J18" s="281">
        <f t="shared" si="2"/>
        <v>31303</v>
      </c>
      <c r="K18" s="336">
        <f>'Water-Meter'!G20</f>
        <v>31316</v>
      </c>
      <c r="L18" s="298">
        <f t="shared" si="3"/>
        <v>13</v>
      </c>
      <c r="M18" s="340">
        <f t="shared" si="10"/>
        <v>43449</v>
      </c>
      <c r="N18" s="281"/>
      <c r="O18" s="281">
        <f t="shared" si="4"/>
        <v>6249</v>
      </c>
      <c r="P18" s="301">
        <f>'Water-Meter'!J20</f>
        <v>6254</v>
      </c>
      <c r="Q18" s="298">
        <f t="shared" si="5"/>
        <v>5</v>
      </c>
      <c r="R18" s="300">
        <f t="shared" si="6"/>
        <v>3.0959752321981426E-3</v>
      </c>
      <c r="S18" s="302">
        <f>SUM(F18/Gen!T24)</f>
        <v>5.3074978938486631E-2</v>
      </c>
      <c r="T18" s="340">
        <f t="shared" si="11"/>
        <v>43449</v>
      </c>
      <c r="U18" s="281"/>
      <c r="V18" s="281">
        <f t="shared" si="16"/>
        <v>5797.8</v>
      </c>
      <c r="W18" s="282">
        <v>5800.9</v>
      </c>
      <c r="X18" s="290">
        <f t="shared" si="15"/>
        <v>619.99999999989086</v>
      </c>
      <c r="Y18" s="340">
        <f t="shared" si="13"/>
        <v>43449</v>
      </c>
      <c r="Z18" s="281"/>
      <c r="AA18" s="281">
        <f t="shared" si="14"/>
        <v>15442</v>
      </c>
      <c r="AB18" s="301">
        <f>'Water-Meter'!P20</f>
        <v>15329</v>
      </c>
      <c r="AC18" s="290">
        <f>SUM(AB18-AA18)</f>
        <v>-113</v>
      </c>
    </row>
    <row r="19" spans="1:29" ht="19.5" thickBot="1" x14ac:dyDescent="0.35">
      <c r="A19" s="296">
        <f>Gen!B26</f>
        <v>0.25969999999999999</v>
      </c>
      <c r="B19" s="138">
        <f>Gen!A26</f>
        <v>43450</v>
      </c>
      <c r="C19" s="284"/>
      <c r="D19" s="281">
        <f t="shared" si="8"/>
        <v>7001.4</v>
      </c>
      <c r="E19" s="289">
        <v>7003.7</v>
      </c>
      <c r="F19" s="290">
        <f t="shared" si="17"/>
        <v>276.00000000002183</v>
      </c>
      <c r="G19" s="283"/>
      <c r="H19" s="340">
        <f t="shared" si="9"/>
        <v>43450</v>
      </c>
      <c r="I19" s="284"/>
      <c r="J19" s="281">
        <f t="shared" si="2"/>
        <v>31316</v>
      </c>
      <c r="K19" s="336">
        <f>'Water-Meter'!G21</f>
        <v>31330</v>
      </c>
      <c r="L19" s="298">
        <f t="shared" si="3"/>
        <v>14</v>
      </c>
      <c r="M19" s="340">
        <f t="shared" si="10"/>
        <v>43450</v>
      </c>
      <c r="N19" s="284"/>
      <c r="O19" s="281">
        <f t="shared" si="4"/>
        <v>6254</v>
      </c>
      <c r="P19" s="301">
        <f>'Water-Meter'!J21</f>
        <v>6257</v>
      </c>
      <c r="Q19" s="298">
        <f t="shared" si="5"/>
        <v>3</v>
      </c>
      <c r="R19" s="300">
        <f t="shared" si="6"/>
        <v>1.8575851393188853E-3</v>
      </c>
      <c r="S19" s="302">
        <f>SUM(F19/Gen!T25)</f>
        <v>5.8425063505508433E-2</v>
      </c>
      <c r="T19" s="340">
        <f t="shared" si="11"/>
        <v>43450</v>
      </c>
      <c r="U19" s="284"/>
      <c r="V19" s="281">
        <f t="shared" si="16"/>
        <v>5800.9</v>
      </c>
      <c r="W19" s="282">
        <v>5803.2</v>
      </c>
      <c r="X19" s="290">
        <f t="shared" si="15"/>
        <v>460.00000000003638</v>
      </c>
      <c r="Y19" s="340">
        <f t="shared" si="13"/>
        <v>43450</v>
      </c>
      <c r="Z19" s="284"/>
      <c r="AA19" s="281">
        <f t="shared" si="14"/>
        <v>15329</v>
      </c>
      <c r="AB19" s="301">
        <f>'Water-Meter'!P21</f>
        <v>15316</v>
      </c>
      <c r="AC19" s="290">
        <f t="shared" si="7"/>
        <v>-13</v>
      </c>
    </row>
    <row r="20" spans="1:29" ht="19.5" thickBot="1" x14ac:dyDescent="0.35">
      <c r="A20" s="296">
        <f>Gen!B27</f>
        <v>0.29870000000000002</v>
      </c>
      <c r="B20" s="138">
        <f>Gen!A27</f>
        <v>43451</v>
      </c>
      <c r="C20" s="284"/>
      <c r="D20" s="281">
        <f t="shared" si="8"/>
        <v>7003.7</v>
      </c>
      <c r="E20" s="289">
        <v>7005.7</v>
      </c>
      <c r="F20" s="290">
        <f t="shared" si="17"/>
        <v>240</v>
      </c>
      <c r="G20" s="283"/>
      <c r="H20" s="340">
        <f t="shared" si="9"/>
        <v>43451</v>
      </c>
      <c r="I20" s="284"/>
      <c r="J20" s="281">
        <f t="shared" si="2"/>
        <v>31330</v>
      </c>
      <c r="K20" s="336">
        <f>'Water-Meter'!G22</f>
        <v>31343</v>
      </c>
      <c r="L20" s="298">
        <f t="shared" si="3"/>
        <v>13</v>
      </c>
      <c r="M20" s="340">
        <f t="shared" si="10"/>
        <v>43451</v>
      </c>
      <c r="N20" s="284"/>
      <c r="O20" s="281">
        <f t="shared" si="4"/>
        <v>6257</v>
      </c>
      <c r="P20" s="301">
        <f>'Water-Meter'!J22</f>
        <v>6260</v>
      </c>
      <c r="Q20" s="298">
        <f t="shared" si="5"/>
        <v>3</v>
      </c>
      <c r="R20" s="300">
        <f t="shared" si="6"/>
        <v>1.8575851393188853E-3</v>
      </c>
      <c r="S20" s="302">
        <f>SUM(F20/Gen!T26)</f>
        <v>4.7952047952047952E-2</v>
      </c>
      <c r="T20" s="340">
        <f t="shared" si="11"/>
        <v>43451</v>
      </c>
      <c r="U20" s="284"/>
      <c r="V20" s="281">
        <f t="shared" si="16"/>
        <v>5803.2</v>
      </c>
      <c r="W20" s="282">
        <v>5806.5</v>
      </c>
      <c r="X20" s="290">
        <f t="shared" si="15"/>
        <v>660.00000000003638</v>
      </c>
      <c r="Y20" s="340">
        <f t="shared" si="13"/>
        <v>43451</v>
      </c>
      <c r="Z20" s="284"/>
      <c r="AA20" s="281">
        <f t="shared" si="14"/>
        <v>15316</v>
      </c>
      <c r="AB20" s="301">
        <f>'Water-Meter'!P22</f>
        <v>15328</v>
      </c>
      <c r="AC20" s="290">
        <f t="shared" si="7"/>
        <v>12</v>
      </c>
    </row>
    <row r="21" spans="1:29" ht="19.5" thickBot="1" x14ac:dyDescent="0.35">
      <c r="A21" s="296">
        <f>Gen!B28</f>
        <v>0.50649999999999995</v>
      </c>
      <c r="B21" s="138">
        <f>Gen!A28</f>
        <v>43452</v>
      </c>
      <c r="C21" s="284"/>
      <c r="D21" s="281">
        <f t="shared" ref="D21:D23" si="18">E20</f>
        <v>7005.7</v>
      </c>
      <c r="E21" s="289">
        <v>7008.2</v>
      </c>
      <c r="F21" s="290">
        <f t="shared" si="17"/>
        <v>300</v>
      </c>
      <c r="G21" s="283"/>
      <c r="H21" s="340">
        <f t="shared" si="9"/>
        <v>43452</v>
      </c>
      <c r="I21" s="284"/>
      <c r="J21" s="281">
        <f t="shared" si="2"/>
        <v>31343</v>
      </c>
      <c r="K21" s="336">
        <f>'Water-Meter'!G23</f>
        <v>31358</v>
      </c>
      <c r="L21" s="298">
        <f t="shared" si="3"/>
        <v>15</v>
      </c>
      <c r="M21" s="340">
        <f t="shared" si="10"/>
        <v>43452</v>
      </c>
      <c r="N21" s="284"/>
      <c r="O21" s="281">
        <f t="shared" si="4"/>
        <v>6260</v>
      </c>
      <c r="P21" s="301">
        <f>'Water-Meter'!J23</f>
        <v>6264</v>
      </c>
      <c r="Q21" s="298">
        <f t="shared" si="5"/>
        <v>4</v>
      </c>
      <c r="R21" s="300">
        <f t="shared" ref="R21:R35" si="19">SUM(Q21/1615)</f>
        <v>2.4767801857585141E-3</v>
      </c>
      <c r="S21" s="302">
        <f>SUM(F21/Gen!T28)</f>
        <v>5.0933786078098474E-2</v>
      </c>
      <c r="T21" s="340">
        <f t="shared" si="11"/>
        <v>43452</v>
      </c>
      <c r="U21" s="284"/>
      <c r="V21" s="281">
        <f t="shared" si="16"/>
        <v>5806.5</v>
      </c>
      <c r="W21" s="282">
        <v>5810.5</v>
      </c>
      <c r="X21" s="290">
        <f t="shared" si="15"/>
        <v>800</v>
      </c>
      <c r="Y21" s="340">
        <f t="shared" si="13"/>
        <v>43452</v>
      </c>
      <c r="Z21" s="284"/>
      <c r="AA21" s="281">
        <f t="shared" si="14"/>
        <v>15328</v>
      </c>
      <c r="AB21" s="301">
        <f>'Water-Meter'!P23</f>
        <v>15341</v>
      </c>
      <c r="AC21" s="290">
        <f t="shared" si="7"/>
        <v>13</v>
      </c>
    </row>
    <row r="22" spans="1:29" ht="19.5" thickBot="1" x14ac:dyDescent="0.35">
      <c r="A22" s="296">
        <f>Gen!B29</f>
        <v>0.44159999999999999</v>
      </c>
      <c r="B22" s="138">
        <f>Gen!A29</f>
        <v>43453</v>
      </c>
      <c r="C22" s="281"/>
      <c r="D22" s="281">
        <f t="shared" si="18"/>
        <v>7008.2</v>
      </c>
      <c r="E22" s="289">
        <v>7010.2</v>
      </c>
      <c r="F22" s="290">
        <f t="shared" si="17"/>
        <v>240</v>
      </c>
      <c r="G22" s="283"/>
      <c r="H22" s="340">
        <f t="shared" si="9"/>
        <v>43453</v>
      </c>
      <c r="I22" s="281"/>
      <c r="J22" s="281">
        <f t="shared" si="2"/>
        <v>31358</v>
      </c>
      <c r="K22" s="336">
        <f>'Water-Meter'!G24</f>
        <v>31384</v>
      </c>
      <c r="L22" s="298">
        <f t="shared" si="3"/>
        <v>26</v>
      </c>
      <c r="M22" s="340">
        <f t="shared" si="10"/>
        <v>43453</v>
      </c>
      <c r="N22" s="281"/>
      <c r="O22" s="281">
        <f t="shared" si="4"/>
        <v>6264</v>
      </c>
      <c r="P22" s="301">
        <f>'Water-Meter'!J24</f>
        <v>6269</v>
      </c>
      <c r="Q22" s="298">
        <f t="shared" si="5"/>
        <v>5</v>
      </c>
      <c r="R22" s="300">
        <f t="shared" si="19"/>
        <v>3.0959752321981426E-3</v>
      </c>
      <c r="S22" s="302">
        <f>SUM(F22/Gen!T29)</f>
        <v>4.1833710998779847E-2</v>
      </c>
      <c r="T22" s="340">
        <f t="shared" si="11"/>
        <v>43453</v>
      </c>
      <c r="U22" s="281"/>
      <c r="V22" s="281">
        <f t="shared" si="16"/>
        <v>5810.5</v>
      </c>
      <c r="W22" s="282">
        <v>5814.4</v>
      </c>
      <c r="X22" s="290">
        <f t="shared" si="15"/>
        <v>779.99999999992724</v>
      </c>
      <c r="Y22" s="340">
        <f t="shared" si="13"/>
        <v>43453</v>
      </c>
      <c r="Z22" s="281"/>
      <c r="AA22" s="281">
        <f t="shared" si="14"/>
        <v>15341</v>
      </c>
      <c r="AB22" s="301">
        <f>'Water-Meter'!P24</f>
        <v>15350</v>
      </c>
      <c r="AC22" s="290">
        <f t="shared" si="7"/>
        <v>9</v>
      </c>
    </row>
    <row r="23" spans="1:29" ht="19.5" thickBot="1" x14ac:dyDescent="0.35">
      <c r="A23" s="296">
        <f>Gen!B30</f>
        <v>0.40260000000000001</v>
      </c>
      <c r="B23" s="138">
        <f>Gen!A30</f>
        <v>43454</v>
      </c>
      <c r="C23" s="284"/>
      <c r="D23" s="281">
        <f t="shared" si="18"/>
        <v>7010.2</v>
      </c>
      <c r="E23" s="289">
        <v>7012.9</v>
      </c>
      <c r="F23" s="290">
        <f t="shared" ref="F23:F34" si="20">SUM(E23-D23)*120</f>
        <v>323.99999999997817</v>
      </c>
      <c r="G23" s="283"/>
      <c r="H23" s="340">
        <f t="shared" si="9"/>
        <v>43454</v>
      </c>
      <c r="I23" s="284"/>
      <c r="J23" s="281">
        <f t="shared" si="2"/>
        <v>31384</v>
      </c>
      <c r="K23" s="336">
        <f>'Water-Meter'!G25</f>
        <v>31402</v>
      </c>
      <c r="L23" s="298">
        <f t="shared" si="3"/>
        <v>18</v>
      </c>
      <c r="M23" s="340">
        <f t="shared" si="10"/>
        <v>43454</v>
      </c>
      <c r="N23" s="284"/>
      <c r="O23" s="281">
        <f t="shared" si="4"/>
        <v>6269</v>
      </c>
      <c r="P23" s="301">
        <f>'Water-Meter'!J25</f>
        <v>6273</v>
      </c>
      <c r="Q23" s="298">
        <f t="shared" si="5"/>
        <v>4</v>
      </c>
      <c r="R23" s="300">
        <f t="shared" si="19"/>
        <v>2.4767801857585141E-3</v>
      </c>
      <c r="S23" s="302">
        <f>SUM(F23/Gen!T30)</f>
        <v>5.8043711931203543E-2</v>
      </c>
      <c r="T23" s="340">
        <f t="shared" si="11"/>
        <v>43454</v>
      </c>
      <c r="U23" s="284"/>
      <c r="V23" s="281">
        <f t="shared" si="16"/>
        <v>5814.4</v>
      </c>
      <c r="W23" s="282">
        <v>5818.4</v>
      </c>
      <c r="X23" s="290">
        <f t="shared" si="15"/>
        <v>800</v>
      </c>
      <c r="Y23" s="340">
        <f t="shared" si="13"/>
        <v>43454</v>
      </c>
      <c r="Z23" s="284"/>
      <c r="AA23" s="281">
        <f t="shared" si="14"/>
        <v>15350</v>
      </c>
      <c r="AB23" s="301">
        <f>'Water-Meter'!P25</f>
        <v>15367</v>
      </c>
      <c r="AC23" s="290">
        <f t="shared" si="7"/>
        <v>17</v>
      </c>
    </row>
    <row r="24" spans="1:29" ht="19.5" thickBot="1" x14ac:dyDescent="0.35">
      <c r="A24" s="296">
        <f>Gen!B31</f>
        <v>0.49349999999999999</v>
      </c>
      <c r="B24" s="138">
        <f>Gen!A31</f>
        <v>43455</v>
      </c>
      <c r="C24" s="284"/>
      <c r="D24" s="281">
        <f t="shared" ref="D24:D35" si="21">SUM(E23)</f>
        <v>7012.9</v>
      </c>
      <c r="E24" s="289">
        <v>7015.4</v>
      </c>
      <c r="F24" s="290">
        <f t="shared" si="20"/>
        <v>300</v>
      </c>
      <c r="G24" s="283"/>
      <c r="H24" s="340">
        <f t="shared" si="9"/>
        <v>43455</v>
      </c>
      <c r="I24" s="284"/>
      <c r="J24" s="281">
        <f t="shared" si="2"/>
        <v>31402</v>
      </c>
      <c r="K24" s="336">
        <f>'Water-Meter'!G26</f>
        <v>31420</v>
      </c>
      <c r="L24" s="298">
        <f t="shared" si="3"/>
        <v>18</v>
      </c>
      <c r="M24" s="340">
        <f t="shared" si="10"/>
        <v>43455</v>
      </c>
      <c r="N24" s="284"/>
      <c r="O24" s="281">
        <f t="shared" si="4"/>
        <v>6273</v>
      </c>
      <c r="P24" s="301">
        <f>'Water-Meter'!J26</f>
        <v>6278</v>
      </c>
      <c r="Q24" s="298">
        <f t="shared" si="5"/>
        <v>5</v>
      </c>
      <c r="R24" s="300">
        <f t="shared" si="19"/>
        <v>3.0959752321981426E-3</v>
      </c>
      <c r="S24" s="302">
        <f>SUM(F24/Gen!T31)</f>
        <v>5.3580996606536882E-2</v>
      </c>
      <c r="T24" s="340">
        <v>5835.7</v>
      </c>
      <c r="U24" s="284"/>
      <c r="V24" s="281">
        <f t="shared" si="16"/>
        <v>5818.4</v>
      </c>
      <c r="W24" s="282">
        <v>5822.4</v>
      </c>
      <c r="X24" s="290">
        <f t="shared" si="15"/>
        <v>800</v>
      </c>
      <c r="Y24" s="340">
        <f t="shared" si="13"/>
        <v>5835.7</v>
      </c>
      <c r="Z24" s="284"/>
      <c r="AA24" s="281">
        <f t="shared" si="14"/>
        <v>15367</v>
      </c>
      <c r="AB24" s="301">
        <f>'Water-Meter'!P26</f>
        <v>15373</v>
      </c>
      <c r="AC24" s="290">
        <f t="shared" si="7"/>
        <v>6</v>
      </c>
    </row>
    <row r="25" spans="1:29" ht="19.5" thickBot="1" x14ac:dyDescent="0.35">
      <c r="A25" s="296">
        <f>Gen!B32</f>
        <v>0.49349999999999999</v>
      </c>
      <c r="B25" s="138">
        <f>Gen!A32</f>
        <v>43456</v>
      </c>
      <c r="C25" s="284"/>
      <c r="D25" s="281">
        <f t="shared" si="21"/>
        <v>7015.4</v>
      </c>
      <c r="E25" s="289">
        <v>7017.9</v>
      </c>
      <c r="F25" s="290">
        <f t="shared" si="20"/>
        <v>300</v>
      </c>
      <c r="G25" s="283"/>
      <c r="H25" s="340">
        <f t="shared" si="9"/>
        <v>43456</v>
      </c>
      <c r="I25" s="284"/>
      <c r="J25" s="281">
        <f t="shared" si="2"/>
        <v>31420</v>
      </c>
      <c r="K25" s="336">
        <f>'Water-Meter'!G27</f>
        <v>31441</v>
      </c>
      <c r="L25" s="298">
        <f t="shared" si="3"/>
        <v>21</v>
      </c>
      <c r="M25" s="340">
        <f t="shared" si="10"/>
        <v>43456</v>
      </c>
      <c r="N25" s="284"/>
      <c r="O25" s="281">
        <f t="shared" si="4"/>
        <v>6278</v>
      </c>
      <c r="P25" s="301">
        <f>'Water-Meter'!J27</f>
        <v>6282</v>
      </c>
      <c r="Q25" s="298">
        <f t="shared" si="5"/>
        <v>4</v>
      </c>
      <c r="R25" s="300">
        <f t="shared" si="19"/>
        <v>2.4767801857585141E-3</v>
      </c>
      <c r="S25" s="302">
        <f>SUM(F25/Gen!T32)</f>
        <v>5.0607287449392711E-2</v>
      </c>
      <c r="T25" s="340">
        <f t="shared" si="11"/>
        <v>43456</v>
      </c>
      <c r="U25" s="284"/>
      <c r="V25" s="281">
        <f t="shared" si="16"/>
        <v>5822.4</v>
      </c>
      <c r="W25" s="282">
        <v>5826.7</v>
      </c>
      <c r="X25" s="290">
        <f t="shared" si="15"/>
        <v>860.00000000003638</v>
      </c>
      <c r="Y25" s="340">
        <f t="shared" si="13"/>
        <v>43456</v>
      </c>
      <c r="Z25" s="284"/>
      <c r="AA25" s="281">
        <f t="shared" si="14"/>
        <v>15373</v>
      </c>
      <c r="AB25" s="301">
        <f>'Water-Meter'!P27</f>
        <v>15382</v>
      </c>
      <c r="AC25" s="290">
        <f t="shared" si="7"/>
        <v>9</v>
      </c>
    </row>
    <row r="26" spans="1:29" ht="19.5" thickBot="1" x14ac:dyDescent="0.35">
      <c r="A26" s="296">
        <f>Gen!B33</f>
        <v>0.4456</v>
      </c>
      <c r="B26" s="138">
        <f>Gen!A33</f>
        <v>43457</v>
      </c>
      <c r="C26" s="284"/>
      <c r="D26" s="281">
        <f t="shared" si="21"/>
        <v>7017.9</v>
      </c>
      <c r="E26" s="289">
        <v>7020.3</v>
      </c>
      <c r="F26" s="290">
        <f t="shared" si="20"/>
        <v>288.00000000006548</v>
      </c>
      <c r="G26" s="283"/>
      <c r="H26" s="340">
        <f t="shared" si="9"/>
        <v>43457</v>
      </c>
      <c r="I26" s="284"/>
      <c r="J26" s="281">
        <f t="shared" si="2"/>
        <v>31441</v>
      </c>
      <c r="K26" s="336">
        <f>'Water-Meter'!G28</f>
        <v>31463</v>
      </c>
      <c r="L26" s="298">
        <f t="shared" si="3"/>
        <v>22</v>
      </c>
      <c r="M26" s="340">
        <f t="shared" si="10"/>
        <v>43457</v>
      </c>
      <c r="N26" s="284"/>
      <c r="O26" s="281">
        <f t="shared" si="4"/>
        <v>6282</v>
      </c>
      <c r="P26" s="301">
        <f>'Water-Meter'!J28</f>
        <v>6286</v>
      </c>
      <c r="Q26" s="298">
        <f t="shared" si="5"/>
        <v>4</v>
      </c>
      <c r="R26" s="300">
        <f t="shared" si="19"/>
        <v>2.4767801857585141E-3</v>
      </c>
      <c r="S26" s="302">
        <f>SUM(F26/Gen!T33)</f>
        <v>4.9230769230780423E-2</v>
      </c>
      <c r="T26" s="340">
        <f t="shared" si="11"/>
        <v>43457</v>
      </c>
      <c r="U26" s="284"/>
      <c r="V26" s="281">
        <f t="shared" si="16"/>
        <v>5826.7</v>
      </c>
      <c r="W26" s="282">
        <v>5832.2</v>
      </c>
      <c r="X26" s="290">
        <f t="shared" si="15"/>
        <v>1100</v>
      </c>
      <c r="Y26" s="340">
        <f t="shared" si="13"/>
        <v>43457</v>
      </c>
      <c r="Z26" s="284"/>
      <c r="AA26" s="281">
        <f t="shared" si="14"/>
        <v>15382</v>
      </c>
      <c r="AB26" s="301">
        <f>'Water-Meter'!P28</f>
        <v>15391</v>
      </c>
      <c r="AC26" s="290">
        <f t="shared" si="7"/>
        <v>9</v>
      </c>
    </row>
    <row r="27" spans="1:29" ht="19.5" thickBot="1" x14ac:dyDescent="0.35">
      <c r="A27" s="296">
        <f>Gen!B34</f>
        <v>0.50649999999999995</v>
      </c>
      <c r="B27" s="138">
        <f>Gen!A34</f>
        <v>43458</v>
      </c>
      <c r="C27" s="284"/>
      <c r="D27" s="281">
        <f t="shared" si="21"/>
        <v>7020.3</v>
      </c>
      <c r="E27" s="289">
        <v>7022.8</v>
      </c>
      <c r="F27" s="290">
        <f t="shared" si="20"/>
        <v>300</v>
      </c>
      <c r="G27" s="283"/>
      <c r="H27" s="340">
        <f t="shared" si="9"/>
        <v>43458</v>
      </c>
      <c r="I27" s="284"/>
      <c r="J27" s="281">
        <f t="shared" si="2"/>
        <v>31463</v>
      </c>
      <c r="K27" s="336">
        <f>'Water-Meter'!G29</f>
        <v>31480</v>
      </c>
      <c r="L27" s="298">
        <f t="shared" si="3"/>
        <v>17</v>
      </c>
      <c r="M27" s="340">
        <f t="shared" si="10"/>
        <v>43458</v>
      </c>
      <c r="N27" s="284"/>
      <c r="O27" s="281">
        <f t="shared" si="4"/>
        <v>6286</v>
      </c>
      <c r="P27" s="301">
        <f>'Water-Meter'!J29</f>
        <v>6289</v>
      </c>
      <c r="Q27" s="298">
        <f t="shared" si="5"/>
        <v>3</v>
      </c>
      <c r="R27" s="300">
        <f t="shared" si="19"/>
        <v>1.8575851393188853E-3</v>
      </c>
      <c r="S27" s="302">
        <f>SUM(F27/Gen!T34)</f>
        <v>4.880429477794046E-2</v>
      </c>
      <c r="T27" s="340">
        <f t="shared" si="11"/>
        <v>43458</v>
      </c>
      <c r="U27" s="284"/>
      <c r="V27" s="281">
        <f t="shared" si="16"/>
        <v>5832.2</v>
      </c>
      <c r="W27" s="282">
        <v>5838.1</v>
      </c>
      <c r="X27" s="290">
        <f t="shared" si="15"/>
        <v>1180.0000000001091</v>
      </c>
      <c r="Y27" s="340">
        <f t="shared" si="13"/>
        <v>43458</v>
      </c>
      <c r="Z27" s="284"/>
      <c r="AA27" s="281">
        <f t="shared" si="14"/>
        <v>15391</v>
      </c>
      <c r="AB27" s="301">
        <f>'Water-Meter'!P29</f>
        <v>15401</v>
      </c>
      <c r="AC27" s="290">
        <f t="shared" si="7"/>
        <v>10</v>
      </c>
    </row>
    <row r="28" spans="1:29" ht="19.5" thickBot="1" x14ac:dyDescent="0.35">
      <c r="A28" s="296">
        <f>Gen!B35</f>
        <v>0.94810000000000005</v>
      </c>
      <c r="B28" s="138">
        <f>Gen!A35</f>
        <v>43459</v>
      </c>
      <c r="C28" s="284"/>
      <c r="D28" s="281">
        <f t="shared" si="21"/>
        <v>7022.8</v>
      </c>
      <c r="E28" s="289">
        <v>7025.5</v>
      </c>
      <c r="F28" s="290">
        <f t="shared" si="20"/>
        <v>323.99999999997817</v>
      </c>
      <c r="G28" s="283"/>
      <c r="H28" s="340">
        <f t="shared" si="9"/>
        <v>43459</v>
      </c>
      <c r="I28" s="284"/>
      <c r="J28" s="281">
        <f t="shared" si="2"/>
        <v>31480</v>
      </c>
      <c r="K28" s="336">
        <f>'Water-Meter'!G30</f>
        <v>31504</v>
      </c>
      <c r="L28" s="298">
        <f t="shared" si="3"/>
        <v>24</v>
      </c>
      <c r="M28" s="340">
        <f t="shared" si="10"/>
        <v>43459</v>
      </c>
      <c r="N28" s="284"/>
      <c r="O28" s="281">
        <f t="shared" si="4"/>
        <v>6289</v>
      </c>
      <c r="P28" s="301">
        <f>'Water-Meter'!J30</f>
        <v>6293</v>
      </c>
      <c r="Q28" s="298">
        <f t="shared" si="5"/>
        <v>4</v>
      </c>
      <c r="R28" s="300">
        <f t="shared" si="19"/>
        <v>2.4767801857585141E-3</v>
      </c>
      <c r="S28" s="302">
        <f>SUM(F28/Gen!T35)</f>
        <v>5.0015436863226022E-2</v>
      </c>
      <c r="T28" s="340">
        <f t="shared" si="11"/>
        <v>43459</v>
      </c>
      <c r="U28" s="284"/>
      <c r="V28" s="281">
        <f t="shared" si="16"/>
        <v>5838.1</v>
      </c>
      <c r="W28" s="282">
        <v>5843.6</v>
      </c>
      <c r="X28" s="290">
        <f t="shared" si="15"/>
        <v>1100</v>
      </c>
      <c r="Y28" s="340">
        <f t="shared" si="13"/>
        <v>43459</v>
      </c>
      <c r="Z28" s="284"/>
      <c r="AA28" s="281">
        <f t="shared" si="14"/>
        <v>15401</v>
      </c>
      <c r="AB28" s="301">
        <f>'Water-Meter'!P30</f>
        <v>15421</v>
      </c>
      <c r="AC28" s="290">
        <f t="shared" si="7"/>
        <v>20</v>
      </c>
    </row>
    <row r="29" spans="1:29" ht="19.5" thickBot="1" x14ac:dyDescent="0.35">
      <c r="A29" s="296">
        <f>Gen!B36</f>
        <v>0.90910000000000002</v>
      </c>
      <c r="B29" s="138">
        <f>Gen!A36</f>
        <v>43460</v>
      </c>
      <c r="C29" s="284"/>
      <c r="D29" s="281">
        <f t="shared" si="21"/>
        <v>7025.5</v>
      </c>
      <c r="E29" s="289">
        <v>7028.1</v>
      </c>
      <c r="F29" s="290">
        <f t="shared" si="20"/>
        <v>312.00000000004366</v>
      </c>
      <c r="G29" s="283"/>
      <c r="H29" s="340">
        <f t="shared" si="9"/>
        <v>43460</v>
      </c>
      <c r="I29" s="284"/>
      <c r="J29" s="281">
        <f t="shared" si="2"/>
        <v>31504</v>
      </c>
      <c r="K29" s="336">
        <f>'Water-Meter'!G31</f>
        <v>31527</v>
      </c>
      <c r="L29" s="298">
        <f t="shared" si="3"/>
        <v>23</v>
      </c>
      <c r="M29" s="340">
        <f t="shared" si="10"/>
        <v>43460</v>
      </c>
      <c r="N29" s="284"/>
      <c r="O29" s="281">
        <f t="shared" si="4"/>
        <v>6293</v>
      </c>
      <c r="P29" s="301">
        <f>'Water-Meter'!J31</f>
        <v>6298</v>
      </c>
      <c r="Q29" s="298">
        <f t="shared" si="5"/>
        <v>5</v>
      </c>
      <c r="R29" s="300">
        <f t="shared" si="19"/>
        <v>3.0959752321981426E-3</v>
      </c>
      <c r="S29" s="302">
        <f>SUM(F29/Gen!T36)</f>
        <v>4.7016274864382708E-2</v>
      </c>
      <c r="T29" s="340">
        <f t="shared" si="11"/>
        <v>43460</v>
      </c>
      <c r="U29" s="284"/>
      <c r="V29" s="281">
        <f t="shared" si="16"/>
        <v>5843.6</v>
      </c>
      <c r="W29" s="282">
        <v>5848.8</v>
      </c>
      <c r="X29" s="290">
        <f t="shared" si="15"/>
        <v>1039.9999999999636</v>
      </c>
      <c r="Y29" s="340">
        <f t="shared" si="13"/>
        <v>43460</v>
      </c>
      <c r="Z29" s="284"/>
      <c r="AA29" s="281">
        <f t="shared" si="14"/>
        <v>15421</v>
      </c>
      <c r="AB29" s="301">
        <f>'Water-Meter'!P31</f>
        <v>15442</v>
      </c>
      <c r="AC29" s="290">
        <f t="shared" si="7"/>
        <v>21</v>
      </c>
    </row>
    <row r="30" spans="1:29" ht="19.5" thickBot="1" x14ac:dyDescent="0.35">
      <c r="A30" s="296">
        <f>Gen!B37</f>
        <v>0.76619999999999999</v>
      </c>
      <c r="B30" s="138">
        <f>Gen!A37</f>
        <v>43461</v>
      </c>
      <c r="C30" s="284"/>
      <c r="D30" s="281">
        <f t="shared" si="21"/>
        <v>7028.1</v>
      </c>
      <c r="E30" s="289">
        <v>7030.8</v>
      </c>
      <c r="F30" s="290">
        <f t="shared" si="20"/>
        <v>323.99999999997817</v>
      </c>
      <c r="G30" s="283"/>
      <c r="H30" s="340">
        <f t="shared" si="9"/>
        <v>43461</v>
      </c>
      <c r="I30" s="284"/>
      <c r="J30" s="281">
        <f t="shared" si="2"/>
        <v>31527</v>
      </c>
      <c r="K30" s="336">
        <f>'Water-Meter'!G32</f>
        <v>31549</v>
      </c>
      <c r="L30" s="298">
        <f t="shared" si="3"/>
        <v>22</v>
      </c>
      <c r="M30" s="340">
        <f t="shared" si="10"/>
        <v>43461</v>
      </c>
      <c r="N30" s="284"/>
      <c r="O30" s="281">
        <f t="shared" si="4"/>
        <v>6298</v>
      </c>
      <c r="P30" s="301">
        <f>'Water-Meter'!J32</f>
        <v>6302</v>
      </c>
      <c r="Q30" s="298">
        <f t="shared" si="5"/>
        <v>4</v>
      </c>
      <c r="R30" s="300">
        <f t="shared" si="19"/>
        <v>2.4767801857585141E-3</v>
      </c>
      <c r="S30" s="302">
        <f>SUM(F30/Gen!T37)</f>
        <v>4.9217681907941388E-2</v>
      </c>
      <c r="T30" s="340">
        <f t="shared" si="11"/>
        <v>43461</v>
      </c>
      <c r="U30" s="284"/>
      <c r="V30" s="281">
        <f t="shared" si="16"/>
        <v>5848.8</v>
      </c>
      <c r="W30" s="282">
        <v>5855.3</v>
      </c>
      <c r="X30" s="290">
        <f t="shared" si="15"/>
        <v>1300</v>
      </c>
      <c r="Y30" s="340">
        <f t="shared" si="13"/>
        <v>43461</v>
      </c>
      <c r="Z30" s="284"/>
      <c r="AA30" s="281">
        <f t="shared" si="14"/>
        <v>15442</v>
      </c>
      <c r="AB30" s="301">
        <f>'Water-Meter'!P32</f>
        <v>15464</v>
      </c>
      <c r="AC30" s="290">
        <f t="shared" si="7"/>
        <v>22</v>
      </c>
    </row>
    <row r="31" spans="1:29" ht="19.5" thickBot="1" x14ac:dyDescent="0.35">
      <c r="A31" s="296">
        <f>Gen!B38</f>
        <v>0.7792</v>
      </c>
      <c r="B31" s="138">
        <f>Gen!A38</f>
        <v>43462</v>
      </c>
      <c r="C31" s="284"/>
      <c r="D31" s="281">
        <f t="shared" si="21"/>
        <v>7030.8</v>
      </c>
      <c r="E31" s="289">
        <v>7033.7</v>
      </c>
      <c r="F31" s="290">
        <f t="shared" si="20"/>
        <v>347.99999999995634</v>
      </c>
      <c r="G31" s="283"/>
      <c r="H31" s="340">
        <f t="shared" si="9"/>
        <v>43462</v>
      </c>
      <c r="I31" s="284"/>
      <c r="J31" s="281">
        <f t="shared" ref="J31:J35" si="22">SUM(K30)</f>
        <v>31549</v>
      </c>
      <c r="K31" s="336">
        <f>'Water-Meter'!G33</f>
        <v>31571</v>
      </c>
      <c r="L31" s="298">
        <f t="shared" si="3"/>
        <v>22</v>
      </c>
      <c r="M31" s="340">
        <f t="shared" si="10"/>
        <v>43462</v>
      </c>
      <c r="N31" s="284"/>
      <c r="O31" s="281">
        <f t="shared" si="4"/>
        <v>6302</v>
      </c>
      <c r="P31" s="301">
        <f>'Water-Meter'!J33</f>
        <v>6309</v>
      </c>
      <c r="Q31" s="298">
        <f t="shared" si="5"/>
        <v>7</v>
      </c>
      <c r="R31" s="300">
        <f t="shared" si="19"/>
        <v>4.3343653250773996E-3</v>
      </c>
      <c r="S31" s="302">
        <f>SUM(F31/Gen!T38)</f>
        <v>4.9055539892861058E-2</v>
      </c>
      <c r="T31" s="340">
        <f>M31</f>
        <v>43462</v>
      </c>
      <c r="U31" s="284"/>
      <c r="V31" s="281">
        <f t="shared" si="16"/>
        <v>5855.3</v>
      </c>
      <c r="W31" s="282">
        <v>5861.2</v>
      </c>
      <c r="X31" s="290">
        <f t="shared" si="15"/>
        <v>1179.9999999999272</v>
      </c>
      <c r="Y31" s="340">
        <f>T31</f>
        <v>43462</v>
      </c>
      <c r="Z31" s="284"/>
      <c r="AA31" s="281">
        <f t="shared" si="14"/>
        <v>15464</v>
      </c>
      <c r="AB31" s="301">
        <f>'Water-Meter'!P33</f>
        <v>15487</v>
      </c>
      <c r="AC31" s="290">
        <f t="shared" si="7"/>
        <v>23</v>
      </c>
    </row>
    <row r="32" spans="1:29" ht="19.5" thickBot="1" x14ac:dyDescent="0.35">
      <c r="A32" s="296">
        <f>Gen!B39</f>
        <v>0.92210000000000003</v>
      </c>
      <c r="B32" s="138">
        <f>Gen!A39</f>
        <v>43463</v>
      </c>
      <c r="C32" s="284"/>
      <c r="D32" s="281">
        <f t="shared" si="21"/>
        <v>7033.7</v>
      </c>
      <c r="E32" s="289">
        <v>7036.5</v>
      </c>
      <c r="F32" s="290">
        <f t="shared" si="20"/>
        <v>336.00000000002183</v>
      </c>
      <c r="G32" s="283"/>
      <c r="H32" s="340">
        <f t="shared" si="9"/>
        <v>43463</v>
      </c>
      <c r="I32" s="284"/>
      <c r="J32" s="281">
        <f t="shared" si="22"/>
        <v>31571</v>
      </c>
      <c r="K32" s="336">
        <f>'Water-Meter'!G34</f>
        <v>31595</v>
      </c>
      <c r="L32" s="298">
        <f t="shared" si="3"/>
        <v>24</v>
      </c>
      <c r="M32" s="340">
        <f t="shared" si="10"/>
        <v>43463</v>
      </c>
      <c r="N32" s="284"/>
      <c r="O32" s="281">
        <f t="shared" si="4"/>
        <v>6309</v>
      </c>
      <c r="P32" s="301">
        <f>'Water-Meter'!J34</f>
        <v>6314</v>
      </c>
      <c r="Q32" s="298">
        <f t="shared" si="5"/>
        <v>5</v>
      </c>
      <c r="R32" s="300">
        <f t="shared" si="19"/>
        <v>3.0959752321981426E-3</v>
      </c>
      <c r="S32" s="302">
        <f>SUM(F32/Gen!T39)</f>
        <v>4.4048243314108788E-2</v>
      </c>
      <c r="T32" s="340">
        <f t="shared" ref="T32:T35" si="23">M32</f>
        <v>43463</v>
      </c>
      <c r="U32" s="284"/>
      <c r="V32" s="281">
        <f t="shared" si="16"/>
        <v>5861.2</v>
      </c>
      <c r="W32" s="282">
        <v>5867.3</v>
      </c>
      <c r="X32" s="290">
        <f t="shared" si="15"/>
        <v>1220.0000000000728</v>
      </c>
      <c r="Y32" s="340">
        <f t="shared" ref="Y32:Y35" si="24">T32</f>
        <v>43463</v>
      </c>
      <c r="Z32" s="284"/>
      <c r="AA32" s="281">
        <f t="shared" si="14"/>
        <v>15487</v>
      </c>
      <c r="AB32" s="301">
        <f>'Water-Meter'!P34</f>
        <v>15511</v>
      </c>
      <c r="AC32" s="290">
        <f t="shared" si="7"/>
        <v>24</v>
      </c>
    </row>
    <row r="33" spans="1:29" ht="19.5" thickBot="1" x14ac:dyDescent="0.35">
      <c r="A33" s="296">
        <f>Gen!B40</f>
        <v>0.7792</v>
      </c>
      <c r="B33" s="138">
        <f>Gen!A40</f>
        <v>43464</v>
      </c>
      <c r="C33" s="284"/>
      <c r="D33" s="281">
        <f t="shared" si="21"/>
        <v>7036.5</v>
      </c>
      <c r="E33" s="289">
        <v>7039.3</v>
      </c>
      <c r="F33" s="290">
        <f t="shared" si="20"/>
        <v>336.00000000002183</v>
      </c>
      <c r="G33" s="283"/>
      <c r="H33" s="340">
        <f t="shared" si="9"/>
        <v>43464</v>
      </c>
      <c r="I33" s="284"/>
      <c r="J33" s="281">
        <f t="shared" si="22"/>
        <v>31595</v>
      </c>
      <c r="K33" s="336">
        <f>'Water-Meter'!G35</f>
        <v>31616</v>
      </c>
      <c r="L33" s="298">
        <f t="shared" si="3"/>
        <v>21</v>
      </c>
      <c r="M33" s="340">
        <f t="shared" si="10"/>
        <v>43464</v>
      </c>
      <c r="N33" s="284"/>
      <c r="O33" s="281">
        <f t="shared" si="4"/>
        <v>6314</v>
      </c>
      <c r="P33" s="301">
        <f>'Water-Meter'!J35</f>
        <v>6318</v>
      </c>
      <c r="Q33" s="298">
        <f t="shared" si="5"/>
        <v>4</v>
      </c>
      <c r="R33" s="300">
        <f t="shared" si="19"/>
        <v>2.4767801857585141E-3</v>
      </c>
      <c r="S33" s="302">
        <f>SUM(F33/Gen!T40)</f>
        <v>4.5540796963949824E-2</v>
      </c>
      <c r="T33" s="340">
        <f t="shared" si="23"/>
        <v>43464</v>
      </c>
      <c r="U33" s="284"/>
      <c r="V33" s="281">
        <f t="shared" si="16"/>
        <v>5867.3</v>
      </c>
      <c r="W33" s="282">
        <v>5872.5</v>
      </c>
      <c r="X33" s="290">
        <f t="shared" si="15"/>
        <v>1039.9999999999636</v>
      </c>
      <c r="Y33" s="340">
        <f t="shared" si="24"/>
        <v>43464</v>
      </c>
      <c r="Z33" s="284"/>
      <c r="AA33" s="281">
        <f t="shared" si="14"/>
        <v>15511</v>
      </c>
      <c r="AB33" s="301">
        <f>'Water-Meter'!P35</f>
        <v>15522</v>
      </c>
      <c r="AC33" s="290">
        <f t="shared" si="7"/>
        <v>11</v>
      </c>
    </row>
    <row r="34" spans="1:29" ht="19.5" thickBot="1" x14ac:dyDescent="0.35">
      <c r="A34" s="296">
        <f>Gen!B41</f>
        <v>0.84419999999999995</v>
      </c>
      <c r="B34" s="138">
        <f>Gen!A41</f>
        <v>43465</v>
      </c>
      <c r="C34" s="285"/>
      <c r="D34" s="281">
        <f t="shared" si="21"/>
        <v>7039.3</v>
      </c>
      <c r="E34" s="289">
        <v>7042.2</v>
      </c>
      <c r="F34" s="290">
        <f t="shared" si="20"/>
        <v>347.99999999995634</v>
      </c>
      <c r="G34" s="50"/>
      <c r="H34" s="340">
        <f t="shared" si="9"/>
        <v>43465</v>
      </c>
      <c r="I34" s="285"/>
      <c r="J34" s="281">
        <f t="shared" si="22"/>
        <v>31616</v>
      </c>
      <c r="K34" s="336">
        <f>'Water-Meter'!G36</f>
        <v>31642</v>
      </c>
      <c r="L34" s="298">
        <f t="shared" si="3"/>
        <v>26</v>
      </c>
      <c r="M34" s="340">
        <f t="shared" si="10"/>
        <v>43465</v>
      </c>
      <c r="N34" s="285"/>
      <c r="O34" s="281">
        <f t="shared" ref="O34:O35" si="25">SUM(P33)</f>
        <v>6318</v>
      </c>
      <c r="P34" s="301">
        <f>'Water-Meter'!J36</f>
        <v>6322</v>
      </c>
      <c r="Q34" s="298">
        <f t="shared" si="5"/>
        <v>4</v>
      </c>
      <c r="R34" s="300">
        <f t="shared" si="19"/>
        <v>2.4767801857585141E-3</v>
      </c>
      <c r="S34" s="302">
        <f>SUM(F34/Gen!T41)</f>
        <v>4.7966919365948497E-2</v>
      </c>
      <c r="T34" s="340">
        <f t="shared" si="23"/>
        <v>43465</v>
      </c>
      <c r="U34" s="285"/>
      <c r="V34" s="281">
        <f t="shared" ref="V34:V35" si="26">SUM(W33)</f>
        <v>5872.5</v>
      </c>
      <c r="W34" s="282">
        <v>5878.1</v>
      </c>
      <c r="X34" s="290">
        <f t="shared" si="15"/>
        <v>1120.0000000000728</v>
      </c>
      <c r="Y34" s="340">
        <f t="shared" si="24"/>
        <v>43465</v>
      </c>
      <c r="Z34" s="285"/>
      <c r="AA34" s="308">
        <f t="shared" si="14"/>
        <v>15522</v>
      </c>
      <c r="AB34" s="301">
        <f>'Water-Meter'!P36</f>
        <v>15533</v>
      </c>
      <c r="AC34" s="309">
        <f t="shared" si="7"/>
        <v>11</v>
      </c>
    </row>
    <row r="35" spans="1:29" ht="20.25" customHeight="1" thickBot="1" x14ac:dyDescent="0.35">
      <c r="A35" s="296">
        <f>Gen!B42</f>
        <v>0</v>
      </c>
      <c r="B35" s="138">
        <f>Gen!A42</f>
        <v>0</v>
      </c>
      <c r="D35" s="281">
        <f t="shared" si="21"/>
        <v>7042.2</v>
      </c>
      <c r="E35" s="289">
        <v>7045</v>
      </c>
      <c r="F35" s="292">
        <f>SUM(F5:F34)</f>
        <v>8820</v>
      </c>
      <c r="G35" s="50"/>
      <c r="H35" s="340">
        <f t="shared" si="9"/>
        <v>0</v>
      </c>
      <c r="J35" s="281">
        <f t="shared" si="22"/>
        <v>31642</v>
      </c>
      <c r="K35" s="336">
        <f>'Water-Meter'!G37</f>
        <v>0</v>
      </c>
      <c r="L35" s="292">
        <f>SUM(L5:L34)</f>
        <v>516</v>
      </c>
      <c r="M35" s="340">
        <f t="shared" si="10"/>
        <v>0</v>
      </c>
      <c r="N35" s="285"/>
      <c r="O35" s="281">
        <f t="shared" si="25"/>
        <v>6322</v>
      </c>
      <c r="P35" s="301">
        <f>'Water-Meter'!J37</f>
        <v>0</v>
      </c>
      <c r="Q35" s="292">
        <f>SUM(Q5:Q34)</f>
        <v>121</v>
      </c>
      <c r="R35" s="300">
        <f t="shared" si="19"/>
        <v>7.4922600619195048E-2</v>
      </c>
      <c r="S35" s="302" t="e">
        <f>SUM(F35/Gen!T42)</f>
        <v>#DIV/0!</v>
      </c>
      <c r="T35" s="340">
        <f t="shared" si="23"/>
        <v>0</v>
      </c>
      <c r="V35" s="281">
        <f t="shared" si="26"/>
        <v>5878.1</v>
      </c>
      <c r="W35" s="282"/>
      <c r="X35" s="290">
        <f t="shared" ref="X35" si="27">(W35-V35)*200</f>
        <v>-1175620</v>
      </c>
      <c r="Y35" s="340">
        <f t="shared" si="24"/>
        <v>0</v>
      </c>
      <c r="AA35" s="308">
        <f t="shared" si="14"/>
        <v>15533</v>
      </c>
      <c r="AB35" s="301">
        <f>'Water-Meter'!P37</f>
        <v>0</v>
      </c>
      <c r="AC35" s="306">
        <f>SUM(AC5:AC34)</f>
        <v>244</v>
      </c>
    </row>
    <row r="36" spans="1:29" ht="24.75" customHeight="1" x14ac:dyDescent="0.2">
      <c r="L36" s="224" t="s">
        <v>197</v>
      </c>
      <c r="Q36" s="224" t="s">
        <v>197</v>
      </c>
      <c r="R36" s="299"/>
      <c r="AC36" s="224" t="s">
        <v>197</v>
      </c>
    </row>
    <row r="37" spans="1:29" ht="12.75" customHeight="1" x14ac:dyDescent="0.2">
      <c r="B37" t="s">
        <v>196</v>
      </c>
      <c r="G37" s="50"/>
      <c r="H37" t="s">
        <v>35</v>
      </c>
      <c r="T37" t="s">
        <v>196</v>
      </c>
      <c r="Y37" t="s">
        <v>35</v>
      </c>
    </row>
    <row r="38" spans="1:29" ht="12.75" customHeight="1" x14ac:dyDescent="0.2">
      <c r="B38" t="s">
        <v>15</v>
      </c>
      <c r="C38">
        <v>2856</v>
      </c>
      <c r="D38">
        <f>SUM(F35)*0.41</f>
        <v>3616.2</v>
      </c>
      <c r="E38" s="286">
        <f>SUM(C38*D38)</f>
        <v>10327867.199999999</v>
      </c>
      <c r="G38" s="50"/>
      <c r="H38" t="s">
        <v>15</v>
      </c>
      <c r="I38">
        <v>985</v>
      </c>
      <c r="J38">
        <f>SUM(L35)</f>
        <v>516</v>
      </c>
      <c r="K38" s="286">
        <f>SUM(I38*J38)</f>
        <v>508260</v>
      </c>
      <c r="T38" t="s">
        <v>15</v>
      </c>
      <c r="U38">
        <v>2856</v>
      </c>
      <c r="V38">
        <f>SUM(X35)*0.41</f>
        <v>-482004.19999999995</v>
      </c>
      <c r="W38" s="286">
        <f>SUM(U38*V38)</f>
        <v>-1376603995.1999998</v>
      </c>
      <c r="Y38" t="s">
        <v>15</v>
      </c>
      <c r="Z38">
        <v>985</v>
      </c>
      <c r="AA38">
        <f>SUM(AC35)</f>
        <v>244</v>
      </c>
      <c r="AB38" s="286">
        <f>SUM(Z38*AA38)</f>
        <v>240340</v>
      </c>
    </row>
    <row r="39" spans="1:29" ht="12.75" customHeight="1" x14ac:dyDescent="0.2">
      <c r="G39" s="50"/>
    </row>
    <row r="40" spans="1:29" ht="12.75" customHeight="1" x14ac:dyDescent="0.2">
      <c r="D40" s="224"/>
      <c r="E40" s="286"/>
      <c r="G40" s="50"/>
      <c r="V40" s="224"/>
      <c r="W40" s="286"/>
    </row>
    <row r="41" spans="1:29" ht="12.75" customHeight="1" x14ac:dyDescent="0.2">
      <c r="G41" s="50"/>
    </row>
    <row r="42" spans="1:29" ht="12.75" customHeight="1" x14ac:dyDescent="0.2">
      <c r="C42" s="287"/>
      <c r="G42" s="50"/>
      <c r="U42" s="287"/>
      <c r="W42">
        <f>SUM(A4:A14)/11</f>
        <v>0.2962636363636364</v>
      </c>
      <c r="X42">
        <f>SUM(X4:X14)/11</f>
        <v>525.45454545453879</v>
      </c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0"/>
  <sheetViews>
    <sheetView workbookViewId="0">
      <selection activeCell="F36" sqref="F36"/>
    </sheetView>
  </sheetViews>
  <sheetFormatPr defaultRowHeight="12.75" x14ac:dyDescent="0.2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0.85546875" customWidth="1"/>
    <col min="12" max="12" width="12.5703125" customWidth="1"/>
    <col min="13" max="13" width="9.28515625" bestFit="1" customWidth="1"/>
    <col min="14" max="15" width="6.140625" bestFit="1" customWidth="1"/>
    <col min="16" max="16" width="11.7109375" customWidth="1"/>
    <col min="17" max="17" width="11.140625" customWidth="1"/>
    <col min="18" max="18" width="11.28515625" bestFit="1" customWidth="1"/>
    <col min="19" max="19" width="11.28515625" customWidth="1"/>
    <col min="21" max="21" width="15.5703125" bestFit="1" customWidth="1"/>
    <col min="23" max="23" width="12.85546875" customWidth="1"/>
    <col min="24" max="24" width="11.140625" customWidth="1"/>
    <col min="25" max="25" width="11.42578125" customWidth="1"/>
    <col min="26" max="26" width="9.140625" hidden="1" customWidth="1"/>
  </cols>
  <sheetData>
    <row r="1" spans="1:26" ht="13.5" thickBot="1" x14ac:dyDescent="0.25"/>
    <row r="2" spans="1:26" x14ac:dyDescent="0.2">
      <c r="A2" s="861" t="s">
        <v>311</v>
      </c>
      <c r="B2" s="862"/>
      <c r="C2" s="862"/>
      <c r="D2" s="862"/>
      <c r="E2" s="863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33">
        <v>29</v>
      </c>
      <c r="R2" s="132" t="s">
        <v>101</v>
      </c>
      <c r="S2" s="132" t="s">
        <v>102</v>
      </c>
      <c r="T2" s="133">
        <v>1582</v>
      </c>
      <c r="U2" s="101"/>
      <c r="V2" s="105"/>
      <c r="W2" s="100"/>
      <c r="X2" s="10"/>
      <c r="Y2" s="10"/>
    </row>
    <row r="3" spans="1:26" ht="50.25" customHeight="1" x14ac:dyDescent="0.2">
      <c r="A3" s="102"/>
      <c r="B3" s="47"/>
      <c r="C3" s="10"/>
      <c r="D3" s="10"/>
      <c r="E3" s="10"/>
      <c r="F3" s="10"/>
      <c r="G3" s="10"/>
      <c r="H3" s="10"/>
      <c r="I3" s="10"/>
      <c r="J3" s="10"/>
      <c r="K3" s="10"/>
      <c r="L3" s="10"/>
      <c r="M3" s="173" t="s">
        <v>81</v>
      </c>
      <c r="N3" s="173"/>
      <c r="O3" s="173"/>
      <c r="P3" s="173" t="s">
        <v>273</v>
      </c>
      <c r="Q3" s="184" t="s">
        <v>88</v>
      </c>
      <c r="R3" s="174"/>
      <c r="S3" s="174"/>
      <c r="T3" s="175"/>
      <c r="U3" s="176"/>
      <c r="V3" s="107" t="s">
        <v>89</v>
      </c>
      <c r="W3" s="173" t="s">
        <v>117</v>
      </c>
      <c r="X3" s="10"/>
      <c r="Y3" s="10"/>
    </row>
    <row r="4" spans="1:26" s="90" customFormat="1" ht="50.25" customHeight="1" x14ac:dyDescent="0.2">
      <c r="A4" s="103" t="s">
        <v>0</v>
      </c>
      <c r="B4" s="121" t="s">
        <v>99</v>
      </c>
      <c r="C4" s="545" t="s">
        <v>83</v>
      </c>
      <c r="D4" s="92" t="s">
        <v>97</v>
      </c>
      <c r="E4" s="92" t="s">
        <v>98</v>
      </c>
      <c r="F4" s="113" t="s">
        <v>74</v>
      </c>
      <c r="G4" s="92" t="s">
        <v>269</v>
      </c>
      <c r="H4" s="92" t="s">
        <v>272</v>
      </c>
      <c r="I4" s="92" t="s">
        <v>270</v>
      </c>
      <c r="J4" s="92" t="s">
        <v>271</v>
      </c>
      <c r="K4" s="113" t="s">
        <v>84</v>
      </c>
      <c r="L4" s="113" t="s">
        <v>111</v>
      </c>
      <c r="M4" s="92">
        <v>3</v>
      </c>
      <c r="N4" s="92">
        <v>2</v>
      </c>
      <c r="O4" s="92">
        <v>1</v>
      </c>
      <c r="P4" s="96"/>
      <c r="Q4" s="99" t="s">
        <v>86</v>
      </c>
      <c r="R4" s="99" t="s">
        <v>96</v>
      </c>
      <c r="S4" s="99" t="s">
        <v>95</v>
      </c>
      <c r="T4" s="99" t="s">
        <v>35</v>
      </c>
      <c r="U4" s="104" t="s">
        <v>87</v>
      </c>
      <c r="V4" s="106"/>
      <c r="W4" s="173" t="s">
        <v>116</v>
      </c>
      <c r="X4" s="95"/>
      <c r="Y4" s="721" t="s">
        <v>115</v>
      </c>
    </row>
    <row r="5" spans="1:26" x14ac:dyDescent="0.2">
      <c r="A5" s="93">
        <f>Gen!A11</f>
        <v>43435</v>
      </c>
      <c r="B5" s="588">
        <f>'Daily report Gen'!Z6</f>
        <v>3035</v>
      </c>
      <c r="C5" s="129">
        <f>Gen!B11</f>
        <v>0.16800000000000001</v>
      </c>
      <c r="D5" s="125">
        <f t="shared" ref="D5:D30" si="0">E5</f>
        <v>15</v>
      </c>
      <c r="E5" s="115">
        <v>15</v>
      </c>
      <c r="F5" s="111">
        <f>Gen!T11</f>
        <v>4555</v>
      </c>
      <c r="G5" s="127">
        <f>Gen!S11</f>
        <v>1825.13</v>
      </c>
      <c r="H5" s="127">
        <f>Gen!AJ11</f>
        <v>42.79</v>
      </c>
      <c r="I5" s="127">
        <f t="shared" ref="I5:I35" si="1">SUM(G5:H5)</f>
        <v>1867.92</v>
      </c>
      <c r="J5" s="127" t="e">
        <f>Gen!AT11</f>
        <v>#REF!</v>
      </c>
      <c r="K5" s="533">
        <f>'Water-Meter'!E6</f>
        <v>99</v>
      </c>
      <c r="L5" s="108">
        <f>'Lpg (2)'!N10</f>
        <v>149.29200000000128</v>
      </c>
      <c r="M5" s="130" t="e">
        <f>#REF!</f>
        <v>#REF!</v>
      </c>
      <c r="N5" s="130" t="e">
        <f>#REF!</f>
        <v>#REF!</v>
      </c>
      <c r="O5" s="130" t="e">
        <f>#REF!</f>
        <v>#REF!</v>
      </c>
      <c r="P5" s="131" t="e">
        <f t="shared" ref="P5:P35" si="2">J5/52000</f>
        <v>#REF!</v>
      </c>
      <c r="Q5" s="115">
        <f>I5*Q2</f>
        <v>54169.68</v>
      </c>
      <c r="R5" s="117">
        <f t="shared" ref="R5:R30" si="3">SUM(Q5/D5)/X5</f>
        <v>2.2827509481668775</v>
      </c>
      <c r="S5" s="134">
        <f t="shared" ref="S5:S35" si="4">SUM(Q5/E5)/X5</f>
        <v>2.2827509481668775</v>
      </c>
      <c r="T5" s="10">
        <f>K5*102</f>
        <v>10098</v>
      </c>
      <c r="U5" s="183">
        <f>SUM(L5*1963)</f>
        <v>293060.1960000025</v>
      </c>
      <c r="V5" s="48">
        <f>SUM(Q5+T5+U5)</f>
        <v>357327.87600000249</v>
      </c>
      <c r="W5" s="117">
        <f>SUM(V5/E5)/T2</f>
        <v>15.058064728192265</v>
      </c>
      <c r="X5" s="10">
        <f>SUM(T2)</f>
        <v>1582</v>
      </c>
      <c r="Y5" s="720">
        <v>106</v>
      </c>
      <c r="Z5" s="120">
        <f>SUM(Y5-S5)</f>
        <v>103.71724905183312</v>
      </c>
    </row>
    <row r="6" spans="1:26" x14ac:dyDescent="0.2">
      <c r="A6" s="93">
        <f>Gen!A12</f>
        <v>43436</v>
      </c>
      <c r="B6" s="588">
        <f>'Daily report Gen'!Z7</f>
        <v>33</v>
      </c>
      <c r="C6" s="544">
        <f>Gen!B12</f>
        <v>0.1429</v>
      </c>
      <c r="D6" s="125">
        <f t="shared" si="0"/>
        <v>13</v>
      </c>
      <c r="E6" s="115">
        <v>13</v>
      </c>
      <c r="F6" s="111">
        <f>Gen!T12</f>
        <v>4679</v>
      </c>
      <c r="G6" s="127">
        <f>Gen!S12</f>
        <v>1835.19</v>
      </c>
      <c r="H6" s="127">
        <f>Gen!AJ12</f>
        <v>90.600000000000009</v>
      </c>
      <c r="I6" s="127">
        <f t="shared" si="1"/>
        <v>1925.79</v>
      </c>
      <c r="J6" s="127" t="e">
        <f>Gen!AT12</f>
        <v>#REF!</v>
      </c>
      <c r="K6" s="533">
        <f>'Water-Meter'!E7</f>
        <v>100</v>
      </c>
      <c r="L6" s="108">
        <f>'Lpg (2)'!N11</f>
        <v>78.892000000001289</v>
      </c>
      <c r="M6" s="130" t="e">
        <f>#REF!</f>
        <v>#REF!</v>
      </c>
      <c r="N6" s="130" t="e">
        <f>#REF!</f>
        <v>#REF!</v>
      </c>
      <c r="O6" s="130" t="e">
        <f>#REF!</f>
        <v>#REF!</v>
      </c>
      <c r="P6" s="131" t="e">
        <f t="shared" si="2"/>
        <v>#REF!</v>
      </c>
      <c r="Q6" s="115">
        <f>I6*Q2</f>
        <v>55847.909999999996</v>
      </c>
      <c r="R6" s="117">
        <f t="shared" si="3"/>
        <v>2.7155455606340562</v>
      </c>
      <c r="S6" s="134">
        <f t="shared" si="4"/>
        <v>2.7155455606340562</v>
      </c>
      <c r="T6" s="10">
        <f t="shared" ref="T6:T34" si="5">K6*102</f>
        <v>10200</v>
      </c>
      <c r="U6" s="183">
        <f t="shared" ref="U6:U35" si="6">SUM(L6*1963)</f>
        <v>154864.99600000252</v>
      </c>
      <c r="V6" s="48">
        <f t="shared" ref="V6:V35" si="7">SUM(Q6+T6+U6)</f>
        <v>220912.90600000252</v>
      </c>
      <c r="W6" s="117" t="e">
        <f t="shared" ref="W6:W12" si="8">SUM(V6/E6)/T3</f>
        <v>#DIV/0!</v>
      </c>
      <c r="X6" s="10">
        <f>SUM(X5)</f>
        <v>1582</v>
      </c>
      <c r="Y6" s="720">
        <v>106</v>
      </c>
      <c r="Z6" s="120">
        <f t="shared" ref="Z6:Z35" si="9">SUM(Y6-S6)</f>
        <v>103.28445443936594</v>
      </c>
    </row>
    <row r="7" spans="1:26" x14ac:dyDescent="0.2">
      <c r="A7" s="93">
        <f>Gen!A13</f>
        <v>43437</v>
      </c>
      <c r="B7" s="588">
        <f>'Daily report Gen'!Z8</f>
        <v>35</v>
      </c>
      <c r="C7" s="129">
        <f>Gen!B13</f>
        <v>0.1429</v>
      </c>
      <c r="D7" s="125">
        <f t="shared" si="0"/>
        <v>13</v>
      </c>
      <c r="E7" s="115">
        <v>13</v>
      </c>
      <c r="F7" s="111">
        <f>Gen!T13</f>
        <v>4437</v>
      </c>
      <c r="G7" s="127">
        <f>Gen!S13</f>
        <v>2768.05</v>
      </c>
      <c r="H7" s="127">
        <f>Gen!AJ13</f>
        <v>108.37</v>
      </c>
      <c r="I7" s="127">
        <f t="shared" si="1"/>
        <v>2876.42</v>
      </c>
      <c r="J7" s="127" t="e">
        <f>Gen!AT13</f>
        <v>#REF!</v>
      </c>
      <c r="K7" s="533">
        <f>'Water-Meter'!E8</f>
        <v>90</v>
      </c>
      <c r="L7" s="108">
        <f>'Lpg (2)'!N12</f>
        <v>126.54399999997696</v>
      </c>
      <c r="M7" s="130" t="e">
        <f>#REF!</f>
        <v>#REF!</v>
      </c>
      <c r="N7" s="130" t="e">
        <f>#REF!</f>
        <v>#REF!</v>
      </c>
      <c r="O7" s="130" t="e">
        <f>#REF!</f>
        <v>#REF!</v>
      </c>
      <c r="P7" s="131" t="e">
        <f t="shared" si="2"/>
        <v>#REF!</v>
      </c>
      <c r="Q7" s="115">
        <f>I7*Q2</f>
        <v>83416.180000000008</v>
      </c>
      <c r="R7" s="117">
        <f t="shared" si="3"/>
        <v>4.0560235339881361</v>
      </c>
      <c r="S7" s="134">
        <f t="shared" si="4"/>
        <v>4.0560235339881361</v>
      </c>
      <c r="T7" s="10">
        <f t="shared" si="5"/>
        <v>9180</v>
      </c>
      <c r="U7" s="183">
        <f t="shared" si="6"/>
        <v>248405.87199995478</v>
      </c>
      <c r="V7" s="48">
        <f t="shared" si="7"/>
        <v>341002.0519999548</v>
      </c>
      <c r="W7" s="117" t="e">
        <f t="shared" si="8"/>
        <v>#VALUE!</v>
      </c>
      <c r="X7" s="10">
        <f t="shared" ref="X7:X35" si="10">SUM(X6)</f>
        <v>1582</v>
      </c>
      <c r="Y7" s="720">
        <v>106</v>
      </c>
      <c r="Z7" s="120">
        <f t="shared" si="9"/>
        <v>101.94397646601186</v>
      </c>
    </row>
    <row r="8" spans="1:26" x14ac:dyDescent="0.2">
      <c r="A8" s="93">
        <f>Gen!A14</f>
        <v>43438</v>
      </c>
      <c r="B8" s="588">
        <f>'Daily report Gen'!Z9</f>
        <v>38</v>
      </c>
      <c r="C8" s="129">
        <f>Gen!B14</f>
        <v>0.16880000000000001</v>
      </c>
      <c r="D8" s="125">
        <f>E8</f>
        <v>15</v>
      </c>
      <c r="E8" s="115">
        <v>15</v>
      </c>
      <c r="F8" s="111">
        <f>Gen!T14</f>
        <v>4694</v>
      </c>
      <c r="G8" s="127">
        <f>Gen!S14</f>
        <v>1910.45</v>
      </c>
      <c r="H8" s="127">
        <f>Gen!AJ14</f>
        <v>110.05</v>
      </c>
      <c r="I8" s="127">
        <f t="shared" si="1"/>
        <v>2020.5</v>
      </c>
      <c r="J8" s="127" t="e">
        <f>Gen!AT14</f>
        <v>#REF!</v>
      </c>
      <c r="K8" s="533">
        <f>'Water-Meter'!E9</f>
        <v>87</v>
      </c>
      <c r="L8" s="108">
        <f>'Lpg (2)'!N13</f>
        <v>101.33200000002689</v>
      </c>
      <c r="M8" s="130" t="e">
        <f>#REF!</f>
        <v>#REF!</v>
      </c>
      <c r="N8" s="130" t="e">
        <f>#REF!</f>
        <v>#REF!</v>
      </c>
      <c r="O8" s="130" t="e">
        <f>#REF!</f>
        <v>#REF!</v>
      </c>
      <c r="P8" s="131" t="e">
        <f t="shared" si="2"/>
        <v>#REF!</v>
      </c>
      <c r="Q8" s="115">
        <f>I8*Q2</f>
        <v>58594.5</v>
      </c>
      <c r="R8" s="117">
        <f t="shared" si="3"/>
        <v>2.4692161820480405</v>
      </c>
      <c r="S8" s="134">
        <f t="shared" si="4"/>
        <v>2.4692161820480405</v>
      </c>
      <c r="T8" s="10">
        <f t="shared" si="5"/>
        <v>8874</v>
      </c>
      <c r="U8" s="183">
        <f t="shared" si="6"/>
        <v>198914.71600005278</v>
      </c>
      <c r="V8" s="48">
        <f t="shared" si="7"/>
        <v>266383.21600005275</v>
      </c>
      <c r="W8" s="117">
        <f t="shared" si="8"/>
        <v>1.758653304285025</v>
      </c>
      <c r="X8" s="10">
        <f t="shared" si="10"/>
        <v>1582</v>
      </c>
      <c r="Y8" s="720">
        <v>106</v>
      </c>
      <c r="Z8" s="120">
        <f t="shared" si="9"/>
        <v>103.53078381795196</v>
      </c>
    </row>
    <row r="9" spans="1:26" x14ac:dyDescent="0.2">
      <c r="A9" s="93">
        <f>Gen!A15</f>
        <v>43439</v>
      </c>
      <c r="B9" s="588">
        <f>'Daily report Gen'!Z10</f>
        <v>39</v>
      </c>
      <c r="C9" s="129">
        <f>Gen!B15</f>
        <v>0.20780000000000001</v>
      </c>
      <c r="D9" s="125">
        <f t="shared" si="0"/>
        <v>12</v>
      </c>
      <c r="E9" s="115">
        <v>12</v>
      </c>
      <c r="F9" s="111">
        <f>Gen!T15</f>
        <v>4359</v>
      </c>
      <c r="G9" s="127">
        <f>Gen!S15</f>
        <v>1785.28</v>
      </c>
      <c r="H9" s="127">
        <f>Gen!AJ15</f>
        <v>0</v>
      </c>
      <c r="I9" s="127">
        <f t="shared" si="1"/>
        <v>1785.28</v>
      </c>
      <c r="J9" s="127" t="e">
        <f>Gen!AT15</f>
        <v>#REF!</v>
      </c>
      <c r="K9" s="533">
        <f>'Water-Meter'!E10</f>
        <v>84</v>
      </c>
      <c r="L9" s="108">
        <f>'Lpg (2)'!N14</f>
        <v>111.62799999997952</v>
      </c>
      <c r="M9" s="130" t="e">
        <f>#REF!</f>
        <v>#REF!</v>
      </c>
      <c r="N9" s="130" t="e">
        <f>#REF!</f>
        <v>#REF!</v>
      </c>
      <c r="O9" s="130" t="e">
        <f>#REF!</f>
        <v>#REF!</v>
      </c>
      <c r="P9" s="131" t="e">
        <f t="shared" si="2"/>
        <v>#REF!</v>
      </c>
      <c r="Q9" s="115">
        <f>I9*Q2</f>
        <v>51773.120000000003</v>
      </c>
      <c r="R9" s="117">
        <f t="shared" si="3"/>
        <v>2.7271976401179945</v>
      </c>
      <c r="S9" s="134">
        <f t="shared" si="4"/>
        <v>2.7271976401179945</v>
      </c>
      <c r="T9" s="10">
        <f t="shared" si="5"/>
        <v>8568</v>
      </c>
      <c r="U9" s="183">
        <f t="shared" si="6"/>
        <v>219125.7639999598</v>
      </c>
      <c r="V9" s="48">
        <f t="shared" si="7"/>
        <v>279466.8839999598</v>
      </c>
      <c r="W9" s="117">
        <f t="shared" si="8"/>
        <v>2.2832261764702597</v>
      </c>
      <c r="X9" s="10">
        <f t="shared" si="10"/>
        <v>1582</v>
      </c>
      <c r="Y9" s="720">
        <v>106</v>
      </c>
      <c r="Z9" s="120">
        <f t="shared" si="9"/>
        <v>103.27280235988201</v>
      </c>
    </row>
    <row r="10" spans="1:26" x14ac:dyDescent="0.2">
      <c r="A10" s="93">
        <f>Gen!A16</f>
        <v>43440</v>
      </c>
      <c r="B10" s="588">
        <f>'Daily report Gen'!Z11</f>
        <v>35</v>
      </c>
      <c r="C10" s="129">
        <f>Gen!B16</f>
        <v>0.29870000000000002</v>
      </c>
      <c r="D10" s="125">
        <f t="shared" si="0"/>
        <v>15</v>
      </c>
      <c r="E10" s="115">
        <v>15</v>
      </c>
      <c r="F10" s="111">
        <f>Gen!T16</f>
        <v>4710</v>
      </c>
      <c r="G10" s="127">
        <f>Gen!S16</f>
        <v>1903.8600000000001</v>
      </c>
      <c r="H10" s="127">
        <f>Gen!AJ16</f>
        <v>247.65</v>
      </c>
      <c r="I10" s="127">
        <f t="shared" si="1"/>
        <v>2151.5100000000002</v>
      </c>
      <c r="J10" s="127" t="e">
        <f>Gen!AT16</f>
        <v>#REF!</v>
      </c>
      <c r="K10" s="533">
        <f>'Water-Meter'!E11</f>
        <v>108</v>
      </c>
      <c r="L10" s="108">
        <f>'Lpg (2)'!N15</f>
        <v>105.64400000000897</v>
      </c>
      <c r="M10" s="130" t="e">
        <f>#REF!</f>
        <v>#REF!</v>
      </c>
      <c r="N10" s="130" t="e">
        <f>#REF!</f>
        <v>#REF!</v>
      </c>
      <c r="O10" s="130" t="e">
        <f>#REF!</f>
        <v>#REF!</v>
      </c>
      <c r="P10" s="131" t="e">
        <f t="shared" si="2"/>
        <v>#REF!</v>
      </c>
      <c r="Q10" s="115">
        <f>I10*Q2</f>
        <v>62393.790000000008</v>
      </c>
      <c r="R10" s="117">
        <f t="shared" si="3"/>
        <v>2.6293211125158029</v>
      </c>
      <c r="S10" s="134">
        <f t="shared" si="4"/>
        <v>2.6293211125158029</v>
      </c>
      <c r="T10" s="10">
        <f t="shared" si="5"/>
        <v>11016</v>
      </c>
      <c r="U10" s="183">
        <f t="shared" si="6"/>
        <v>207379.1720000176</v>
      </c>
      <c r="V10" s="48">
        <f t="shared" si="7"/>
        <v>280788.96200001764</v>
      </c>
      <c r="W10" s="117">
        <f t="shared" si="8"/>
        <v>2.0391355265070272</v>
      </c>
      <c r="X10" s="10">
        <f t="shared" si="10"/>
        <v>1582</v>
      </c>
      <c r="Y10" s="720">
        <v>106</v>
      </c>
      <c r="Z10" s="120">
        <f t="shared" si="9"/>
        <v>103.3706788874842</v>
      </c>
    </row>
    <row r="11" spans="1:26" x14ac:dyDescent="0.2">
      <c r="A11" s="93">
        <f>Gen!A17</f>
        <v>43441</v>
      </c>
      <c r="B11" s="588">
        <f>'Daily report Gen'!Z12</f>
        <v>41</v>
      </c>
      <c r="C11" s="129">
        <f>Gen!B17</f>
        <v>0.24679999999999999</v>
      </c>
      <c r="D11" s="125">
        <f t="shared" si="0"/>
        <v>20</v>
      </c>
      <c r="E11" s="115">
        <v>20</v>
      </c>
      <c r="F11" s="111">
        <f>Gen!T17</f>
        <v>4875</v>
      </c>
      <c r="G11" s="127">
        <f>Gen!S17</f>
        <v>2010.19</v>
      </c>
      <c r="H11" s="127">
        <f>Gen!AJ17</f>
        <v>224.17000000000002</v>
      </c>
      <c r="I11" s="127">
        <f t="shared" si="1"/>
        <v>2234.36</v>
      </c>
      <c r="J11" s="127" t="e">
        <f>Gen!AT17</f>
        <v>#REF!</v>
      </c>
      <c r="K11" s="533">
        <f>'Water-Meter'!E12</f>
        <v>93</v>
      </c>
      <c r="L11" s="108">
        <f>'Lpg (2)'!N16</f>
        <v>116.16000000000641</v>
      </c>
      <c r="M11" s="130" t="e">
        <f>#REF!</f>
        <v>#REF!</v>
      </c>
      <c r="N11" s="130" t="e">
        <f>#REF!</f>
        <v>#REF!</v>
      </c>
      <c r="O11" s="130" t="e">
        <f>#REF!</f>
        <v>#REF!</v>
      </c>
      <c r="P11" s="131" t="e">
        <f t="shared" si="2"/>
        <v>#REF!</v>
      </c>
      <c r="Q11" s="115">
        <f>I11*Q2</f>
        <v>64796.44</v>
      </c>
      <c r="R11" s="117">
        <f t="shared" si="3"/>
        <v>2.04792793931732</v>
      </c>
      <c r="S11" s="134">
        <f t="shared" si="4"/>
        <v>2.04792793931732</v>
      </c>
      <c r="T11" s="10">
        <f t="shared" si="5"/>
        <v>9486</v>
      </c>
      <c r="U11" s="183">
        <f t="shared" si="6"/>
        <v>228022.08000001256</v>
      </c>
      <c r="V11" s="48">
        <f t="shared" si="7"/>
        <v>302304.52000001259</v>
      </c>
      <c r="W11" s="117">
        <f t="shared" si="8"/>
        <v>1.7033159792653403</v>
      </c>
      <c r="X11" s="10">
        <f t="shared" si="10"/>
        <v>1582</v>
      </c>
      <c r="Y11" s="720">
        <v>106</v>
      </c>
      <c r="Z11" s="120">
        <f t="shared" si="9"/>
        <v>103.95207206068268</v>
      </c>
    </row>
    <row r="12" spans="1:26" x14ac:dyDescent="0.2">
      <c r="A12" s="93">
        <f>Gen!A18</f>
        <v>43442</v>
      </c>
      <c r="B12" s="588">
        <f>'Daily report Gen'!Z13</f>
        <v>41</v>
      </c>
      <c r="C12" s="129">
        <f>Gen!B18</f>
        <v>0.28570000000000001</v>
      </c>
      <c r="D12" s="125">
        <f t="shared" si="0"/>
        <v>23</v>
      </c>
      <c r="E12" s="115">
        <v>23</v>
      </c>
      <c r="F12" s="111">
        <f>Gen!T18</f>
        <v>4801</v>
      </c>
      <c r="G12" s="127">
        <f>Gen!S18</f>
        <v>1923.46</v>
      </c>
      <c r="H12" s="127">
        <f>Gen!AJ18</f>
        <v>114</v>
      </c>
      <c r="I12" s="127">
        <f t="shared" si="1"/>
        <v>2037.46</v>
      </c>
      <c r="J12" s="127" t="e">
        <f>Gen!AT18</f>
        <v>#REF!</v>
      </c>
      <c r="K12" s="533">
        <f>'Water-Meter'!E13</f>
        <v>103</v>
      </c>
      <c r="L12" s="108">
        <f>'Lpg (2)'!N17</f>
        <v>149.55599999999106</v>
      </c>
      <c r="M12" s="130" t="e">
        <f>#REF!</f>
        <v>#REF!</v>
      </c>
      <c r="N12" s="130" t="e">
        <f>#REF!</f>
        <v>#REF!</v>
      </c>
      <c r="O12" s="130" t="e">
        <f>#REF!</f>
        <v>#REF!</v>
      </c>
      <c r="P12" s="131" t="e">
        <f t="shared" si="2"/>
        <v>#REF!</v>
      </c>
      <c r="Q12" s="115">
        <f>I12*Q2</f>
        <v>59086.340000000004</v>
      </c>
      <c r="R12" s="117">
        <f t="shared" si="3"/>
        <v>1.6238756664651242</v>
      </c>
      <c r="S12" s="134">
        <f t="shared" si="4"/>
        <v>1.6238756664651242</v>
      </c>
      <c r="T12" s="10">
        <f t="shared" si="5"/>
        <v>10506</v>
      </c>
      <c r="U12" s="183">
        <f t="shared" si="6"/>
        <v>293578.42799998244</v>
      </c>
      <c r="V12" s="48">
        <f t="shared" si="7"/>
        <v>363170.76799998246</v>
      </c>
      <c r="W12" s="117">
        <f t="shared" si="8"/>
        <v>1.842907725408915</v>
      </c>
      <c r="X12" s="10">
        <f t="shared" si="10"/>
        <v>1582</v>
      </c>
      <c r="Y12" s="720">
        <v>106</v>
      </c>
      <c r="Z12" s="120">
        <f t="shared" si="9"/>
        <v>104.37612433353488</v>
      </c>
    </row>
    <row r="13" spans="1:26" x14ac:dyDescent="0.2">
      <c r="A13" s="93">
        <f>Gen!A19</f>
        <v>43443</v>
      </c>
      <c r="B13" s="588">
        <f>'Daily report Gen'!Z14</f>
        <v>39</v>
      </c>
      <c r="C13" s="129">
        <f>Gen!B19</f>
        <v>0.46750000000000003</v>
      </c>
      <c r="D13" s="125">
        <f t="shared" si="0"/>
        <v>37</v>
      </c>
      <c r="E13" s="115">
        <v>37</v>
      </c>
      <c r="F13" s="111">
        <f>Gen!T19</f>
        <v>4909</v>
      </c>
      <c r="G13" s="127">
        <f>Gen!S19</f>
        <v>2043.56</v>
      </c>
      <c r="H13" s="127">
        <f>Gen!AJ19</f>
        <v>534.55999999999995</v>
      </c>
      <c r="I13" s="127">
        <f t="shared" si="1"/>
        <v>2578.12</v>
      </c>
      <c r="J13" s="127" t="e">
        <f>Gen!AT19</f>
        <v>#REF!</v>
      </c>
      <c r="K13" s="533">
        <f>'Water-Meter'!E14</f>
        <v>125</v>
      </c>
      <c r="L13" s="108">
        <f>'Lpg (2)'!N18</f>
        <v>158.4</v>
      </c>
      <c r="M13" s="130" t="e">
        <f>#REF!</f>
        <v>#REF!</v>
      </c>
      <c r="N13" s="130" t="e">
        <f>#REF!</f>
        <v>#REF!</v>
      </c>
      <c r="O13" s="130" t="e">
        <f>#REF!</f>
        <v>#REF!</v>
      </c>
      <c r="P13" s="131" t="e">
        <f t="shared" si="2"/>
        <v>#REF!</v>
      </c>
      <c r="Q13" s="115">
        <f>I13*Q2</f>
        <v>74765.48</v>
      </c>
      <c r="R13" s="117">
        <f t="shared" si="3"/>
        <v>1.277300030751358</v>
      </c>
      <c r="S13" s="134">
        <f t="shared" si="4"/>
        <v>1.277300030751358</v>
      </c>
      <c r="T13" s="10">
        <f t="shared" si="5"/>
        <v>12750</v>
      </c>
      <c r="U13" s="183">
        <f t="shared" si="6"/>
        <v>310939.2</v>
      </c>
      <c r="V13" s="48">
        <f t="shared" si="7"/>
        <v>398454.68</v>
      </c>
      <c r="W13" s="117" t="e">
        <f t="shared" ref="W13:W17" si="11">SUM(V13/E13)/T4</f>
        <v>#VALUE!</v>
      </c>
      <c r="X13" s="10">
        <f t="shared" si="10"/>
        <v>1582</v>
      </c>
      <c r="Y13" s="720">
        <v>106</v>
      </c>
      <c r="Z13" s="120">
        <f t="shared" si="9"/>
        <v>104.72269996924864</v>
      </c>
    </row>
    <row r="14" spans="1:26" x14ac:dyDescent="0.2">
      <c r="A14" s="93">
        <f>Gen!A20</f>
        <v>43444</v>
      </c>
      <c r="B14" s="588">
        <f>'Daily report Gen'!Z15</f>
        <v>44</v>
      </c>
      <c r="C14" s="129">
        <f>Gen!B20</f>
        <v>0.55840000000000001</v>
      </c>
      <c r="D14" s="125">
        <f t="shared" si="0"/>
        <v>44</v>
      </c>
      <c r="E14" s="115">
        <v>44</v>
      </c>
      <c r="F14" s="111">
        <f>Gen!T20</f>
        <v>5316</v>
      </c>
      <c r="G14" s="127">
        <f>Gen!S20</f>
        <v>2103.23</v>
      </c>
      <c r="H14" s="127">
        <f>Gen!AJ20</f>
        <v>438</v>
      </c>
      <c r="I14" s="127">
        <f t="shared" si="1"/>
        <v>2541.23</v>
      </c>
      <c r="J14" s="127" t="e">
        <f>Gen!AT20</f>
        <v>#REF!</v>
      </c>
      <c r="K14" s="533">
        <f>'Water-Meter'!E15</f>
        <v>114</v>
      </c>
      <c r="L14" s="108">
        <f>'Lpg (2)'!N19</f>
        <v>197.20799999999875</v>
      </c>
      <c r="M14" s="130" t="e">
        <f>#REF!</f>
        <v>#REF!</v>
      </c>
      <c r="N14" s="130" t="e">
        <f>#REF!</f>
        <v>#REF!</v>
      </c>
      <c r="O14" s="130" t="e">
        <f>#REF!</f>
        <v>#REF!</v>
      </c>
      <c r="P14" s="131" t="e">
        <f t="shared" si="2"/>
        <v>#REF!</v>
      </c>
      <c r="Q14" s="115">
        <f>I14*Q2</f>
        <v>73695.67</v>
      </c>
      <c r="R14" s="117">
        <f t="shared" si="3"/>
        <v>1.0587241409033443</v>
      </c>
      <c r="S14" s="134">
        <f t="shared" si="4"/>
        <v>1.0587241409033443</v>
      </c>
      <c r="T14" s="10">
        <f t="shared" si="5"/>
        <v>11628</v>
      </c>
      <c r="U14" s="183">
        <f t="shared" si="6"/>
        <v>387119.30399999756</v>
      </c>
      <c r="V14" s="48">
        <f t="shared" si="7"/>
        <v>472442.97399999754</v>
      </c>
      <c r="W14" s="117">
        <f t="shared" si="11"/>
        <v>1.0633135589405589</v>
      </c>
      <c r="X14" s="10">
        <f t="shared" si="10"/>
        <v>1582</v>
      </c>
      <c r="Y14" s="720">
        <v>106</v>
      </c>
      <c r="Z14" s="120">
        <f t="shared" si="9"/>
        <v>104.94127585909665</v>
      </c>
    </row>
    <row r="15" spans="1:26" x14ac:dyDescent="0.2">
      <c r="A15" s="93">
        <f>Gen!A21</f>
        <v>43445</v>
      </c>
      <c r="B15" s="588">
        <f>'Daily report Gen'!Z16</f>
        <v>44</v>
      </c>
      <c r="C15" s="129">
        <f>Gen!B21</f>
        <v>0.57140000000000002</v>
      </c>
      <c r="D15" s="125">
        <f t="shared" si="0"/>
        <v>45</v>
      </c>
      <c r="E15" s="115">
        <v>45</v>
      </c>
      <c r="F15" s="111">
        <f>Gen!T21</f>
        <v>4922</v>
      </c>
      <c r="G15" s="127">
        <f>Gen!S21</f>
        <v>2044.33</v>
      </c>
      <c r="H15" s="127">
        <f>Gen!AJ21</f>
        <v>222.32999999999998</v>
      </c>
      <c r="I15" s="127">
        <f t="shared" si="1"/>
        <v>2266.66</v>
      </c>
      <c r="J15" s="127" t="e">
        <f>Gen!AT21</f>
        <v>#REF!</v>
      </c>
      <c r="K15" s="533">
        <f>'Water-Meter'!E16</f>
        <v>114</v>
      </c>
      <c r="L15" s="108">
        <f>'Lpg (2)'!N20</f>
        <v>121.83600000001026</v>
      </c>
      <c r="M15" s="130" t="e">
        <f>#REF!</f>
        <v>#REF!</v>
      </c>
      <c r="N15" s="130" t="e">
        <f>#REF!</f>
        <v>#REF!</v>
      </c>
      <c r="O15" s="130" t="e">
        <f>#REF!</f>
        <v>#REF!</v>
      </c>
      <c r="P15" s="131" t="e">
        <f t="shared" si="2"/>
        <v>#REF!</v>
      </c>
      <c r="Q15" s="115">
        <f>I15*Q2</f>
        <v>65733.14</v>
      </c>
      <c r="R15" s="117">
        <f t="shared" si="3"/>
        <v>0.92334794212670324</v>
      </c>
      <c r="S15" s="134">
        <f t="shared" si="4"/>
        <v>0.92334794212670324</v>
      </c>
      <c r="T15" s="10">
        <f t="shared" si="5"/>
        <v>11628</v>
      </c>
      <c r="U15" s="183">
        <f t="shared" si="6"/>
        <v>239164.06800002014</v>
      </c>
      <c r="V15" s="48">
        <f t="shared" si="7"/>
        <v>316525.20800002012</v>
      </c>
      <c r="W15" s="117">
        <f t="shared" si="11"/>
        <v>0.68959740305015271</v>
      </c>
      <c r="X15" s="10">
        <f t="shared" si="10"/>
        <v>1582</v>
      </c>
      <c r="Y15" s="720">
        <v>106</v>
      </c>
      <c r="Z15" s="120">
        <f t="shared" si="9"/>
        <v>105.0766520578733</v>
      </c>
    </row>
    <row r="16" spans="1:26" x14ac:dyDescent="0.2">
      <c r="A16" s="93">
        <f>Gen!A22</f>
        <v>43446</v>
      </c>
      <c r="B16" s="588">
        <f>'Daily report Gen'!Z17</f>
        <v>42</v>
      </c>
      <c r="C16" s="129">
        <f>Gen!B22</f>
        <v>0.23380000000000001</v>
      </c>
      <c r="D16" s="125">
        <f t="shared" si="0"/>
        <v>21</v>
      </c>
      <c r="E16" s="115">
        <v>21</v>
      </c>
      <c r="F16" s="111">
        <f>Gen!T22</f>
        <v>4870</v>
      </c>
      <c r="G16" s="127">
        <f>Gen!S22</f>
        <v>1917.2399999999998</v>
      </c>
      <c r="H16" s="127">
        <f>Gen!AJ22</f>
        <v>198.24</v>
      </c>
      <c r="I16" s="127">
        <f t="shared" si="1"/>
        <v>2115.4799999999996</v>
      </c>
      <c r="J16" s="127" t="e">
        <f>Gen!AT22</f>
        <v>#REF!</v>
      </c>
      <c r="K16" s="533">
        <f>'Water-Meter'!E17</f>
        <v>105</v>
      </c>
      <c r="L16" s="108">
        <f>'Lpg (2)'!N21</f>
        <v>127.29200000000129</v>
      </c>
      <c r="M16" s="130" t="e">
        <f>#REF!</f>
        <v>#REF!</v>
      </c>
      <c r="N16" s="130" t="e">
        <f>#REF!</f>
        <v>#REF!</v>
      </c>
      <c r="O16" s="130" t="e">
        <f>#REF!</f>
        <v>#REF!</v>
      </c>
      <c r="P16" s="131" t="e">
        <f t="shared" si="2"/>
        <v>#REF!</v>
      </c>
      <c r="Q16" s="115">
        <f>I16*Q2</f>
        <v>61348.919999999984</v>
      </c>
      <c r="R16" s="117">
        <f t="shared" si="3"/>
        <v>1.8466353621094451</v>
      </c>
      <c r="S16" s="134">
        <f t="shared" si="4"/>
        <v>1.8466353621094451</v>
      </c>
      <c r="T16" s="10">
        <f t="shared" si="5"/>
        <v>10710</v>
      </c>
      <c r="U16" s="183">
        <f t="shared" si="6"/>
        <v>249874.19600000253</v>
      </c>
      <c r="V16" s="48">
        <f t="shared" si="7"/>
        <v>321933.11600000248</v>
      </c>
      <c r="W16" s="117">
        <f t="shared" si="11"/>
        <v>1.6699508040253268</v>
      </c>
      <c r="X16" s="10">
        <f t="shared" si="10"/>
        <v>1582</v>
      </c>
      <c r="Y16" s="720">
        <v>106</v>
      </c>
      <c r="Z16" s="120">
        <f t="shared" si="9"/>
        <v>104.15336463789056</v>
      </c>
    </row>
    <row r="17" spans="1:26" x14ac:dyDescent="0.2">
      <c r="A17" s="93">
        <f>Gen!A23</f>
        <v>43447</v>
      </c>
      <c r="B17" s="588">
        <f>'Daily report Gen'!Z18</f>
        <v>37</v>
      </c>
      <c r="C17" s="129">
        <f>Gen!B23</f>
        <v>0.2727</v>
      </c>
      <c r="D17" s="125">
        <f t="shared" si="0"/>
        <v>23</v>
      </c>
      <c r="E17" s="115">
        <v>23</v>
      </c>
      <c r="F17" s="111">
        <f>Gen!T23</f>
        <v>4660</v>
      </c>
      <c r="G17" s="127">
        <f>Gen!S23</f>
        <v>1891.5800000000002</v>
      </c>
      <c r="H17" s="127">
        <f>Gen!AJ23</f>
        <v>114.10000000000001</v>
      </c>
      <c r="I17" s="127">
        <f t="shared" si="1"/>
        <v>2005.68</v>
      </c>
      <c r="J17" s="127" t="e">
        <f>Gen!AT23</f>
        <v>#REF!</v>
      </c>
      <c r="K17" s="533">
        <f>'Water-Meter'!E18</f>
        <v>111</v>
      </c>
      <c r="L17" s="108">
        <f>'Lpg (2)'!N22</f>
        <v>119.63599999997824</v>
      </c>
      <c r="M17" s="130" t="e">
        <f>#REF!</f>
        <v>#REF!</v>
      </c>
      <c r="N17" s="130" t="e">
        <f>#REF!</f>
        <v>#REF!</v>
      </c>
      <c r="O17" s="130" t="e">
        <f>#REF!</f>
        <v>#REF!</v>
      </c>
      <c r="P17" s="131" t="e">
        <f t="shared" si="2"/>
        <v>#REF!</v>
      </c>
      <c r="Q17" s="115">
        <f>I17*Q2</f>
        <v>58164.72</v>
      </c>
      <c r="R17" s="117">
        <f t="shared" si="3"/>
        <v>1.5985466937833233</v>
      </c>
      <c r="S17" s="134">
        <f t="shared" si="4"/>
        <v>1.5985466937833233</v>
      </c>
      <c r="T17" s="10">
        <f t="shared" si="5"/>
        <v>11322</v>
      </c>
      <c r="U17" s="183">
        <f t="shared" si="6"/>
        <v>234845.46799995727</v>
      </c>
      <c r="V17" s="48">
        <f t="shared" si="7"/>
        <v>304332.18799995724</v>
      </c>
      <c r="W17" s="117">
        <f t="shared" si="11"/>
        <v>1.4910789115244205</v>
      </c>
      <c r="X17" s="10">
        <f t="shared" si="10"/>
        <v>1582</v>
      </c>
      <c r="Y17" s="720">
        <v>106</v>
      </c>
      <c r="Z17" s="120">
        <f t="shared" si="9"/>
        <v>104.40145330621668</v>
      </c>
    </row>
    <row r="18" spans="1:26" x14ac:dyDescent="0.2">
      <c r="A18" s="93">
        <f>Gen!A24</f>
        <v>43448</v>
      </c>
      <c r="B18" s="588">
        <f>'Daily report Gen'!Z19</f>
        <v>42</v>
      </c>
      <c r="C18" s="129">
        <f>Gen!B24</f>
        <v>0.25950000000000001</v>
      </c>
      <c r="D18" s="125">
        <f t="shared" si="0"/>
        <v>21</v>
      </c>
      <c r="E18" s="115">
        <v>21</v>
      </c>
      <c r="F18" s="111">
        <f>Gen!T24</f>
        <v>4748</v>
      </c>
      <c r="G18" s="127">
        <f>Gen!S24</f>
        <v>1992.44</v>
      </c>
      <c r="H18" s="127">
        <f>Gen!AJ24</f>
        <v>315.52</v>
      </c>
      <c r="I18" s="127">
        <f t="shared" si="1"/>
        <v>2307.96</v>
      </c>
      <c r="J18" s="127" t="e">
        <f>Gen!AT24</f>
        <v>#REF!</v>
      </c>
      <c r="K18" s="533">
        <f>'Water-Meter'!E19</f>
        <v>100</v>
      </c>
      <c r="L18" s="108">
        <f>'Lpg (2)'!N23</f>
        <v>108.50400000001538</v>
      </c>
      <c r="M18" s="130" t="e">
        <f>#REF!</f>
        <v>#REF!</v>
      </c>
      <c r="N18" s="130" t="e">
        <f>#REF!</f>
        <v>#REF!</v>
      </c>
      <c r="O18" s="130" t="e">
        <f>#REF!</f>
        <v>#REF!</v>
      </c>
      <c r="P18" s="131" t="e">
        <f t="shared" si="2"/>
        <v>#REF!</v>
      </c>
      <c r="Q18" s="115">
        <f>I18*Q2</f>
        <v>66930.84</v>
      </c>
      <c r="R18" s="117">
        <f t="shared" si="3"/>
        <v>2.014654144843778</v>
      </c>
      <c r="S18" s="134">
        <f t="shared" si="4"/>
        <v>2.014654144843778</v>
      </c>
      <c r="T18" s="10">
        <f t="shared" si="5"/>
        <v>10200</v>
      </c>
      <c r="U18" s="183">
        <f t="shared" si="6"/>
        <v>212993.35200003019</v>
      </c>
      <c r="V18" s="48">
        <f t="shared" si="7"/>
        <v>290124.19200003019</v>
      </c>
      <c r="W18" s="117">
        <f>SUM(V18/E18)/T2</f>
        <v>8.7328936247074296</v>
      </c>
      <c r="X18" s="10">
        <f t="shared" si="10"/>
        <v>1582</v>
      </c>
      <c r="Y18" s="720">
        <v>106</v>
      </c>
      <c r="Z18" s="120">
        <f t="shared" si="9"/>
        <v>103.98534585515623</v>
      </c>
    </row>
    <row r="19" spans="1:26" x14ac:dyDescent="0.2">
      <c r="A19" s="93">
        <f>Gen!A25</f>
        <v>43449</v>
      </c>
      <c r="B19" s="588">
        <f>'Daily report Gen'!Z20</f>
        <v>41</v>
      </c>
      <c r="C19" s="129">
        <f>Gen!B25</f>
        <v>0.12989999999999999</v>
      </c>
      <c r="D19" s="125">
        <f t="shared" si="0"/>
        <v>11</v>
      </c>
      <c r="E19" s="115">
        <v>11</v>
      </c>
      <c r="F19" s="111">
        <f>Gen!T25</f>
        <v>4724</v>
      </c>
      <c r="G19" s="127">
        <f>Gen!S25</f>
        <v>1937.98</v>
      </c>
      <c r="H19" s="127">
        <f>Gen!AJ25</f>
        <v>571.31999999999994</v>
      </c>
      <c r="I19" s="127">
        <f t="shared" si="1"/>
        <v>2509.3000000000002</v>
      </c>
      <c r="J19" s="127" t="e">
        <f>Gen!AT25</f>
        <v>#REF!</v>
      </c>
      <c r="K19" s="533">
        <f>'Water-Meter'!E20</f>
        <v>87</v>
      </c>
      <c r="L19" s="108">
        <f>'Lpg (2)'!N24</f>
        <v>117.03999999999361</v>
      </c>
      <c r="M19" s="130" t="e">
        <f>#REF!</f>
        <v>#REF!</v>
      </c>
      <c r="N19" s="130" t="e">
        <f>#REF!</f>
        <v>#REF!</v>
      </c>
      <c r="O19" s="130" t="e">
        <f>#REF!</f>
        <v>#REF!</v>
      </c>
      <c r="P19" s="131" t="e">
        <f t="shared" si="2"/>
        <v>#REF!</v>
      </c>
      <c r="Q19" s="115">
        <f>I19*Q2</f>
        <v>72769.700000000012</v>
      </c>
      <c r="R19" s="117">
        <f t="shared" si="3"/>
        <v>4.1816860131019427</v>
      </c>
      <c r="S19" s="134">
        <f t="shared" si="4"/>
        <v>4.1816860131019427</v>
      </c>
      <c r="T19" s="10">
        <f t="shared" si="5"/>
        <v>8874</v>
      </c>
      <c r="U19" s="183">
        <f t="shared" si="6"/>
        <v>229749.51999998745</v>
      </c>
      <c r="V19" s="48">
        <f t="shared" si="7"/>
        <v>311393.21999998746</v>
      </c>
      <c r="W19" s="117">
        <f>SUM(V19/E19)/T2</f>
        <v>17.894105275254997</v>
      </c>
      <c r="X19" s="10">
        <f t="shared" si="10"/>
        <v>1582</v>
      </c>
      <c r="Y19" s="720">
        <v>106</v>
      </c>
      <c r="Z19" s="120">
        <f t="shared" si="9"/>
        <v>101.81831398689806</v>
      </c>
    </row>
    <row r="20" spans="1:26" x14ac:dyDescent="0.2">
      <c r="A20" s="93">
        <f>Gen!A26</f>
        <v>43450</v>
      </c>
      <c r="B20" s="588">
        <f>'Daily report Gen'!Z21</f>
        <v>41</v>
      </c>
      <c r="C20" s="129">
        <f>Gen!B26</f>
        <v>0.25969999999999999</v>
      </c>
      <c r="D20" s="125">
        <f t="shared" si="0"/>
        <v>21</v>
      </c>
      <c r="E20" s="115">
        <v>21</v>
      </c>
      <c r="F20" s="111">
        <f>Gen!T26</f>
        <v>5005</v>
      </c>
      <c r="G20" s="127">
        <f>Gen!S26</f>
        <v>2042.1299999999999</v>
      </c>
      <c r="H20" s="127">
        <f>Gen!AJ26</f>
        <v>335.74</v>
      </c>
      <c r="I20" s="127">
        <f t="shared" si="1"/>
        <v>2377.87</v>
      </c>
      <c r="J20" s="480" t="e">
        <f>Gen!AT26</f>
        <v>#REF!</v>
      </c>
      <c r="K20" s="533">
        <f>'Water-Meter'!E21</f>
        <v>105</v>
      </c>
      <c r="L20" s="108">
        <f>'Lpg (2)'!N25</f>
        <v>115.50000000000001</v>
      </c>
      <c r="M20" s="130" t="e">
        <f>#REF!</f>
        <v>#REF!</v>
      </c>
      <c r="N20" s="130" t="e">
        <f>#REF!</f>
        <v>#REF!</v>
      </c>
      <c r="O20" s="130" t="e">
        <f>#REF!</f>
        <v>#REF!</v>
      </c>
      <c r="P20" s="131" t="e">
        <f t="shared" si="2"/>
        <v>#REF!</v>
      </c>
      <c r="Q20" s="115">
        <f>I20*Q2</f>
        <v>68958.23</v>
      </c>
      <c r="R20" s="117">
        <f t="shared" si="3"/>
        <v>2.0756796700981277</v>
      </c>
      <c r="S20" s="134">
        <f t="shared" si="4"/>
        <v>2.0756796700981277</v>
      </c>
      <c r="T20" s="10">
        <f t="shared" si="5"/>
        <v>10710</v>
      </c>
      <c r="U20" s="183">
        <f t="shared" si="6"/>
        <v>226726.50000000003</v>
      </c>
      <c r="V20" s="48">
        <f t="shared" si="7"/>
        <v>306394.73000000004</v>
      </c>
      <c r="W20" s="117">
        <f>SUM(V20/E20)/T2</f>
        <v>9.2226455360905426</v>
      </c>
      <c r="X20" s="10">
        <f t="shared" si="10"/>
        <v>1582</v>
      </c>
      <c r="Y20" s="720">
        <v>106</v>
      </c>
      <c r="Z20" s="120">
        <f t="shared" si="9"/>
        <v>103.92432032990187</v>
      </c>
    </row>
    <row r="21" spans="1:26" x14ac:dyDescent="0.2">
      <c r="A21" s="93">
        <f>Gen!A27</f>
        <v>43451</v>
      </c>
      <c r="B21" s="588">
        <f>'Daily report Gen'!Z22</f>
        <v>45</v>
      </c>
      <c r="C21" s="129">
        <f>Gen!B27</f>
        <v>0.29870000000000002</v>
      </c>
      <c r="D21" s="125">
        <f t="shared" si="0"/>
        <v>24</v>
      </c>
      <c r="E21" s="115">
        <v>24</v>
      </c>
      <c r="F21" s="111">
        <f>Gen!T27</f>
        <v>5332</v>
      </c>
      <c r="G21" s="127">
        <f>Gen!S27</f>
        <v>2099.06</v>
      </c>
      <c r="H21" s="127">
        <f>Gen!AJ27</f>
        <v>581.30999999999995</v>
      </c>
      <c r="I21" s="127">
        <f t="shared" si="1"/>
        <v>2680.37</v>
      </c>
      <c r="J21" s="127" t="e">
        <f>Gen!AT27</f>
        <v>#REF!</v>
      </c>
      <c r="K21" s="533">
        <f>'Water-Meter'!E22</f>
        <v>109</v>
      </c>
      <c r="L21" s="108">
        <f>'Lpg (2)'!N26</f>
        <v>103.26800000000513</v>
      </c>
      <c r="M21" s="130" t="e">
        <f>#REF!</f>
        <v>#REF!</v>
      </c>
      <c r="N21" s="130" t="e">
        <f>#REF!</f>
        <v>#REF!</v>
      </c>
      <c r="O21" s="130" t="e">
        <f>#REF!</f>
        <v>#REF!</v>
      </c>
      <c r="P21" s="131" t="e">
        <f t="shared" si="2"/>
        <v>#REF!</v>
      </c>
      <c r="Q21" s="115">
        <f>I21*Q2</f>
        <v>77730.73</v>
      </c>
      <c r="R21" s="117">
        <f t="shared" si="3"/>
        <v>2.0472695427728613</v>
      </c>
      <c r="S21" s="134">
        <f t="shared" si="4"/>
        <v>2.0472695427728613</v>
      </c>
      <c r="T21" s="10">
        <f t="shared" si="5"/>
        <v>11118</v>
      </c>
      <c r="U21" s="183">
        <f t="shared" si="6"/>
        <v>202715.08400001007</v>
      </c>
      <c r="V21" s="48">
        <f t="shared" si="7"/>
        <v>291563.81400001008</v>
      </c>
      <c r="W21" s="117">
        <f>SUM(V21/E21)/T2</f>
        <v>7.679198640961074</v>
      </c>
      <c r="X21" s="10">
        <f t="shared" si="10"/>
        <v>1582</v>
      </c>
      <c r="Y21" s="720">
        <v>106</v>
      </c>
      <c r="Z21" s="120">
        <f t="shared" si="9"/>
        <v>103.95273045722713</v>
      </c>
    </row>
    <row r="22" spans="1:26" x14ac:dyDescent="0.2">
      <c r="A22" s="93">
        <f>Gen!A28</f>
        <v>43452</v>
      </c>
      <c r="B22" s="588">
        <f>'Daily report Gen'!Z23</f>
        <v>44</v>
      </c>
      <c r="C22" s="129">
        <f>Gen!B28</f>
        <v>0.50649999999999995</v>
      </c>
      <c r="D22" s="125">
        <f t="shared" si="0"/>
        <v>41</v>
      </c>
      <c r="E22" s="115">
        <v>41</v>
      </c>
      <c r="F22" s="111">
        <f>Gen!T28</f>
        <v>5890</v>
      </c>
      <c r="G22" s="127">
        <f>Gen!S28</f>
        <v>2371.98</v>
      </c>
      <c r="H22" s="127">
        <f>Gen!AJ28</f>
        <v>185.71</v>
      </c>
      <c r="I22" s="127">
        <f t="shared" si="1"/>
        <v>2557.69</v>
      </c>
      <c r="J22" s="127" t="e">
        <f>Gen!AT28</f>
        <v>#REF!</v>
      </c>
      <c r="K22" s="533">
        <f>'Water-Meter'!E23</f>
        <v>114</v>
      </c>
      <c r="L22" s="108">
        <f>'Lpg (2)'!N27</f>
        <v>116.11599999999744</v>
      </c>
      <c r="M22" s="130" t="e">
        <f>#REF!</f>
        <v>#REF!</v>
      </c>
      <c r="N22" s="130" t="e">
        <f>#REF!</f>
        <v>#REF!</v>
      </c>
      <c r="O22" s="130" t="e">
        <f>#REF!</f>
        <v>#REF!</v>
      </c>
      <c r="P22" s="131" t="e">
        <f t="shared" si="2"/>
        <v>#REF!</v>
      </c>
      <c r="Q22" s="115">
        <f>I22*Q2</f>
        <v>74173.009999999995</v>
      </c>
      <c r="R22" s="117">
        <f t="shared" si="3"/>
        <v>1.1435510776725972</v>
      </c>
      <c r="S22" s="134">
        <f t="shared" si="4"/>
        <v>1.1435510776725972</v>
      </c>
      <c r="T22" s="10">
        <f t="shared" si="5"/>
        <v>11628</v>
      </c>
      <c r="U22" s="183">
        <f t="shared" si="6"/>
        <v>227935.70799999498</v>
      </c>
      <c r="V22" s="48">
        <f t="shared" si="7"/>
        <v>313736.71799999499</v>
      </c>
      <c r="W22" s="117">
        <f>SUM(V22/E22)/T2</f>
        <v>4.8369880361381856</v>
      </c>
      <c r="X22" s="10">
        <f t="shared" si="10"/>
        <v>1582</v>
      </c>
      <c r="Y22" s="720">
        <v>106</v>
      </c>
      <c r="Z22" s="120">
        <f t="shared" si="9"/>
        <v>104.8564489223274</v>
      </c>
    </row>
    <row r="23" spans="1:26" x14ac:dyDescent="0.2">
      <c r="A23" s="93">
        <f>Gen!A29</f>
        <v>43453</v>
      </c>
      <c r="B23" s="588">
        <f>'Daily report Gen'!Z24</f>
        <v>45</v>
      </c>
      <c r="C23" s="129">
        <f>Gen!B29</f>
        <v>0.44159999999999999</v>
      </c>
      <c r="D23" s="125">
        <f t="shared" si="0"/>
        <v>35</v>
      </c>
      <c r="E23" s="115">
        <v>35</v>
      </c>
      <c r="F23" s="111">
        <f>Gen!T29</f>
        <v>5737</v>
      </c>
      <c r="G23" s="127">
        <f>Gen!S29</f>
        <v>2258.75</v>
      </c>
      <c r="H23" s="127">
        <f>Gen!AJ29</f>
        <v>118</v>
      </c>
      <c r="I23" s="127">
        <f t="shared" si="1"/>
        <v>2376.75</v>
      </c>
      <c r="J23" s="127" t="e">
        <f>Gen!AT29</f>
        <v>#REF!</v>
      </c>
      <c r="K23" s="533">
        <f>'Water-Meter'!E24</f>
        <v>110</v>
      </c>
      <c r="L23" s="108">
        <f>'Lpg (2)'!N28</f>
        <v>125.26800000000513</v>
      </c>
      <c r="M23" s="130" t="e">
        <f>#REF!</f>
        <v>#REF!</v>
      </c>
      <c r="N23" s="130" t="e">
        <f>#REF!</f>
        <v>#REF!</v>
      </c>
      <c r="O23" s="130" t="e">
        <f>#REF!</f>
        <v>#REF!</v>
      </c>
      <c r="P23" s="131" t="e">
        <f t="shared" si="2"/>
        <v>#REF!</v>
      </c>
      <c r="Q23" s="115">
        <f>I23*Q2</f>
        <v>68925.75</v>
      </c>
      <c r="R23" s="117">
        <f t="shared" si="3"/>
        <v>1.2448212028174102</v>
      </c>
      <c r="S23" s="134">
        <f t="shared" si="4"/>
        <v>1.2448212028174102</v>
      </c>
      <c r="T23" s="10">
        <f t="shared" si="5"/>
        <v>11220</v>
      </c>
      <c r="U23" s="183">
        <f t="shared" si="6"/>
        <v>245901.08400001007</v>
      </c>
      <c r="V23" s="48">
        <f t="shared" si="7"/>
        <v>326046.83400001004</v>
      </c>
      <c r="W23" s="117">
        <f>SUM(V23/E23)/T2</f>
        <v>5.8885106375295297</v>
      </c>
      <c r="X23" s="10">
        <f t="shared" si="10"/>
        <v>1582</v>
      </c>
      <c r="Y23" s="720">
        <v>106</v>
      </c>
      <c r="Z23" s="120">
        <f t="shared" si="9"/>
        <v>104.75517879718259</v>
      </c>
    </row>
    <row r="24" spans="1:26" x14ac:dyDescent="0.2">
      <c r="A24" s="93">
        <f>Gen!A30</f>
        <v>43454</v>
      </c>
      <c r="B24" s="588">
        <f>'Daily report Gen'!Z25</f>
        <v>43</v>
      </c>
      <c r="C24" s="129">
        <f>Gen!B30</f>
        <v>0.40260000000000001</v>
      </c>
      <c r="D24" s="125">
        <f t="shared" si="0"/>
        <v>34</v>
      </c>
      <c r="E24" s="115">
        <v>34</v>
      </c>
      <c r="F24" s="111">
        <f>Gen!T30</f>
        <v>5582</v>
      </c>
      <c r="G24" s="127">
        <f>Gen!S30</f>
        <v>2355.33</v>
      </c>
      <c r="H24" s="127">
        <f>Gen!AJ30</f>
        <v>690.09</v>
      </c>
      <c r="I24" s="127">
        <f t="shared" si="1"/>
        <v>3045.42</v>
      </c>
      <c r="J24" s="127" t="e">
        <f>Gen!AT30</f>
        <v>#REF!</v>
      </c>
      <c r="K24" s="533">
        <f>'Water-Meter'!E25</f>
        <v>123</v>
      </c>
      <c r="L24" s="108">
        <f>'Lpg (2)'!N29</f>
        <v>115.36800000000513</v>
      </c>
      <c r="M24" s="130" t="e">
        <f>#REF!</f>
        <v>#REF!</v>
      </c>
      <c r="N24" s="130" t="e">
        <f>#REF!</f>
        <v>#REF!</v>
      </c>
      <c r="O24" s="130" t="e">
        <f>#REF!</f>
        <v>#REF!</v>
      </c>
      <c r="P24" s="131" t="e">
        <f t="shared" si="2"/>
        <v>#REF!</v>
      </c>
      <c r="Q24" s="115">
        <f>I24*Q2</f>
        <v>88317.180000000008</v>
      </c>
      <c r="R24" s="117">
        <f t="shared" si="3"/>
        <v>1.6419495054659032</v>
      </c>
      <c r="S24" s="134">
        <f t="shared" si="4"/>
        <v>1.6419495054659032</v>
      </c>
      <c r="T24" s="10">
        <f t="shared" si="5"/>
        <v>12546</v>
      </c>
      <c r="U24" s="183">
        <f t="shared" si="6"/>
        <v>226467.38400001006</v>
      </c>
      <c r="V24" s="48">
        <f t="shared" si="7"/>
        <v>327330.56400001008</v>
      </c>
      <c r="W24" s="117">
        <f>SUM(V24/E24)/T2</f>
        <v>6.0855686026624909</v>
      </c>
      <c r="X24" s="10">
        <f t="shared" si="10"/>
        <v>1582</v>
      </c>
      <c r="Y24" s="720">
        <v>106</v>
      </c>
      <c r="Z24" s="120">
        <f t="shared" si="9"/>
        <v>104.3580504945341</v>
      </c>
    </row>
    <row r="25" spans="1:26" x14ac:dyDescent="0.2">
      <c r="A25" s="93">
        <f>Gen!A31</f>
        <v>43455</v>
      </c>
      <c r="B25" s="588">
        <f>'Daily report Gen'!Z26</f>
        <v>45</v>
      </c>
      <c r="C25" s="129">
        <f>Gen!B31</f>
        <v>0.49349999999999999</v>
      </c>
      <c r="D25" s="125">
        <f t="shared" si="0"/>
        <v>41</v>
      </c>
      <c r="E25" s="115">
        <v>41</v>
      </c>
      <c r="F25" s="111">
        <f>Gen!T31</f>
        <v>5599</v>
      </c>
      <c r="G25" s="127">
        <f>Gen!S31</f>
        <v>2159.4</v>
      </c>
      <c r="H25" s="127">
        <f>Gen!AJ31</f>
        <v>544.38</v>
      </c>
      <c r="I25" s="127">
        <f t="shared" si="1"/>
        <v>2703.78</v>
      </c>
      <c r="J25" s="127" t="e">
        <f>Gen!AT31</f>
        <v>#REF!</v>
      </c>
      <c r="K25" s="533">
        <f>'Water-Meter'!E26</f>
        <v>130</v>
      </c>
      <c r="L25" s="108">
        <f>'Lpg (2)'!N30</f>
        <v>128.12799999997952</v>
      </c>
      <c r="M25" s="130" t="e">
        <f>#REF!</f>
        <v>#REF!</v>
      </c>
      <c r="N25" s="130" t="e">
        <f>#REF!</f>
        <v>#REF!</v>
      </c>
      <c r="O25" s="130" t="e">
        <f>#REF!</f>
        <v>#REF!</v>
      </c>
      <c r="P25" s="131" t="e">
        <f t="shared" si="2"/>
        <v>#REF!</v>
      </c>
      <c r="Q25" s="115">
        <f>I25*Q2</f>
        <v>78409.62000000001</v>
      </c>
      <c r="R25" s="117">
        <f t="shared" si="3"/>
        <v>1.2088683666861955</v>
      </c>
      <c r="S25" s="134">
        <f t="shared" si="4"/>
        <v>1.2088683666861955</v>
      </c>
      <c r="T25" s="10">
        <f t="shared" si="5"/>
        <v>13260</v>
      </c>
      <c r="U25" s="183">
        <f t="shared" si="6"/>
        <v>251515.2639999598</v>
      </c>
      <c r="V25" s="48">
        <f t="shared" si="7"/>
        <v>343184.8839999598</v>
      </c>
      <c r="W25" s="117">
        <f>SUM(V25/E25)/T2</f>
        <v>5.29100064752798</v>
      </c>
      <c r="X25" s="10">
        <f t="shared" si="10"/>
        <v>1582</v>
      </c>
      <c r="Y25" s="720">
        <v>106</v>
      </c>
      <c r="Z25" s="120">
        <f t="shared" si="9"/>
        <v>104.79113163331381</v>
      </c>
    </row>
    <row r="26" spans="1:26" x14ac:dyDescent="0.2">
      <c r="A26" s="93">
        <f>Gen!A32</f>
        <v>43456</v>
      </c>
      <c r="B26" s="588">
        <f>'Daily report Gen'!Z27</f>
        <v>46</v>
      </c>
      <c r="C26" s="129">
        <f>Gen!B32</f>
        <v>0.49349999999999999</v>
      </c>
      <c r="D26" s="125">
        <f t="shared" si="0"/>
        <v>41</v>
      </c>
      <c r="E26" s="115">
        <v>41</v>
      </c>
      <c r="F26" s="111">
        <f>Gen!T32</f>
        <v>5928</v>
      </c>
      <c r="G26" s="127">
        <f>Gen!S32</f>
        <v>2501.02</v>
      </c>
      <c r="H26" s="127">
        <f>Gen!AJ32</f>
        <v>322.73</v>
      </c>
      <c r="I26" s="127">
        <f t="shared" si="1"/>
        <v>2823.75</v>
      </c>
      <c r="J26" s="127" t="e">
        <f>Gen!AT32</f>
        <v>#REF!</v>
      </c>
      <c r="K26" s="533">
        <f>'Water-Meter'!E27</f>
        <v>130</v>
      </c>
      <c r="L26" s="108">
        <f>'Lpg (2)'!N31</f>
        <v>119.94400000000897</v>
      </c>
      <c r="M26" s="130" t="e">
        <f>#REF!</f>
        <v>#REF!</v>
      </c>
      <c r="N26" s="130" t="e">
        <f>#REF!</f>
        <v>#REF!</v>
      </c>
      <c r="O26" s="130" t="e">
        <f>#REF!</f>
        <v>#REF!</v>
      </c>
      <c r="P26" s="131" t="e">
        <f t="shared" si="2"/>
        <v>#REF!</v>
      </c>
      <c r="Q26" s="115">
        <f>I26*Q2</f>
        <v>81888.75</v>
      </c>
      <c r="R26" s="117">
        <f t="shared" si="3"/>
        <v>1.2625073232401098</v>
      </c>
      <c r="S26" s="134">
        <f t="shared" si="4"/>
        <v>1.2625073232401098</v>
      </c>
      <c r="T26" s="10">
        <f t="shared" si="5"/>
        <v>13260</v>
      </c>
      <c r="U26" s="183">
        <f t="shared" si="6"/>
        <v>235450.07200001759</v>
      </c>
      <c r="V26" s="48">
        <f t="shared" si="7"/>
        <v>330598.82200001762</v>
      </c>
      <c r="W26" s="117">
        <f>SUM(V26/E26)/T2</f>
        <v>5.0969569547657736</v>
      </c>
      <c r="X26" s="10">
        <f t="shared" si="10"/>
        <v>1582</v>
      </c>
      <c r="Y26" s="720">
        <v>106</v>
      </c>
      <c r="Z26" s="120">
        <f t="shared" si="9"/>
        <v>104.73749267675989</v>
      </c>
    </row>
    <row r="27" spans="1:26" x14ac:dyDescent="0.2">
      <c r="A27" s="93">
        <f>Gen!A33</f>
        <v>43457</v>
      </c>
      <c r="B27" s="588">
        <f>'Daily report Gen'!Z28</f>
        <v>49</v>
      </c>
      <c r="C27" s="129">
        <f>Gen!B33</f>
        <v>0.4456</v>
      </c>
      <c r="D27" s="125">
        <f t="shared" si="0"/>
        <v>35</v>
      </c>
      <c r="E27" s="115">
        <v>35</v>
      </c>
      <c r="F27" s="111">
        <f>Gen!T33</f>
        <v>5850</v>
      </c>
      <c r="G27" s="127">
        <f>Gen!S33</f>
        <v>2375.4699999999998</v>
      </c>
      <c r="H27" s="127">
        <f>Gen!AJ33</f>
        <v>93.91</v>
      </c>
      <c r="I27" s="127">
        <f t="shared" si="1"/>
        <v>2469.3799999999997</v>
      </c>
      <c r="J27" s="127" t="e">
        <f>Gen!AT33</f>
        <v>#REF!</v>
      </c>
      <c r="K27" s="533">
        <f>'Water-Meter'!E28</f>
        <v>131</v>
      </c>
      <c r="L27" s="108">
        <f>'Lpg (2)'!N32</f>
        <v>106.61200000001409</v>
      </c>
      <c r="M27" s="130" t="e">
        <f>#REF!</f>
        <v>#REF!</v>
      </c>
      <c r="N27" s="130" t="e">
        <f>#REF!</f>
        <v>#REF!</v>
      </c>
      <c r="O27" s="130" t="e">
        <f>#REF!</f>
        <v>#REF!</v>
      </c>
      <c r="P27" s="131" t="e">
        <f t="shared" si="2"/>
        <v>#REF!</v>
      </c>
      <c r="Q27" s="115">
        <f>I27*Q2</f>
        <v>71612.01999999999</v>
      </c>
      <c r="R27" s="117">
        <f t="shared" si="3"/>
        <v>1.2933361025826258</v>
      </c>
      <c r="S27" s="134">
        <f t="shared" si="4"/>
        <v>1.2933361025826258</v>
      </c>
      <c r="T27" s="10">
        <f t="shared" si="5"/>
        <v>13362</v>
      </c>
      <c r="U27" s="183">
        <f t="shared" si="6"/>
        <v>209279.35600002765</v>
      </c>
      <c r="V27" s="48">
        <f t="shared" si="7"/>
        <v>294253.37600002764</v>
      </c>
      <c r="W27" s="117">
        <f>SUM(V27/E27)/T2</f>
        <v>5.3143105652885616</v>
      </c>
      <c r="X27" s="10">
        <f t="shared" si="10"/>
        <v>1582</v>
      </c>
      <c r="Y27" s="720">
        <v>106</v>
      </c>
      <c r="Z27" s="120">
        <f t="shared" si="9"/>
        <v>104.70666389741737</v>
      </c>
    </row>
    <row r="28" spans="1:26" x14ac:dyDescent="0.2">
      <c r="A28" s="93">
        <f>Gen!A34</f>
        <v>43458</v>
      </c>
      <c r="B28" s="588">
        <f>'Daily report Gen'!Z29</f>
        <v>-2952</v>
      </c>
      <c r="C28" s="129">
        <f>Gen!B34</f>
        <v>0.50649999999999995</v>
      </c>
      <c r="D28" s="125">
        <f t="shared" si="0"/>
        <v>40</v>
      </c>
      <c r="E28" s="115">
        <v>40</v>
      </c>
      <c r="F28" s="111">
        <f>Gen!T34</f>
        <v>6147</v>
      </c>
      <c r="G28" s="127">
        <f>Gen!S34</f>
        <v>2708.2799999999997</v>
      </c>
      <c r="H28" s="127">
        <f>Gen!AJ34</f>
        <v>786.27</v>
      </c>
      <c r="I28" s="127">
        <f t="shared" si="1"/>
        <v>3494.5499999999997</v>
      </c>
      <c r="J28" s="127" t="e">
        <f>Gen!AT34</f>
        <v>#REF!</v>
      </c>
      <c r="K28" s="533">
        <f>'Water-Meter'!E29</f>
        <v>112</v>
      </c>
      <c r="L28" s="108">
        <f>'Lpg (2)'!N33</f>
        <v>119.6799999999872</v>
      </c>
      <c r="M28" s="130" t="e">
        <f>#REF!</f>
        <v>#REF!</v>
      </c>
      <c r="N28" s="130" t="e">
        <f>#REF!</f>
        <v>#REF!</v>
      </c>
      <c r="O28" s="130" t="e">
        <f>#REF!</f>
        <v>#REF!</v>
      </c>
      <c r="P28" s="131" t="e">
        <f t="shared" si="2"/>
        <v>#REF!</v>
      </c>
      <c r="Q28" s="115">
        <f>I28*Q2</f>
        <v>101341.95</v>
      </c>
      <c r="R28" s="117">
        <f t="shared" si="3"/>
        <v>1.6014846713021491</v>
      </c>
      <c r="S28" s="134">
        <f t="shared" si="4"/>
        <v>1.6014846713021491</v>
      </c>
      <c r="T28" s="10">
        <f t="shared" si="5"/>
        <v>11424</v>
      </c>
      <c r="U28" s="183">
        <f t="shared" si="6"/>
        <v>234931.83999997488</v>
      </c>
      <c r="V28" s="48">
        <f t="shared" si="7"/>
        <v>347697.78999997489</v>
      </c>
      <c r="W28" s="117">
        <f>SUM(V28/E28)/T2</f>
        <v>5.4945921302145218</v>
      </c>
      <c r="X28" s="10">
        <f t="shared" si="10"/>
        <v>1582</v>
      </c>
      <c r="Y28" s="720">
        <v>106</v>
      </c>
      <c r="Z28" s="120">
        <f t="shared" si="9"/>
        <v>104.39851532869785</v>
      </c>
    </row>
    <row r="29" spans="1:26" x14ac:dyDescent="0.2">
      <c r="A29" s="93">
        <f>Gen!A35</f>
        <v>43459</v>
      </c>
      <c r="B29" s="588">
        <f>'Daily report Gen'!Z30</f>
        <v>60</v>
      </c>
      <c r="C29" s="129">
        <f>Gen!B35</f>
        <v>0.94810000000000005</v>
      </c>
      <c r="D29" s="125">
        <f t="shared" si="0"/>
        <v>73</v>
      </c>
      <c r="E29" s="115">
        <v>73</v>
      </c>
      <c r="F29" s="111">
        <f>Gen!T35</f>
        <v>6478</v>
      </c>
      <c r="G29" s="127">
        <f>Gen!S35</f>
        <v>2810.4</v>
      </c>
      <c r="H29" s="127">
        <f>Gen!AJ35</f>
        <v>174.44</v>
      </c>
      <c r="I29" s="127">
        <f t="shared" si="1"/>
        <v>2984.84</v>
      </c>
      <c r="J29" s="127" t="e">
        <f>Gen!AT35</f>
        <v>#REF!</v>
      </c>
      <c r="K29" s="533">
        <f>'Water-Meter'!E30</f>
        <v>147</v>
      </c>
      <c r="L29" s="108">
        <f>'Lpg (2)'!N34</f>
        <v>131.51599999999746</v>
      </c>
      <c r="M29" s="130" t="e">
        <f>#REF!</f>
        <v>#REF!</v>
      </c>
      <c r="N29" s="130" t="e">
        <f>#REF!</f>
        <v>#REF!</v>
      </c>
      <c r="O29" s="130" t="e">
        <f>#REF!</f>
        <v>#REF!</v>
      </c>
      <c r="P29" s="131" t="e">
        <f t="shared" si="2"/>
        <v>#REF!</v>
      </c>
      <c r="Q29" s="115">
        <f>I29*Q2</f>
        <v>86560.36</v>
      </c>
      <c r="R29" s="117">
        <f t="shared" si="3"/>
        <v>0.7495311985868417</v>
      </c>
      <c r="S29" s="134">
        <f t="shared" si="4"/>
        <v>0.7495311985868417</v>
      </c>
      <c r="T29" s="10">
        <f t="shared" si="5"/>
        <v>14994</v>
      </c>
      <c r="U29" s="183">
        <f t="shared" si="6"/>
        <v>258165.90799999502</v>
      </c>
      <c r="V29" s="48">
        <f t="shared" si="7"/>
        <v>359720.26799999503</v>
      </c>
      <c r="W29" s="117">
        <f>SUM(V29/E29)/T2</f>
        <v>3.114838751017396</v>
      </c>
      <c r="X29" s="10">
        <f t="shared" si="10"/>
        <v>1582</v>
      </c>
      <c r="Y29" s="720">
        <v>106</v>
      </c>
      <c r="Z29" s="120">
        <f t="shared" si="9"/>
        <v>105.25046880141316</v>
      </c>
    </row>
    <row r="30" spans="1:26" x14ac:dyDescent="0.2">
      <c r="A30" s="93">
        <f>Gen!A36</f>
        <v>43460</v>
      </c>
      <c r="B30" s="588">
        <f>'Daily report Gen'!Z31</f>
        <v>60</v>
      </c>
      <c r="C30" s="129">
        <f>Gen!B36</f>
        <v>0.90910000000000002</v>
      </c>
      <c r="D30" s="125">
        <f t="shared" si="0"/>
        <v>70</v>
      </c>
      <c r="E30" s="115">
        <v>70</v>
      </c>
      <c r="F30" s="111">
        <f>Gen!T36</f>
        <v>6636</v>
      </c>
      <c r="G30" s="127">
        <f>Gen!S36</f>
        <v>2865.4999999999995</v>
      </c>
      <c r="H30" s="127">
        <f>Gen!AJ36</f>
        <v>356.08</v>
      </c>
      <c r="I30" s="127">
        <f t="shared" si="1"/>
        <v>3221.5799999999995</v>
      </c>
      <c r="J30" s="127" t="e">
        <f>Gen!AT36</f>
        <v>#REF!</v>
      </c>
      <c r="K30" s="533">
        <f>'Water-Meter'!E31</f>
        <v>167</v>
      </c>
      <c r="L30" s="108">
        <f>'Lpg (2)'!N35</f>
        <v>115.19200000000129</v>
      </c>
      <c r="M30" s="130" t="e">
        <f>#REF!</f>
        <v>#REF!</v>
      </c>
      <c r="N30" s="130" t="e">
        <f>#REF!</f>
        <v>#REF!</v>
      </c>
      <c r="O30" s="130" t="e">
        <f>#REF!</f>
        <v>#REF!</v>
      </c>
      <c r="P30" s="131" t="e">
        <f t="shared" si="2"/>
        <v>#REF!</v>
      </c>
      <c r="Q30" s="115">
        <f>I30*Q2</f>
        <v>93425.819999999978</v>
      </c>
      <c r="R30" s="117">
        <f t="shared" si="3"/>
        <v>0.84365017157305389</v>
      </c>
      <c r="S30" s="134">
        <f t="shared" si="4"/>
        <v>0.84365017157305389</v>
      </c>
      <c r="T30" s="10">
        <f t="shared" si="5"/>
        <v>17034</v>
      </c>
      <c r="U30" s="183">
        <f t="shared" si="6"/>
        <v>226121.89600000251</v>
      </c>
      <c r="V30" s="48">
        <f t="shared" si="7"/>
        <v>336581.71600000246</v>
      </c>
      <c r="W30" s="117">
        <f>SUM(V30/E30)/T2</f>
        <v>3.0393869965685614</v>
      </c>
      <c r="X30" s="10">
        <f t="shared" si="10"/>
        <v>1582</v>
      </c>
      <c r="Y30" s="720">
        <v>106</v>
      </c>
      <c r="Z30" s="120">
        <f t="shared" si="9"/>
        <v>105.15634982842694</v>
      </c>
    </row>
    <row r="31" spans="1:26" x14ac:dyDescent="0.2">
      <c r="A31" s="93">
        <f>Gen!A37</f>
        <v>43461</v>
      </c>
      <c r="B31" s="588">
        <f>'Daily report Gen'!Z32</f>
        <v>56</v>
      </c>
      <c r="C31" s="129">
        <f>Gen!B37</f>
        <v>0.76619999999999999</v>
      </c>
      <c r="D31" s="125">
        <f t="shared" ref="D31:D36" si="12">E31</f>
        <v>60</v>
      </c>
      <c r="E31" s="115">
        <v>60</v>
      </c>
      <c r="F31" s="111">
        <f>Gen!T37</f>
        <v>6583</v>
      </c>
      <c r="G31" s="127">
        <f>Gen!S37</f>
        <v>2635.34</v>
      </c>
      <c r="H31" s="127">
        <f>Gen!AJ37</f>
        <v>203.69</v>
      </c>
      <c r="I31" s="127">
        <f t="shared" si="1"/>
        <v>2839.03</v>
      </c>
      <c r="J31" s="127" t="e">
        <f>Gen!AT37</f>
        <v>#REF!</v>
      </c>
      <c r="K31" s="533">
        <f>'Water-Meter'!E32</f>
        <v>159</v>
      </c>
      <c r="L31" s="108">
        <f>'Lpg (2)'!N36</f>
        <v>108.46000000000642</v>
      </c>
      <c r="M31" s="130" t="e">
        <f>#REF!</f>
        <v>#REF!</v>
      </c>
      <c r="N31" s="130" t="e">
        <f>#REF!</f>
        <v>#REF!</v>
      </c>
      <c r="O31" s="130" t="e">
        <f>#REF!</f>
        <v>#REF!</v>
      </c>
      <c r="P31" s="131" t="e">
        <f t="shared" si="2"/>
        <v>#REF!</v>
      </c>
      <c r="Q31" s="115">
        <f>I31*Q2</f>
        <v>82331.87000000001</v>
      </c>
      <c r="R31" s="117">
        <f t="shared" ref="R31" si="13">SUM(Q31/D31)/X31</f>
        <v>0.86738168984407926</v>
      </c>
      <c r="S31" s="134">
        <f t="shared" si="4"/>
        <v>0.86738168984407926</v>
      </c>
      <c r="T31" s="10">
        <f t="shared" si="5"/>
        <v>16218</v>
      </c>
      <c r="U31" s="183">
        <f t="shared" si="6"/>
        <v>212906.98000001258</v>
      </c>
      <c r="V31" s="48">
        <f t="shared" si="7"/>
        <v>311456.85000001261</v>
      </c>
      <c r="W31" s="117">
        <f>SUM(V31/E31)/T2</f>
        <v>3.2812563211126489</v>
      </c>
      <c r="X31" s="10">
        <f>SUM(X30)</f>
        <v>1582</v>
      </c>
      <c r="Y31" s="720">
        <v>106</v>
      </c>
      <c r="Z31" s="120">
        <f t="shared" si="9"/>
        <v>105.13261831015592</v>
      </c>
    </row>
    <row r="32" spans="1:26" x14ac:dyDescent="0.2">
      <c r="A32" s="93">
        <f>Gen!A38</f>
        <v>43462</v>
      </c>
      <c r="B32" s="588">
        <f>'Daily report Gen'!Z33</f>
        <v>63</v>
      </c>
      <c r="C32" s="129">
        <f>Gen!B38</f>
        <v>0.7792</v>
      </c>
      <c r="D32" s="125">
        <f t="shared" si="12"/>
        <v>62</v>
      </c>
      <c r="E32" s="115">
        <v>62</v>
      </c>
      <c r="F32" s="111">
        <f>Gen!T38</f>
        <v>7094</v>
      </c>
      <c r="G32" s="127">
        <f>Gen!S38</f>
        <v>3043.34</v>
      </c>
      <c r="H32" s="127">
        <f>Gen!AJ38</f>
        <v>321.45</v>
      </c>
      <c r="I32" s="127">
        <f t="shared" si="1"/>
        <v>3364.79</v>
      </c>
      <c r="J32" s="127" t="e">
        <f>Gen!AT38</f>
        <v>#REF!</v>
      </c>
      <c r="K32" s="533">
        <f>'Water-Meter'!E33</f>
        <v>164</v>
      </c>
      <c r="L32" s="108">
        <f>'Lpg (2)'!N37</f>
        <v>123.02399999999616</v>
      </c>
      <c r="M32" s="130" t="e">
        <f>#REF!</f>
        <v>#REF!</v>
      </c>
      <c r="N32" s="130" t="e">
        <f>#REF!</f>
        <v>#REF!</v>
      </c>
      <c r="O32" s="130" t="e">
        <f>#REF!</f>
        <v>#REF!</v>
      </c>
      <c r="P32" s="131" t="e">
        <f t="shared" si="2"/>
        <v>#REF!</v>
      </c>
      <c r="Q32" s="115">
        <f>I32*Q2</f>
        <v>97578.91</v>
      </c>
      <c r="R32" s="117">
        <f>SUM(Q32/D32)/X32</f>
        <v>0.99485043432160192</v>
      </c>
      <c r="S32" s="134">
        <f t="shared" si="4"/>
        <v>0.99485043432160192</v>
      </c>
      <c r="T32" s="10">
        <f t="shared" si="5"/>
        <v>16728</v>
      </c>
      <c r="U32" s="183">
        <f t="shared" si="6"/>
        <v>241496.11199999246</v>
      </c>
      <c r="V32" s="48">
        <f t="shared" si="7"/>
        <v>355803.02199999243</v>
      </c>
      <c r="W32" s="117">
        <f>SUM(V32/E32)/T2</f>
        <v>3.6275337669751684</v>
      </c>
      <c r="X32" s="10">
        <f>SUM(X31)</f>
        <v>1582</v>
      </c>
      <c r="Y32" s="720">
        <v>106</v>
      </c>
      <c r="Z32" s="120">
        <f t="shared" si="9"/>
        <v>105.00514956567839</v>
      </c>
    </row>
    <row r="33" spans="1:26" x14ac:dyDescent="0.2">
      <c r="A33" s="93">
        <f>Gen!A39</f>
        <v>43463</v>
      </c>
      <c r="B33" s="588">
        <f>'Daily report Gen'!Z34</f>
        <v>61</v>
      </c>
      <c r="C33" s="129">
        <f>Gen!B39</f>
        <v>0.92210000000000003</v>
      </c>
      <c r="D33" s="125">
        <f t="shared" si="12"/>
        <v>73</v>
      </c>
      <c r="E33" s="115">
        <v>73</v>
      </c>
      <c r="F33" s="111">
        <f>Gen!T39</f>
        <v>7628</v>
      </c>
      <c r="G33" s="127">
        <f>Gen!S39</f>
        <v>2871.9799999999996</v>
      </c>
      <c r="H33" s="127">
        <f>Gen!AJ39</f>
        <v>247.04</v>
      </c>
      <c r="I33" s="127">
        <f t="shared" si="1"/>
        <v>3119.0199999999995</v>
      </c>
      <c r="J33" s="127" t="e">
        <f>Gen!AT39</f>
        <v>#REF!</v>
      </c>
      <c r="K33" s="533">
        <f>'Water-Meter'!E34</f>
        <v>173</v>
      </c>
      <c r="L33" s="108">
        <f>'Lpg (2)'!N38</f>
        <v>111.05599999999104</v>
      </c>
      <c r="M33" s="130" t="e">
        <f>#REF!</f>
        <v>#REF!</v>
      </c>
      <c r="N33" s="130" t="e">
        <f>#REF!</f>
        <v>#REF!</v>
      </c>
      <c r="O33" s="130" t="e">
        <f>#REF!</f>
        <v>#REF!</v>
      </c>
      <c r="P33" s="131" t="e">
        <f t="shared" si="2"/>
        <v>#REF!</v>
      </c>
      <c r="Q33" s="115">
        <f>I33*Q2</f>
        <v>90451.579999999987</v>
      </c>
      <c r="R33" s="117">
        <f>SUM(Q33/D33)/X33</f>
        <v>0.78322549919470752</v>
      </c>
      <c r="S33" s="134">
        <f t="shared" si="4"/>
        <v>0.78322549919470752</v>
      </c>
      <c r="T33" s="10">
        <f t="shared" si="5"/>
        <v>17646</v>
      </c>
      <c r="U33" s="183">
        <f t="shared" si="6"/>
        <v>218002.92799998241</v>
      </c>
      <c r="V33" s="48">
        <f t="shared" si="7"/>
        <v>326100.50799998239</v>
      </c>
      <c r="W33" s="117">
        <f>SUM(V33/E33)/T2</f>
        <v>2.8237232911347037</v>
      </c>
      <c r="X33" s="10">
        <f t="shared" si="10"/>
        <v>1582</v>
      </c>
      <c r="Y33" s="720">
        <v>106</v>
      </c>
      <c r="Z33" s="120">
        <f t="shared" si="9"/>
        <v>105.21677450080529</v>
      </c>
    </row>
    <row r="34" spans="1:26" x14ac:dyDescent="0.2">
      <c r="A34" s="93">
        <f>Gen!A40</f>
        <v>43464</v>
      </c>
      <c r="B34" s="588">
        <f>'Daily report Gen'!Z35</f>
        <v>60</v>
      </c>
      <c r="C34" s="129">
        <f>Gen!B40</f>
        <v>0.7792</v>
      </c>
      <c r="D34" s="125">
        <f t="shared" si="12"/>
        <v>61</v>
      </c>
      <c r="E34" s="115">
        <v>61</v>
      </c>
      <c r="F34" s="111">
        <f>Gen!T40</f>
        <v>7378</v>
      </c>
      <c r="G34" s="127">
        <f>Gen!S40</f>
        <v>3172.51</v>
      </c>
      <c r="H34" s="127">
        <f>Gen!AJ40</f>
        <v>120.12</v>
      </c>
      <c r="I34" s="127">
        <f t="shared" si="1"/>
        <v>3292.63</v>
      </c>
      <c r="J34" s="127" t="e">
        <f>Gen!AT40</f>
        <v>#REF!</v>
      </c>
      <c r="K34" s="533">
        <f>'Water-Meter'!E35</f>
        <v>156</v>
      </c>
      <c r="L34" s="108">
        <f>'Lpg (2)'!N39</f>
        <v>106.56800000000513</v>
      </c>
      <c r="M34" s="130" t="e">
        <f>#REF!</f>
        <v>#REF!</v>
      </c>
      <c r="N34" s="130" t="e">
        <f>#REF!</f>
        <v>#REF!</v>
      </c>
      <c r="O34" s="130" t="e">
        <f>#REF!</f>
        <v>#REF!</v>
      </c>
      <c r="P34" s="131" t="e">
        <f t="shared" si="2"/>
        <v>#REF!</v>
      </c>
      <c r="Q34" s="115">
        <f>I34*Q2</f>
        <v>95486.27</v>
      </c>
      <c r="R34" s="117">
        <f>SUM(Q34/D34)/X34</f>
        <v>0.98947451866282565</v>
      </c>
      <c r="S34" s="134">
        <f t="shared" si="4"/>
        <v>0.98947451866282565</v>
      </c>
      <c r="T34" s="10">
        <f t="shared" si="5"/>
        <v>15912</v>
      </c>
      <c r="U34" s="183">
        <f t="shared" si="6"/>
        <v>209192.98400001007</v>
      </c>
      <c r="V34" s="48">
        <f t="shared" si="7"/>
        <v>320591.25400001009</v>
      </c>
      <c r="W34" s="117">
        <f>SUM(V34/E34)/T2</f>
        <v>3.3221203083874951</v>
      </c>
      <c r="X34" s="10">
        <f t="shared" si="10"/>
        <v>1582</v>
      </c>
      <c r="Y34" s="720">
        <v>106</v>
      </c>
      <c r="Z34" s="120">
        <f t="shared" si="9"/>
        <v>105.01052548133717</v>
      </c>
    </row>
    <row r="35" spans="1:26" x14ac:dyDescent="0.2">
      <c r="A35" s="93">
        <f>Gen!A41</f>
        <v>43465</v>
      </c>
      <c r="B35" s="588">
        <f>'Daily report Gen'!Z36</f>
        <v>65</v>
      </c>
      <c r="C35" s="129">
        <f>Gen!B41</f>
        <v>0.84419999999999995</v>
      </c>
      <c r="D35" s="125">
        <f t="shared" si="12"/>
        <v>66</v>
      </c>
      <c r="E35" s="115">
        <v>66</v>
      </c>
      <c r="F35" s="111">
        <f>Gen!T41</f>
        <v>7255</v>
      </c>
      <c r="G35" s="127">
        <f>Gen!S41</f>
        <v>3058.7599999999998</v>
      </c>
      <c r="H35" s="127">
        <f>Gen!AJ41</f>
        <v>1284.1399999999999</v>
      </c>
      <c r="I35" s="127">
        <f t="shared" si="1"/>
        <v>4342.8999999999996</v>
      </c>
      <c r="J35" s="127" t="e">
        <f>Gen!AT41</f>
        <v>#REF!</v>
      </c>
      <c r="K35" s="533">
        <f>'Water-Meter'!E36</f>
        <v>120</v>
      </c>
      <c r="L35" s="108">
        <f>'Lpg (2)'!N40</f>
        <v>122.53999999999361</v>
      </c>
      <c r="M35" s="130" t="e">
        <f>#REF!</f>
        <v>#REF!</v>
      </c>
      <c r="N35" s="130" t="e">
        <f>#REF!</f>
        <v>#REF!</v>
      </c>
      <c r="O35" s="130" t="e">
        <f>#REF!</f>
        <v>#REF!</v>
      </c>
      <c r="P35" s="131" t="e">
        <f t="shared" si="2"/>
        <v>#REF!</v>
      </c>
      <c r="Q35" s="115">
        <f>I35*Q2</f>
        <v>125944.09999999999</v>
      </c>
      <c r="R35" s="117">
        <f>SUM(Q35/D35)/X35</f>
        <v>1.2062224648507833</v>
      </c>
      <c r="S35" s="134">
        <f t="shared" si="4"/>
        <v>1.2062224648507833</v>
      </c>
      <c r="T35" s="10">
        <f t="shared" ref="T35" si="14">K35*102</f>
        <v>12240</v>
      </c>
      <c r="U35" s="183">
        <f t="shared" si="6"/>
        <v>240546.01999998745</v>
      </c>
      <c r="V35" s="48">
        <f t="shared" si="7"/>
        <v>378730.11999998742</v>
      </c>
      <c r="W35" s="117" t="e">
        <f>SUM(V35/E35)/T3</f>
        <v>#DIV/0!</v>
      </c>
      <c r="X35" s="10">
        <f t="shared" si="10"/>
        <v>1582</v>
      </c>
      <c r="Y35" s="720">
        <v>106</v>
      </c>
      <c r="Z35" s="120">
        <f t="shared" si="9"/>
        <v>104.79377753514922</v>
      </c>
    </row>
    <row r="36" spans="1:26" ht="13.5" thickBot="1" x14ac:dyDescent="0.25">
      <c r="A36" s="93"/>
      <c r="B36" s="122"/>
      <c r="C36" s="129">
        <f>Gen!B42</f>
        <v>0</v>
      </c>
      <c r="D36" s="125">
        <f t="shared" si="12"/>
        <v>55</v>
      </c>
      <c r="E36" s="115">
        <v>55</v>
      </c>
      <c r="F36" s="112"/>
      <c r="G36" s="128"/>
      <c r="H36" s="128"/>
      <c r="I36" s="128"/>
      <c r="J36" s="128"/>
      <c r="K36" s="16">
        <f>'Water-Meter'!E41</f>
        <v>0</v>
      </c>
      <c r="L36" s="109"/>
      <c r="M36" s="128"/>
      <c r="N36" s="128"/>
      <c r="O36" s="128"/>
      <c r="P36" s="128"/>
      <c r="Q36" s="115">
        <f>I36*2057.79</f>
        <v>0</v>
      </c>
      <c r="R36" s="10"/>
      <c r="S36" s="10"/>
      <c r="T36" s="16"/>
      <c r="U36" s="17"/>
      <c r="V36" s="48">
        <f t="shared" ref="V36" si="15">SUM(Q36+T36+U36)</f>
        <v>0</v>
      </c>
      <c r="W36" s="177"/>
      <c r="X36" s="10"/>
      <c r="Y36" s="10"/>
    </row>
    <row r="37" spans="1:26" x14ac:dyDescent="0.2">
      <c r="S37" s="120">
        <f>SUM(S5:S17)/Gen!A47</f>
        <v>0.87923912106217816</v>
      </c>
    </row>
    <row r="38" spans="1:26" x14ac:dyDescent="0.2">
      <c r="B38" s="124">
        <f>SUM(B5:B37)/Gen!A47</f>
        <v>45.70967741935484</v>
      </c>
      <c r="D38" s="129"/>
      <c r="M38" s="182">
        <f>0.5*2057.79</f>
        <v>1028.895</v>
      </c>
      <c r="N38" s="182"/>
      <c r="O38" s="182"/>
      <c r="P38" s="182"/>
    </row>
    <row r="39" spans="1:26" x14ac:dyDescent="0.2">
      <c r="B39" s="124">
        <f>SUM(B38*Gen!A47)</f>
        <v>1417</v>
      </c>
      <c r="C39" s="124">
        <f>SUM(B39/250)</f>
        <v>5.6680000000000001</v>
      </c>
      <c r="M39" s="182">
        <f>M38/1500</f>
        <v>0.68593000000000004</v>
      </c>
      <c r="N39" s="182"/>
      <c r="O39" s="182">
        <f>(24*2.2)*2</f>
        <v>105.60000000000001</v>
      </c>
      <c r="P39" s="182">
        <f>O39*1029</f>
        <v>108662.40000000001</v>
      </c>
      <c r="R39" t="s">
        <v>112</v>
      </c>
      <c r="S39" s="120">
        <f>SUM(S37-Y35)</f>
        <v>-105.12076087893782</v>
      </c>
    </row>
    <row r="40" spans="1:26" x14ac:dyDescent="0.2">
      <c r="M40" s="182"/>
      <c r="N40" s="182"/>
      <c r="O40" s="182"/>
      <c r="P40" s="182">
        <f>P39/K5</f>
        <v>1097.6000000000001</v>
      </c>
    </row>
  </sheetData>
  <mergeCells count="1">
    <mergeCell ref="A2:E2"/>
  </mergeCells>
  <pageMargins left="0.7" right="0.7" top="0.75" bottom="0.75" header="0.3" footer="0.3"/>
  <pageSetup paperSize="9" scale="50" fitToHeight="2" orientation="landscape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A16" workbookViewId="0">
      <selection activeCell="E39" sqref="E39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2.42578125" customWidth="1"/>
    <col min="12" max="12" width="12.5703125" customWidth="1"/>
    <col min="13" max="13" width="9" customWidth="1"/>
    <col min="14" max="14" width="13.42578125" customWidth="1"/>
    <col min="15" max="15" width="11.7109375" customWidth="1"/>
    <col min="16" max="16" width="8.28515625" customWidth="1"/>
    <col min="17" max="17" width="12.140625" customWidth="1"/>
    <col min="18" max="18" width="12.28515625" customWidth="1"/>
    <col min="19" max="19" width="9.140625" customWidth="1"/>
    <col min="20" max="20" width="12.28515625" customWidth="1"/>
    <col min="21" max="21" width="12.140625" customWidth="1"/>
    <col min="22" max="22" width="8.42578125" customWidth="1"/>
    <col min="23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64">
        <v>43374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50"/>
    </row>
    <row r="2" spans="1:29" ht="12" customHeight="1" thickBot="1" x14ac:dyDescent="0.25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50"/>
    </row>
    <row r="3" spans="1:29" ht="27.75" customHeight="1" thickBot="1" x14ac:dyDescent="0.25">
      <c r="A3" s="50"/>
      <c r="B3" s="50"/>
      <c r="C3" s="50"/>
      <c r="D3" s="50"/>
      <c r="E3" s="50"/>
      <c r="F3" s="50"/>
      <c r="G3" s="50"/>
      <c r="H3" s="50"/>
      <c r="I3" s="77"/>
      <c r="J3" s="50"/>
      <c r="K3" s="866" t="s">
        <v>249</v>
      </c>
      <c r="L3" s="867"/>
      <c r="M3" s="868"/>
      <c r="N3" s="866" t="s">
        <v>250</v>
      </c>
      <c r="O3" s="867"/>
      <c r="P3" s="868"/>
      <c r="Q3" s="866" t="s">
        <v>251</v>
      </c>
      <c r="R3" s="867"/>
      <c r="S3" s="868"/>
      <c r="T3" s="866" t="s">
        <v>252</v>
      </c>
      <c r="U3" s="867"/>
      <c r="V3" s="868"/>
      <c r="W3" s="866" t="s">
        <v>253</v>
      </c>
      <c r="X3" s="867"/>
      <c r="Y3" s="868"/>
      <c r="Z3" s="553"/>
      <c r="AA3" s="50"/>
      <c r="AB3" s="50"/>
      <c r="AC3" s="50"/>
    </row>
    <row r="4" spans="1:29" ht="35.25" customHeight="1" thickBot="1" x14ac:dyDescent="0.25">
      <c r="A4" s="467" t="s">
        <v>124</v>
      </c>
      <c r="B4" s="615" t="s">
        <v>125</v>
      </c>
      <c r="C4" s="615" t="s">
        <v>126</v>
      </c>
      <c r="D4" s="615" t="s">
        <v>127</v>
      </c>
      <c r="E4" s="615" t="s">
        <v>128</v>
      </c>
      <c r="F4" s="615" t="s">
        <v>315</v>
      </c>
      <c r="G4" s="616" t="s">
        <v>129</v>
      </c>
      <c r="H4" s="615" t="s">
        <v>130</v>
      </c>
      <c r="I4" s="616" t="s">
        <v>131</v>
      </c>
      <c r="J4" s="617" t="s">
        <v>132</v>
      </c>
      <c r="K4" s="618" t="s">
        <v>254</v>
      </c>
      <c r="L4" s="616" t="s">
        <v>255</v>
      </c>
      <c r="M4" s="616" t="s">
        <v>268</v>
      </c>
      <c r="N4" s="618" t="s">
        <v>254</v>
      </c>
      <c r="O4" s="616" t="s">
        <v>255</v>
      </c>
      <c r="P4" s="616" t="s">
        <v>268</v>
      </c>
      <c r="Q4" s="618" t="s">
        <v>254</v>
      </c>
      <c r="R4" s="616" t="s">
        <v>255</v>
      </c>
      <c r="S4" s="616" t="s">
        <v>268</v>
      </c>
      <c r="T4" s="618" t="s">
        <v>254</v>
      </c>
      <c r="U4" s="616" t="s">
        <v>255</v>
      </c>
      <c r="V4" s="616" t="s">
        <v>268</v>
      </c>
      <c r="W4" s="618" t="s">
        <v>254</v>
      </c>
      <c r="X4" s="616" t="s">
        <v>255</v>
      </c>
      <c r="Y4" s="617" t="s">
        <v>268</v>
      </c>
      <c r="Z4" s="619" t="s">
        <v>256</v>
      </c>
      <c r="AA4" s="615" t="s">
        <v>220</v>
      </c>
      <c r="AB4" s="620" t="s">
        <v>133</v>
      </c>
      <c r="AC4" s="621" t="s">
        <v>258</v>
      </c>
    </row>
    <row r="5" spans="1:29" ht="18.75" customHeight="1" x14ac:dyDescent="0.2">
      <c r="A5" s="611"/>
      <c r="B5" s="613"/>
      <c r="C5" s="539"/>
      <c r="D5" s="185"/>
      <c r="E5" s="611"/>
      <c r="F5" s="611"/>
      <c r="G5" s="614"/>
      <c r="H5" s="611"/>
      <c r="I5" s="185">
        <v>26209.1</v>
      </c>
      <c r="J5" s="185">
        <v>16947.2</v>
      </c>
      <c r="K5" s="612"/>
      <c r="L5" s="555">
        <v>31410</v>
      </c>
      <c r="M5" s="612"/>
      <c r="N5" s="612"/>
      <c r="O5" s="555">
        <v>24307</v>
      </c>
      <c r="P5" s="612"/>
      <c r="Q5" s="612"/>
      <c r="R5" s="555">
        <v>30484</v>
      </c>
      <c r="S5" s="612"/>
      <c r="T5" s="612"/>
      <c r="U5" s="555">
        <v>27791</v>
      </c>
      <c r="V5" s="612"/>
      <c r="W5" s="612"/>
      <c r="X5" s="555">
        <v>15205</v>
      </c>
      <c r="Y5" s="612"/>
      <c r="Z5" s="612"/>
      <c r="AA5" s="185">
        <v>413</v>
      </c>
      <c r="AB5" s="753">
        <v>219</v>
      </c>
      <c r="AC5" s="612"/>
    </row>
    <row r="6" spans="1:29" ht="20.100000000000001" customHeight="1" x14ac:dyDescent="0.2">
      <c r="A6" s="466">
        <f>Gen!A11</f>
        <v>43435</v>
      </c>
      <c r="B6" s="610">
        <f>Gen!B11</f>
        <v>0.16800000000000001</v>
      </c>
      <c r="C6" s="539">
        <v>25400.01</v>
      </c>
      <c r="D6" s="539">
        <v>14205.48</v>
      </c>
      <c r="E6" s="539"/>
      <c r="F6" s="539"/>
      <c r="G6" s="539">
        <v>42.79</v>
      </c>
      <c r="H6" s="539"/>
      <c r="I6" s="185">
        <v>26215.1</v>
      </c>
      <c r="J6" s="185">
        <v>16947.2</v>
      </c>
      <c r="K6" s="554">
        <f>L5</f>
        <v>31410</v>
      </c>
      <c r="L6" s="555">
        <v>31418</v>
      </c>
      <c r="M6" s="554">
        <f>L6-K6</f>
        <v>8</v>
      </c>
      <c r="N6" s="556">
        <f t="shared" ref="N6:N37" si="0">O5</f>
        <v>24307</v>
      </c>
      <c r="O6" s="555">
        <v>24314</v>
      </c>
      <c r="P6" s="554">
        <f>O6-O5</f>
        <v>7</v>
      </c>
      <c r="Q6" s="554">
        <f t="shared" ref="Q6:Q37" si="1">R5</f>
        <v>30484</v>
      </c>
      <c r="R6" s="555">
        <v>30495</v>
      </c>
      <c r="S6" s="554">
        <f>R6-R5</f>
        <v>11</v>
      </c>
      <c r="T6" s="554">
        <f>U5</f>
        <v>27791</v>
      </c>
      <c r="U6" s="555">
        <v>27800</v>
      </c>
      <c r="V6" s="554">
        <f t="shared" ref="V6:V37" si="2">U6-T6</f>
        <v>9</v>
      </c>
      <c r="W6" s="556">
        <f t="shared" ref="W6:W37" si="3">X5</f>
        <v>15205</v>
      </c>
      <c r="X6" s="555">
        <v>18205</v>
      </c>
      <c r="Y6" s="554">
        <f>X6-X5</f>
        <v>3000</v>
      </c>
      <c r="Z6" s="557">
        <f t="shared" ref="Z6:Z37" si="4">Y6+V6+S6+P6+M6</f>
        <v>3035</v>
      </c>
      <c r="AA6" s="185">
        <v>430</v>
      </c>
      <c r="AB6" s="185">
        <v>209</v>
      </c>
      <c r="AC6" s="475">
        <f>PRINT!F5</f>
        <v>1867.92</v>
      </c>
    </row>
    <row r="7" spans="1:29" ht="20.100000000000001" customHeight="1" x14ac:dyDescent="0.2">
      <c r="A7" s="466">
        <f>Gen!A12</f>
        <v>43436</v>
      </c>
      <c r="B7" s="488">
        <f>Gen!B12</f>
        <v>0.1429</v>
      </c>
      <c r="C7" s="539">
        <v>25400.01</v>
      </c>
      <c r="D7" s="539">
        <v>12351.86</v>
      </c>
      <c r="E7" s="539"/>
      <c r="F7" s="539"/>
      <c r="G7" s="539">
        <v>90.6</v>
      </c>
      <c r="H7" s="539"/>
      <c r="I7" s="185">
        <v>26221.200000000001</v>
      </c>
      <c r="J7" s="185">
        <v>16960.099999999999</v>
      </c>
      <c r="K7" s="554">
        <f t="shared" ref="K7:K37" si="5">L6</f>
        <v>31418</v>
      </c>
      <c r="L7" s="555">
        <v>31424</v>
      </c>
      <c r="M7" s="554">
        <f t="shared" ref="M7:M37" si="6">L7-K7</f>
        <v>6</v>
      </c>
      <c r="N7" s="556">
        <f t="shared" si="0"/>
        <v>24314</v>
      </c>
      <c r="O7" s="555">
        <v>24328</v>
      </c>
      <c r="P7" s="554">
        <f t="shared" ref="P7:P9" si="7">O7-O6</f>
        <v>14</v>
      </c>
      <c r="Q7" s="554">
        <f t="shared" si="1"/>
        <v>30495</v>
      </c>
      <c r="R7" s="555">
        <v>30502</v>
      </c>
      <c r="S7" s="554">
        <f t="shared" ref="S7:S37" si="8">R7-R6</f>
        <v>7</v>
      </c>
      <c r="T7" s="554">
        <f>U6</f>
        <v>27800</v>
      </c>
      <c r="U7" s="555">
        <v>27806</v>
      </c>
      <c r="V7" s="554">
        <f t="shared" si="2"/>
        <v>6</v>
      </c>
      <c r="W7" s="556">
        <f t="shared" si="3"/>
        <v>18205</v>
      </c>
      <c r="X7" s="555">
        <v>18205</v>
      </c>
      <c r="Y7" s="554">
        <f t="shared" ref="Y7:Y37" si="9">X7-X6</f>
        <v>0</v>
      </c>
      <c r="Z7" s="557">
        <f t="shared" si="4"/>
        <v>33</v>
      </c>
      <c r="AA7" s="185">
        <v>410</v>
      </c>
      <c r="AB7" s="185">
        <v>204</v>
      </c>
      <c r="AC7" s="475">
        <f>PRINT!F6</f>
        <v>1925.79</v>
      </c>
    </row>
    <row r="8" spans="1:29" ht="20.100000000000001" customHeight="1" x14ac:dyDescent="0.2">
      <c r="A8" s="466">
        <f>Gen!A13</f>
        <v>43437</v>
      </c>
      <c r="B8" s="488">
        <f>Gen!B13</f>
        <v>0.1429</v>
      </c>
      <c r="C8" s="539">
        <v>25400.01</v>
      </c>
      <c r="D8" s="539">
        <v>10426.07</v>
      </c>
      <c r="E8" s="539"/>
      <c r="F8" s="539"/>
      <c r="G8" s="539">
        <v>108.37</v>
      </c>
      <c r="H8" s="539"/>
      <c r="I8" s="185">
        <v>26227.5</v>
      </c>
      <c r="J8" s="185">
        <v>16967.099999999999</v>
      </c>
      <c r="K8" s="554">
        <f t="shared" si="5"/>
        <v>31424</v>
      </c>
      <c r="L8" s="555">
        <v>31431</v>
      </c>
      <c r="M8" s="554">
        <f t="shared" si="6"/>
        <v>7</v>
      </c>
      <c r="N8" s="556">
        <f t="shared" si="0"/>
        <v>24328</v>
      </c>
      <c r="O8" s="555">
        <v>24335</v>
      </c>
      <c r="P8" s="554">
        <f t="shared" si="7"/>
        <v>7</v>
      </c>
      <c r="Q8" s="554">
        <f t="shared" si="1"/>
        <v>30502</v>
      </c>
      <c r="R8" s="555">
        <v>30511</v>
      </c>
      <c r="S8" s="554">
        <f t="shared" si="8"/>
        <v>9</v>
      </c>
      <c r="T8" s="554">
        <f t="shared" ref="T8:T37" si="10">U7</f>
        <v>27806</v>
      </c>
      <c r="U8" s="555">
        <v>27818</v>
      </c>
      <c r="V8" s="554">
        <f t="shared" si="2"/>
        <v>12</v>
      </c>
      <c r="W8" s="556">
        <f t="shared" si="3"/>
        <v>18205</v>
      </c>
      <c r="X8" s="555">
        <v>18205</v>
      </c>
      <c r="Y8" s="554">
        <f t="shared" si="9"/>
        <v>0</v>
      </c>
      <c r="Z8" s="557">
        <f t="shared" si="4"/>
        <v>35</v>
      </c>
      <c r="AA8" s="185">
        <v>421</v>
      </c>
      <c r="AB8" s="185">
        <v>213</v>
      </c>
      <c r="AC8" s="475">
        <f>PRINT!F7</f>
        <v>2876.42</v>
      </c>
    </row>
    <row r="9" spans="1:29" ht="20.100000000000001" customHeight="1" x14ac:dyDescent="0.2">
      <c r="A9" s="466">
        <f>Gen!A14</f>
        <v>43438</v>
      </c>
      <c r="B9" s="488">
        <f>Gen!B14</f>
        <v>0.16880000000000001</v>
      </c>
      <c r="C9" s="539">
        <v>27000</v>
      </c>
      <c r="D9" s="539">
        <v>22962.66</v>
      </c>
      <c r="E9" s="539"/>
      <c r="F9" s="539"/>
      <c r="G9" s="539">
        <v>109.74</v>
      </c>
      <c r="H9" s="539"/>
      <c r="I9" s="185">
        <v>26234.3</v>
      </c>
      <c r="J9" s="185">
        <v>16973.5</v>
      </c>
      <c r="K9" s="554">
        <f t="shared" si="5"/>
        <v>31431</v>
      </c>
      <c r="L9" s="555">
        <v>31442</v>
      </c>
      <c r="M9" s="554">
        <f t="shared" si="6"/>
        <v>11</v>
      </c>
      <c r="N9" s="556">
        <f t="shared" si="0"/>
        <v>24335</v>
      </c>
      <c r="O9" s="555">
        <v>24348</v>
      </c>
      <c r="P9" s="554">
        <f t="shared" si="7"/>
        <v>13</v>
      </c>
      <c r="Q9" s="554">
        <f t="shared" si="1"/>
        <v>30511</v>
      </c>
      <c r="R9" s="555">
        <v>30520</v>
      </c>
      <c r="S9" s="554">
        <f t="shared" si="8"/>
        <v>9</v>
      </c>
      <c r="T9" s="554">
        <f t="shared" si="10"/>
        <v>27818</v>
      </c>
      <c r="U9" s="555">
        <v>27823</v>
      </c>
      <c r="V9" s="554">
        <f t="shared" si="2"/>
        <v>5</v>
      </c>
      <c r="W9" s="556">
        <f t="shared" si="3"/>
        <v>18205</v>
      </c>
      <c r="X9" s="555">
        <v>18205</v>
      </c>
      <c r="Y9" s="554">
        <f t="shared" si="9"/>
        <v>0</v>
      </c>
      <c r="Z9" s="557">
        <f t="shared" si="4"/>
        <v>38</v>
      </c>
      <c r="AA9" s="185">
        <v>417</v>
      </c>
      <c r="AB9" s="185">
        <v>216</v>
      </c>
      <c r="AC9" s="475">
        <f>PRINT!F8</f>
        <v>2020.5</v>
      </c>
    </row>
    <row r="10" spans="1:29" ht="20.100000000000001" customHeight="1" x14ac:dyDescent="0.2">
      <c r="A10" s="466">
        <f>Gen!A15</f>
        <v>43439</v>
      </c>
      <c r="B10" s="488">
        <f>Gen!B15</f>
        <v>0.20780000000000001</v>
      </c>
      <c r="C10" s="539">
        <v>27000</v>
      </c>
      <c r="D10" s="539">
        <v>20942.16</v>
      </c>
      <c r="E10" s="539"/>
      <c r="F10" s="539"/>
      <c r="G10" s="539"/>
      <c r="H10" s="539"/>
      <c r="I10" s="185">
        <v>26240.7</v>
      </c>
      <c r="J10" s="185">
        <v>16979.599999999999</v>
      </c>
      <c r="K10" s="554">
        <f t="shared" si="5"/>
        <v>31442</v>
      </c>
      <c r="L10" s="555">
        <v>31453</v>
      </c>
      <c r="M10" s="554">
        <f t="shared" si="6"/>
        <v>11</v>
      </c>
      <c r="N10" s="556">
        <f t="shared" si="0"/>
        <v>24348</v>
      </c>
      <c r="O10" s="555">
        <v>24355</v>
      </c>
      <c r="P10" s="554">
        <f t="shared" ref="P10:P37" si="11">O10-O9</f>
        <v>7</v>
      </c>
      <c r="Q10" s="554">
        <f t="shared" si="1"/>
        <v>30520</v>
      </c>
      <c r="R10" s="555">
        <v>30534</v>
      </c>
      <c r="S10" s="554">
        <f t="shared" si="8"/>
        <v>14</v>
      </c>
      <c r="T10" s="554">
        <f t="shared" si="10"/>
        <v>27823</v>
      </c>
      <c r="U10" s="555">
        <v>27830</v>
      </c>
      <c r="V10" s="554">
        <f t="shared" si="2"/>
        <v>7</v>
      </c>
      <c r="W10" s="556">
        <f t="shared" si="3"/>
        <v>18205</v>
      </c>
      <c r="X10" s="555">
        <v>18205</v>
      </c>
      <c r="Y10" s="554">
        <f t="shared" si="9"/>
        <v>0</v>
      </c>
      <c r="Z10" s="557">
        <f t="shared" si="4"/>
        <v>39</v>
      </c>
      <c r="AA10" s="185">
        <v>369</v>
      </c>
      <c r="AB10" s="185">
        <v>154</v>
      </c>
      <c r="AC10" s="475">
        <f>PRINT!F9</f>
        <v>1785.28</v>
      </c>
    </row>
    <row r="11" spans="1:29" ht="20.100000000000001" customHeight="1" x14ac:dyDescent="0.2">
      <c r="A11" s="466">
        <f>Gen!A16</f>
        <v>43440</v>
      </c>
      <c r="B11" s="488">
        <f>Gen!B16</f>
        <v>0.29870000000000002</v>
      </c>
      <c r="C11" s="539">
        <v>27000.01</v>
      </c>
      <c r="D11" s="539">
        <v>18791.650000000001</v>
      </c>
      <c r="E11" s="539"/>
      <c r="F11" s="539"/>
      <c r="G11" s="539">
        <v>246.65</v>
      </c>
      <c r="H11" s="539"/>
      <c r="I11" s="185">
        <v>26247.7</v>
      </c>
      <c r="J11" s="185">
        <v>16986.099999999999</v>
      </c>
      <c r="K11" s="554">
        <f t="shared" si="5"/>
        <v>31453</v>
      </c>
      <c r="L11" s="555">
        <v>31460</v>
      </c>
      <c r="M11" s="554">
        <f t="shared" si="6"/>
        <v>7</v>
      </c>
      <c r="N11" s="556">
        <f t="shared" si="0"/>
        <v>24355</v>
      </c>
      <c r="O11" s="555">
        <v>24362</v>
      </c>
      <c r="P11" s="554">
        <f t="shared" si="11"/>
        <v>7</v>
      </c>
      <c r="Q11" s="554">
        <f t="shared" si="1"/>
        <v>30534</v>
      </c>
      <c r="R11" s="555">
        <v>30542</v>
      </c>
      <c r="S11" s="554">
        <f t="shared" si="8"/>
        <v>8</v>
      </c>
      <c r="T11" s="554">
        <f t="shared" si="10"/>
        <v>27830</v>
      </c>
      <c r="U11" s="555">
        <v>27843</v>
      </c>
      <c r="V11" s="554">
        <f t="shared" si="2"/>
        <v>13</v>
      </c>
      <c r="W11" s="556">
        <f t="shared" si="3"/>
        <v>18205</v>
      </c>
      <c r="X11" s="555">
        <v>18205</v>
      </c>
      <c r="Y11" s="554">
        <f t="shared" si="9"/>
        <v>0</v>
      </c>
      <c r="Z11" s="557">
        <f t="shared" si="4"/>
        <v>35</v>
      </c>
      <c r="AA11" s="185">
        <v>416</v>
      </c>
      <c r="AB11" s="185">
        <v>184</v>
      </c>
      <c r="AC11" s="475">
        <f>PRINT!F10</f>
        <v>2151.5100000000002</v>
      </c>
    </row>
    <row r="12" spans="1:29" ht="20.100000000000001" customHeight="1" x14ac:dyDescent="0.2">
      <c r="A12" s="466">
        <f>Gen!A17</f>
        <v>43441</v>
      </c>
      <c r="B12" s="488">
        <f>Gen!B17</f>
        <v>0.24679999999999999</v>
      </c>
      <c r="C12" s="539">
        <v>27000.01</v>
      </c>
      <c r="D12" s="539">
        <v>16558.29</v>
      </c>
      <c r="E12" s="539"/>
      <c r="F12" s="539"/>
      <c r="G12" s="539">
        <v>223.17</v>
      </c>
      <c r="H12" s="539"/>
      <c r="I12" s="185">
        <v>26254.6</v>
      </c>
      <c r="J12" s="185">
        <v>16993.099999999999</v>
      </c>
      <c r="K12" s="554">
        <f t="shared" si="5"/>
        <v>31460</v>
      </c>
      <c r="L12" s="555">
        <v>31469</v>
      </c>
      <c r="M12" s="554">
        <f t="shared" si="6"/>
        <v>9</v>
      </c>
      <c r="N12" s="556">
        <f t="shared" si="0"/>
        <v>24362</v>
      </c>
      <c r="O12" s="555">
        <v>24370</v>
      </c>
      <c r="P12" s="554">
        <f t="shared" si="11"/>
        <v>8</v>
      </c>
      <c r="Q12" s="554">
        <f t="shared" si="1"/>
        <v>30542</v>
      </c>
      <c r="R12" s="555">
        <v>30556</v>
      </c>
      <c r="S12" s="554">
        <f t="shared" si="8"/>
        <v>14</v>
      </c>
      <c r="T12" s="554">
        <f t="shared" si="10"/>
        <v>27843</v>
      </c>
      <c r="U12" s="555">
        <v>27853</v>
      </c>
      <c r="V12" s="554">
        <f t="shared" si="2"/>
        <v>10</v>
      </c>
      <c r="W12" s="556">
        <f t="shared" si="3"/>
        <v>18205</v>
      </c>
      <c r="X12" s="555">
        <v>18205</v>
      </c>
      <c r="Y12" s="554">
        <f t="shared" si="9"/>
        <v>0</v>
      </c>
      <c r="Z12" s="557">
        <f t="shared" si="4"/>
        <v>41</v>
      </c>
      <c r="AA12" s="185">
        <v>389</v>
      </c>
      <c r="AB12" s="185">
        <v>169</v>
      </c>
      <c r="AC12" s="475"/>
    </row>
    <row r="13" spans="1:29" ht="20.100000000000001" customHeight="1" x14ac:dyDescent="0.2">
      <c r="A13" s="466">
        <f>Gen!A18</f>
        <v>43442</v>
      </c>
      <c r="B13" s="488">
        <f>Gen!B18</f>
        <v>0.28570000000000001</v>
      </c>
      <c r="C13" s="539">
        <v>27000.01</v>
      </c>
      <c r="D13" s="539">
        <v>14634.83</v>
      </c>
      <c r="E13" s="539"/>
      <c r="F13" s="539"/>
      <c r="G13" s="539">
        <v>114</v>
      </c>
      <c r="H13" s="539"/>
      <c r="I13" s="185">
        <v>26261.599999999999</v>
      </c>
      <c r="J13" s="185">
        <v>16999.7</v>
      </c>
      <c r="K13" s="554">
        <f t="shared" si="5"/>
        <v>31469</v>
      </c>
      <c r="L13" s="555">
        <v>31479</v>
      </c>
      <c r="M13" s="554">
        <f t="shared" si="6"/>
        <v>10</v>
      </c>
      <c r="N13" s="556">
        <f t="shared" si="0"/>
        <v>24370</v>
      </c>
      <c r="O13" s="555">
        <v>24377</v>
      </c>
      <c r="P13" s="554">
        <f t="shared" si="11"/>
        <v>7</v>
      </c>
      <c r="Q13" s="554">
        <f t="shared" si="1"/>
        <v>30556</v>
      </c>
      <c r="R13" s="555">
        <v>30570</v>
      </c>
      <c r="S13" s="554">
        <f t="shared" si="8"/>
        <v>14</v>
      </c>
      <c r="T13" s="554">
        <f t="shared" si="10"/>
        <v>27853</v>
      </c>
      <c r="U13" s="555">
        <v>27863</v>
      </c>
      <c r="V13" s="554">
        <f t="shared" si="2"/>
        <v>10</v>
      </c>
      <c r="W13" s="556">
        <f t="shared" si="3"/>
        <v>18205</v>
      </c>
      <c r="X13" s="555">
        <v>18205</v>
      </c>
      <c r="Y13" s="554">
        <f t="shared" si="9"/>
        <v>0</v>
      </c>
      <c r="Z13" s="557">
        <f t="shared" si="4"/>
        <v>41</v>
      </c>
      <c r="AA13" s="185">
        <v>410</v>
      </c>
      <c r="AB13" s="185">
        <v>187</v>
      </c>
      <c r="AC13" s="475">
        <f>PRINT!F12</f>
        <v>2037.46</v>
      </c>
    </row>
    <row r="14" spans="1:29" ht="20.100000000000001" customHeight="1" x14ac:dyDescent="0.2">
      <c r="A14" s="466">
        <f>Gen!A19</f>
        <v>43443</v>
      </c>
      <c r="B14" s="488">
        <f>Gen!B19</f>
        <v>0.46750000000000003</v>
      </c>
      <c r="C14" s="539">
        <v>27000.01</v>
      </c>
      <c r="D14" s="539">
        <v>12056.73</v>
      </c>
      <c r="E14" s="539"/>
      <c r="F14" s="539"/>
      <c r="G14" s="539">
        <v>534.55999999999995</v>
      </c>
      <c r="H14" s="539"/>
      <c r="I14" s="185">
        <v>26269.200000000001</v>
      </c>
      <c r="J14" s="185">
        <v>17006.2</v>
      </c>
      <c r="K14" s="554">
        <f t="shared" si="5"/>
        <v>31479</v>
      </c>
      <c r="L14" s="555">
        <v>31488</v>
      </c>
      <c r="M14" s="554">
        <f t="shared" si="6"/>
        <v>9</v>
      </c>
      <c r="N14" s="556">
        <f t="shared" si="0"/>
        <v>24377</v>
      </c>
      <c r="O14" s="555">
        <v>24383</v>
      </c>
      <c r="P14" s="554">
        <f t="shared" si="11"/>
        <v>6</v>
      </c>
      <c r="Q14" s="554">
        <f t="shared" si="1"/>
        <v>30570</v>
      </c>
      <c r="R14" s="555">
        <v>30580</v>
      </c>
      <c r="S14" s="554">
        <f t="shared" si="8"/>
        <v>10</v>
      </c>
      <c r="T14" s="554">
        <f t="shared" si="10"/>
        <v>27863</v>
      </c>
      <c r="U14" s="555">
        <v>27877</v>
      </c>
      <c r="V14" s="554">
        <f t="shared" si="2"/>
        <v>14</v>
      </c>
      <c r="W14" s="556">
        <f t="shared" si="3"/>
        <v>18205</v>
      </c>
      <c r="X14" s="555">
        <v>18205</v>
      </c>
      <c r="Y14" s="554">
        <f t="shared" si="9"/>
        <v>0</v>
      </c>
      <c r="Z14" s="557">
        <f t="shared" si="4"/>
        <v>39</v>
      </c>
      <c r="AA14" s="185">
        <v>426</v>
      </c>
      <c r="AB14" s="185">
        <v>194</v>
      </c>
      <c r="AC14" s="475">
        <f>PRINT!F13</f>
        <v>2578.12</v>
      </c>
    </row>
    <row r="15" spans="1:29" ht="20.100000000000001" customHeight="1" x14ac:dyDescent="0.2">
      <c r="A15" s="466">
        <f>Gen!A20</f>
        <v>43444</v>
      </c>
      <c r="B15" s="488">
        <f>Gen!B20</f>
        <v>0.55840000000000001</v>
      </c>
      <c r="C15" s="539">
        <v>27000.01</v>
      </c>
      <c r="D15" s="539">
        <v>21058.77</v>
      </c>
      <c r="E15" s="763">
        <v>43385</v>
      </c>
      <c r="F15" s="539">
        <v>12000</v>
      </c>
      <c r="G15" s="539">
        <v>438</v>
      </c>
      <c r="H15" s="539"/>
      <c r="I15" s="185">
        <v>26277.8</v>
      </c>
      <c r="J15" s="185">
        <v>17012.8</v>
      </c>
      <c r="K15" s="554">
        <f t="shared" si="5"/>
        <v>31488</v>
      </c>
      <c r="L15" s="555">
        <v>31499</v>
      </c>
      <c r="M15" s="554">
        <f t="shared" si="6"/>
        <v>11</v>
      </c>
      <c r="N15" s="556">
        <f t="shared" si="0"/>
        <v>24383</v>
      </c>
      <c r="O15" s="555">
        <v>24396</v>
      </c>
      <c r="P15" s="554">
        <f t="shared" si="11"/>
        <v>13</v>
      </c>
      <c r="Q15" s="554">
        <f t="shared" si="1"/>
        <v>30580</v>
      </c>
      <c r="R15" s="555">
        <v>30590</v>
      </c>
      <c r="S15" s="554">
        <f t="shared" si="8"/>
        <v>10</v>
      </c>
      <c r="T15" s="554">
        <f t="shared" si="10"/>
        <v>27877</v>
      </c>
      <c r="U15" s="555">
        <v>27887</v>
      </c>
      <c r="V15" s="554">
        <f t="shared" si="2"/>
        <v>10</v>
      </c>
      <c r="W15" s="556">
        <f t="shared" si="3"/>
        <v>18205</v>
      </c>
      <c r="X15" s="555">
        <v>18205</v>
      </c>
      <c r="Y15" s="554">
        <f t="shared" si="9"/>
        <v>0</v>
      </c>
      <c r="Z15" s="557">
        <f t="shared" si="4"/>
        <v>44</v>
      </c>
      <c r="AA15" s="185">
        <v>420</v>
      </c>
      <c r="AB15" s="185">
        <v>200</v>
      </c>
      <c r="AC15" s="475">
        <f>PRINT!F14</f>
        <v>2541.23</v>
      </c>
    </row>
    <row r="16" spans="1:29" ht="20.100000000000001" customHeight="1" x14ac:dyDescent="0.2">
      <c r="A16" s="466">
        <f>Gen!A21</f>
        <v>43445</v>
      </c>
      <c r="B16" s="488">
        <f>Gen!B21</f>
        <v>0.57140000000000002</v>
      </c>
      <c r="C16" s="539">
        <v>27000.01</v>
      </c>
      <c r="D16" s="539">
        <v>19616.189999999999</v>
      </c>
      <c r="E16" s="539"/>
      <c r="F16" s="539"/>
      <c r="G16" s="539">
        <v>222.33</v>
      </c>
      <c r="H16" s="539"/>
      <c r="I16" s="185">
        <v>26286.1</v>
      </c>
      <c r="J16" s="185">
        <v>17018.599999999999</v>
      </c>
      <c r="K16" s="554">
        <f t="shared" si="5"/>
        <v>31499</v>
      </c>
      <c r="L16" s="555">
        <v>31510</v>
      </c>
      <c r="M16" s="554">
        <f t="shared" si="6"/>
        <v>11</v>
      </c>
      <c r="N16" s="556">
        <f t="shared" si="0"/>
        <v>24396</v>
      </c>
      <c r="O16" s="555">
        <v>24407</v>
      </c>
      <c r="P16" s="554">
        <f t="shared" si="11"/>
        <v>11</v>
      </c>
      <c r="Q16" s="554">
        <f t="shared" si="1"/>
        <v>30590</v>
      </c>
      <c r="R16" s="555">
        <v>30604</v>
      </c>
      <c r="S16" s="554">
        <f t="shared" si="8"/>
        <v>14</v>
      </c>
      <c r="T16" s="554">
        <f t="shared" si="10"/>
        <v>27887</v>
      </c>
      <c r="U16" s="555">
        <v>27895</v>
      </c>
      <c r="V16" s="554">
        <f t="shared" si="2"/>
        <v>8</v>
      </c>
      <c r="W16" s="556">
        <f t="shared" si="3"/>
        <v>18205</v>
      </c>
      <c r="X16" s="555">
        <v>18205</v>
      </c>
      <c r="Y16" s="554">
        <f t="shared" si="9"/>
        <v>0</v>
      </c>
      <c r="Z16" s="557">
        <f t="shared" si="4"/>
        <v>44</v>
      </c>
      <c r="AA16" s="185">
        <v>425</v>
      </c>
      <c r="AB16" s="185">
        <v>196</v>
      </c>
      <c r="AC16" s="475">
        <f>PRINT!F15</f>
        <v>2266.66</v>
      </c>
    </row>
    <row r="17" spans="1:29" ht="20.100000000000001" customHeight="1" x14ac:dyDescent="0.2">
      <c r="A17" s="466">
        <f>Gen!A22</f>
        <v>43446</v>
      </c>
      <c r="B17" s="488">
        <f>Gen!B22</f>
        <v>0.23380000000000001</v>
      </c>
      <c r="C17" s="539">
        <v>27000.01</v>
      </c>
      <c r="D17" s="539">
        <v>17349.53</v>
      </c>
      <c r="E17" s="539"/>
      <c r="F17" s="539"/>
      <c r="G17" s="539">
        <v>198.24</v>
      </c>
      <c r="H17" s="539"/>
      <c r="I17" s="185">
        <v>26293.7</v>
      </c>
      <c r="J17" s="185">
        <v>17024.900000000001</v>
      </c>
      <c r="K17" s="554">
        <f t="shared" si="5"/>
        <v>31510</v>
      </c>
      <c r="L17" s="555">
        <v>31521</v>
      </c>
      <c r="M17" s="554">
        <f t="shared" si="6"/>
        <v>11</v>
      </c>
      <c r="N17" s="556">
        <f t="shared" si="0"/>
        <v>24407</v>
      </c>
      <c r="O17" s="555">
        <v>24418</v>
      </c>
      <c r="P17" s="554">
        <f t="shared" si="11"/>
        <v>11</v>
      </c>
      <c r="Q17" s="554">
        <f t="shared" si="1"/>
        <v>30604</v>
      </c>
      <c r="R17" s="555">
        <v>30617</v>
      </c>
      <c r="S17" s="554">
        <f t="shared" si="8"/>
        <v>13</v>
      </c>
      <c r="T17" s="554">
        <f>U17</f>
        <v>27902</v>
      </c>
      <c r="U17" s="555">
        <v>27902</v>
      </c>
      <c r="V17" s="554">
        <f>U17-U16</f>
        <v>7</v>
      </c>
      <c r="W17" s="556">
        <f t="shared" si="3"/>
        <v>18205</v>
      </c>
      <c r="X17" s="555">
        <v>18205</v>
      </c>
      <c r="Y17" s="554">
        <f t="shared" si="9"/>
        <v>0</v>
      </c>
      <c r="Z17" s="557">
        <f t="shared" si="4"/>
        <v>42</v>
      </c>
      <c r="AA17" s="185">
        <v>420</v>
      </c>
      <c r="AB17" s="185">
        <v>200</v>
      </c>
      <c r="AC17" s="475">
        <f>PRINT!F16</f>
        <v>2115.4799999999996</v>
      </c>
    </row>
    <row r="18" spans="1:29" ht="20.100000000000001" customHeight="1" x14ac:dyDescent="0.2">
      <c r="A18" s="466">
        <f>Gen!A23</f>
        <v>43447</v>
      </c>
      <c r="B18" s="488">
        <f>Gen!B23</f>
        <v>0.2727</v>
      </c>
      <c r="C18" s="539">
        <v>27000.01</v>
      </c>
      <c r="D18" s="539">
        <v>15234.05</v>
      </c>
      <c r="E18" s="539"/>
      <c r="F18" s="539"/>
      <c r="G18" s="539">
        <v>114.1</v>
      </c>
      <c r="H18" s="539"/>
      <c r="I18" s="185">
        <v>26300.9</v>
      </c>
      <c r="J18" s="185">
        <v>17030.900000000001</v>
      </c>
      <c r="K18" s="554">
        <f t="shared" si="5"/>
        <v>31521</v>
      </c>
      <c r="L18" s="555">
        <v>31530</v>
      </c>
      <c r="M18" s="554">
        <f t="shared" si="6"/>
        <v>9</v>
      </c>
      <c r="N18" s="556">
        <f t="shared" si="0"/>
        <v>24418</v>
      </c>
      <c r="O18" s="555">
        <v>24431</v>
      </c>
      <c r="P18" s="554">
        <f t="shared" si="11"/>
        <v>13</v>
      </c>
      <c r="Q18" s="554">
        <f t="shared" si="1"/>
        <v>30617</v>
      </c>
      <c r="R18" s="555">
        <v>30627</v>
      </c>
      <c r="S18" s="554">
        <f t="shared" si="8"/>
        <v>10</v>
      </c>
      <c r="T18" s="554">
        <f t="shared" ref="T18:T19" si="12">U18</f>
        <v>27907</v>
      </c>
      <c r="U18" s="555">
        <v>27907</v>
      </c>
      <c r="V18" s="554">
        <f t="shared" ref="V18:V36" si="13">U18-U17</f>
        <v>5</v>
      </c>
      <c r="W18" s="556">
        <f t="shared" si="3"/>
        <v>18205</v>
      </c>
      <c r="X18" s="555">
        <v>18205</v>
      </c>
      <c r="Y18" s="554">
        <f t="shared" si="9"/>
        <v>0</v>
      </c>
      <c r="Z18" s="557">
        <f t="shared" si="4"/>
        <v>37</v>
      </c>
      <c r="AA18" s="185">
        <v>435</v>
      </c>
      <c r="AB18" s="185">
        <v>186</v>
      </c>
      <c r="AC18" s="475">
        <f>PRINT!F17</f>
        <v>2005.68</v>
      </c>
    </row>
    <row r="19" spans="1:29" ht="20.100000000000001" customHeight="1" x14ac:dyDescent="0.2">
      <c r="A19" s="466">
        <f>Gen!A24</f>
        <v>43448</v>
      </c>
      <c r="B19" s="488">
        <f>Gen!B24</f>
        <v>0.25950000000000001</v>
      </c>
      <c r="C19" s="539">
        <v>27000.01</v>
      </c>
      <c r="D19" s="539">
        <v>14228.37</v>
      </c>
      <c r="E19" s="539"/>
      <c r="F19" s="539"/>
      <c r="G19" s="539">
        <v>315.52</v>
      </c>
      <c r="H19" s="539"/>
      <c r="I19" s="185">
        <v>26308.7</v>
      </c>
      <c r="J19" s="185">
        <v>17036.8</v>
      </c>
      <c r="K19" s="554">
        <f t="shared" si="5"/>
        <v>31530</v>
      </c>
      <c r="L19" s="555">
        <v>31543</v>
      </c>
      <c r="M19" s="554">
        <f t="shared" si="6"/>
        <v>13</v>
      </c>
      <c r="N19" s="556">
        <f t="shared" si="0"/>
        <v>24431</v>
      </c>
      <c r="O19" s="555">
        <v>24440</v>
      </c>
      <c r="P19" s="554">
        <f t="shared" si="11"/>
        <v>9</v>
      </c>
      <c r="Q19" s="554">
        <f t="shared" si="1"/>
        <v>30627</v>
      </c>
      <c r="R19" s="555">
        <v>30635</v>
      </c>
      <c r="S19" s="554">
        <f t="shared" si="8"/>
        <v>8</v>
      </c>
      <c r="T19" s="554">
        <f t="shared" si="12"/>
        <v>27919</v>
      </c>
      <c r="U19" s="555">
        <v>27919</v>
      </c>
      <c r="V19" s="554">
        <f t="shared" si="13"/>
        <v>12</v>
      </c>
      <c r="W19" s="556">
        <f t="shared" si="3"/>
        <v>18205</v>
      </c>
      <c r="X19" s="555">
        <v>18205</v>
      </c>
      <c r="Y19" s="554">
        <f t="shared" si="9"/>
        <v>0</v>
      </c>
      <c r="Z19" s="557">
        <f t="shared" si="4"/>
        <v>42</v>
      </c>
      <c r="AA19" s="185">
        <v>421</v>
      </c>
      <c r="AB19" s="185">
        <v>178</v>
      </c>
      <c r="AC19" s="475">
        <f>PRINT!F18</f>
        <v>2307.96</v>
      </c>
    </row>
    <row r="20" spans="1:29" ht="20.100000000000001" customHeight="1" x14ac:dyDescent="0.2">
      <c r="A20" s="466">
        <f>Gen!A25</f>
        <v>43449</v>
      </c>
      <c r="B20" s="488">
        <f>Gen!B25</f>
        <v>0.12989999999999999</v>
      </c>
      <c r="C20" s="539">
        <v>12919.82</v>
      </c>
      <c r="D20" s="539">
        <v>25000.6</v>
      </c>
      <c r="E20" s="539"/>
      <c r="F20" s="539"/>
      <c r="G20" s="539">
        <v>571.30999999999995</v>
      </c>
      <c r="H20" s="539"/>
      <c r="I20" s="185">
        <v>26316.1</v>
      </c>
      <c r="J20" s="185">
        <v>17042.2</v>
      </c>
      <c r="K20" s="554">
        <f t="shared" si="5"/>
        <v>31543</v>
      </c>
      <c r="L20" s="555">
        <v>31554</v>
      </c>
      <c r="M20" s="554">
        <f t="shared" si="6"/>
        <v>11</v>
      </c>
      <c r="N20" s="556">
        <f t="shared" si="0"/>
        <v>24440</v>
      </c>
      <c r="O20" s="555">
        <v>24446</v>
      </c>
      <c r="P20" s="554">
        <f t="shared" si="11"/>
        <v>6</v>
      </c>
      <c r="Q20" s="554">
        <f t="shared" si="1"/>
        <v>30635</v>
      </c>
      <c r="R20" s="555">
        <v>30647</v>
      </c>
      <c r="S20" s="554">
        <f t="shared" si="8"/>
        <v>12</v>
      </c>
      <c r="T20" s="554">
        <f t="shared" si="10"/>
        <v>27919</v>
      </c>
      <c r="U20" s="555">
        <v>27931</v>
      </c>
      <c r="V20" s="554">
        <f t="shared" si="13"/>
        <v>12</v>
      </c>
      <c r="W20" s="556">
        <f t="shared" si="3"/>
        <v>18205</v>
      </c>
      <c r="X20" s="555">
        <v>18205</v>
      </c>
      <c r="Y20" s="554">
        <f t="shared" si="9"/>
        <v>0</v>
      </c>
      <c r="Z20" s="557">
        <f t="shared" si="4"/>
        <v>41</v>
      </c>
      <c r="AA20" s="185">
        <v>405</v>
      </c>
      <c r="AB20" s="185">
        <v>180</v>
      </c>
      <c r="AC20" s="475">
        <f>PRINT!F19</f>
        <v>2509.3000000000002</v>
      </c>
    </row>
    <row r="21" spans="1:29" ht="20.100000000000001" customHeight="1" x14ac:dyDescent="0.2">
      <c r="A21" s="466">
        <f>Gen!A26</f>
        <v>43450</v>
      </c>
      <c r="B21" s="488">
        <f>Gen!B26</f>
        <v>0.25969999999999999</v>
      </c>
      <c r="C21" s="539">
        <v>22410.52</v>
      </c>
      <c r="D21" s="539">
        <v>25000.6</v>
      </c>
      <c r="E21" s="539" t="s">
        <v>362</v>
      </c>
      <c r="F21" s="539">
        <v>12000</v>
      </c>
      <c r="G21" s="539">
        <v>335.94</v>
      </c>
      <c r="H21" s="539"/>
      <c r="I21" s="185">
        <v>26323.18</v>
      </c>
      <c r="J21" s="185">
        <v>17049.2</v>
      </c>
      <c r="K21" s="554">
        <f t="shared" si="5"/>
        <v>31554</v>
      </c>
      <c r="L21" s="555">
        <v>31565</v>
      </c>
      <c r="M21" s="554">
        <f t="shared" si="6"/>
        <v>11</v>
      </c>
      <c r="N21" s="556">
        <f t="shared" si="0"/>
        <v>24446</v>
      </c>
      <c r="O21" s="555">
        <v>24458</v>
      </c>
      <c r="P21" s="554">
        <f t="shared" si="11"/>
        <v>12</v>
      </c>
      <c r="Q21" s="554">
        <f t="shared" si="1"/>
        <v>30647</v>
      </c>
      <c r="R21" s="555">
        <v>30659</v>
      </c>
      <c r="S21" s="554">
        <f t="shared" si="8"/>
        <v>12</v>
      </c>
      <c r="T21" s="554">
        <f t="shared" si="10"/>
        <v>27931</v>
      </c>
      <c r="U21" s="555">
        <v>27937</v>
      </c>
      <c r="V21" s="554">
        <f t="shared" si="13"/>
        <v>6</v>
      </c>
      <c r="W21" s="556">
        <f t="shared" si="3"/>
        <v>18205</v>
      </c>
      <c r="X21" s="555">
        <v>18205</v>
      </c>
      <c r="Y21" s="554">
        <f t="shared" si="9"/>
        <v>0</v>
      </c>
      <c r="Z21" s="557">
        <f t="shared" si="4"/>
        <v>41</v>
      </c>
      <c r="AA21" s="185">
        <v>40</v>
      </c>
      <c r="AB21" s="185">
        <v>195</v>
      </c>
      <c r="AC21" s="475">
        <f>PRINT!F20</f>
        <v>2377.87</v>
      </c>
    </row>
    <row r="22" spans="1:29" ht="18.75" customHeight="1" x14ac:dyDescent="0.2">
      <c r="A22" s="466">
        <f>Gen!A27</f>
        <v>43451</v>
      </c>
      <c r="B22" s="488">
        <f>Gen!B27</f>
        <v>0.29870000000000002</v>
      </c>
      <c r="C22" s="539">
        <v>20032.650000000001</v>
      </c>
      <c r="D22" s="539">
        <v>25000.6</v>
      </c>
      <c r="E22" s="539"/>
      <c r="F22" s="539"/>
      <c r="G22" s="539">
        <v>581.30999999999995</v>
      </c>
      <c r="H22" s="539"/>
      <c r="I22" s="185">
        <v>26331.8</v>
      </c>
      <c r="J22" s="185">
        <v>17056.2</v>
      </c>
      <c r="K22" s="554">
        <f t="shared" si="5"/>
        <v>31565</v>
      </c>
      <c r="L22" s="555">
        <v>31582</v>
      </c>
      <c r="M22" s="554">
        <f t="shared" si="6"/>
        <v>17</v>
      </c>
      <c r="N22" s="556">
        <f t="shared" si="0"/>
        <v>24458</v>
      </c>
      <c r="O22" s="555">
        <v>24468</v>
      </c>
      <c r="P22" s="554">
        <f t="shared" si="11"/>
        <v>10</v>
      </c>
      <c r="Q22" s="554">
        <f t="shared" si="1"/>
        <v>30659</v>
      </c>
      <c r="R22" s="555">
        <v>30672</v>
      </c>
      <c r="S22" s="554">
        <f t="shared" si="8"/>
        <v>13</v>
      </c>
      <c r="T22" s="554">
        <f t="shared" si="10"/>
        <v>27937</v>
      </c>
      <c r="U22" s="555">
        <v>27942</v>
      </c>
      <c r="V22" s="554">
        <f t="shared" si="13"/>
        <v>5</v>
      </c>
      <c r="W22" s="556">
        <f t="shared" si="3"/>
        <v>18205</v>
      </c>
      <c r="X22" s="555">
        <v>18205</v>
      </c>
      <c r="Y22" s="554">
        <f t="shared" si="9"/>
        <v>0</v>
      </c>
      <c r="Z22" s="557">
        <f t="shared" si="4"/>
        <v>45</v>
      </c>
      <c r="AA22" s="185">
        <v>421</v>
      </c>
      <c r="AB22" s="185">
        <v>206</v>
      </c>
      <c r="AC22" s="475">
        <f>PRINT!F21</f>
        <v>2680.37</v>
      </c>
    </row>
    <row r="23" spans="1:29" ht="20.100000000000001" customHeight="1" x14ac:dyDescent="0.2">
      <c r="A23" s="466">
        <f>Gen!A28</f>
        <v>43452</v>
      </c>
      <c r="B23" s="488">
        <f>Gen!B28</f>
        <v>0.50649999999999995</v>
      </c>
      <c r="C23" s="539">
        <v>17352.28</v>
      </c>
      <c r="D23" s="539">
        <v>25000.6</v>
      </c>
      <c r="E23" s="539"/>
      <c r="F23" s="539"/>
      <c r="G23" s="539">
        <v>185.71</v>
      </c>
      <c r="H23" s="539"/>
      <c r="I23" s="185">
        <v>26341.1</v>
      </c>
      <c r="J23" s="185">
        <v>17063.8</v>
      </c>
      <c r="K23" s="554">
        <f t="shared" si="5"/>
        <v>31582</v>
      </c>
      <c r="L23" s="555">
        <v>31594</v>
      </c>
      <c r="M23" s="554">
        <f t="shared" si="6"/>
        <v>12</v>
      </c>
      <c r="N23" s="556">
        <f t="shared" si="0"/>
        <v>24468</v>
      </c>
      <c r="O23" s="555">
        <v>24484</v>
      </c>
      <c r="P23" s="554">
        <f t="shared" si="11"/>
        <v>16</v>
      </c>
      <c r="Q23" s="554">
        <f t="shared" si="1"/>
        <v>30672</v>
      </c>
      <c r="R23" s="555">
        <v>30682</v>
      </c>
      <c r="S23" s="554">
        <f t="shared" si="8"/>
        <v>10</v>
      </c>
      <c r="T23" s="554">
        <f t="shared" si="10"/>
        <v>27942</v>
      </c>
      <c r="U23" s="555">
        <v>27948</v>
      </c>
      <c r="V23" s="554">
        <f t="shared" si="13"/>
        <v>6</v>
      </c>
      <c r="W23" s="556">
        <f t="shared" si="3"/>
        <v>18205</v>
      </c>
      <c r="X23" s="555">
        <v>18205</v>
      </c>
      <c r="Y23" s="554">
        <f t="shared" si="9"/>
        <v>0</v>
      </c>
      <c r="Z23" s="557">
        <f t="shared" si="4"/>
        <v>44</v>
      </c>
      <c r="AA23" s="185">
        <v>457</v>
      </c>
      <c r="AB23" s="185">
        <v>213</v>
      </c>
      <c r="AC23" s="475">
        <f>PRINT!F22</f>
        <v>2557.69</v>
      </c>
    </row>
    <row r="24" spans="1:29" ht="20.100000000000001" customHeight="1" x14ac:dyDescent="0.2">
      <c r="A24" s="466">
        <f>Gen!A29</f>
        <v>43453</v>
      </c>
      <c r="B24" s="488">
        <f>Gen!B29</f>
        <v>0.44159999999999999</v>
      </c>
      <c r="C24" s="539">
        <v>14794.59</v>
      </c>
      <c r="D24" s="539">
        <v>25000.6</v>
      </c>
      <c r="E24" s="539"/>
      <c r="F24" s="539"/>
      <c r="G24" s="539">
        <v>118</v>
      </c>
      <c r="H24" s="539"/>
      <c r="I24" s="185">
        <v>26349.8</v>
      </c>
      <c r="J24" s="185">
        <v>17071.3</v>
      </c>
      <c r="K24" s="554">
        <f t="shared" si="5"/>
        <v>31594</v>
      </c>
      <c r="L24" s="555">
        <v>31604</v>
      </c>
      <c r="M24" s="554">
        <f t="shared" si="6"/>
        <v>10</v>
      </c>
      <c r="N24" s="556">
        <f t="shared" si="0"/>
        <v>24484</v>
      </c>
      <c r="O24" s="555">
        <v>24494</v>
      </c>
      <c r="P24" s="554">
        <f t="shared" si="11"/>
        <v>10</v>
      </c>
      <c r="Q24" s="554">
        <f t="shared" si="1"/>
        <v>30682</v>
      </c>
      <c r="R24" s="555">
        <v>30691</v>
      </c>
      <c r="S24" s="554">
        <f t="shared" si="8"/>
        <v>9</v>
      </c>
      <c r="T24" s="554">
        <f t="shared" si="10"/>
        <v>27948</v>
      </c>
      <c r="U24" s="555">
        <v>27964</v>
      </c>
      <c r="V24" s="554">
        <f t="shared" si="13"/>
        <v>16</v>
      </c>
      <c r="W24" s="556">
        <f t="shared" si="3"/>
        <v>18205</v>
      </c>
      <c r="X24" s="555">
        <v>18205</v>
      </c>
      <c r="Y24" s="554">
        <f t="shared" si="9"/>
        <v>0</v>
      </c>
      <c r="Z24" s="557">
        <f t="shared" si="4"/>
        <v>45</v>
      </c>
      <c r="AA24" s="185">
        <v>445</v>
      </c>
      <c r="AB24" s="185">
        <v>230</v>
      </c>
      <c r="AC24" s="475">
        <f>PRINT!F23</f>
        <v>2376.75</v>
      </c>
    </row>
    <row r="25" spans="1:29" ht="18.75" customHeight="1" x14ac:dyDescent="0.2">
      <c r="A25" s="466">
        <f>Gen!A30</f>
        <v>43454</v>
      </c>
      <c r="B25" s="488">
        <f>Gen!B30</f>
        <v>0.40260000000000001</v>
      </c>
      <c r="C25" s="539">
        <v>12417.84</v>
      </c>
      <c r="D25" s="539">
        <v>25000.6</v>
      </c>
      <c r="E25" s="539"/>
      <c r="F25" s="539"/>
      <c r="G25" s="539">
        <v>690.09</v>
      </c>
      <c r="H25" s="539"/>
      <c r="I25" s="185">
        <v>26358.6</v>
      </c>
      <c r="J25" s="185">
        <v>17078.599999999999</v>
      </c>
      <c r="K25" s="554">
        <f t="shared" si="5"/>
        <v>31604</v>
      </c>
      <c r="L25" s="555">
        <v>31615</v>
      </c>
      <c r="M25" s="554">
        <f t="shared" si="6"/>
        <v>11</v>
      </c>
      <c r="N25" s="556">
        <f t="shared" si="0"/>
        <v>24494</v>
      </c>
      <c r="O25" s="555">
        <v>24508</v>
      </c>
      <c r="P25" s="554">
        <f t="shared" si="11"/>
        <v>14</v>
      </c>
      <c r="Q25" s="554">
        <f t="shared" si="1"/>
        <v>30691</v>
      </c>
      <c r="R25" s="555">
        <v>30699</v>
      </c>
      <c r="S25" s="554">
        <f t="shared" si="8"/>
        <v>8</v>
      </c>
      <c r="T25" s="554">
        <f t="shared" si="10"/>
        <v>27964</v>
      </c>
      <c r="U25" s="555">
        <v>27974</v>
      </c>
      <c r="V25" s="554">
        <f t="shared" si="13"/>
        <v>10</v>
      </c>
      <c r="W25" s="556">
        <f t="shared" si="3"/>
        <v>18205</v>
      </c>
      <c r="X25" s="555">
        <v>18205</v>
      </c>
      <c r="Y25" s="554">
        <f t="shared" si="9"/>
        <v>0</v>
      </c>
      <c r="Z25" s="557">
        <f t="shared" si="4"/>
        <v>43</v>
      </c>
      <c r="AA25" s="185">
        <v>468</v>
      </c>
      <c r="AB25" s="185">
        <v>210</v>
      </c>
      <c r="AC25" s="475">
        <f>PRINT!F24</f>
        <v>3045.42</v>
      </c>
    </row>
    <row r="26" spans="1:29" ht="20.100000000000001" customHeight="1" x14ac:dyDescent="0.2">
      <c r="A26" s="466">
        <f>Gen!A31</f>
        <v>43455</v>
      </c>
      <c r="B26" s="488">
        <f>Gen!B31</f>
        <v>0.49349999999999999</v>
      </c>
      <c r="C26" s="539">
        <v>9372.42</v>
      </c>
      <c r="D26" s="539">
        <v>25000.6</v>
      </c>
      <c r="E26" s="539"/>
      <c r="F26" s="539"/>
      <c r="G26" s="539">
        <v>544.38</v>
      </c>
      <c r="H26" s="539"/>
      <c r="I26" s="185">
        <v>26367.3</v>
      </c>
      <c r="J26" s="185">
        <v>17085.900000000001</v>
      </c>
      <c r="K26" s="554">
        <f t="shared" si="5"/>
        <v>31615</v>
      </c>
      <c r="L26" s="555">
        <v>31624</v>
      </c>
      <c r="M26" s="554">
        <f t="shared" si="6"/>
        <v>9</v>
      </c>
      <c r="N26" s="556">
        <f t="shared" si="0"/>
        <v>24508</v>
      </c>
      <c r="O26" s="555">
        <v>24518</v>
      </c>
      <c r="P26" s="554">
        <f t="shared" si="11"/>
        <v>10</v>
      </c>
      <c r="Q26" s="554">
        <f t="shared" si="1"/>
        <v>30699</v>
      </c>
      <c r="R26" s="555">
        <v>30713</v>
      </c>
      <c r="S26" s="554">
        <f t="shared" si="8"/>
        <v>14</v>
      </c>
      <c r="T26" s="554">
        <f t="shared" si="10"/>
        <v>27974</v>
      </c>
      <c r="U26" s="555">
        <v>27986</v>
      </c>
      <c r="V26" s="554">
        <f t="shared" si="13"/>
        <v>12</v>
      </c>
      <c r="W26" s="556">
        <f t="shared" si="3"/>
        <v>18205</v>
      </c>
      <c r="X26" s="555">
        <v>18205</v>
      </c>
      <c r="Y26" s="554">
        <f t="shared" si="9"/>
        <v>0</v>
      </c>
      <c r="Z26" s="557">
        <f t="shared" si="4"/>
        <v>45</v>
      </c>
      <c r="AA26" s="185">
        <v>455</v>
      </c>
      <c r="AB26" s="185">
        <v>220</v>
      </c>
      <c r="AC26" s="475">
        <f>PRINT!F25</f>
        <v>2703.78</v>
      </c>
    </row>
    <row r="27" spans="1:29" ht="20.100000000000001" customHeight="1" x14ac:dyDescent="0.2">
      <c r="A27" s="466">
        <f>Gen!A32</f>
        <v>43456</v>
      </c>
      <c r="B27" s="488">
        <f>Gen!B32</f>
        <v>0.49349999999999999</v>
      </c>
      <c r="C27" s="539">
        <v>6668.64</v>
      </c>
      <c r="D27" s="539">
        <v>25000.6</v>
      </c>
      <c r="E27" s="539"/>
      <c r="F27" s="539"/>
      <c r="G27" s="539">
        <v>322.73</v>
      </c>
      <c r="H27" s="539"/>
      <c r="I27" s="185">
        <v>26376.2</v>
      </c>
      <c r="J27" s="185">
        <v>17094.099999999999</v>
      </c>
      <c r="K27" s="554">
        <f t="shared" si="5"/>
        <v>31624</v>
      </c>
      <c r="L27" s="555">
        <v>31635</v>
      </c>
      <c r="M27" s="554">
        <f t="shared" si="6"/>
        <v>11</v>
      </c>
      <c r="N27" s="556">
        <f t="shared" si="0"/>
        <v>24518</v>
      </c>
      <c r="O27" s="555">
        <v>24528</v>
      </c>
      <c r="P27" s="554">
        <f t="shared" si="11"/>
        <v>10</v>
      </c>
      <c r="Q27" s="554">
        <f t="shared" si="1"/>
        <v>30713</v>
      </c>
      <c r="R27" s="555">
        <v>30729</v>
      </c>
      <c r="S27" s="554">
        <f t="shared" si="8"/>
        <v>16</v>
      </c>
      <c r="T27" s="554">
        <f t="shared" si="10"/>
        <v>27986</v>
      </c>
      <c r="U27" s="555">
        <v>27995</v>
      </c>
      <c r="V27" s="554">
        <f t="shared" si="13"/>
        <v>9</v>
      </c>
      <c r="W27" s="556">
        <f t="shared" si="3"/>
        <v>18205</v>
      </c>
      <c r="X27" s="555">
        <v>18205</v>
      </c>
      <c r="Y27" s="554">
        <f t="shared" si="9"/>
        <v>0</v>
      </c>
      <c r="Z27" s="557">
        <f t="shared" si="4"/>
        <v>46</v>
      </c>
      <c r="AA27" s="185">
        <v>473</v>
      </c>
      <c r="AB27" s="185">
        <v>218</v>
      </c>
      <c r="AC27" s="475">
        <f>PRINT!F26</f>
        <v>2823.75</v>
      </c>
    </row>
    <row r="28" spans="1:29" ht="20.100000000000001" customHeight="1" x14ac:dyDescent="0.2">
      <c r="A28" s="466">
        <f>Gen!A33</f>
        <v>43457</v>
      </c>
      <c r="B28" s="488">
        <f>Gen!B33</f>
        <v>0.4456</v>
      </c>
      <c r="C28" s="539">
        <v>23468.639999999999</v>
      </c>
      <c r="D28" s="539">
        <v>22176.85</v>
      </c>
      <c r="E28" s="539"/>
      <c r="F28" s="539"/>
      <c r="G28" s="539">
        <v>93.91</v>
      </c>
      <c r="H28" s="539"/>
      <c r="I28" s="185">
        <v>26385.1</v>
      </c>
      <c r="J28" s="185">
        <v>17101.900000000001</v>
      </c>
      <c r="K28" s="554">
        <f t="shared" si="5"/>
        <v>31635</v>
      </c>
      <c r="L28" s="555">
        <v>31648</v>
      </c>
      <c r="M28" s="554">
        <f t="shared" si="6"/>
        <v>13</v>
      </c>
      <c r="N28" s="556">
        <f t="shared" si="0"/>
        <v>24528</v>
      </c>
      <c r="O28" s="555">
        <v>24541</v>
      </c>
      <c r="P28" s="554">
        <f t="shared" si="11"/>
        <v>13</v>
      </c>
      <c r="Q28" s="554">
        <f t="shared" si="1"/>
        <v>30729</v>
      </c>
      <c r="R28" s="555">
        <v>30731</v>
      </c>
      <c r="S28" s="554">
        <f t="shared" si="8"/>
        <v>2</v>
      </c>
      <c r="T28" s="554">
        <f t="shared" si="10"/>
        <v>27995</v>
      </c>
      <c r="U28" s="555">
        <v>28004</v>
      </c>
      <c r="V28" s="554">
        <f t="shared" si="13"/>
        <v>9</v>
      </c>
      <c r="W28" s="556">
        <f t="shared" si="3"/>
        <v>18205</v>
      </c>
      <c r="X28" s="555">
        <v>18217</v>
      </c>
      <c r="Y28" s="554">
        <f t="shared" si="9"/>
        <v>12</v>
      </c>
      <c r="Z28" s="557">
        <f t="shared" si="4"/>
        <v>49</v>
      </c>
      <c r="AA28" s="185">
        <v>481</v>
      </c>
      <c r="AB28" s="185">
        <v>216</v>
      </c>
      <c r="AC28" s="475">
        <f>PRINT!F27</f>
        <v>2469.3799999999997</v>
      </c>
    </row>
    <row r="29" spans="1:29" ht="20.100000000000001" customHeight="1" x14ac:dyDescent="0.2">
      <c r="A29" s="466">
        <f>Gen!A34</f>
        <v>43458</v>
      </c>
      <c r="B29" s="488">
        <f>Gen!B34</f>
        <v>0.50649999999999995</v>
      </c>
      <c r="C29" s="539">
        <v>23468.639999999999</v>
      </c>
      <c r="D29" s="539">
        <v>19707.47</v>
      </c>
      <c r="E29" s="539"/>
      <c r="F29" s="539"/>
      <c r="G29" s="539">
        <v>786.27</v>
      </c>
      <c r="H29" s="539"/>
      <c r="I29" s="185">
        <v>26395.5</v>
      </c>
      <c r="J29" s="185">
        <v>17109.8</v>
      </c>
      <c r="K29" s="554">
        <f t="shared" si="5"/>
        <v>31648</v>
      </c>
      <c r="L29" s="555">
        <v>31661</v>
      </c>
      <c r="M29" s="554">
        <f t="shared" si="6"/>
        <v>13</v>
      </c>
      <c r="N29" s="556">
        <f t="shared" si="0"/>
        <v>24541</v>
      </c>
      <c r="O29" s="555">
        <v>24549</v>
      </c>
      <c r="P29" s="554">
        <f t="shared" si="11"/>
        <v>8</v>
      </c>
      <c r="Q29" s="554">
        <f t="shared" si="1"/>
        <v>30731</v>
      </c>
      <c r="R29" s="555">
        <v>30741</v>
      </c>
      <c r="S29" s="554">
        <f t="shared" si="8"/>
        <v>10</v>
      </c>
      <c r="T29" s="554">
        <f t="shared" si="10"/>
        <v>28004</v>
      </c>
      <c r="U29" s="555">
        <v>28014</v>
      </c>
      <c r="V29" s="554">
        <f t="shared" si="13"/>
        <v>10</v>
      </c>
      <c r="W29" s="556">
        <f t="shared" si="3"/>
        <v>18217</v>
      </c>
      <c r="X29" s="555">
        <v>15224</v>
      </c>
      <c r="Y29" s="554">
        <f t="shared" si="9"/>
        <v>-2993</v>
      </c>
      <c r="Z29" s="557">
        <f t="shared" si="4"/>
        <v>-2952</v>
      </c>
      <c r="AA29" s="185">
        <v>468</v>
      </c>
      <c r="AB29" s="185">
        <v>210</v>
      </c>
      <c r="AC29" s="475">
        <f>PRINT!F28</f>
        <v>3494.5499999999997</v>
      </c>
    </row>
    <row r="30" spans="1:29" ht="20.100000000000001" customHeight="1" x14ac:dyDescent="0.2">
      <c r="A30" s="466">
        <f>Gen!A35</f>
        <v>43459</v>
      </c>
      <c r="B30" s="488">
        <f>Gen!B35</f>
        <v>0.94810000000000005</v>
      </c>
      <c r="C30" s="539">
        <v>23468.639999999999</v>
      </c>
      <c r="D30" s="539">
        <v>16212.97</v>
      </c>
      <c r="E30" s="539"/>
      <c r="F30" s="539"/>
      <c r="G30" s="539">
        <v>174.44</v>
      </c>
      <c r="H30" s="539"/>
      <c r="I30" s="185">
        <v>26406.3</v>
      </c>
      <c r="J30" s="185">
        <v>17117.599999999999</v>
      </c>
      <c r="K30" s="554">
        <f t="shared" si="5"/>
        <v>31661</v>
      </c>
      <c r="L30" s="555">
        <v>31672</v>
      </c>
      <c r="M30" s="554">
        <f t="shared" si="6"/>
        <v>11</v>
      </c>
      <c r="N30" s="556">
        <f t="shared" si="0"/>
        <v>24549</v>
      </c>
      <c r="O30" s="555">
        <v>24560</v>
      </c>
      <c r="P30" s="554">
        <f t="shared" si="11"/>
        <v>11</v>
      </c>
      <c r="Q30" s="554">
        <f t="shared" si="1"/>
        <v>30741</v>
      </c>
      <c r="R30" s="555">
        <v>30755</v>
      </c>
      <c r="S30" s="554">
        <f t="shared" si="8"/>
        <v>14</v>
      </c>
      <c r="T30" s="554">
        <f t="shared" si="10"/>
        <v>28014</v>
      </c>
      <c r="U30" s="555">
        <v>28024</v>
      </c>
      <c r="V30" s="554">
        <f t="shared" si="13"/>
        <v>10</v>
      </c>
      <c r="W30" s="556">
        <f t="shared" si="3"/>
        <v>15224</v>
      </c>
      <c r="X30" s="555">
        <v>15238</v>
      </c>
      <c r="Y30" s="554">
        <f t="shared" si="9"/>
        <v>14</v>
      </c>
      <c r="Z30" s="557">
        <f t="shared" si="4"/>
        <v>60</v>
      </c>
      <c r="AA30" s="185">
        <v>590</v>
      </c>
      <c r="AB30" s="185">
        <v>246</v>
      </c>
      <c r="AC30" s="475">
        <f>PRINT!F29</f>
        <v>2984.84</v>
      </c>
    </row>
    <row r="31" spans="1:29" ht="20.100000000000001" customHeight="1" x14ac:dyDescent="0.2">
      <c r="A31" s="466">
        <f>Gen!A36</f>
        <v>43460</v>
      </c>
      <c r="B31" s="488">
        <f>Gen!B36</f>
        <v>0.90910000000000002</v>
      </c>
      <c r="C31" s="539">
        <v>23468.639999999999</v>
      </c>
      <c r="D31" s="539">
        <v>13228.37</v>
      </c>
      <c r="E31" s="539"/>
      <c r="F31" s="539"/>
      <c r="G31" s="539" t="s">
        <v>392</v>
      </c>
      <c r="H31" s="539"/>
      <c r="I31" s="185">
        <v>26417.200000000001</v>
      </c>
      <c r="J31" s="185">
        <v>17125.5</v>
      </c>
      <c r="K31" s="554">
        <f t="shared" si="5"/>
        <v>31672</v>
      </c>
      <c r="L31" s="555">
        <v>31692</v>
      </c>
      <c r="M31" s="554">
        <f t="shared" si="6"/>
        <v>20</v>
      </c>
      <c r="N31" s="556">
        <f t="shared" si="0"/>
        <v>24560</v>
      </c>
      <c r="O31" s="555">
        <v>24578</v>
      </c>
      <c r="P31" s="554">
        <f t="shared" si="11"/>
        <v>18</v>
      </c>
      <c r="Q31" s="554">
        <f t="shared" si="1"/>
        <v>30755</v>
      </c>
      <c r="R31" s="555">
        <v>30763</v>
      </c>
      <c r="S31" s="554">
        <f t="shared" si="8"/>
        <v>8</v>
      </c>
      <c r="T31" s="554">
        <f t="shared" si="10"/>
        <v>28024</v>
      </c>
      <c r="U31" s="555">
        <v>28030</v>
      </c>
      <c r="V31" s="554">
        <f t="shared" si="13"/>
        <v>6</v>
      </c>
      <c r="W31" s="556">
        <f t="shared" si="3"/>
        <v>15238</v>
      </c>
      <c r="X31" s="555">
        <v>15246</v>
      </c>
      <c r="Y31" s="554">
        <f t="shared" si="9"/>
        <v>8</v>
      </c>
      <c r="Z31" s="557">
        <f t="shared" si="4"/>
        <v>60</v>
      </c>
      <c r="AA31" s="185">
        <v>568</v>
      </c>
      <c r="AB31" s="185">
        <v>218</v>
      </c>
      <c r="AC31" s="475">
        <f>PRINT!F30</f>
        <v>3221.5799999999995</v>
      </c>
    </row>
    <row r="32" spans="1:29" ht="20.100000000000001" customHeight="1" x14ac:dyDescent="0.2">
      <c r="A32" s="466">
        <f>Gen!A37</f>
        <v>43461</v>
      </c>
      <c r="B32" s="488">
        <f>Gen!B37</f>
        <v>0.76619999999999999</v>
      </c>
      <c r="C32" s="539">
        <v>23468.639999999999</v>
      </c>
      <c r="D32" s="539">
        <v>10006.549999999999</v>
      </c>
      <c r="E32" s="539"/>
      <c r="F32" s="539"/>
      <c r="G32" s="539">
        <v>203.69</v>
      </c>
      <c r="H32" s="539"/>
      <c r="I32" s="185">
        <v>26428.7</v>
      </c>
      <c r="J32" s="185">
        <v>17133.7</v>
      </c>
      <c r="K32" s="554">
        <f t="shared" si="5"/>
        <v>31692</v>
      </c>
      <c r="L32" s="555">
        <v>31702</v>
      </c>
      <c r="M32" s="554">
        <f t="shared" si="6"/>
        <v>10</v>
      </c>
      <c r="N32" s="556">
        <f t="shared" si="0"/>
        <v>24578</v>
      </c>
      <c r="O32" s="555">
        <v>24593</v>
      </c>
      <c r="P32" s="554">
        <f t="shared" si="11"/>
        <v>15</v>
      </c>
      <c r="Q32" s="554">
        <f t="shared" si="1"/>
        <v>30763</v>
      </c>
      <c r="R32" s="555">
        <v>30772</v>
      </c>
      <c r="S32" s="554">
        <f t="shared" si="8"/>
        <v>9</v>
      </c>
      <c r="T32" s="554">
        <f t="shared" si="10"/>
        <v>28030</v>
      </c>
      <c r="U32" s="555">
        <v>28045</v>
      </c>
      <c r="V32" s="554">
        <f t="shared" si="13"/>
        <v>15</v>
      </c>
      <c r="W32" s="556">
        <f t="shared" si="3"/>
        <v>15246</v>
      </c>
      <c r="X32" s="555">
        <v>15253</v>
      </c>
      <c r="Y32" s="554">
        <f t="shared" si="9"/>
        <v>7</v>
      </c>
      <c r="Z32" s="557">
        <f t="shared" si="4"/>
        <v>56</v>
      </c>
      <c r="AA32" s="185">
        <v>575</v>
      </c>
      <c r="AB32" s="185">
        <v>260</v>
      </c>
      <c r="AC32" s="475">
        <f>PRINT!F31</f>
        <v>2839.03</v>
      </c>
    </row>
    <row r="33" spans="1:29" ht="20.100000000000001" customHeight="1" x14ac:dyDescent="0.2">
      <c r="A33" s="466">
        <f>Gen!A38</f>
        <v>43462</v>
      </c>
      <c r="B33" s="488">
        <f>Gen!B38</f>
        <v>0.7792</v>
      </c>
      <c r="C33" s="539">
        <v>23468.639999999999</v>
      </c>
      <c r="D33" s="539">
        <v>19167.52</v>
      </c>
      <c r="E33" s="539" t="s">
        <v>409</v>
      </c>
      <c r="F33" s="539">
        <v>12000</v>
      </c>
      <c r="G33" s="539">
        <v>321.45</v>
      </c>
      <c r="H33" s="539"/>
      <c r="I33" s="185">
        <v>26439.9</v>
      </c>
      <c r="J33" s="185">
        <v>17142.7</v>
      </c>
      <c r="K33" s="554">
        <f t="shared" si="5"/>
        <v>31702</v>
      </c>
      <c r="L33" s="555">
        <v>31718</v>
      </c>
      <c r="M33" s="554">
        <f t="shared" si="6"/>
        <v>16</v>
      </c>
      <c r="N33" s="556">
        <f t="shared" si="0"/>
        <v>24593</v>
      </c>
      <c r="O33" s="555">
        <v>24609</v>
      </c>
      <c r="P33" s="554">
        <f t="shared" si="11"/>
        <v>16</v>
      </c>
      <c r="Q33" s="554">
        <f t="shared" si="1"/>
        <v>30772</v>
      </c>
      <c r="R33" s="555">
        <v>30790</v>
      </c>
      <c r="S33" s="554">
        <f t="shared" si="8"/>
        <v>18</v>
      </c>
      <c r="T33" s="554">
        <f t="shared" si="10"/>
        <v>28045</v>
      </c>
      <c r="U33" s="555">
        <v>28052</v>
      </c>
      <c r="V33" s="554">
        <f t="shared" si="13"/>
        <v>7</v>
      </c>
      <c r="W33" s="556">
        <f t="shared" si="3"/>
        <v>15253</v>
      </c>
      <c r="X33" s="555">
        <v>15259</v>
      </c>
      <c r="Y33" s="554">
        <f t="shared" si="9"/>
        <v>6</v>
      </c>
      <c r="Z33" s="557">
        <f t="shared" si="4"/>
        <v>63</v>
      </c>
      <c r="AA33" s="185">
        <v>630</v>
      </c>
      <c r="AB33" s="185">
        <v>250</v>
      </c>
      <c r="AC33" s="475">
        <f>PRINT!F32</f>
        <v>3364.79</v>
      </c>
    </row>
    <row r="34" spans="1:29" ht="20.100000000000001" customHeight="1" x14ac:dyDescent="0.2">
      <c r="A34" s="466">
        <f>Gen!A39</f>
        <v>43463</v>
      </c>
      <c r="B34" s="488">
        <f>Gen!B39</f>
        <v>0.92210000000000003</v>
      </c>
      <c r="C34" s="539">
        <v>23468.639999999999</v>
      </c>
      <c r="D34" s="539">
        <v>15802.73</v>
      </c>
      <c r="E34" s="539"/>
      <c r="F34" s="539"/>
      <c r="G34" s="539">
        <v>247.04</v>
      </c>
      <c r="H34" s="539"/>
      <c r="I34" s="185">
        <v>26451.8</v>
      </c>
      <c r="J34" s="185">
        <v>17152.3</v>
      </c>
      <c r="K34" s="554">
        <f t="shared" si="5"/>
        <v>31718</v>
      </c>
      <c r="L34" s="555">
        <v>31728</v>
      </c>
      <c r="M34" s="554">
        <f t="shared" si="6"/>
        <v>10</v>
      </c>
      <c r="N34" s="556">
        <f t="shared" si="0"/>
        <v>24609</v>
      </c>
      <c r="O34" s="555">
        <v>24624</v>
      </c>
      <c r="P34" s="554">
        <f t="shared" si="11"/>
        <v>15</v>
      </c>
      <c r="Q34" s="554">
        <f t="shared" si="1"/>
        <v>30790</v>
      </c>
      <c r="R34" s="555">
        <v>30802</v>
      </c>
      <c r="S34" s="554">
        <f t="shared" si="8"/>
        <v>12</v>
      </c>
      <c r="T34" s="554">
        <f t="shared" si="10"/>
        <v>28052</v>
      </c>
      <c r="U34" s="555">
        <v>28064</v>
      </c>
      <c r="V34" s="554">
        <f t="shared" si="13"/>
        <v>12</v>
      </c>
      <c r="W34" s="556">
        <f t="shared" si="3"/>
        <v>15259</v>
      </c>
      <c r="X34" s="555">
        <v>15271</v>
      </c>
      <c r="Y34" s="554">
        <f t="shared" si="9"/>
        <v>12</v>
      </c>
      <c r="Z34" s="557">
        <f t="shared" si="4"/>
        <v>61</v>
      </c>
      <c r="AA34" s="185">
        <v>640</v>
      </c>
      <c r="AB34" s="185">
        <v>260</v>
      </c>
      <c r="AC34" s="475">
        <f>PRINT!F33</f>
        <v>3119.0199999999995</v>
      </c>
    </row>
    <row r="35" spans="1:29" ht="20.100000000000001" customHeight="1" x14ac:dyDescent="0.2">
      <c r="A35" s="466">
        <f>Gen!A40</f>
        <v>43464</v>
      </c>
      <c r="B35" s="488">
        <f>Gen!B40</f>
        <v>0.7792</v>
      </c>
      <c r="C35" s="539">
        <v>23468.639999999999</v>
      </c>
      <c r="D35" s="539">
        <v>12683.71</v>
      </c>
      <c r="E35" s="539"/>
      <c r="F35" s="539"/>
      <c r="G35" s="539">
        <v>120.12</v>
      </c>
      <c r="H35" s="539"/>
      <c r="I35" s="185">
        <v>26463.3</v>
      </c>
      <c r="J35" s="185">
        <v>17161.599999999999</v>
      </c>
      <c r="K35" s="554">
        <f t="shared" si="5"/>
        <v>31728</v>
      </c>
      <c r="L35" s="555">
        <v>31740</v>
      </c>
      <c r="M35" s="554">
        <f t="shared" si="6"/>
        <v>12</v>
      </c>
      <c r="N35" s="556">
        <f t="shared" si="0"/>
        <v>24624</v>
      </c>
      <c r="O35" s="555">
        <v>24638</v>
      </c>
      <c r="P35" s="554">
        <f t="shared" si="11"/>
        <v>14</v>
      </c>
      <c r="Q35" s="554">
        <f t="shared" si="1"/>
        <v>30802</v>
      </c>
      <c r="R35" s="555">
        <v>30813</v>
      </c>
      <c r="S35" s="554">
        <f t="shared" si="8"/>
        <v>11</v>
      </c>
      <c r="T35" s="554">
        <f t="shared" si="10"/>
        <v>28064</v>
      </c>
      <c r="U35" s="555">
        <v>28076</v>
      </c>
      <c r="V35" s="554">
        <f t="shared" si="13"/>
        <v>12</v>
      </c>
      <c r="W35" s="556">
        <f t="shared" si="3"/>
        <v>15271</v>
      </c>
      <c r="X35" s="555">
        <v>15282</v>
      </c>
      <c r="Y35" s="554">
        <f t="shared" si="9"/>
        <v>11</v>
      </c>
      <c r="Z35" s="557">
        <f t="shared" si="4"/>
        <v>60</v>
      </c>
      <c r="AA35" s="185">
        <v>596</v>
      </c>
      <c r="AB35" s="185">
        <v>250</v>
      </c>
      <c r="AC35" s="475">
        <f>PRINT!F34</f>
        <v>3292.63</v>
      </c>
    </row>
    <row r="36" spans="1:29" ht="20.100000000000001" customHeight="1" x14ac:dyDescent="0.2">
      <c r="A36" s="466">
        <f>Gen!A41</f>
        <v>43465</v>
      </c>
      <c r="B36" s="488">
        <f>Gen!B41</f>
        <v>0.84419999999999995</v>
      </c>
      <c r="C36" s="539">
        <v>23468.639999999999</v>
      </c>
      <c r="D36" s="539">
        <v>21391.08</v>
      </c>
      <c r="E36" s="829" t="s">
        <v>413</v>
      </c>
      <c r="F36" s="539">
        <v>12000</v>
      </c>
      <c r="G36" s="539">
        <v>1284.1400000000001</v>
      </c>
      <c r="H36" s="539"/>
      <c r="I36" s="185">
        <v>26474.799999999999</v>
      </c>
      <c r="J36" s="185">
        <v>17170.8</v>
      </c>
      <c r="K36" s="554">
        <f t="shared" si="5"/>
        <v>31740</v>
      </c>
      <c r="L36" s="555">
        <v>31754</v>
      </c>
      <c r="M36" s="554">
        <f t="shared" si="6"/>
        <v>14</v>
      </c>
      <c r="N36" s="556">
        <f t="shared" si="0"/>
        <v>24638</v>
      </c>
      <c r="O36" s="555">
        <v>24656</v>
      </c>
      <c r="P36" s="554">
        <f t="shared" si="11"/>
        <v>18</v>
      </c>
      <c r="Q36" s="554">
        <f t="shared" si="1"/>
        <v>30813</v>
      </c>
      <c r="R36" s="555">
        <v>30827</v>
      </c>
      <c r="S36" s="554">
        <f t="shared" si="8"/>
        <v>14</v>
      </c>
      <c r="T36" s="554">
        <f t="shared" si="10"/>
        <v>28076</v>
      </c>
      <c r="U36" s="555">
        <v>28088</v>
      </c>
      <c r="V36" s="554">
        <f t="shared" si="13"/>
        <v>12</v>
      </c>
      <c r="W36" s="556">
        <f t="shared" si="3"/>
        <v>15282</v>
      </c>
      <c r="X36" s="555">
        <v>15289</v>
      </c>
      <c r="Y36" s="554">
        <f t="shared" si="9"/>
        <v>7</v>
      </c>
      <c r="Z36" s="557">
        <f t="shared" si="4"/>
        <v>65</v>
      </c>
      <c r="AA36" s="185">
        <v>568</v>
      </c>
      <c r="AB36" s="185">
        <v>255</v>
      </c>
      <c r="AC36" s="475">
        <f>PRINT!F35</f>
        <v>4342.8999999999996</v>
      </c>
    </row>
    <row r="37" spans="1:29" ht="21" customHeight="1" x14ac:dyDescent="0.2">
      <c r="A37" s="466">
        <f>Gen!A42</f>
        <v>0</v>
      </c>
      <c r="B37" s="488">
        <f>Gen!B42</f>
        <v>0</v>
      </c>
      <c r="C37" s="539">
        <v>23468.639999999999</v>
      </c>
      <c r="D37" s="539">
        <v>17046.13</v>
      </c>
      <c r="E37" s="539"/>
      <c r="F37" s="539"/>
      <c r="G37" s="539"/>
      <c r="H37" s="539"/>
      <c r="I37" s="185"/>
      <c r="J37" s="185"/>
      <c r="K37" s="554">
        <f t="shared" si="5"/>
        <v>31754</v>
      </c>
      <c r="L37" s="555"/>
      <c r="M37" s="554">
        <f t="shared" si="6"/>
        <v>-31754</v>
      </c>
      <c r="N37" s="556">
        <f t="shared" si="0"/>
        <v>24656</v>
      </c>
      <c r="O37" s="555"/>
      <c r="P37" s="554">
        <f t="shared" si="11"/>
        <v>-24656</v>
      </c>
      <c r="Q37" s="554">
        <f t="shared" si="1"/>
        <v>30827</v>
      </c>
      <c r="R37" s="555"/>
      <c r="S37" s="554">
        <f t="shared" si="8"/>
        <v>-30827</v>
      </c>
      <c r="T37" s="554">
        <f t="shared" si="10"/>
        <v>28088</v>
      </c>
      <c r="U37" s="555"/>
      <c r="V37" s="554">
        <f t="shared" si="2"/>
        <v>-28088</v>
      </c>
      <c r="W37" s="556">
        <f t="shared" si="3"/>
        <v>15289</v>
      </c>
      <c r="X37" s="555"/>
      <c r="Y37" s="554">
        <f t="shared" si="9"/>
        <v>-15289</v>
      </c>
      <c r="Z37" s="557">
        <f t="shared" si="4"/>
        <v>-130614</v>
      </c>
      <c r="AA37" s="185"/>
      <c r="AB37" s="185"/>
      <c r="AC37" s="475">
        <f>PRINT!F36</f>
        <v>0</v>
      </c>
    </row>
    <row r="38" spans="1:29" x14ac:dyDescent="0.2">
      <c r="A38" s="466"/>
      <c r="B38" s="466"/>
      <c r="C38" s="466"/>
      <c r="D38" s="466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140"/>
  <sheetViews>
    <sheetView workbookViewId="0">
      <pane xSplit="1" topLeftCell="B1" activePane="topRight" state="frozen"/>
      <selection pane="topRight" activeCell="S45" sqref="S45:T45"/>
    </sheetView>
  </sheetViews>
  <sheetFormatPr defaultRowHeight="11.25" x14ac:dyDescent="0.2"/>
  <cols>
    <col min="1" max="1" width="9.85546875" style="343" customWidth="1"/>
    <col min="2" max="2" width="8.85546875" style="343" customWidth="1"/>
    <col min="3" max="3" width="8.7109375" style="343" bestFit="1" customWidth="1"/>
    <col min="4" max="4" width="9" style="343" bestFit="1" customWidth="1"/>
    <col min="5" max="5" width="9.85546875" style="343" customWidth="1"/>
    <col min="6" max="6" width="4.42578125" style="343" bestFit="1" customWidth="1"/>
    <col min="7" max="7" width="11.28515625" style="343" customWidth="1"/>
    <col min="8" max="8" width="9.7109375" style="343" customWidth="1"/>
    <col min="9" max="9" width="8" style="343" customWidth="1"/>
    <col min="10" max="10" width="8.7109375" style="343" customWidth="1"/>
    <col min="11" max="11" width="9" style="343" bestFit="1" customWidth="1"/>
    <col min="12" max="12" width="10.140625" style="343" customWidth="1"/>
    <col min="13" max="13" width="9.28515625" style="343" customWidth="1"/>
    <col min="14" max="14" width="14.42578125" style="343" customWidth="1"/>
    <col min="15" max="15" width="10.140625" style="343" customWidth="1"/>
    <col min="16" max="16" width="14.42578125" style="343" customWidth="1"/>
    <col min="17" max="17" width="10.7109375" style="343" customWidth="1"/>
    <col min="18" max="18" width="15.28515625" style="343" customWidth="1"/>
    <col min="19" max="19" width="11.7109375" style="346" customWidth="1"/>
    <col min="20" max="20" width="13" style="346" customWidth="1"/>
    <col min="21" max="21" width="13.140625" style="346" customWidth="1"/>
    <col min="22" max="22" width="13.5703125" style="346" bestFit="1" customWidth="1"/>
    <col min="23" max="23" width="13" style="346" customWidth="1"/>
    <col min="24" max="24" width="15.7109375" style="346" customWidth="1"/>
    <col min="25" max="25" width="9.5703125" style="346" bestFit="1" customWidth="1"/>
    <col min="26" max="26" width="12" style="346" bestFit="1" customWidth="1"/>
    <col min="27" max="27" width="9.5703125" style="346" bestFit="1" customWidth="1"/>
    <col min="28" max="28" width="8.28515625" style="346" bestFit="1" customWidth="1"/>
    <col min="29" max="29" width="9.42578125" style="346" bestFit="1" customWidth="1"/>
    <col min="30" max="30" width="8.140625" style="346" bestFit="1" customWidth="1"/>
    <col min="31" max="31" width="8" style="346" bestFit="1" customWidth="1"/>
    <col min="32" max="32" width="9.28515625" style="346" bestFit="1" customWidth="1"/>
    <col min="33" max="33" width="11.42578125" style="346" customWidth="1"/>
    <col min="34" max="34" width="9.85546875" style="346" bestFit="1" customWidth="1"/>
    <col min="35" max="35" width="9.5703125" style="346" bestFit="1" customWidth="1"/>
    <col min="36" max="36" width="12" style="346" bestFit="1" customWidth="1"/>
    <col min="37" max="42" width="9.140625" style="346" hidden="1" customWidth="1"/>
    <col min="43" max="43" width="5.42578125" style="346" customWidth="1"/>
    <col min="44" max="44" width="15" style="346" bestFit="1" customWidth="1"/>
    <col min="45" max="45" width="10.7109375" style="346" bestFit="1" customWidth="1"/>
    <col min="46" max="46" width="9.7109375" style="346" bestFit="1" customWidth="1"/>
    <col min="47" max="47" width="8" style="344" bestFit="1" customWidth="1"/>
    <col min="48" max="16384" width="9.140625" style="344"/>
  </cols>
  <sheetData>
    <row r="1" spans="1:47" x14ac:dyDescent="0.2">
      <c r="A1" s="903"/>
      <c r="B1" s="903"/>
    </row>
    <row r="2" spans="1:47" ht="26.25" x14ac:dyDescent="0.4">
      <c r="A2" s="903"/>
      <c r="B2" s="903"/>
      <c r="D2" s="904" t="s">
        <v>327</v>
      </c>
      <c r="E2" s="904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Z2" s="905"/>
      <c r="AA2" s="905"/>
      <c r="AB2" s="905"/>
      <c r="AC2" s="905"/>
      <c r="AD2" s="905"/>
      <c r="AE2" s="905"/>
      <c r="AF2" s="905"/>
      <c r="AG2" s="905"/>
      <c r="AH2" s="905"/>
      <c r="AI2" s="905"/>
      <c r="AJ2" s="905"/>
      <c r="AK2" s="905"/>
      <c r="AL2" s="905"/>
      <c r="AM2" s="905"/>
      <c r="AN2" s="905"/>
      <c r="AO2" s="905"/>
      <c r="AP2" s="905"/>
      <c r="AQ2" s="905"/>
      <c r="AR2" s="905"/>
      <c r="AS2" s="905"/>
      <c r="AT2" s="905"/>
    </row>
    <row r="3" spans="1:47" x14ac:dyDescent="0.2">
      <c r="A3" s="903"/>
      <c r="B3" s="903"/>
      <c r="K3" s="345"/>
      <c r="Q3" s="345"/>
    </row>
    <row r="4" spans="1:47" x14ac:dyDescent="0.2">
      <c r="A4" s="903"/>
      <c r="B4" s="903"/>
      <c r="K4" s="345"/>
      <c r="Q4" s="345"/>
    </row>
    <row r="5" spans="1:47" ht="12" thickBot="1" x14ac:dyDescent="0.25">
      <c r="A5" s="903"/>
      <c r="B5" s="903"/>
      <c r="L5" s="347"/>
      <c r="R5" s="347"/>
      <c r="S5" s="348"/>
      <c r="T5" s="348"/>
      <c r="U5" s="348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/>
      <c r="AT5" s="349"/>
    </row>
    <row r="6" spans="1:47" ht="21" thickBot="1" x14ac:dyDescent="0.35">
      <c r="A6" s="903"/>
      <c r="B6" s="903"/>
      <c r="C6" s="350"/>
      <c r="F6" s="896" t="s">
        <v>90</v>
      </c>
      <c r="G6" s="897"/>
      <c r="H6" s="897"/>
      <c r="I6" s="897"/>
      <c r="J6" s="897"/>
      <c r="K6" s="897"/>
      <c r="L6" s="898"/>
      <c r="M6" s="347"/>
      <c r="N6" s="347"/>
      <c r="O6" s="347"/>
      <c r="P6" s="347"/>
      <c r="Q6" s="347"/>
      <c r="R6" s="347"/>
      <c r="S6" s="348"/>
      <c r="T6" s="348"/>
      <c r="U6" s="348"/>
      <c r="V6" s="351">
        <v>1</v>
      </c>
      <c r="W6" s="351">
        <v>2</v>
      </c>
      <c r="X6" s="351">
        <v>3</v>
      </c>
      <c r="Y6" s="351">
        <v>4</v>
      </c>
      <c r="Z6" s="351">
        <v>5</v>
      </c>
      <c r="AA6" s="351">
        <v>6</v>
      </c>
      <c r="AB6" s="351">
        <v>7</v>
      </c>
      <c r="AC6" s="351">
        <v>8</v>
      </c>
      <c r="AD6" s="351">
        <v>9</v>
      </c>
      <c r="AE6" s="351">
        <v>10</v>
      </c>
      <c r="AF6" s="351">
        <v>11</v>
      </c>
      <c r="AG6" s="351"/>
      <c r="AH6" s="351"/>
      <c r="AI6" s="351"/>
      <c r="AR6" s="351"/>
      <c r="AS6" s="348"/>
    </row>
    <row r="7" spans="1:47" ht="21" thickBot="1" x14ac:dyDescent="0.35">
      <c r="C7" s="352"/>
      <c r="D7" s="352"/>
      <c r="E7" s="352"/>
      <c r="F7" s="906" t="s">
        <v>267</v>
      </c>
      <c r="G7" s="907"/>
      <c r="H7" s="907"/>
      <c r="I7" s="907"/>
      <c r="J7" s="907"/>
      <c r="K7" s="907"/>
      <c r="L7" s="908"/>
      <c r="M7" s="909" t="s">
        <v>72</v>
      </c>
      <c r="N7" s="910"/>
      <c r="O7" s="910"/>
      <c r="P7" s="910"/>
      <c r="Q7" s="910"/>
      <c r="R7" s="911"/>
      <c r="S7" s="660"/>
      <c r="T7" s="661"/>
      <c r="U7" s="662"/>
      <c r="V7" s="663" t="s">
        <v>118</v>
      </c>
      <c r="W7" s="664" t="s">
        <v>118</v>
      </c>
      <c r="X7" s="664" t="s">
        <v>5</v>
      </c>
      <c r="Y7" s="664" t="s">
        <v>119</v>
      </c>
      <c r="Z7" s="664" t="s">
        <v>121</v>
      </c>
      <c r="AA7" s="664" t="s">
        <v>120</v>
      </c>
      <c r="AB7" s="664" t="s">
        <v>120</v>
      </c>
      <c r="AC7" s="665" t="s">
        <v>265</v>
      </c>
      <c r="AD7" s="664" t="s">
        <v>61</v>
      </c>
      <c r="AE7" s="664" t="s">
        <v>135</v>
      </c>
      <c r="AF7" s="666" t="s">
        <v>52</v>
      </c>
      <c r="AG7" s="667" t="s">
        <v>60</v>
      </c>
      <c r="AH7" s="664" t="s">
        <v>122</v>
      </c>
      <c r="AI7" s="668" t="s">
        <v>248</v>
      </c>
      <c r="AJ7" s="680" t="s">
        <v>57</v>
      </c>
      <c r="AK7" s="353"/>
      <c r="AL7" s="353"/>
      <c r="AM7" s="353"/>
      <c r="AN7" s="353"/>
      <c r="AO7" s="353"/>
      <c r="AP7" s="353"/>
      <c r="AQ7" s="353"/>
      <c r="AR7" s="354"/>
      <c r="AS7" s="355"/>
      <c r="AT7" s="353"/>
    </row>
    <row r="8" spans="1:47" s="357" customFormat="1" ht="30" customHeight="1" thickBot="1" x14ac:dyDescent="0.35">
      <c r="A8" s="702" t="s">
        <v>0</v>
      </c>
      <c r="B8" s="703" t="s">
        <v>82</v>
      </c>
      <c r="C8" s="704" t="s">
        <v>2</v>
      </c>
      <c r="D8" s="705" t="s">
        <v>70</v>
      </c>
      <c r="E8" s="705" t="s">
        <v>134</v>
      </c>
      <c r="F8" s="706" t="s">
        <v>67</v>
      </c>
      <c r="G8" s="692">
        <v>1</v>
      </c>
      <c r="H8" s="693">
        <v>2</v>
      </c>
      <c r="I8" s="693">
        <v>3</v>
      </c>
      <c r="J8" s="693">
        <v>4</v>
      </c>
      <c r="K8" s="693">
        <v>5</v>
      </c>
      <c r="L8" s="694">
        <v>6</v>
      </c>
      <c r="M8" s="695">
        <v>1</v>
      </c>
      <c r="N8" s="696">
        <v>2</v>
      </c>
      <c r="O8" s="696">
        <v>3</v>
      </c>
      <c r="P8" s="696">
        <v>4</v>
      </c>
      <c r="Q8" s="696">
        <v>5</v>
      </c>
      <c r="R8" s="696">
        <v>6</v>
      </c>
      <c r="S8" s="697" t="s">
        <v>71</v>
      </c>
      <c r="T8" s="697" t="s">
        <v>73</v>
      </c>
      <c r="U8" s="698" t="s">
        <v>264</v>
      </c>
      <c r="V8" s="671" t="s">
        <v>64</v>
      </c>
      <c r="W8" s="672" t="s">
        <v>63</v>
      </c>
      <c r="X8" s="672" t="s">
        <v>66</v>
      </c>
      <c r="Y8" s="673" t="s">
        <v>275</v>
      </c>
      <c r="Z8" s="673" t="s">
        <v>274</v>
      </c>
      <c r="AA8" s="673" t="s">
        <v>276</v>
      </c>
      <c r="AB8" s="672" t="s">
        <v>326</v>
      </c>
      <c r="AC8" s="674" t="s">
        <v>65</v>
      </c>
      <c r="AD8" s="672" t="s">
        <v>62</v>
      </c>
      <c r="AE8" s="672" t="s">
        <v>277</v>
      </c>
      <c r="AF8" s="672" t="s">
        <v>278</v>
      </c>
      <c r="AG8" s="675" t="s">
        <v>123</v>
      </c>
      <c r="AH8" s="676" t="s">
        <v>59</v>
      </c>
      <c r="AI8" s="677" t="s">
        <v>59</v>
      </c>
      <c r="AJ8" s="679"/>
      <c r="AK8" s="498"/>
      <c r="AL8" s="91"/>
      <c r="AM8" s="91"/>
      <c r="AN8" s="91"/>
      <c r="AO8" s="91"/>
      <c r="AP8" s="356"/>
      <c r="AQ8" s="682"/>
      <c r="AR8" s="683" t="s">
        <v>266</v>
      </c>
      <c r="AS8" s="683" t="s">
        <v>75</v>
      </c>
      <c r="AT8" s="682" t="s">
        <v>3</v>
      </c>
    </row>
    <row r="9" spans="1:47" ht="14.25" x14ac:dyDescent="0.3">
      <c r="A9" s="358"/>
      <c r="B9" s="358"/>
      <c r="C9" s="699" t="e">
        <f>#REF!</f>
        <v>#REF!</v>
      </c>
      <c r="D9" s="700"/>
      <c r="E9" s="360"/>
      <c r="F9" s="701"/>
      <c r="G9" s="684"/>
      <c r="H9" s="361"/>
      <c r="I9" s="684"/>
      <c r="J9" s="685"/>
      <c r="K9" s="686"/>
      <c r="L9" s="687"/>
      <c r="M9" s="688"/>
      <c r="N9" s="689"/>
      <c r="O9" s="689"/>
      <c r="P9" s="689"/>
      <c r="Q9" s="689"/>
      <c r="R9" s="689"/>
      <c r="S9" s="690">
        <f t="shared" ref="S9:S45" si="0">SUM(F9:L9)</f>
        <v>0</v>
      </c>
      <c r="T9" s="691">
        <f t="shared" ref="T9:T10" si="1">SUM(M9:R9)</f>
        <v>0</v>
      </c>
      <c r="U9" s="364"/>
      <c r="V9" s="669"/>
      <c r="W9" s="367"/>
      <c r="X9" s="670"/>
      <c r="Y9" s="670"/>
      <c r="Z9" s="670"/>
      <c r="AA9" s="367"/>
      <c r="AB9" s="365"/>
      <c r="AC9" s="367"/>
      <c r="AD9" s="368"/>
      <c r="AE9" s="368"/>
      <c r="AF9" s="369"/>
      <c r="AG9" s="365"/>
      <c r="AH9" s="367"/>
      <c r="AI9" s="396"/>
      <c r="AJ9" s="678"/>
      <c r="AK9" s="370"/>
      <c r="AL9" s="370"/>
      <c r="AM9" s="370"/>
      <c r="AN9" s="370"/>
      <c r="AO9" s="370"/>
      <c r="AP9" s="370"/>
      <c r="AQ9" s="370"/>
      <c r="AR9" s="681">
        <f t="shared" ref="AR9:AR31" si="2">SUM(AJ9+S9)</f>
        <v>0</v>
      </c>
      <c r="AS9" s="371"/>
      <c r="AT9" s="372"/>
    </row>
    <row r="10" spans="1:47" ht="13.5" customHeight="1" x14ac:dyDescent="0.3">
      <c r="A10" s="373"/>
      <c r="B10" s="374"/>
      <c r="C10" s="413"/>
      <c r="D10" s="359"/>
      <c r="E10" s="376"/>
      <c r="F10" s="377"/>
      <c r="G10" s="378"/>
      <c r="H10" s="378"/>
      <c r="I10" s="379"/>
      <c r="J10" s="378"/>
      <c r="K10" s="378"/>
      <c r="L10" s="537"/>
      <c r="M10" s="536"/>
      <c r="N10" s="381"/>
      <c r="O10" s="380"/>
      <c r="P10" s="380"/>
      <c r="Q10" s="380"/>
      <c r="R10" s="380"/>
      <c r="S10" s="394">
        <f t="shared" si="0"/>
        <v>0</v>
      </c>
      <c r="T10" s="395">
        <f t="shared" si="1"/>
        <v>0</v>
      </c>
      <c r="U10" s="395">
        <f t="shared" ref="U10" si="3">SUM(N10:S10)</f>
        <v>0</v>
      </c>
      <c r="V10" s="383"/>
      <c r="W10" s="396"/>
      <c r="X10" s="366"/>
      <c r="Y10" s="383"/>
      <c r="Z10" s="378"/>
      <c r="AA10" s="383"/>
      <c r="AB10" s="384"/>
      <c r="AC10" s="383"/>
      <c r="AD10" s="385"/>
      <c r="AE10" s="385"/>
      <c r="AF10" s="383"/>
      <c r="AG10" s="386"/>
      <c r="AH10" s="396"/>
      <c r="AI10" s="396"/>
      <c r="AJ10" s="497">
        <f>SUM(V7:AL7)</f>
        <v>0</v>
      </c>
      <c r="AK10" s="387"/>
      <c r="AL10" s="387"/>
      <c r="AM10" s="387"/>
      <c r="AN10" s="387"/>
      <c r="AO10" s="387"/>
      <c r="AP10" s="387"/>
      <c r="AQ10" s="388"/>
      <c r="AR10" s="389">
        <f t="shared" si="2"/>
        <v>0</v>
      </c>
      <c r="AS10" s="390"/>
      <c r="AT10" s="513">
        <f>C10+D10-AR10</f>
        <v>0</v>
      </c>
    </row>
    <row r="11" spans="1:47" s="399" customFormat="1" ht="13.5" customHeight="1" x14ac:dyDescent="0.3">
      <c r="A11" s="391">
        <v>43435</v>
      </c>
      <c r="B11" s="406">
        <v>0.16800000000000001</v>
      </c>
      <c r="C11" s="392" t="e">
        <f>SUM(C9+D11)</f>
        <v>#REF!</v>
      </c>
      <c r="D11" s="400"/>
      <c r="E11" s="400"/>
      <c r="F11" s="393"/>
      <c r="G11" s="378">
        <v>411.83</v>
      </c>
      <c r="H11" s="378">
        <v>420.05</v>
      </c>
      <c r="I11" s="379"/>
      <c r="J11" s="789">
        <v>529.14</v>
      </c>
      <c r="K11" s="378">
        <v>464.11</v>
      </c>
      <c r="L11" s="537"/>
      <c r="M11" s="380">
        <v>999</v>
      </c>
      <c r="N11" s="380">
        <v>1080</v>
      </c>
      <c r="O11" s="380"/>
      <c r="P11" s="380">
        <v>1332</v>
      </c>
      <c r="Q11" s="380">
        <v>1144</v>
      </c>
      <c r="R11" s="380"/>
      <c r="S11" s="394">
        <f t="shared" si="0"/>
        <v>1825.13</v>
      </c>
      <c r="T11" s="395">
        <f t="shared" ref="T11:T43" si="4">SUM(M11:R11)</f>
        <v>4555</v>
      </c>
      <c r="U11" s="395">
        <f t="shared" ref="U11:U17" si="5">S11/T11</f>
        <v>0.40068715697036228</v>
      </c>
      <c r="V11" s="383"/>
      <c r="W11" s="396">
        <v>22.45</v>
      </c>
      <c r="X11" s="366"/>
      <c r="Y11" s="396"/>
      <c r="Z11" s="378">
        <v>20.34</v>
      </c>
      <c r="AA11" s="499"/>
      <c r="AB11" s="396"/>
      <c r="AC11" s="396"/>
      <c r="AD11" s="396"/>
      <c r="AE11" s="396"/>
      <c r="AF11" s="396"/>
      <c r="AG11" s="396"/>
      <c r="AH11" s="396"/>
      <c r="AI11" s="396"/>
      <c r="AJ11" s="497">
        <f t="shared" ref="AJ11:AJ44" si="6">SUM(V11:AI11)</f>
        <v>42.79</v>
      </c>
      <c r="AK11" s="397"/>
      <c r="AL11" s="397"/>
      <c r="AM11" s="397"/>
      <c r="AN11" s="397"/>
      <c r="AO11" s="397"/>
      <c r="AP11" s="397"/>
      <c r="AQ11" s="397"/>
      <c r="AR11" s="389">
        <f t="shared" si="2"/>
        <v>1867.92</v>
      </c>
      <c r="AS11" s="398">
        <f>AR11*AU11</f>
        <v>54169.68</v>
      </c>
      <c r="AT11" s="513" t="e">
        <f>C11</f>
        <v>#REF!</v>
      </c>
      <c r="AU11" s="399">
        <f>SUM('Summery Report'!Q2)</f>
        <v>29</v>
      </c>
    </row>
    <row r="12" spans="1:47" ht="13.5" customHeight="1" x14ac:dyDescent="0.3">
      <c r="A12" s="391">
        <v>43436</v>
      </c>
      <c r="B12" s="406">
        <v>0.1429</v>
      </c>
      <c r="C12" s="392" t="e">
        <f t="shared" ref="C12:C43" si="7">SUM(C11-AR11+D12)</f>
        <v>#REF!</v>
      </c>
      <c r="D12" s="400"/>
      <c r="E12" s="376">
        <v>17000</v>
      </c>
      <c r="F12" s="401"/>
      <c r="G12" s="378">
        <v>275.42</v>
      </c>
      <c r="H12" s="378">
        <v>810.66</v>
      </c>
      <c r="I12" s="402"/>
      <c r="J12" s="789">
        <v>325.48</v>
      </c>
      <c r="K12" s="378">
        <v>423.63</v>
      </c>
      <c r="L12" s="537"/>
      <c r="M12" s="536">
        <v>709</v>
      </c>
      <c r="N12" s="380">
        <v>2022</v>
      </c>
      <c r="O12" s="380"/>
      <c r="P12" s="380">
        <v>829</v>
      </c>
      <c r="Q12" s="380">
        <v>1119</v>
      </c>
      <c r="R12" s="380"/>
      <c r="S12" s="394">
        <f t="shared" si="0"/>
        <v>1835.19</v>
      </c>
      <c r="T12" s="395">
        <f t="shared" si="4"/>
        <v>4679</v>
      </c>
      <c r="U12" s="395">
        <f t="shared" si="5"/>
        <v>0.39221842273990171</v>
      </c>
      <c r="V12" s="383">
        <v>42.81</v>
      </c>
      <c r="W12" s="396">
        <v>25.71</v>
      </c>
      <c r="X12" s="366"/>
      <c r="Y12" s="396"/>
      <c r="Z12" s="378">
        <v>22.08</v>
      </c>
      <c r="AA12" s="499"/>
      <c r="AB12" s="396"/>
      <c r="AC12" s="396"/>
      <c r="AD12" s="396"/>
      <c r="AE12" s="396"/>
      <c r="AF12" s="396"/>
      <c r="AG12" s="396"/>
      <c r="AH12" s="396"/>
      <c r="AI12" s="396"/>
      <c r="AJ12" s="497">
        <f t="shared" si="6"/>
        <v>90.600000000000009</v>
      </c>
      <c r="AK12" s="387"/>
      <c r="AL12" s="387"/>
      <c r="AM12" s="387"/>
      <c r="AN12" s="387"/>
      <c r="AO12" s="387"/>
      <c r="AP12" s="387"/>
      <c r="AQ12" s="387"/>
      <c r="AR12" s="389">
        <f t="shared" si="2"/>
        <v>1925.79</v>
      </c>
      <c r="AS12" s="398">
        <f t="shared" ref="AS12:AS44" si="8">AR12*AU12</f>
        <v>55847.909999999996</v>
      </c>
      <c r="AT12" s="513" t="e">
        <f t="shared" ref="AT12:AT43" si="9">C12</f>
        <v>#REF!</v>
      </c>
      <c r="AU12" s="344">
        <f>SUM(AU11)</f>
        <v>29</v>
      </c>
    </row>
    <row r="13" spans="1:47" ht="13.5" customHeight="1" x14ac:dyDescent="0.3">
      <c r="A13" s="391">
        <v>43437</v>
      </c>
      <c r="B13" s="406">
        <v>0.1429</v>
      </c>
      <c r="C13" s="392" t="e">
        <f t="shared" si="7"/>
        <v>#REF!</v>
      </c>
      <c r="D13" s="400"/>
      <c r="E13" s="376"/>
      <c r="F13" s="401"/>
      <c r="G13" s="378">
        <v>326.79000000000002</v>
      </c>
      <c r="H13" s="378">
        <v>294.45</v>
      </c>
      <c r="I13" s="402"/>
      <c r="J13" s="789">
        <v>458.74</v>
      </c>
      <c r="K13" s="378">
        <v>688.07</v>
      </c>
      <c r="L13" s="830">
        <v>1000</v>
      </c>
      <c r="M13" s="536">
        <v>678</v>
      </c>
      <c r="N13" s="380">
        <v>736</v>
      </c>
      <c r="O13" s="380"/>
      <c r="P13" s="380">
        <v>1189</v>
      </c>
      <c r="Q13" s="380">
        <v>1834</v>
      </c>
      <c r="R13" s="380"/>
      <c r="S13" s="394">
        <f t="shared" si="0"/>
        <v>2768.05</v>
      </c>
      <c r="T13" s="395">
        <f t="shared" si="4"/>
        <v>4437</v>
      </c>
      <c r="U13" s="395">
        <f t="shared" si="5"/>
        <v>0.6238562091503268</v>
      </c>
      <c r="V13" s="383">
        <v>9.81</v>
      </c>
      <c r="W13" s="396"/>
      <c r="X13" s="366"/>
      <c r="Y13" s="396"/>
      <c r="Z13" s="378">
        <v>23.1</v>
      </c>
      <c r="AA13" s="499"/>
      <c r="AB13" s="396"/>
      <c r="AC13" s="396"/>
      <c r="AD13" s="396"/>
      <c r="AE13" s="396"/>
      <c r="AF13" s="396">
        <v>60.46</v>
      </c>
      <c r="AG13" s="396"/>
      <c r="AH13" s="396">
        <v>15</v>
      </c>
      <c r="AI13" s="396"/>
      <c r="AJ13" s="497">
        <f t="shared" si="6"/>
        <v>108.37</v>
      </c>
      <c r="AK13" s="403"/>
      <c r="AL13" s="403"/>
      <c r="AM13" s="403"/>
      <c r="AN13" s="403"/>
      <c r="AO13" s="403"/>
      <c r="AP13" s="403"/>
      <c r="AQ13" s="403"/>
      <c r="AR13" s="389">
        <f t="shared" si="2"/>
        <v>2876.42</v>
      </c>
      <c r="AS13" s="398">
        <f t="shared" si="8"/>
        <v>83416.180000000008</v>
      </c>
      <c r="AT13" s="513" t="e">
        <f t="shared" si="9"/>
        <v>#REF!</v>
      </c>
      <c r="AU13" s="344">
        <f t="shared" ref="AU13:AU41" si="10">SUM(AU12)</f>
        <v>29</v>
      </c>
    </row>
    <row r="14" spans="1:47" ht="13.5" customHeight="1" x14ac:dyDescent="0.3">
      <c r="A14" s="391">
        <v>43438</v>
      </c>
      <c r="B14" s="406">
        <v>0.16880000000000001</v>
      </c>
      <c r="C14" s="392" t="e">
        <f t="shared" si="7"/>
        <v>#REF!</v>
      </c>
      <c r="D14" s="400">
        <v>17000</v>
      </c>
      <c r="E14" s="376"/>
      <c r="F14" s="401"/>
      <c r="G14" s="378">
        <v>472.76</v>
      </c>
      <c r="H14" s="378">
        <v>688.95</v>
      </c>
      <c r="I14" s="402"/>
      <c r="J14" s="789">
        <v>451.46</v>
      </c>
      <c r="K14" s="378">
        <v>297.27999999999997</v>
      </c>
      <c r="L14" s="537"/>
      <c r="M14" s="536">
        <v>1265</v>
      </c>
      <c r="N14" s="380">
        <v>1793</v>
      </c>
      <c r="O14" s="380"/>
      <c r="P14" s="380">
        <v>1009</v>
      </c>
      <c r="Q14" s="380">
        <v>627</v>
      </c>
      <c r="R14" s="380"/>
      <c r="S14" s="394">
        <f t="shared" si="0"/>
        <v>1910.45</v>
      </c>
      <c r="T14" s="395">
        <f t="shared" si="4"/>
        <v>4694</v>
      </c>
      <c r="U14" s="395">
        <f t="shared" si="5"/>
        <v>0.40699829569663404</v>
      </c>
      <c r="V14" s="383">
        <v>20.309999999999999</v>
      </c>
      <c r="W14" s="396"/>
      <c r="X14" s="366"/>
      <c r="Y14" s="396">
        <v>89.74</v>
      </c>
      <c r="Z14" s="378"/>
      <c r="AA14" s="499"/>
      <c r="AB14" s="396"/>
      <c r="AC14" s="396"/>
      <c r="AD14" s="396"/>
      <c r="AE14" s="396"/>
      <c r="AF14" s="396"/>
      <c r="AG14" s="396"/>
      <c r="AH14" s="396"/>
      <c r="AI14" s="396"/>
      <c r="AJ14" s="497">
        <f t="shared" si="6"/>
        <v>110.05</v>
      </c>
      <c r="AK14" s="397"/>
      <c r="AL14" s="397"/>
      <c r="AM14" s="397"/>
      <c r="AN14" s="397"/>
      <c r="AO14" s="397"/>
      <c r="AP14" s="397"/>
      <c r="AQ14" s="397"/>
      <c r="AR14" s="389">
        <f t="shared" si="2"/>
        <v>2020.5</v>
      </c>
      <c r="AS14" s="398">
        <f t="shared" si="8"/>
        <v>58594.5</v>
      </c>
      <c r="AT14" s="513" t="e">
        <f t="shared" si="9"/>
        <v>#REF!</v>
      </c>
      <c r="AU14" s="344">
        <f t="shared" si="10"/>
        <v>29</v>
      </c>
    </row>
    <row r="15" spans="1:47" ht="13.5" customHeight="1" x14ac:dyDescent="0.3">
      <c r="A15" s="391">
        <v>43439</v>
      </c>
      <c r="B15" s="406">
        <v>0.20780000000000001</v>
      </c>
      <c r="C15" s="392" t="e">
        <f t="shared" si="7"/>
        <v>#REF!</v>
      </c>
      <c r="D15" s="400"/>
      <c r="E15" s="376"/>
      <c r="F15" s="401"/>
      <c r="G15" s="378">
        <v>425.39</v>
      </c>
      <c r="H15" s="378">
        <v>412.62</v>
      </c>
      <c r="I15" s="402"/>
      <c r="J15" s="789">
        <v>679.19</v>
      </c>
      <c r="K15" s="378">
        <v>268.08</v>
      </c>
      <c r="L15" s="537"/>
      <c r="M15" s="536">
        <v>1042</v>
      </c>
      <c r="N15" s="380">
        <v>954</v>
      </c>
      <c r="O15" s="380"/>
      <c r="P15" s="380">
        <v>1749</v>
      </c>
      <c r="Q15" s="380">
        <v>614</v>
      </c>
      <c r="R15" s="380"/>
      <c r="S15" s="394">
        <f t="shared" si="0"/>
        <v>1785.28</v>
      </c>
      <c r="T15" s="395">
        <f t="shared" si="4"/>
        <v>4359</v>
      </c>
      <c r="U15" s="395">
        <f t="shared" si="5"/>
        <v>0.40956182610690522</v>
      </c>
      <c r="V15" s="383"/>
      <c r="W15" s="396"/>
      <c r="X15" s="366"/>
      <c r="Y15" s="396"/>
      <c r="Z15" s="378"/>
      <c r="AA15" s="499"/>
      <c r="AB15" s="396"/>
      <c r="AC15" s="396"/>
      <c r="AD15" s="396"/>
      <c r="AE15" s="396"/>
      <c r="AF15" s="396"/>
      <c r="AG15" s="396"/>
      <c r="AH15" s="396"/>
      <c r="AI15" s="396"/>
      <c r="AJ15" s="497">
        <f t="shared" si="6"/>
        <v>0</v>
      </c>
      <c r="AK15" s="397"/>
      <c r="AL15" s="397"/>
      <c r="AM15" s="397"/>
      <c r="AN15" s="397"/>
      <c r="AO15" s="397"/>
      <c r="AP15" s="397"/>
      <c r="AQ15" s="397"/>
      <c r="AR15" s="389">
        <f t="shared" si="2"/>
        <v>1785.28</v>
      </c>
      <c r="AS15" s="398">
        <f t="shared" si="8"/>
        <v>51773.120000000003</v>
      </c>
      <c r="AT15" s="513" t="e">
        <f t="shared" si="9"/>
        <v>#REF!</v>
      </c>
      <c r="AU15" s="344">
        <f t="shared" si="10"/>
        <v>29</v>
      </c>
    </row>
    <row r="16" spans="1:47" ht="13.5" customHeight="1" x14ac:dyDescent="0.3">
      <c r="A16" s="391">
        <v>43440</v>
      </c>
      <c r="B16" s="406">
        <v>0.29870000000000002</v>
      </c>
      <c r="C16" s="392" t="e">
        <f t="shared" si="7"/>
        <v>#REF!</v>
      </c>
      <c r="D16" s="400"/>
      <c r="E16" s="400"/>
      <c r="F16" s="401"/>
      <c r="G16" s="378">
        <v>354.62</v>
      </c>
      <c r="H16" s="378">
        <v>335.11</v>
      </c>
      <c r="I16" s="402"/>
      <c r="J16" s="789">
        <v>469.05</v>
      </c>
      <c r="K16" s="378">
        <v>745.08</v>
      </c>
      <c r="L16" s="537"/>
      <c r="M16" s="536">
        <v>838</v>
      </c>
      <c r="N16" s="380">
        <v>837</v>
      </c>
      <c r="O16" s="380"/>
      <c r="P16" s="380">
        <v>1165</v>
      </c>
      <c r="Q16" s="380">
        <v>1870</v>
      </c>
      <c r="R16" s="380"/>
      <c r="S16" s="394">
        <f t="shared" si="0"/>
        <v>1903.8600000000001</v>
      </c>
      <c r="T16" s="395">
        <f t="shared" si="4"/>
        <v>4710</v>
      </c>
      <c r="U16" s="395">
        <f t="shared" si="5"/>
        <v>0.40421656050955418</v>
      </c>
      <c r="V16" s="383">
        <v>67.06</v>
      </c>
      <c r="W16" s="396"/>
      <c r="X16" s="366"/>
      <c r="Y16" s="396">
        <v>38.25</v>
      </c>
      <c r="Z16" s="378">
        <v>54.34</v>
      </c>
      <c r="AA16" s="499"/>
      <c r="AB16" s="396"/>
      <c r="AC16" s="396"/>
      <c r="AD16" s="396"/>
      <c r="AE16" s="396"/>
      <c r="AF16" s="396"/>
      <c r="AG16" s="396"/>
      <c r="AH16" s="396"/>
      <c r="AI16" s="396">
        <v>88</v>
      </c>
      <c r="AJ16" s="497">
        <f t="shared" si="6"/>
        <v>247.65</v>
      </c>
      <c r="AK16" s="397"/>
      <c r="AL16" s="397"/>
      <c r="AM16" s="397"/>
      <c r="AN16" s="397"/>
      <c r="AO16" s="397"/>
      <c r="AP16" s="397"/>
      <c r="AQ16" s="397"/>
      <c r="AR16" s="389">
        <f t="shared" si="2"/>
        <v>2151.5100000000002</v>
      </c>
      <c r="AS16" s="398">
        <f t="shared" si="8"/>
        <v>62393.790000000008</v>
      </c>
      <c r="AT16" s="513" t="e">
        <f t="shared" si="9"/>
        <v>#REF!</v>
      </c>
      <c r="AU16" s="344">
        <f t="shared" si="10"/>
        <v>29</v>
      </c>
    </row>
    <row r="17" spans="1:47" ht="13.5" customHeight="1" x14ac:dyDescent="0.3">
      <c r="A17" s="391">
        <v>43441</v>
      </c>
      <c r="B17" s="406">
        <v>0.24679999999999999</v>
      </c>
      <c r="C17" s="392" t="e">
        <f t="shared" si="7"/>
        <v>#REF!</v>
      </c>
      <c r="D17" s="400"/>
      <c r="E17" s="529">
        <v>12000</v>
      </c>
      <c r="F17" s="401"/>
      <c r="G17" s="378">
        <v>395.68</v>
      </c>
      <c r="H17" s="378">
        <v>395.8</v>
      </c>
      <c r="I17" s="402"/>
      <c r="J17" s="789">
        <v>546.03</v>
      </c>
      <c r="K17" s="378">
        <v>672.68</v>
      </c>
      <c r="L17" s="537"/>
      <c r="M17" s="536">
        <v>1042</v>
      </c>
      <c r="N17" s="380">
        <v>939</v>
      </c>
      <c r="O17" s="380"/>
      <c r="P17" s="380">
        <v>1501</v>
      </c>
      <c r="Q17" s="380">
        <v>1393</v>
      </c>
      <c r="R17" s="380"/>
      <c r="S17" s="394">
        <f t="shared" si="0"/>
        <v>2010.19</v>
      </c>
      <c r="T17" s="395">
        <f t="shared" si="4"/>
        <v>4875</v>
      </c>
      <c r="U17" s="395">
        <f t="shared" si="5"/>
        <v>0.41234666666666669</v>
      </c>
      <c r="V17" s="383">
        <v>21.56</v>
      </c>
      <c r="W17" s="396">
        <v>23.62</v>
      </c>
      <c r="X17" s="366"/>
      <c r="Y17" s="396">
        <v>23.99</v>
      </c>
      <c r="Z17" s="378"/>
      <c r="AA17" s="499"/>
      <c r="AB17" s="396"/>
      <c r="AC17" s="396"/>
      <c r="AD17" s="396"/>
      <c r="AE17" s="396"/>
      <c r="AF17" s="396"/>
      <c r="AG17" s="396"/>
      <c r="AH17" s="396"/>
      <c r="AI17" s="396">
        <v>155</v>
      </c>
      <c r="AJ17" s="497">
        <f t="shared" si="6"/>
        <v>224.17000000000002</v>
      </c>
      <c r="AK17" s="397"/>
      <c r="AL17" s="397"/>
      <c r="AM17" s="397"/>
      <c r="AN17" s="397"/>
      <c r="AO17" s="397"/>
      <c r="AP17" s="397"/>
      <c r="AQ17" s="397"/>
      <c r="AR17" s="389">
        <f t="shared" si="2"/>
        <v>2234.36</v>
      </c>
      <c r="AS17" s="398">
        <f t="shared" si="8"/>
        <v>64796.44</v>
      </c>
      <c r="AT17" s="513" t="e">
        <f t="shared" si="9"/>
        <v>#REF!</v>
      </c>
      <c r="AU17" s="344">
        <f t="shared" si="10"/>
        <v>29</v>
      </c>
    </row>
    <row r="18" spans="1:47" ht="13.5" customHeight="1" x14ac:dyDescent="0.3">
      <c r="A18" s="391">
        <v>43442</v>
      </c>
      <c r="B18" s="406">
        <v>0.28570000000000001</v>
      </c>
      <c r="C18" s="392" t="e">
        <f t="shared" si="7"/>
        <v>#REF!</v>
      </c>
      <c r="D18" s="400"/>
      <c r="E18" s="376"/>
      <c r="F18" s="401"/>
      <c r="G18" s="378">
        <v>407.47</v>
      </c>
      <c r="H18" s="378">
        <v>242.76</v>
      </c>
      <c r="I18" s="402"/>
      <c r="J18" s="789">
        <v>702.49</v>
      </c>
      <c r="K18" s="378">
        <v>570.74</v>
      </c>
      <c r="L18" s="537"/>
      <c r="M18" s="536">
        <v>1048</v>
      </c>
      <c r="N18" s="380">
        <v>693</v>
      </c>
      <c r="O18" s="380"/>
      <c r="P18" s="380">
        <v>1685</v>
      </c>
      <c r="Q18" s="380">
        <v>1375</v>
      </c>
      <c r="R18" s="380"/>
      <c r="S18" s="394">
        <f t="shared" si="0"/>
        <v>1923.46</v>
      </c>
      <c r="T18" s="395">
        <f t="shared" si="4"/>
        <v>4801</v>
      </c>
      <c r="U18" s="395">
        <f t="shared" ref="U18:U41" si="11">S18/T18</f>
        <v>0.40063736721516352</v>
      </c>
      <c r="V18" s="383"/>
      <c r="W18" s="396"/>
      <c r="X18" s="366"/>
      <c r="Y18" s="396"/>
      <c r="Z18" s="378"/>
      <c r="AA18" s="499"/>
      <c r="AB18" s="396"/>
      <c r="AC18" s="396"/>
      <c r="AD18" s="396"/>
      <c r="AE18" s="396"/>
      <c r="AF18" s="396"/>
      <c r="AG18" s="396"/>
      <c r="AH18" s="396"/>
      <c r="AI18" s="396">
        <v>114</v>
      </c>
      <c r="AJ18" s="497">
        <f t="shared" si="6"/>
        <v>114</v>
      </c>
      <c r="AK18" s="397"/>
      <c r="AL18" s="397"/>
      <c r="AM18" s="397"/>
      <c r="AN18" s="397"/>
      <c r="AO18" s="397"/>
      <c r="AP18" s="397"/>
      <c r="AQ18" s="397"/>
      <c r="AR18" s="389">
        <f t="shared" si="2"/>
        <v>2037.46</v>
      </c>
      <c r="AS18" s="398">
        <f t="shared" si="8"/>
        <v>59086.340000000004</v>
      </c>
      <c r="AT18" s="513" t="e">
        <f t="shared" si="9"/>
        <v>#REF!</v>
      </c>
      <c r="AU18" s="344">
        <f t="shared" si="10"/>
        <v>29</v>
      </c>
    </row>
    <row r="19" spans="1:47" ht="13.5" customHeight="1" x14ac:dyDescent="0.3">
      <c r="A19" s="391">
        <v>43443</v>
      </c>
      <c r="B19" s="406">
        <v>0.46750000000000003</v>
      </c>
      <c r="C19" s="392" t="e">
        <f t="shared" si="7"/>
        <v>#REF!</v>
      </c>
      <c r="D19" s="400"/>
      <c r="E19" s="376"/>
      <c r="F19" s="431"/>
      <c r="G19" s="378">
        <v>430.19</v>
      </c>
      <c r="H19" s="378">
        <v>369.89</v>
      </c>
      <c r="I19" s="402"/>
      <c r="J19" s="789">
        <v>528.73</v>
      </c>
      <c r="K19" s="378">
        <v>714.75</v>
      </c>
      <c r="L19" s="537"/>
      <c r="M19" s="536">
        <v>1182</v>
      </c>
      <c r="N19" s="380">
        <v>625</v>
      </c>
      <c r="O19" s="380"/>
      <c r="P19" s="380">
        <v>1328</v>
      </c>
      <c r="Q19" s="380">
        <v>1774</v>
      </c>
      <c r="R19" s="380"/>
      <c r="S19" s="394">
        <f t="shared" si="0"/>
        <v>2043.56</v>
      </c>
      <c r="T19" s="395">
        <f t="shared" si="4"/>
        <v>4909</v>
      </c>
      <c r="U19" s="395">
        <f t="shared" si="11"/>
        <v>0.41628844978610713</v>
      </c>
      <c r="V19" s="383"/>
      <c r="W19" s="396">
        <v>28.05</v>
      </c>
      <c r="X19" s="366"/>
      <c r="Y19" s="396">
        <v>31.77</v>
      </c>
      <c r="Z19" s="378">
        <v>36.340000000000003</v>
      </c>
      <c r="AA19" s="499"/>
      <c r="AB19" s="396"/>
      <c r="AC19" s="396"/>
      <c r="AD19" s="396"/>
      <c r="AE19" s="396">
        <v>20.399999999999999</v>
      </c>
      <c r="AF19" s="396"/>
      <c r="AG19" s="396"/>
      <c r="AH19" s="396">
        <v>418</v>
      </c>
      <c r="AI19" s="396"/>
      <c r="AJ19" s="497">
        <f t="shared" si="6"/>
        <v>534.55999999999995</v>
      </c>
      <c r="AK19" s="397"/>
      <c r="AL19" s="388"/>
      <c r="AM19" s="397"/>
      <c r="AN19" s="404"/>
      <c r="AO19" s="404"/>
      <c r="AP19" s="404"/>
      <c r="AQ19" s="405"/>
      <c r="AR19" s="389">
        <f t="shared" si="2"/>
        <v>2578.12</v>
      </c>
      <c r="AS19" s="398">
        <f t="shared" si="8"/>
        <v>74765.48</v>
      </c>
      <c r="AT19" s="513" t="e">
        <f t="shared" si="9"/>
        <v>#REF!</v>
      </c>
      <c r="AU19" s="344">
        <f t="shared" si="10"/>
        <v>29</v>
      </c>
    </row>
    <row r="20" spans="1:47" ht="14.25" x14ac:dyDescent="0.3">
      <c r="A20" s="391">
        <v>43444</v>
      </c>
      <c r="B20" s="406">
        <v>0.55840000000000001</v>
      </c>
      <c r="C20" s="392" t="e">
        <f t="shared" si="7"/>
        <v>#REF!</v>
      </c>
      <c r="D20" s="400">
        <v>12000</v>
      </c>
      <c r="E20" s="376"/>
      <c r="F20" s="401"/>
      <c r="G20" s="378">
        <v>480.22</v>
      </c>
      <c r="H20" s="396">
        <v>623</v>
      </c>
      <c r="I20" s="402"/>
      <c r="J20" s="789">
        <v>503.76</v>
      </c>
      <c r="K20" s="378">
        <v>496.25</v>
      </c>
      <c r="L20" s="537"/>
      <c r="M20" s="536">
        <v>1246</v>
      </c>
      <c r="N20" s="380">
        <v>1562</v>
      </c>
      <c r="O20" s="380"/>
      <c r="P20" s="380">
        <v>1226</v>
      </c>
      <c r="Q20" s="380">
        <v>1282</v>
      </c>
      <c r="R20" s="541"/>
      <c r="S20" s="394">
        <f t="shared" si="0"/>
        <v>2103.23</v>
      </c>
      <c r="T20" s="395">
        <f t="shared" si="4"/>
        <v>5316</v>
      </c>
      <c r="U20" s="395">
        <f t="shared" si="11"/>
        <v>0.39564145974416853</v>
      </c>
      <c r="V20" s="383">
        <v>104.39</v>
      </c>
      <c r="W20" s="396">
        <v>76.47</v>
      </c>
      <c r="X20" s="366"/>
      <c r="Y20" s="396">
        <v>22.45</v>
      </c>
      <c r="Z20" s="378"/>
      <c r="AA20" s="499"/>
      <c r="AB20" s="396"/>
      <c r="AC20" s="396">
        <v>4.6900000000000004</v>
      </c>
      <c r="AD20" s="396"/>
      <c r="AE20" s="396"/>
      <c r="AF20" s="396"/>
      <c r="AG20" s="396"/>
      <c r="AH20" s="396">
        <v>124</v>
      </c>
      <c r="AI20" s="396">
        <v>106</v>
      </c>
      <c r="AJ20" s="497">
        <f t="shared" si="6"/>
        <v>438</v>
      </c>
      <c r="AK20" s="397"/>
      <c r="AL20" s="388"/>
      <c r="AM20" s="397"/>
      <c r="AN20" s="404"/>
      <c r="AO20" s="404"/>
      <c r="AP20" s="404"/>
      <c r="AQ20" s="405"/>
      <c r="AR20" s="389">
        <f t="shared" si="2"/>
        <v>2541.23</v>
      </c>
      <c r="AS20" s="398">
        <f t="shared" si="8"/>
        <v>73695.67</v>
      </c>
      <c r="AT20" s="513" t="e">
        <f t="shared" si="9"/>
        <v>#REF!</v>
      </c>
      <c r="AU20" s="344">
        <f t="shared" si="10"/>
        <v>29</v>
      </c>
    </row>
    <row r="21" spans="1:47" ht="14.25" x14ac:dyDescent="0.3">
      <c r="A21" s="391">
        <v>43445</v>
      </c>
      <c r="B21" s="406">
        <v>0.57140000000000002</v>
      </c>
      <c r="C21" s="392" t="e">
        <f t="shared" si="7"/>
        <v>#REF!</v>
      </c>
      <c r="D21" s="400"/>
      <c r="E21" s="376"/>
      <c r="F21" s="401"/>
      <c r="G21" s="378">
        <v>489.54</v>
      </c>
      <c r="H21" s="378">
        <v>516.02</v>
      </c>
      <c r="I21" s="402"/>
      <c r="J21" s="789">
        <v>659.24</v>
      </c>
      <c r="K21" s="378">
        <v>379.53</v>
      </c>
      <c r="L21" s="537"/>
      <c r="M21" s="536">
        <v>1153</v>
      </c>
      <c r="N21" s="380">
        <v>1304</v>
      </c>
      <c r="O21" s="380"/>
      <c r="P21" s="380">
        <v>1700</v>
      </c>
      <c r="Q21" s="380">
        <v>765</v>
      </c>
      <c r="R21" s="380"/>
      <c r="S21" s="394">
        <f t="shared" si="0"/>
        <v>2044.33</v>
      </c>
      <c r="T21" s="395">
        <f t="shared" si="4"/>
        <v>4922</v>
      </c>
      <c r="U21" s="395">
        <f t="shared" si="11"/>
        <v>0.41534538805363674</v>
      </c>
      <c r="V21" s="383">
        <v>21.87</v>
      </c>
      <c r="W21" s="396"/>
      <c r="X21" s="366"/>
      <c r="Y21" s="396"/>
      <c r="Z21" s="378">
        <v>45.46</v>
      </c>
      <c r="AA21" s="499"/>
      <c r="AB21" s="396"/>
      <c r="AC21" s="396"/>
      <c r="AD21" s="396"/>
      <c r="AE21" s="396"/>
      <c r="AF21" s="396"/>
      <c r="AG21" s="396"/>
      <c r="AH21" s="396"/>
      <c r="AI21" s="396">
        <v>155</v>
      </c>
      <c r="AJ21" s="497">
        <f t="shared" si="6"/>
        <v>222.32999999999998</v>
      </c>
      <c r="AK21" s="387"/>
      <c r="AL21" s="388"/>
      <c r="AM21" s="397"/>
      <c r="AN21" s="404"/>
      <c r="AO21" s="404"/>
      <c r="AP21" s="404"/>
      <c r="AQ21" s="405"/>
      <c r="AR21" s="389">
        <f>SUM(AJ21+S21)</f>
        <v>2266.66</v>
      </c>
      <c r="AS21" s="398">
        <f t="shared" si="8"/>
        <v>65733.14</v>
      </c>
      <c r="AT21" s="513" t="e">
        <f t="shared" si="9"/>
        <v>#REF!</v>
      </c>
      <c r="AU21" s="344">
        <f>SUM(AU20)</f>
        <v>29</v>
      </c>
    </row>
    <row r="22" spans="1:47" ht="14.25" x14ac:dyDescent="0.3">
      <c r="A22" s="391">
        <v>43446</v>
      </c>
      <c r="B22" s="406">
        <v>0.23380000000000001</v>
      </c>
      <c r="C22" s="392" t="e">
        <f t="shared" si="7"/>
        <v>#REF!</v>
      </c>
      <c r="D22" s="400"/>
      <c r="E22" s="376"/>
      <c r="F22" s="401"/>
      <c r="G22" s="378">
        <v>441.34</v>
      </c>
      <c r="H22" s="378">
        <v>613.96</v>
      </c>
      <c r="I22" s="402"/>
      <c r="J22" s="789">
        <v>571.09</v>
      </c>
      <c r="K22" s="378">
        <v>290.85000000000002</v>
      </c>
      <c r="L22" s="537"/>
      <c r="M22" s="536">
        <v>1165</v>
      </c>
      <c r="N22" s="380">
        <v>1440</v>
      </c>
      <c r="O22" s="380"/>
      <c r="P22" s="380">
        <v>1474</v>
      </c>
      <c r="Q22" s="380">
        <v>791</v>
      </c>
      <c r="R22" s="380"/>
      <c r="S22" s="394">
        <f t="shared" si="0"/>
        <v>1917.2399999999998</v>
      </c>
      <c r="T22" s="395">
        <f t="shared" si="4"/>
        <v>4870</v>
      </c>
      <c r="U22" s="395">
        <f t="shared" si="11"/>
        <v>0.39368377823408618</v>
      </c>
      <c r="V22" s="383"/>
      <c r="W22" s="396">
        <v>12.64</v>
      </c>
      <c r="X22" s="366"/>
      <c r="Y22" s="396">
        <v>14.73</v>
      </c>
      <c r="Z22" s="378">
        <v>19.87</v>
      </c>
      <c r="AA22" s="499"/>
      <c r="AB22" s="396"/>
      <c r="AC22" s="396"/>
      <c r="AD22" s="396"/>
      <c r="AE22" s="396"/>
      <c r="AF22" s="396"/>
      <c r="AG22" s="396"/>
      <c r="AH22" s="396">
        <v>74</v>
      </c>
      <c r="AI22" s="396">
        <v>77</v>
      </c>
      <c r="AJ22" s="497">
        <f t="shared" si="6"/>
        <v>198.24</v>
      </c>
      <c r="AK22" s="387"/>
      <c r="AL22" s="388"/>
      <c r="AM22" s="397"/>
      <c r="AN22" s="404"/>
      <c r="AO22" s="404"/>
      <c r="AP22" s="404"/>
      <c r="AQ22" s="405"/>
      <c r="AR22" s="389">
        <f t="shared" si="2"/>
        <v>2115.4799999999996</v>
      </c>
      <c r="AS22" s="398">
        <f t="shared" si="8"/>
        <v>61348.919999999984</v>
      </c>
      <c r="AT22" s="513" t="e">
        <f t="shared" si="9"/>
        <v>#REF!</v>
      </c>
      <c r="AU22" s="344">
        <f>SUM(AU21)</f>
        <v>29</v>
      </c>
    </row>
    <row r="23" spans="1:47" ht="14.25" x14ac:dyDescent="0.3">
      <c r="A23" s="391">
        <v>43447</v>
      </c>
      <c r="B23" s="406">
        <v>0.2727</v>
      </c>
      <c r="C23" s="392" t="e">
        <f t="shared" si="7"/>
        <v>#REF!</v>
      </c>
      <c r="D23" s="400"/>
      <c r="E23" s="529"/>
      <c r="F23" s="401"/>
      <c r="G23" s="378">
        <v>445.95</v>
      </c>
      <c r="H23" s="378">
        <v>724.23</v>
      </c>
      <c r="I23" s="402"/>
      <c r="J23" s="789">
        <v>467.62</v>
      </c>
      <c r="K23" s="378">
        <v>253.78</v>
      </c>
      <c r="L23" s="537"/>
      <c r="M23" s="536">
        <v>1026</v>
      </c>
      <c r="N23" s="380">
        <v>1851</v>
      </c>
      <c r="O23" s="380"/>
      <c r="P23" s="380">
        <v>1275</v>
      </c>
      <c r="Q23" s="380">
        <v>508</v>
      </c>
      <c r="R23" s="380"/>
      <c r="S23" s="394">
        <f t="shared" si="0"/>
        <v>1891.5800000000002</v>
      </c>
      <c r="T23" s="395">
        <f t="shared" si="4"/>
        <v>4660</v>
      </c>
      <c r="U23" s="395">
        <f t="shared" si="11"/>
        <v>0.40591845493562234</v>
      </c>
      <c r="V23" s="383">
        <v>67.87</v>
      </c>
      <c r="W23" s="396">
        <v>27.84</v>
      </c>
      <c r="X23" s="366"/>
      <c r="Y23" s="396"/>
      <c r="Z23" s="378">
        <v>18.39</v>
      </c>
      <c r="AA23" s="499"/>
      <c r="AB23" s="396"/>
      <c r="AC23" s="396"/>
      <c r="AD23" s="396"/>
      <c r="AE23" s="396"/>
      <c r="AF23" s="396"/>
      <c r="AG23" s="396"/>
      <c r="AH23" s="396"/>
      <c r="AI23" s="396"/>
      <c r="AJ23" s="497">
        <f t="shared" si="6"/>
        <v>114.10000000000001</v>
      </c>
      <c r="AK23" s="387"/>
      <c r="AL23" s="387"/>
      <c r="AM23" s="387"/>
      <c r="AN23" s="387"/>
      <c r="AO23" s="387"/>
      <c r="AP23" s="387"/>
      <c r="AQ23" s="387"/>
      <c r="AR23" s="389">
        <f t="shared" si="2"/>
        <v>2005.68</v>
      </c>
      <c r="AS23" s="398">
        <f t="shared" si="8"/>
        <v>58164.72</v>
      </c>
      <c r="AT23" s="513" t="e">
        <f t="shared" si="9"/>
        <v>#REF!</v>
      </c>
      <c r="AU23" s="344">
        <f t="shared" si="10"/>
        <v>29</v>
      </c>
    </row>
    <row r="24" spans="1:47" ht="14.25" x14ac:dyDescent="0.3">
      <c r="A24" s="391">
        <v>43448</v>
      </c>
      <c r="B24" s="406">
        <v>0.25950000000000001</v>
      </c>
      <c r="C24" s="392" t="e">
        <f t="shared" si="7"/>
        <v>#REF!</v>
      </c>
      <c r="D24" s="400"/>
      <c r="E24" s="376"/>
      <c r="F24" s="401"/>
      <c r="G24" s="378">
        <v>642.59</v>
      </c>
      <c r="H24" s="378">
        <v>387.52</v>
      </c>
      <c r="I24" s="402"/>
      <c r="J24" s="789">
        <v>411.4</v>
      </c>
      <c r="K24" s="378">
        <v>550.92999999999995</v>
      </c>
      <c r="L24" s="537"/>
      <c r="M24" s="536">
        <v>1571</v>
      </c>
      <c r="N24" s="380">
        <v>954</v>
      </c>
      <c r="O24" s="380"/>
      <c r="P24" s="380">
        <v>925</v>
      </c>
      <c r="Q24" s="380">
        <v>1298</v>
      </c>
      <c r="R24" s="380"/>
      <c r="S24" s="394">
        <f t="shared" si="0"/>
        <v>1992.44</v>
      </c>
      <c r="T24" s="395">
        <f t="shared" si="4"/>
        <v>4748</v>
      </c>
      <c r="U24" s="395">
        <f t="shared" si="11"/>
        <v>0.41963774220724515</v>
      </c>
      <c r="V24" s="383">
        <v>45.96</v>
      </c>
      <c r="W24" s="396"/>
      <c r="X24" s="366"/>
      <c r="Y24" s="396"/>
      <c r="Z24" s="378">
        <v>25.09</v>
      </c>
      <c r="AA24" s="499"/>
      <c r="AB24" s="396"/>
      <c r="AC24" s="396"/>
      <c r="AD24" s="396"/>
      <c r="AE24" s="396"/>
      <c r="AF24" s="396">
        <v>49.47</v>
      </c>
      <c r="AG24" s="396"/>
      <c r="AH24" s="396">
        <v>195</v>
      </c>
      <c r="AI24" s="396"/>
      <c r="AJ24" s="497">
        <f t="shared" si="6"/>
        <v>315.52</v>
      </c>
      <c r="AK24" s="387"/>
      <c r="AL24" s="387"/>
      <c r="AM24" s="387"/>
      <c r="AN24" s="387"/>
      <c r="AO24" s="387"/>
      <c r="AP24" s="387"/>
      <c r="AQ24" s="387"/>
      <c r="AR24" s="389">
        <f t="shared" si="2"/>
        <v>2307.96</v>
      </c>
      <c r="AS24" s="398">
        <f t="shared" si="8"/>
        <v>66930.84</v>
      </c>
      <c r="AT24" s="513" t="e">
        <f t="shared" si="9"/>
        <v>#REF!</v>
      </c>
      <c r="AU24" s="344">
        <f t="shared" si="10"/>
        <v>29</v>
      </c>
    </row>
    <row r="25" spans="1:47" ht="14.25" x14ac:dyDescent="0.3">
      <c r="A25" s="391">
        <v>43449</v>
      </c>
      <c r="B25" s="406">
        <v>0.12989999999999999</v>
      </c>
      <c r="C25" s="392" t="e">
        <f t="shared" si="7"/>
        <v>#REF!</v>
      </c>
      <c r="D25" s="400"/>
      <c r="E25" s="376"/>
      <c r="F25" s="401"/>
      <c r="G25" s="378">
        <v>489.47</v>
      </c>
      <c r="H25" s="378">
        <v>285.18</v>
      </c>
      <c r="I25" s="402"/>
      <c r="J25" s="789">
        <v>576.47</v>
      </c>
      <c r="K25" s="378">
        <v>586.86</v>
      </c>
      <c r="L25" s="537"/>
      <c r="M25" s="536">
        <v>1208</v>
      </c>
      <c r="N25" s="380">
        <v>628</v>
      </c>
      <c r="O25" s="380"/>
      <c r="P25" s="380">
        <v>1488</v>
      </c>
      <c r="Q25" s="380">
        <v>1400</v>
      </c>
      <c r="R25" s="380"/>
      <c r="S25" s="394">
        <f t="shared" si="0"/>
        <v>1937.98</v>
      </c>
      <c r="T25" s="395">
        <f t="shared" si="4"/>
        <v>4724</v>
      </c>
      <c r="U25" s="395">
        <f t="shared" si="11"/>
        <v>0.41024132091447923</v>
      </c>
      <c r="V25" s="383"/>
      <c r="W25" s="396"/>
      <c r="X25" s="366"/>
      <c r="Y25" s="396"/>
      <c r="Z25" s="378"/>
      <c r="AA25" s="499"/>
      <c r="AB25" s="396"/>
      <c r="AC25" s="396"/>
      <c r="AD25" s="396"/>
      <c r="AE25" s="396">
        <v>263.58999999999997</v>
      </c>
      <c r="AF25" s="396">
        <v>7.73</v>
      </c>
      <c r="AG25" s="396"/>
      <c r="AH25" s="396">
        <v>250</v>
      </c>
      <c r="AI25" s="396">
        <v>50</v>
      </c>
      <c r="AJ25" s="497">
        <f t="shared" si="6"/>
        <v>571.31999999999994</v>
      </c>
      <c r="AK25" s="387"/>
      <c r="AL25" s="387"/>
      <c r="AM25" s="387"/>
      <c r="AN25" s="387"/>
      <c r="AO25" s="387"/>
      <c r="AP25" s="387"/>
      <c r="AQ25" s="387"/>
      <c r="AR25" s="389">
        <f t="shared" si="2"/>
        <v>2509.3000000000002</v>
      </c>
      <c r="AS25" s="398">
        <f t="shared" si="8"/>
        <v>72769.700000000012</v>
      </c>
      <c r="AT25" s="513" t="e">
        <f t="shared" si="9"/>
        <v>#REF!</v>
      </c>
      <c r="AU25" s="344">
        <f t="shared" si="10"/>
        <v>29</v>
      </c>
    </row>
    <row r="26" spans="1:47" ht="14.25" x14ac:dyDescent="0.3">
      <c r="A26" s="391">
        <v>43450</v>
      </c>
      <c r="B26" s="406">
        <v>0.25969999999999999</v>
      </c>
      <c r="C26" s="392" t="e">
        <f t="shared" si="7"/>
        <v>#REF!</v>
      </c>
      <c r="D26" s="400">
        <v>12000</v>
      </c>
      <c r="E26" s="376">
        <v>12000</v>
      </c>
      <c r="F26" s="401"/>
      <c r="G26" s="378">
        <v>507.45</v>
      </c>
      <c r="H26" s="378">
        <v>651.54999999999995</v>
      </c>
      <c r="I26" s="402"/>
      <c r="J26" s="789">
        <v>558.03</v>
      </c>
      <c r="K26" s="378">
        <v>305.08999999999997</v>
      </c>
      <c r="L26" s="537">
        <v>20.010000000000002</v>
      </c>
      <c r="M26" s="536">
        <v>1218</v>
      </c>
      <c r="N26" s="380">
        <v>1520</v>
      </c>
      <c r="O26" s="380"/>
      <c r="P26" s="380">
        <v>1453</v>
      </c>
      <c r="Q26" s="380">
        <v>814</v>
      </c>
      <c r="R26" s="380"/>
      <c r="S26" s="394">
        <f t="shared" si="0"/>
        <v>2042.1299999999999</v>
      </c>
      <c r="T26" s="395">
        <f t="shared" si="4"/>
        <v>5005</v>
      </c>
      <c r="U26" s="395">
        <f t="shared" si="11"/>
        <v>0.40801798201798201</v>
      </c>
      <c r="V26" s="383">
        <v>46.21</v>
      </c>
      <c r="W26" s="396"/>
      <c r="X26" s="366">
        <v>64.069999999999993</v>
      </c>
      <c r="Y26" s="396"/>
      <c r="Z26" s="396">
        <v>19.46</v>
      </c>
      <c r="AA26" s="499"/>
      <c r="AB26" s="396"/>
      <c r="AC26" s="396"/>
      <c r="AD26" s="396"/>
      <c r="AE26" s="396"/>
      <c r="AF26" s="396"/>
      <c r="AG26" s="396"/>
      <c r="AH26" s="396">
        <v>121</v>
      </c>
      <c r="AI26" s="396">
        <v>85</v>
      </c>
      <c r="AJ26" s="497">
        <f t="shared" si="6"/>
        <v>335.74</v>
      </c>
      <c r="AK26" s="387"/>
      <c r="AL26" s="387"/>
      <c r="AM26" s="387"/>
      <c r="AN26" s="387"/>
      <c r="AO26" s="387"/>
      <c r="AP26" s="387"/>
      <c r="AQ26" s="387"/>
      <c r="AR26" s="389">
        <f t="shared" si="2"/>
        <v>2377.87</v>
      </c>
      <c r="AS26" s="398">
        <f t="shared" si="8"/>
        <v>68958.23</v>
      </c>
      <c r="AT26" s="513" t="e">
        <f t="shared" si="9"/>
        <v>#REF!</v>
      </c>
      <c r="AU26" s="344">
        <f t="shared" si="10"/>
        <v>29</v>
      </c>
    </row>
    <row r="27" spans="1:47" ht="14.25" x14ac:dyDescent="0.3">
      <c r="A27" s="391">
        <v>43451</v>
      </c>
      <c r="B27" s="406">
        <v>0.29870000000000002</v>
      </c>
      <c r="C27" s="392" t="e">
        <f t="shared" si="7"/>
        <v>#REF!</v>
      </c>
      <c r="D27" s="400"/>
      <c r="E27" s="376"/>
      <c r="F27" s="401"/>
      <c r="G27" s="378">
        <v>787.66</v>
      </c>
      <c r="H27" s="378">
        <v>481.46</v>
      </c>
      <c r="I27" s="402"/>
      <c r="J27" s="789">
        <v>645.62</v>
      </c>
      <c r="K27" s="378">
        <v>184.32</v>
      </c>
      <c r="L27" s="537"/>
      <c r="M27" s="536">
        <v>2022</v>
      </c>
      <c r="N27" s="380">
        <v>1197</v>
      </c>
      <c r="O27" s="380"/>
      <c r="P27" s="380">
        <v>1680</v>
      </c>
      <c r="Q27" s="380">
        <v>433</v>
      </c>
      <c r="R27" s="380"/>
      <c r="S27" s="394">
        <f t="shared" si="0"/>
        <v>2099.06</v>
      </c>
      <c r="T27" s="395">
        <f t="shared" si="4"/>
        <v>5332</v>
      </c>
      <c r="U27" s="395">
        <f t="shared" si="11"/>
        <v>0.3936721680420105</v>
      </c>
      <c r="V27" s="383">
        <v>23.89</v>
      </c>
      <c r="W27" s="396"/>
      <c r="X27" s="366">
        <v>29.88</v>
      </c>
      <c r="Y27" s="396"/>
      <c r="Z27" s="378"/>
      <c r="AA27" s="499"/>
      <c r="AB27" s="396"/>
      <c r="AC27" s="396"/>
      <c r="AD27" s="396">
        <v>226.54</v>
      </c>
      <c r="AE27" s="396"/>
      <c r="AF27" s="396"/>
      <c r="AG27" s="396"/>
      <c r="AH27" s="396">
        <v>101</v>
      </c>
      <c r="AI27" s="396">
        <v>200</v>
      </c>
      <c r="AJ27" s="497">
        <f t="shared" si="6"/>
        <v>581.30999999999995</v>
      </c>
      <c r="AK27" s="387"/>
      <c r="AL27" s="387"/>
      <c r="AM27" s="387"/>
      <c r="AN27" s="387"/>
      <c r="AO27" s="387"/>
      <c r="AP27" s="387"/>
      <c r="AQ27" s="387"/>
      <c r="AR27" s="389">
        <f t="shared" si="2"/>
        <v>2680.37</v>
      </c>
      <c r="AS27" s="398">
        <f t="shared" si="8"/>
        <v>77730.73</v>
      </c>
      <c r="AT27" s="513" t="e">
        <f t="shared" si="9"/>
        <v>#REF!</v>
      </c>
      <c r="AU27" s="344">
        <f t="shared" si="10"/>
        <v>29</v>
      </c>
    </row>
    <row r="28" spans="1:47" ht="14.25" x14ac:dyDescent="0.3">
      <c r="A28" s="391">
        <v>43452</v>
      </c>
      <c r="B28" s="406">
        <v>0.50649999999999995</v>
      </c>
      <c r="C28" s="392" t="e">
        <f t="shared" si="7"/>
        <v>#REF!</v>
      </c>
      <c r="D28" s="400"/>
      <c r="E28" s="376"/>
      <c r="F28" s="377"/>
      <c r="G28" s="378">
        <v>643.39</v>
      </c>
      <c r="H28" s="378">
        <v>796.21</v>
      </c>
      <c r="I28" s="379"/>
      <c r="J28" s="789">
        <v>563.28</v>
      </c>
      <c r="K28" s="378">
        <v>369.1</v>
      </c>
      <c r="L28" s="537"/>
      <c r="M28" s="536">
        <v>1646</v>
      </c>
      <c r="N28" s="380">
        <v>2030</v>
      </c>
      <c r="O28" s="380"/>
      <c r="P28" s="380">
        <v>1304</v>
      </c>
      <c r="Q28" s="380">
        <v>910</v>
      </c>
      <c r="R28" s="380"/>
      <c r="S28" s="394">
        <f t="shared" si="0"/>
        <v>2371.98</v>
      </c>
      <c r="T28" s="395">
        <f t="shared" si="4"/>
        <v>5890</v>
      </c>
      <c r="U28" s="395">
        <f t="shared" si="11"/>
        <v>0.4027130730050934</v>
      </c>
      <c r="V28" s="383">
        <v>11.71</v>
      </c>
      <c r="W28" s="396"/>
      <c r="X28" s="366"/>
      <c r="Y28" s="396"/>
      <c r="Z28" s="378"/>
      <c r="AA28" s="499"/>
      <c r="AB28" s="396"/>
      <c r="AC28" s="396"/>
      <c r="AD28" s="396"/>
      <c r="AE28" s="396"/>
      <c r="AF28" s="396"/>
      <c r="AG28" s="396"/>
      <c r="AH28" s="396"/>
      <c r="AI28" s="396">
        <v>174</v>
      </c>
      <c r="AJ28" s="497">
        <f t="shared" si="6"/>
        <v>185.71</v>
      </c>
      <c r="AK28" s="387"/>
      <c r="AL28" s="387"/>
      <c r="AM28" s="387"/>
      <c r="AN28" s="387"/>
      <c r="AO28" s="387"/>
      <c r="AP28" s="387"/>
      <c r="AQ28" s="387"/>
      <c r="AR28" s="389">
        <f t="shared" si="2"/>
        <v>2557.69</v>
      </c>
      <c r="AS28" s="398">
        <f t="shared" si="8"/>
        <v>74173.009999999995</v>
      </c>
      <c r="AT28" s="513" t="e">
        <f t="shared" si="9"/>
        <v>#REF!</v>
      </c>
      <c r="AU28" s="344">
        <f t="shared" si="10"/>
        <v>29</v>
      </c>
    </row>
    <row r="29" spans="1:47" ht="14.25" x14ac:dyDescent="0.3">
      <c r="A29" s="391">
        <v>43453</v>
      </c>
      <c r="B29" s="406">
        <v>0.44159999999999999</v>
      </c>
      <c r="C29" s="392" t="e">
        <f t="shared" si="7"/>
        <v>#REF!</v>
      </c>
      <c r="D29" s="400"/>
      <c r="E29" s="376"/>
      <c r="F29" s="377"/>
      <c r="G29" s="378">
        <v>579.14</v>
      </c>
      <c r="H29" s="378">
        <v>446.54</v>
      </c>
      <c r="I29" s="379"/>
      <c r="J29" s="789">
        <v>359.47</v>
      </c>
      <c r="K29" s="378">
        <v>873.6</v>
      </c>
      <c r="L29" s="537"/>
      <c r="M29" s="536">
        <v>1304</v>
      </c>
      <c r="N29" s="380">
        <v>1239</v>
      </c>
      <c r="O29" s="380"/>
      <c r="P29" s="380">
        <v>996</v>
      </c>
      <c r="Q29" s="380">
        <v>2198</v>
      </c>
      <c r="R29" s="380"/>
      <c r="S29" s="394">
        <f t="shared" si="0"/>
        <v>2258.75</v>
      </c>
      <c r="T29" s="395">
        <f>SUM(M29:R29)</f>
        <v>5737</v>
      </c>
      <c r="U29" s="395">
        <f t="shared" si="11"/>
        <v>0.39371622799372497</v>
      </c>
      <c r="V29" s="383"/>
      <c r="W29" s="396"/>
      <c r="X29" s="366"/>
      <c r="Y29" s="396"/>
      <c r="Z29" s="378"/>
      <c r="AA29" s="499"/>
      <c r="AB29" s="396"/>
      <c r="AC29" s="396"/>
      <c r="AD29" s="396"/>
      <c r="AE29" s="396"/>
      <c r="AF29" s="396"/>
      <c r="AG29" s="396"/>
      <c r="AH29" s="396"/>
      <c r="AI29" s="396">
        <v>118</v>
      </c>
      <c r="AJ29" s="497">
        <f t="shared" si="6"/>
        <v>118</v>
      </c>
      <c r="AK29" s="387"/>
      <c r="AL29" s="387"/>
      <c r="AM29" s="387"/>
      <c r="AN29" s="387"/>
      <c r="AO29" s="387"/>
      <c r="AP29" s="387"/>
      <c r="AQ29" s="387"/>
      <c r="AR29" s="389">
        <f t="shared" si="2"/>
        <v>2376.75</v>
      </c>
      <c r="AS29" s="398">
        <f t="shared" si="8"/>
        <v>68925.75</v>
      </c>
      <c r="AT29" s="513" t="e">
        <f t="shared" si="9"/>
        <v>#REF!</v>
      </c>
      <c r="AU29" s="344">
        <f t="shared" si="10"/>
        <v>29</v>
      </c>
    </row>
    <row r="30" spans="1:47" ht="14.25" x14ac:dyDescent="0.3">
      <c r="A30" s="391">
        <v>43454</v>
      </c>
      <c r="B30" s="406">
        <v>0.40260000000000001</v>
      </c>
      <c r="C30" s="392" t="e">
        <f t="shared" si="7"/>
        <v>#REF!</v>
      </c>
      <c r="D30" s="400"/>
      <c r="E30" s="376"/>
      <c r="F30" s="377"/>
      <c r="G30" s="378">
        <v>520.6</v>
      </c>
      <c r="H30" s="378">
        <v>836.04</v>
      </c>
      <c r="I30" s="379"/>
      <c r="J30" s="789">
        <v>473.81</v>
      </c>
      <c r="K30" s="378">
        <v>524.88</v>
      </c>
      <c r="L30" s="537"/>
      <c r="M30" s="536">
        <v>1237</v>
      </c>
      <c r="N30" s="380">
        <v>2000</v>
      </c>
      <c r="O30" s="380"/>
      <c r="P30" s="380">
        <v>1103</v>
      </c>
      <c r="Q30" s="380">
        <v>1242</v>
      </c>
      <c r="R30" s="380"/>
      <c r="S30" s="394">
        <f t="shared" si="0"/>
        <v>2355.33</v>
      </c>
      <c r="T30" s="395">
        <f t="shared" si="4"/>
        <v>5582</v>
      </c>
      <c r="U30" s="395">
        <f t="shared" si="11"/>
        <v>0.42195091365102111</v>
      </c>
      <c r="V30" s="383"/>
      <c r="W30" s="396">
        <v>59.98</v>
      </c>
      <c r="X30" s="366">
        <v>45.03</v>
      </c>
      <c r="Y30" s="396">
        <v>46.94</v>
      </c>
      <c r="Z30" s="378"/>
      <c r="AA30" s="499"/>
      <c r="AB30" s="396"/>
      <c r="AC30" s="396"/>
      <c r="AD30" s="396"/>
      <c r="AE30" s="396">
        <v>246.41</v>
      </c>
      <c r="AF30" s="396">
        <v>21.73</v>
      </c>
      <c r="AG30" s="396"/>
      <c r="AH30" s="396">
        <v>64</v>
      </c>
      <c r="AI30" s="396">
        <v>206</v>
      </c>
      <c r="AJ30" s="497">
        <f t="shared" si="6"/>
        <v>690.09</v>
      </c>
      <c r="AK30" s="387"/>
      <c r="AL30" s="387"/>
      <c r="AM30" s="387"/>
      <c r="AN30" s="387"/>
      <c r="AO30" s="387"/>
      <c r="AP30" s="387"/>
      <c r="AQ30" s="387"/>
      <c r="AR30" s="389">
        <f t="shared" si="2"/>
        <v>3045.42</v>
      </c>
      <c r="AS30" s="398">
        <f t="shared" si="8"/>
        <v>88317.180000000008</v>
      </c>
      <c r="AT30" s="513" t="e">
        <f t="shared" si="9"/>
        <v>#REF!</v>
      </c>
      <c r="AU30" s="344">
        <f t="shared" si="10"/>
        <v>29</v>
      </c>
    </row>
    <row r="31" spans="1:47" ht="14.25" x14ac:dyDescent="0.3">
      <c r="A31" s="391">
        <v>43455</v>
      </c>
      <c r="B31" s="406">
        <v>0.49349999999999999</v>
      </c>
      <c r="C31" s="392" t="e">
        <f t="shared" si="7"/>
        <v>#REF!</v>
      </c>
      <c r="D31" s="400"/>
      <c r="E31" s="376"/>
      <c r="F31" s="377"/>
      <c r="G31" s="378">
        <v>549.84</v>
      </c>
      <c r="H31" s="378">
        <v>366.56</v>
      </c>
      <c r="I31" s="379"/>
      <c r="J31" s="789">
        <v>682.46</v>
      </c>
      <c r="K31" s="378">
        <v>560.54</v>
      </c>
      <c r="L31" s="537"/>
      <c r="M31" s="536">
        <v>1267</v>
      </c>
      <c r="N31" s="380">
        <v>1163</v>
      </c>
      <c r="O31" s="380"/>
      <c r="P31" s="380">
        <v>1762</v>
      </c>
      <c r="Q31" s="380">
        <v>1407</v>
      </c>
      <c r="R31" s="380"/>
      <c r="S31" s="394">
        <f t="shared" si="0"/>
        <v>2159.4</v>
      </c>
      <c r="T31" s="395">
        <f t="shared" si="4"/>
        <v>5599</v>
      </c>
      <c r="U31" s="395">
        <f t="shared" si="11"/>
        <v>0.38567601357385251</v>
      </c>
      <c r="V31" s="383"/>
      <c r="W31" s="396"/>
      <c r="X31" s="366">
        <v>40.380000000000003</v>
      </c>
      <c r="Y31" s="396"/>
      <c r="Z31" s="378"/>
      <c r="AA31" s="499"/>
      <c r="AB31" s="396"/>
      <c r="AC31" s="396"/>
      <c r="AD31" s="396"/>
      <c r="AE31" s="396"/>
      <c r="AF31" s="396"/>
      <c r="AG31" s="396"/>
      <c r="AH31" s="396"/>
      <c r="AI31" s="396">
        <v>504</v>
      </c>
      <c r="AJ31" s="497">
        <f t="shared" si="6"/>
        <v>544.38</v>
      </c>
      <c r="AK31" s="387"/>
      <c r="AL31" s="387"/>
      <c r="AM31" s="387"/>
      <c r="AN31" s="387"/>
      <c r="AO31" s="387"/>
      <c r="AP31" s="387"/>
      <c r="AQ31" s="387"/>
      <c r="AR31" s="389">
        <f t="shared" si="2"/>
        <v>2703.78</v>
      </c>
      <c r="AS31" s="398">
        <f t="shared" si="8"/>
        <v>78409.62000000001</v>
      </c>
      <c r="AT31" s="513" t="e">
        <f t="shared" si="9"/>
        <v>#REF!</v>
      </c>
      <c r="AU31" s="344">
        <f t="shared" si="10"/>
        <v>29</v>
      </c>
    </row>
    <row r="32" spans="1:47" ht="14.25" x14ac:dyDescent="0.3">
      <c r="A32" s="391">
        <v>43456</v>
      </c>
      <c r="B32" s="406">
        <v>0.49349999999999999</v>
      </c>
      <c r="C32" s="392" t="e">
        <f t="shared" si="7"/>
        <v>#REF!</v>
      </c>
      <c r="D32" s="400">
        <v>16800</v>
      </c>
      <c r="E32" s="376">
        <v>17000</v>
      </c>
      <c r="F32" s="377"/>
      <c r="G32" s="378">
        <v>487.4</v>
      </c>
      <c r="H32" s="378">
        <v>613.20000000000005</v>
      </c>
      <c r="I32" s="379"/>
      <c r="J32" s="789">
        <v>882.34</v>
      </c>
      <c r="K32" s="378">
        <v>518.08000000000004</v>
      </c>
      <c r="L32" s="537"/>
      <c r="M32" s="536">
        <v>1195</v>
      </c>
      <c r="N32" s="380">
        <v>1269</v>
      </c>
      <c r="O32" s="380"/>
      <c r="P32" s="380">
        <v>2277</v>
      </c>
      <c r="Q32" s="380">
        <v>1187</v>
      </c>
      <c r="R32" s="380"/>
      <c r="S32" s="394">
        <f t="shared" si="0"/>
        <v>2501.02</v>
      </c>
      <c r="T32" s="395">
        <f t="shared" si="4"/>
        <v>5928</v>
      </c>
      <c r="U32" s="395">
        <f t="shared" si="11"/>
        <v>0.42189946018893387</v>
      </c>
      <c r="V32" s="383">
        <v>49.73</v>
      </c>
      <c r="W32" s="396">
        <v>29.75</v>
      </c>
      <c r="X32" s="366"/>
      <c r="Y32" s="396"/>
      <c r="Z32" s="378">
        <v>22.25</v>
      </c>
      <c r="AA32" s="499"/>
      <c r="AB32" s="396"/>
      <c r="AC32" s="396"/>
      <c r="AD32" s="396"/>
      <c r="AE32" s="396"/>
      <c r="AF32" s="396"/>
      <c r="AG32" s="396"/>
      <c r="AH32" s="396">
        <v>221</v>
      </c>
      <c r="AI32" s="396"/>
      <c r="AJ32" s="497">
        <f>SUM(V32:AH32)</f>
        <v>322.73</v>
      </c>
      <c r="AK32" s="387"/>
      <c r="AL32" s="387"/>
      <c r="AM32" s="387"/>
      <c r="AN32" s="387"/>
      <c r="AO32" s="387"/>
      <c r="AP32" s="387"/>
      <c r="AQ32" s="387"/>
      <c r="AR32" s="389">
        <f t="shared" ref="AR32:AR43" si="12">SUM(AJ32+S32)</f>
        <v>2823.75</v>
      </c>
      <c r="AS32" s="398">
        <f t="shared" si="8"/>
        <v>81888.75</v>
      </c>
      <c r="AT32" s="513" t="e">
        <f t="shared" si="9"/>
        <v>#REF!</v>
      </c>
      <c r="AU32" s="344">
        <f t="shared" si="10"/>
        <v>29</v>
      </c>
    </row>
    <row r="33" spans="1:47" ht="14.25" x14ac:dyDescent="0.3">
      <c r="A33" s="391">
        <v>43457</v>
      </c>
      <c r="B33" s="406">
        <v>0.4456</v>
      </c>
      <c r="C33" s="392" t="e">
        <f t="shared" si="7"/>
        <v>#REF!</v>
      </c>
      <c r="D33" s="400"/>
      <c r="E33" s="376"/>
      <c r="F33" s="377"/>
      <c r="G33" s="378">
        <v>723.52</v>
      </c>
      <c r="H33" s="378">
        <v>626.42999999999995</v>
      </c>
      <c r="I33" s="379"/>
      <c r="J33" s="789">
        <v>473.6</v>
      </c>
      <c r="K33" s="378">
        <v>551.91999999999996</v>
      </c>
      <c r="L33" s="537"/>
      <c r="M33" s="536">
        <v>1693</v>
      </c>
      <c r="N33" s="380">
        <v>1591</v>
      </c>
      <c r="O33" s="380"/>
      <c r="P33" s="380">
        <v>1366</v>
      </c>
      <c r="Q33" s="380">
        <v>1200</v>
      </c>
      <c r="R33" s="380"/>
      <c r="S33" s="394">
        <f t="shared" si="0"/>
        <v>2375.4699999999998</v>
      </c>
      <c r="T33" s="395">
        <f>SUM(M33:R33)</f>
        <v>5850</v>
      </c>
      <c r="U33" s="395">
        <f t="shared" si="11"/>
        <v>0.40606324786324782</v>
      </c>
      <c r="V33" s="383">
        <v>54.78</v>
      </c>
      <c r="W33" s="396"/>
      <c r="X33" s="366"/>
      <c r="Y33" s="396">
        <v>14.13</v>
      </c>
      <c r="Z33" s="378"/>
      <c r="AA33" s="499"/>
      <c r="AB33" s="396"/>
      <c r="AC33" s="396"/>
      <c r="AD33" s="396"/>
      <c r="AE33" s="396"/>
      <c r="AF33" s="396"/>
      <c r="AG33" s="396"/>
      <c r="AH33" s="396"/>
      <c r="AI33" s="396">
        <v>25</v>
      </c>
      <c r="AJ33" s="497">
        <f t="shared" si="6"/>
        <v>93.91</v>
      </c>
      <c r="AK33" s="387"/>
      <c r="AL33" s="387"/>
      <c r="AM33" s="387"/>
      <c r="AN33" s="387"/>
      <c r="AO33" s="387"/>
      <c r="AP33" s="387"/>
      <c r="AQ33" s="387"/>
      <c r="AR33" s="389">
        <f t="shared" si="12"/>
        <v>2469.3799999999997</v>
      </c>
      <c r="AS33" s="398">
        <f t="shared" si="8"/>
        <v>71612.01999999999</v>
      </c>
      <c r="AT33" s="513" t="e">
        <f t="shared" si="9"/>
        <v>#REF!</v>
      </c>
      <c r="AU33" s="344">
        <f t="shared" si="10"/>
        <v>29</v>
      </c>
    </row>
    <row r="34" spans="1:47" ht="14.25" x14ac:dyDescent="0.3">
      <c r="A34" s="391">
        <v>43458</v>
      </c>
      <c r="B34" s="406">
        <v>0.50649999999999995</v>
      </c>
      <c r="C34" s="392" t="e">
        <f t="shared" si="7"/>
        <v>#REF!</v>
      </c>
      <c r="D34" s="400"/>
      <c r="E34" s="376"/>
      <c r="F34" s="377"/>
      <c r="G34" s="378">
        <v>615.89</v>
      </c>
      <c r="H34" s="378">
        <v>442.36</v>
      </c>
      <c r="I34" s="379"/>
      <c r="J34" s="789">
        <v>539.05999999999995</v>
      </c>
      <c r="K34" s="378">
        <v>542.80999999999995</v>
      </c>
      <c r="L34" s="537">
        <v>568.16</v>
      </c>
      <c r="M34" s="536">
        <v>1518</v>
      </c>
      <c r="N34" s="380">
        <v>1195</v>
      </c>
      <c r="O34" s="380"/>
      <c r="P34" s="380">
        <v>1265</v>
      </c>
      <c r="Q34" s="380">
        <v>1225</v>
      </c>
      <c r="R34" s="380">
        <v>944</v>
      </c>
      <c r="S34" s="394">
        <f t="shared" si="0"/>
        <v>2708.2799999999997</v>
      </c>
      <c r="T34" s="395">
        <f t="shared" si="4"/>
        <v>6147</v>
      </c>
      <c r="U34" s="395">
        <f t="shared" si="11"/>
        <v>0.44058565153733525</v>
      </c>
      <c r="V34" s="383"/>
      <c r="W34" s="396">
        <v>22.97</v>
      </c>
      <c r="X34" s="366">
        <v>30.3</v>
      </c>
      <c r="Y34" s="396"/>
      <c r="Z34" s="378"/>
      <c r="AA34" s="499"/>
      <c r="AB34" s="396"/>
      <c r="AC34" s="396"/>
      <c r="AD34" s="396"/>
      <c r="AE34" s="396"/>
      <c r="AF34" s="396"/>
      <c r="AG34" s="396"/>
      <c r="AH34" s="396">
        <v>110</v>
      </c>
      <c r="AI34" s="396">
        <v>623</v>
      </c>
      <c r="AJ34" s="497">
        <f t="shared" si="6"/>
        <v>786.27</v>
      </c>
      <c r="AK34" s="387"/>
      <c r="AL34" s="387"/>
      <c r="AM34" s="387"/>
      <c r="AN34" s="387"/>
      <c r="AO34" s="387"/>
      <c r="AP34" s="387"/>
      <c r="AQ34" s="387"/>
      <c r="AR34" s="389">
        <f t="shared" si="12"/>
        <v>3494.5499999999997</v>
      </c>
      <c r="AS34" s="398">
        <f t="shared" si="8"/>
        <v>101341.95</v>
      </c>
      <c r="AT34" s="513" t="e">
        <f t="shared" si="9"/>
        <v>#REF!</v>
      </c>
      <c r="AU34" s="344">
        <f t="shared" si="10"/>
        <v>29</v>
      </c>
    </row>
    <row r="35" spans="1:47" ht="14.25" x14ac:dyDescent="0.3">
      <c r="A35" s="391">
        <v>43459</v>
      </c>
      <c r="B35" s="406">
        <v>0.94810000000000005</v>
      </c>
      <c r="C35" s="392" t="e">
        <f t="shared" si="7"/>
        <v>#REF!</v>
      </c>
      <c r="D35" s="400"/>
      <c r="E35" s="376"/>
      <c r="F35" s="377"/>
      <c r="G35" s="378">
        <v>453.71</v>
      </c>
      <c r="H35" s="378">
        <v>539.32000000000005</v>
      </c>
      <c r="I35" s="379"/>
      <c r="J35" s="789">
        <v>684.88</v>
      </c>
      <c r="K35" s="378">
        <v>521.76</v>
      </c>
      <c r="L35" s="537">
        <v>610.73</v>
      </c>
      <c r="M35" s="536">
        <v>1117</v>
      </c>
      <c r="N35" s="380">
        <v>1149</v>
      </c>
      <c r="O35" s="380"/>
      <c r="P35" s="380">
        <v>1494</v>
      </c>
      <c r="Q35" s="380">
        <v>1210</v>
      </c>
      <c r="R35" s="380">
        <v>1508</v>
      </c>
      <c r="S35" s="394">
        <f t="shared" si="0"/>
        <v>2810.4</v>
      </c>
      <c r="T35" s="395">
        <f t="shared" si="4"/>
        <v>6478</v>
      </c>
      <c r="U35" s="395">
        <f t="shared" si="11"/>
        <v>0.43383760419882683</v>
      </c>
      <c r="V35" s="383"/>
      <c r="W35" s="396">
        <v>30.04</v>
      </c>
      <c r="X35" s="366">
        <v>22.5</v>
      </c>
      <c r="Y35" s="396">
        <v>24.9</v>
      </c>
      <c r="Z35" s="378"/>
      <c r="AA35" s="499"/>
      <c r="AB35" s="396"/>
      <c r="AC35" s="396"/>
      <c r="AD35" s="396"/>
      <c r="AE35" s="396"/>
      <c r="AF35" s="396"/>
      <c r="AG35" s="396"/>
      <c r="AH35" s="396"/>
      <c r="AI35" s="396">
        <v>97</v>
      </c>
      <c r="AJ35" s="497">
        <f t="shared" si="6"/>
        <v>174.44</v>
      </c>
      <c r="AK35" s="387"/>
      <c r="AL35" s="387"/>
      <c r="AM35" s="387"/>
      <c r="AN35" s="387"/>
      <c r="AO35" s="387"/>
      <c r="AP35" s="387"/>
      <c r="AQ35" s="387"/>
      <c r="AR35" s="389">
        <f t="shared" si="12"/>
        <v>2984.84</v>
      </c>
      <c r="AS35" s="398">
        <f t="shared" si="8"/>
        <v>86560.36</v>
      </c>
      <c r="AT35" s="513" t="e">
        <f t="shared" si="9"/>
        <v>#REF!</v>
      </c>
      <c r="AU35" s="344">
        <f t="shared" si="10"/>
        <v>29</v>
      </c>
    </row>
    <row r="36" spans="1:47" ht="14.25" x14ac:dyDescent="0.3">
      <c r="A36" s="391">
        <v>43460</v>
      </c>
      <c r="B36" s="406">
        <v>0.90910000000000002</v>
      </c>
      <c r="C36" s="392" t="e">
        <f t="shared" si="7"/>
        <v>#REF!</v>
      </c>
      <c r="D36" s="400"/>
      <c r="E36" s="376"/>
      <c r="F36" s="377"/>
      <c r="G36" s="378">
        <v>1006.77</v>
      </c>
      <c r="H36" s="378">
        <v>877.35</v>
      </c>
      <c r="I36" s="379"/>
      <c r="J36" s="789">
        <v>283.77999999999997</v>
      </c>
      <c r="K36" s="378">
        <v>262.24</v>
      </c>
      <c r="L36" s="537">
        <v>435.36</v>
      </c>
      <c r="M36" s="536">
        <v>2437</v>
      </c>
      <c r="N36" s="380">
        <v>2138</v>
      </c>
      <c r="O36" s="380"/>
      <c r="P36" s="380">
        <v>662</v>
      </c>
      <c r="Q36" s="380">
        <v>505</v>
      </c>
      <c r="R36" s="380">
        <v>894</v>
      </c>
      <c r="S36" s="394">
        <f t="shared" si="0"/>
        <v>2865.4999999999995</v>
      </c>
      <c r="T36" s="395">
        <f t="shared" si="4"/>
        <v>6636</v>
      </c>
      <c r="U36" s="395">
        <f t="shared" si="11"/>
        <v>0.43181133212778777</v>
      </c>
      <c r="V36" s="383"/>
      <c r="W36" s="396"/>
      <c r="X36" s="366"/>
      <c r="Y36" s="396">
        <v>40.08</v>
      </c>
      <c r="Z36" s="378"/>
      <c r="AA36" s="499"/>
      <c r="AB36" s="396"/>
      <c r="AC36" s="396"/>
      <c r="AD36" s="396"/>
      <c r="AE36" s="396"/>
      <c r="AF36" s="396"/>
      <c r="AG36" s="396"/>
      <c r="AH36" s="396"/>
      <c r="AI36" s="396">
        <v>316</v>
      </c>
      <c r="AJ36" s="497">
        <f t="shared" si="6"/>
        <v>356.08</v>
      </c>
      <c r="AK36" s="387"/>
      <c r="AL36" s="387"/>
      <c r="AM36" s="387"/>
      <c r="AN36" s="387"/>
      <c r="AO36" s="387"/>
      <c r="AP36" s="387"/>
      <c r="AQ36" s="387"/>
      <c r="AR36" s="389">
        <f t="shared" si="12"/>
        <v>3221.5799999999995</v>
      </c>
      <c r="AS36" s="398">
        <f t="shared" si="8"/>
        <v>93425.819999999978</v>
      </c>
      <c r="AT36" s="513" t="e">
        <f t="shared" si="9"/>
        <v>#REF!</v>
      </c>
      <c r="AU36" s="344">
        <f t="shared" si="10"/>
        <v>29</v>
      </c>
    </row>
    <row r="37" spans="1:47" ht="14.25" x14ac:dyDescent="0.3">
      <c r="A37" s="391">
        <v>43461</v>
      </c>
      <c r="B37" s="406">
        <v>0.76619999999999999</v>
      </c>
      <c r="C37" s="392" t="e">
        <f t="shared" si="7"/>
        <v>#REF!</v>
      </c>
      <c r="D37" s="400"/>
      <c r="E37" s="376"/>
      <c r="F37" s="377"/>
      <c r="G37" s="378">
        <v>422.76</v>
      </c>
      <c r="H37" s="378">
        <v>724.97</v>
      </c>
      <c r="I37" s="379"/>
      <c r="J37" s="789">
        <v>443.05</v>
      </c>
      <c r="K37" s="378">
        <v>757.95</v>
      </c>
      <c r="L37" s="537">
        <v>286.61</v>
      </c>
      <c r="M37" s="536">
        <v>1203</v>
      </c>
      <c r="N37" s="380">
        <v>1763</v>
      </c>
      <c r="O37" s="380"/>
      <c r="P37" s="380">
        <v>1131</v>
      </c>
      <c r="Q37" s="380">
        <v>1761</v>
      </c>
      <c r="R37" s="380">
        <v>725</v>
      </c>
      <c r="S37" s="394">
        <f t="shared" si="0"/>
        <v>2635.34</v>
      </c>
      <c r="T37" s="395">
        <f t="shared" si="4"/>
        <v>6583</v>
      </c>
      <c r="U37" s="395">
        <f t="shared" si="11"/>
        <v>0.4003250797508735</v>
      </c>
      <c r="V37" s="383"/>
      <c r="W37" s="396"/>
      <c r="X37" s="366"/>
      <c r="Y37" s="396">
        <v>32.799999999999997</v>
      </c>
      <c r="Z37" s="378">
        <v>11.89</v>
      </c>
      <c r="AA37" s="499"/>
      <c r="AB37" s="396"/>
      <c r="AC37" s="396"/>
      <c r="AD37" s="396"/>
      <c r="AE37" s="396"/>
      <c r="AF37" s="396"/>
      <c r="AG37" s="396"/>
      <c r="AH37" s="396"/>
      <c r="AI37" s="396">
        <v>159</v>
      </c>
      <c r="AJ37" s="497">
        <f t="shared" si="6"/>
        <v>203.69</v>
      </c>
      <c r="AK37" s="387"/>
      <c r="AL37" s="387"/>
      <c r="AM37" s="387"/>
      <c r="AN37" s="387"/>
      <c r="AO37" s="387"/>
      <c r="AP37" s="387"/>
      <c r="AQ37" s="387"/>
      <c r="AR37" s="389">
        <f t="shared" si="12"/>
        <v>2839.03</v>
      </c>
      <c r="AS37" s="398">
        <f t="shared" si="8"/>
        <v>82331.87000000001</v>
      </c>
      <c r="AT37" s="513" t="e">
        <f t="shared" si="9"/>
        <v>#REF!</v>
      </c>
      <c r="AU37" s="344">
        <f t="shared" si="10"/>
        <v>29</v>
      </c>
    </row>
    <row r="38" spans="1:47" ht="14.25" x14ac:dyDescent="0.3">
      <c r="A38" s="391">
        <v>43462</v>
      </c>
      <c r="B38" s="406">
        <v>0.7792</v>
      </c>
      <c r="C38" s="392" t="e">
        <f t="shared" si="7"/>
        <v>#REF!</v>
      </c>
      <c r="D38" s="400">
        <v>12000</v>
      </c>
      <c r="E38" s="376">
        <v>12000</v>
      </c>
      <c r="F38" s="377"/>
      <c r="G38" s="378">
        <v>817.51</v>
      </c>
      <c r="H38" s="378">
        <v>666.8</v>
      </c>
      <c r="I38" s="379"/>
      <c r="J38" s="789">
        <v>964.52</v>
      </c>
      <c r="K38" s="378">
        <v>308.94</v>
      </c>
      <c r="L38" s="537">
        <v>285.57</v>
      </c>
      <c r="M38" s="536">
        <v>1971</v>
      </c>
      <c r="N38" s="380">
        <v>1641</v>
      </c>
      <c r="O38" s="380"/>
      <c r="P38" s="380">
        <v>2220</v>
      </c>
      <c r="Q38" s="380">
        <v>679</v>
      </c>
      <c r="R38" s="380">
        <v>583</v>
      </c>
      <c r="S38" s="394">
        <f t="shared" si="0"/>
        <v>3043.34</v>
      </c>
      <c r="T38" s="395">
        <f t="shared" si="4"/>
        <v>7094</v>
      </c>
      <c r="U38" s="395">
        <f t="shared" si="11"/>
        <v>0.42900197349873137</v>
      </c>
      <c r="V38" s="383">
        <v>47.5</v>
      </c>
      <c r="W38" s="396">
        <v>68.95</v>
      </c>
      <c r="X38" s="366"/>
      <c r="Y38" s="396"/>
      <c r="Z38" s="378">
        <v>20</v>
      </c>
      <c r="AA38" s="499"/>
      <c r="AB38" s="396"/>
      <c r="AC38" s="396"/>
      <c r="AD38" s="396"/>
      <c r="AE38" s="396"/>
      <c r="AF38" s="396"/>
      <c r="AG38" s="396"/>
      <c r="AH38" s="396">
        <v>89</v>
      </c>
      <c r="AI38" s="396">
        <v>96</v>
      </c>
      <c r="AJ38" s="497">
        <f t="shared" si="6"/>
        <v>321.45</v>
      </c>
      <c r="AK38" s="387"/>
      <c r="AL38" s="387"/>
      <c r="AM38" s="387"/>
      <c r="AN38" s="387"/>
      <c r="AO38" s="387"/>
      <c r="AP38" s="387"/>
      <c r="AQ38" s="387"/>
      <c r="AR38" s="389">
        <f t="shared" si="12"/>
        <v>3364.79</v>
      </c>
      <c r="AS38" s="398">
        <f t="shared" si="8"/>
        <v>97578.91</v>
      </c>
      <c r="AT38" s="513" t="e">
        <f t="shared" si="9"/>
        <v>#REF!</v>
      </c>
      <c r="AU38" s="344">
        <f t="shared" si="10"/>
        <v>29</v>
      </c>
    </row>
    <row r="39" spans="1:47" ht="14.25" x14ac:dyDescent="0.3">
      <c r="A39" s="391">
        <v>43463</v>
      </c>
      <c r="B39" s="406">
        <v>0.92210000000000003</v>
      </c>
      <c r="C39" s="392" t="e">
        <f t="shared" si="7"/>
        <v>#REF!</v>
      </c>
      <c r="D39" s="400"/>
      <c r="E39" s="376"/>
      <c r="F39" s="377"/>
      <c r="G39" s="378">
        <v>511.39</v>
      </c>
      <c r="H39" s="378">
        <v>697.5</v>
      </c>
      <c r="I39" s="407"/>
      <c r="J39" s="789">
        <v>639.85</v>
      </c>
      <c r="K39" s="378">
        <v>563.99</v>
      </c>
      <c r="L39" s="537">
        <v>459.25</v>
      </c>
      <c r="M39" s="536">
        <v>1296</v>
      </c>
      <c r="N39" s="380">
        <v>1774</v>
      </c>
      <c r="O39" s="408"/>
      <c r="P39" s="380">
        <v>1588</v>
      </c>
      <c r="Q39" s="380">
        <v>1369</v>
      </c>
      <c r="R39" s="380">
        <v>1601</v>
      </c>
      <c r="S39" s="394">
        <f t="shared" si="0"/>
        <v>2871.9799999999996</v>
      </c>
      <c r="T39" s="395">
        <f t="shared" si="4"/>
        <v>7628</v>
      </c>
      <c r="U39" s="395">
        <f t="shared" si="11"/>
        <v>0.37650498164656521</v>
      </c>
      <c r="V39" s="383"/>
      <c r="W39" s="396"/>
      <c r="X39" s="366"/>
      <c r="Y39" s="396"/>
      <c r="Z39" s="378">
        <v>24.04</v>
      </c>
      <c r="AA39" s="499"/>
      <c r="AB39" s="396"/>
      <c r="AC39" s="396"/>
      <c r="AD39" s="396"/>
      <c r="AE39" s="396"/>
      <c r="AF39" s="396"/>
      <c r="AG39" s="396"/>
      <c r="AH39" s="396"/>
      <c r="AI39" s="396">
        <v>223</v>
      </c>
      <c r="AJ39" s="497">
        <f t="shared" si="6"/>
        <v>247.04</v>
      </c>
      <c r="AK39" s="387"/>
      <c r="AL39" s="387"/>
      <c r="AM39" s="387"/>
      <c r="AN39" s="387"/>
      <c r="AO39" s="387"/>
      <c r="AP39" s="387"/>
      <c r="AQ39" s="387"/>
      <c r="AR39" s="389">
        <f t="shared" si="12"/>
        <v>3119.0199999999995</v>
      </c>
      <c r="AS39" s="398">
        <f t="shared" si="8"/>
        <v>90451.579999999987</v>
      </c>
      <c r="AT39" s="513" t="e">
        <f t="shared" si="9"/>
        <v>#REF!</v>
      </c>
      <c r="AU39" s="344">
        <f t="shared" si="10"/>
        <v>29</v>
      </c>
    </row>
    <row r="40" spans="1:47" ht="14.25" x14ac:dyDescent="0.3">
      <c r="A40" s="391">
        <v>43464</v>
      </c>
      <c r="B40" s="406">
        <v>0.7792</v>
      </c>
      <c r="C40" s="392" t="e">
        <f t="shared" si="7"/>
        <v>#REF!</v>
      </c>
      <c r="D40" s="400"/>
      <c r="E40" s="376">
        <v>12000</v>
      </c>
      <c r="F40" s="377"/>
      <c r="G40" s="378">
        <v>669.58</v>
      </c>
      <c r="H40" s="378">
        <v>622.13</v>
      </c>
      <c r="I40" s="379"/>
      <c r="J40" s="789">
        <v>462.12</v>
      </c>
      <c r="K40" s="378">
        <v>603.15</v>
      </c>
      <c r="L40" s="537">
        <v>815.53</v>
      </c>
      <c r="M40" s="536">
        <v>1571</v>
      </c>
      <c r="N40" s="380">
        <v>1571</v>
      </c>
      <c r="O40" s="380"/>
      <c r="P40" s="380">
        <v>1336</v>
      </c>
      <c r="Q40" s="380">
        <v>1402</v>
      </c>
      <c r="R40" s="380">
        <v>1498</v>
      </c>
      <c r="S40" s="394">
        <f t="shared" si="0"/>
        <v>3172.51</v>
      </c>
      <c r="T40" s="395">
        <f t="shared" si="4"/>
        <v>7378</v>
      </c>
      <c r="U40" s="395">
        <f t="shared" si="11"/>
        <v>0.42999593385741397</v>
      </c>
      <c r="V40" s="383"/>
      <c r="W40" s="396"/>
      <c r="X40" s="366"/>
      <c r="Y40" s="396"/>
      <c r="Z40" s="378">
        <v>18.12</v>
      </c>
      <c r="AA40" s="499"/>
      <c r="AB40" s="396"/>
      <c r="AC40" s="396"/>
      <c r="AD40" s="396"/>
      <c r="AE40" s="396"/>
      <c r="AF40" s="396"/>
      <c r="AG40" s="396"/>
      <c r="AH40" s="396">
        <v>102</v>
      </c>
      <c r="AI40" s="418"/>
      <c r="AJ40" s="497">
        <f t="shared" si="6"/>
        <v>120.12</v>
      </c>
      <c r="AK40" s="387"/>
      <c r="AL40" s="387"/>
      <c r="AM40" s="387"/>
      <c r="AN40" s="387"/>
      <c r="AO40" s="387"/>
      <c r="AP40" s="387"/>
      <c r="AQ40" s="387"/>
      <c r="AR40" s="389">
        <f t="shared" si="12"/>
        <v>3292.63</v>
      </c>
      <c r="AS40" s="398">
        <f t="shared" si="8"/>
        <v>95486.27</v>
      </c>
      <c r="AT40" s="513" t="e">
        <f t="shared" si="9"/>
        <v>#REF!</v>
      </c>
      <c r="AU40" s="344">
        <f t="shared" si="10"/>
        <v>29</v>
      </c>
    </row>
    <row r="41" spans="1:47" ht="14.25" x14ac:dyDescent="0.3">
      <c r="A41" s="391">
        <v>43465</v>
      </c>
      <c r="B41" s="406">
        <v>0.84419999999999995</v>
      </c>
      <c r="C41" s="392" t="e">
        <f t="shared" si="7"/>
        <v>#REF!</v>
      </c>
      <c r="D41" s="400">
        <v>12000</v>
      </c>
      <c r="E41" s="376"/>
      <c r="F41" s="377"/>
      <c r="G41" s="378">
        <v>661.03</v>
      </c>
      <c r="H41" s="378">
        <v>793.58</v>
      </c>
      <c r="I41" s="378"/>
      <c r="J41" s="789">
        <v>747.58</v>
      </c>
      <c r="K41" s="378">
        <v>496.47</v>
      </c>
      <c r="L41" s="537">
        <v>360.1</v>
      </c>
      <c r="M41" s="536">
        <v>1557</v>
      </c>
      <c r="N41" s="380">
        <v>1960</v>
      </c>
      <c r="O41" s="380"/>
      <c r="P41" s="380">
        <v>1727</v>
      </c>
      <c r="Q41" s="380">
        <v>1115</v>
      </c>
      <c r="R41" s="380">
        <v>896</v>
      </c>
      <c r="S41" s="394">
        <f t="shared" si="0"/>
        <v>3058.7599999999998</v>
      </c>
      <c r="T41" s="395">
        <f t="shared" si="4"/>
        <v>7255</v>
      </c>
      <c r="U41" s="395">
        <f t="shared" si="11"/>
        <v>0.42160716747070981</v>
      </c>
      <c r="V41" s="383"/>
      <c r="W41" s="396">
        <v>29.62</v>
      </c>
      <c r="X41" s="366"/>
      <c r="Y41" s="396">
        <v>43.72</v>
      </c>
      <c r="Z41" s="378">
        <v>11.8</v>
      </c>
      <c r="AA41" s="499"/>
      <c r="AB41" s="396"/>
      <c r="AC41" s="396"/>
      <c r="AD41" s="396"/>
      <c r="AE41" s="396"/>
      <c r="AF41" s="396"/>
      <c r="AG41" s="396"/>
      <c r="AH41" s="396">
        <v>679</v>
      </c>
      <c r="AI41" s="396">
        <v>520</v>
      </c>
      <c r="AJ41" s="497">
        <f t="shared" si="6"/>
        <v>1284.1399999999999</v>
      </c>
      <c r="AK41" s="387"/>
      <c r="AL41" s="387"/>
      <c r="AM41" s="387"/>
      <c r="AN41" s="387"/>
      <c r="AO41" s="387"/>
      <c r="AP41" s="387"/>
      <c r="AQ41" s="387"/>
      <c r="AR41" s="389">
        <f t="shared" si="12"/>
        <v>4342.8999999999996</v>
      </c>
      <c r="AS41" s="398">
        <f t="shared" si="8"/>
        <v>125944.09999999999</v>
      </c>
      <c r="AT41" s="513" t="e">
        <f t="shared" si="9"/>
        <v>#REF!</v>
      </c>
      <c r="AU41" s="344">
        <f t="shared" si="10"/>
        <v>29</v>
      </c>
    </row>
    <row r="42" spans="1:47" ht="14.25" x14ac:dyDescent="0.3">
      <c r="A42" s="391"/>
      <c r="B42" s="409"/>
      <c r="C42" s="392" t="e">
        <f t="shared" si="7"/>
        <v>#REF!</v>
      </c>
      <c r="D42" s="375"/>
      <c r="E42" s="376"/>
      <c r="F42" s="377"/>
      <c r="G42" s="378"/>
      <c r="H42" s="378"/>
      <c r="I42" s="378"/>
      <c r="J42" s="789"/>
      <c r="K42" s="378"/>
      <c r="L42" s="537"/>
      <c r="M42" s="536"/>
      <c r="N42" s="380"/>
      <c r="O42" s="380"/>
      <c r="P42" s="380"/>
      <c r="Q42" s="380"/>
      <c r="R42" s="380"/>
      <c r="S42" s="394">
        <f t="shared" si="0"/>
        <v>0</v>
      </c>
      <c r="T42" s="395">
        <f t="shared" si="4"/>
        <v>0</v>
      </c>
      <c r="U42" s="410"/>
      <c r="V42" s="383"/>
      <c r="W42" s="396"/>
      <c r="X42" s="366"/>
      <c r="Y42" s="396"/>
      <c r="Z42" s="378"/>
      <c r="AA42" s="499"/>
      <c r="AB42" s="396"/>
      <c r="AC42" s="396"/>
      <c r="AD42" s="396"/>
      <c r="AE42" s="396"/>
      <c r="AF42" s="396"/>
      <c r="AG42" s="396"/>
      <c r="AH42" s="396"/>
      <c r="AI42" s="795"/>
      <c r="AJ42" s="497">
        <f t="shared" si="6"/>
        <v>0</v>
      </c>
      <c r="AK42" s="411"/>
      <c r="AL42" s="411"/>
      <c r="AM42" s="411"/>
      <c r="AN42" s="411"/>
      <c r="AO42" s="411"/>
      <c r="AP42" s="411"/>
      <c r="AQ42" s="411"/>
      <c r="AR42" s="389">
        <f t="shared" si="12"/>
        <v>0</v>
      </c>
      <c r="AS42" s="398">
        <f t="shared" si="8"/>
        <v>0</v>
      </c>
      <c r="AT42" s="513" t="e">
        <f t="shared" si="9"/>
        <v>#REF!</v>
      </c>
    </row>
    <row r="43" spans="1:47" ht="14.25" x14ac:dyDescent="0.3">
      <c r="A43" s="412" t="s">
        <v>56</v>
      </c>
      <c r="B43" s="412"/>
      <c r="C43" s="413" t="e">
        <f t="shared" si="7"/>
        <v>#REF!</v>
      </c>
      <c r="D43" s="375"/>
      <c r="E43" s="375"/>
      <c r="F43" s="377"/>
      <c r="G43" s="432"/>
      <c r="H43" s="378"/>
      <c r="I43" s="378"/>
      <c r="J43" s="378"/>
      <c r="K43" s="378"/>
      <c r="L43" s="537"/>
      <c r="M43" s="536"/>
      <c r="N43" s="380"/>
      <c r="O43" s="380"/>
      <c r="P43" s="380"/>
      <c r="Q43" s="380"/>
      <c r="R43" s="380"/>
      <c r="S43" s="394">
        <f t="shared" si="0"/>
        <v>0</v>
      </c>
      <c r="T43" s="395">
        <f t="shared" si="4"/>
        <v>0</v>
      </c>
      <c r="U43" s="410"/>
      <c r="V43" s="383"/>
      <c r="W43" s="396"/>
      <c r="X43" s="378"/>
      <c r="Y43" s="382"/>
      <c r="Z43" s="382"/>
      <c r="AA43" s="499"/>
      <c r="AB43" s="382"/>
      <c r="AC43" s="382"/>
      <c r="AD43" s="396"/>
      <c r="AE43" s="396"/>
      <c r="AF43" s="396"/>
      <c r="AG43" s="396"/>
      <c r="AH43" s="396"/>
      <c r="AI43" s="796"/>
      <c r="AJ43" s="497">
        <f t="shared" si="6"/>
        <v>0</v>
      </c>
      <c r="AK43" s="414"/>
      <c r="AL43" s="414"/>
      <c r="AM43" s="414"/>
      <c r="AN43" s="414"/>
      <c r="AO43" s="414"/>
      <c r="AP43" s="414"/>
      <c r="AQ43" s="414"/>
      <c r="AR43" s="389">
        <f t="shared" si="12"/>
        <v>0</v>
      </c>
      <c r="AS43" s="398">
        <f t="shared" si="8"/>
        <v>0</v>
      </c>
      <c r="AT43" s="513" t="e">
        <f t="shared" si="9"/>
        <v>#REF!</v>
      </c>
    </row>
    <row r="44" spans="1:47" ht="15" thickBot="1" x14ac:dyDescent="0.35">
      <c r="A44" s="415"/>
      <c r="B44" s="415"/>
      <c r="C44" s="560"/>
      <c r="D44" s="561"/>
      <c r="E44" s="561"/>
      <c r="F44" s="362"/>
      <c r="G44" s="558"/>
      <c r="H44" s="362"/>
      <c r="I44" s="362"/>
      <c r="J44" s="362"/>
      <c r="K44" s="362"/>
      <c r="L44" s="538"/>
      <c r="M44" s="535"/>
      <c r="N44" s="363"/>
      <c r="O44" s="380"/>
      <c r="P44" s="380"/>
      <c r="Q44" s="363"/>
      <c r="R44" s="363"/>
      <c r="S44" s="394">
        <f t="shared" si="0"/>
        <v>0</v>
      </c>
      <c r="T44" s="416"/>
      <c r="U44" s="416"/>
      <c r="V44" s="417"/>
      <c r="W44" s="351"/>
      <c r="X44" s="418"/>
      <c r="Y44" s="418"/>
      <c r="Z44" s="418"/>
      <c r="AA44" s="419"/>
      <c r="AB44" s="418"/>
      <c r="AC44" s="418"/>
      <c r="AD44" s="418"/>
      <c r="AE44" s="418"/>
      <c r="AF44" s="418"/>
      <c r="AG44" s="420"/>
      <c r="AH44" s="418"/>
      <c r="AI44" s="797"/>
      <c r="AJ44" s="497">
        <f t="shared" si="6"/>
        <v>0</v>
      </c>
      <c r="AK44" s="562"/>
      <c r="AL44" s="562"/>
      <c r="AM44" s="562"/>
      <c r="AN44" s="562"/>
      <c r="AO44" s="562"/>
      <c r="AP44" s="562"/>
      <c r="AQ44" s="562"/>
      <c r="AR44" s="563">
        <f>S44+AJ44</f>
        <v>0</v>
      </c>
      <c r="AS44" s="564">
        <f t="shared" si="8"/>
        <v>0</v>
      </c>
      <c r="AT44" s="565">
        <f>C44+D44-AR44</f>
        <v>0</v>
      </c>
    </row>
    <row r="45" spans="1:47" s="423" customFormat="1" ht="13.5" thickBot="1" x14ac:dyDescent="0.3">
      <c r="A45" s="566"/>
      <c r="B45" s="567"/>
      <c r="C45" s="568"/>
      <c r="D45" s="569">
        <f>SUM(D11:D44)</f>
        <v>81800</v>
      </c>
      <c r="E45" s="569">
        <f>SUM(E11:E42)</f>
        <v>82000</v>
      </c>
      <c r="F45" s="570">
        <f t="shared" ref="F45" si="13">SUM(F11:F44)</f>
        <v>0</v>
      </c>
      <c r="G45" s="569">
        <f>SUM(G11:G44)</f>
        <v>16446.899999999998</v>
      </c>
      <c r="H45" s="570">
        <f>SUM(H11:H44)</f>
        <v>17302.200000000004</v>
      </c>
      <c r="I45" s="569">
        <f t="shared" ref="I45" si="14">SUM(I12:I44)</f>
        <v>0</v>
      </c>
      <c r="J45" s="570">
        <f t="shared" ref="J45:O45" si="15">SUM(J11:J44)</f>
        <v>17283.340000000004</v>
      </c>
      <c r="K45" s="569">
        <f t="shared" si="15"/>
        <v>15347.459999999997</v>
      </c>
      <c r="L45" s="570">
        <f t="shared" si="15"/>
        <v>4841.3200000000006</v>
      </c>
      <c r="M45" s="569">
        <f t="shared" si="15"/>
        <v>40424</v>
      </c>
      <c r="N45" s="568">
        <f t="shared" si="15"/>
        <v>42618</v>
      </c>
      <c r="O45" s="569">
        <f t="shared" si="15"/>
        <v>0</v>
      </c>
      <c r="P45" s="570">
        <f>SUM(P11:P43)</f>
        <v>43239</v>
      </c>
      <c r="Q45" s="569">
        <f>SUM(Q11:Q44)</f>
        <v>36451</v>
      </c>
      <c r="R45" s="571">
        <f>SUM(R11:R44)</f>
        <v>8649</v>
      </c>
      <c r="S45" s="394">
        <f t="shared" si="0"/>
        <v>71221.220000000016</v>
      </c>
      <c r="T45" s="559">
        <f>SUM(M45:R45)</f>
        <v>171381</v>
      </c>
      <c r="U45" s="422">
        <f>SUM(U11:U42)</f>
        <v>12.904657909354968</v>
      </c>
      <c r="V45" s="421">
        <f>SUM(V9:V44)</f>
        <v>635.45999999999992</v>
      </c>
      <c r="W45" s="421">
        <f t="shared" ref="W45:AJ45" si="16">SUM(W9:W44)</f>
        <v>458.09000000000003</v>
      </c>
      <c r="X45" s="421">
        <f t="shared" si="16"/>
        <v>232.16</v>
      </c>
      <c r="Y45" s="421">
        <f t="shared" si="16"/>
        <v>423.5</v>
      </c>
      <c r="Z45" s="421">
        <f t="shared" si="16"/>
        <v>392.57</v>
      </c>
      <c r="AA45" s="421">
        <f t="shared" si="16"/>
        <v>0</v>
      </c>
      <c r="AB45" s="421">
        <f t="shared" si="16"/>
        <v>0</v>
      </c>
      <c r="AC45" s="421">
        <f t="shared" si="16"/>
        <v>4.6900000000000004</v>
      </c>
      <c r="AD45" s="421">
        <f t="shared" si="16"/>
        <v>226.54</v>
      </c>
      <c r="AE45" s="421">
        <f t="shared" si="16"/>
        <v>530.4</v>
      </c>
      <c r="AF45" s="421">
        <f t="shared" si="16"/>
        <v>139.39000000000001</v>
      </c>
      <c r="AG45" s="421">
        <f t="shared" si="16"/>
        <v>0</v>
      </c>
      <c r="AH45" s="421">
        <f t="shared" si="16"/>
        <v>2563</v>
      </c>
      <c r="AI45" s="421">
        <f>SUM(AI10:AI44)</f>
        <v>4091</v>
      </c>
      <c r="AJ45" s="421">
        <f t="shared" si="16"/>
        <v>9696.7999999999993</v>
      </c>
      <c r="AK45" s="421"/>
      <c r="AL45" s="421"/>
      <c r="AM45" s="421"/>
      <c r="AN45" s="421"/>
      <c r="AO45" s="421"/>
      <c r="AP45" s="421"/>
      <c r="AQ45" s="572"/>
      <c r="AR45" s="573">
        <f>SUM(AR11:AR43)</f>
        <v>80918.02</v>
      </c>
      <c r="AS45" s="574">
        <f>SUM(AS11:AS44)</f>
        <v>2346622.5800000005</v>
      </c>
      <c r="AT45" s="575"/>
    </row>
    <row r="46" spans="1:47" ht="14.25" thickBot="1" x14ac:dyDescent="0.35">
      <c r="A46" s="546" t="s">
        <v>100</v>
      </c>
      <c r="H46" s="577"/>
      <c r="W46" s="355"/>
      <c r="X46" s="355"/>
      <c r="Y46" s="355"/>
      <c r="Z46" s="355"/>
      <c r="AA46" s="355"/>
      <c r="AJ46" s="346">
        <v>0</v>
      </c>
      <c r="AQ46" s="346">
        <f>SUM(AQ45/12)</f>
        <v>0</v>
      </c>
      <c r="AR46" s="345"/>
      <c r="AS46" s="424"/>
      <c r="AT46" s="344"/>
    </row>
    <row r="47" spans="1:47" ht="14.25" thickBot="1" x14ac:dyDescent="0.35">
      <c r="A47" s="599">
        <v>31</v>
      </c>
      <c r="F47" s="425"/>
      <c r="R47" s="345" t="e">
        <f>SUM(S47+#REF!)</f>
        <v>#REF!</v>
      </c>
      <c r="S47" s="345"/>
      <c r="T47" s="586">
        <f>S45*2143</f>
        <v>152627074.46000004</v>
      </c>
      <c r="U47" s="587" t="s">
        <v>318</v>
      </c>
      <c r="W47" s="346">
        <f>SUM(W45/A47)</f>
        <v>14.777096774193549</v>
      </c>
      <c r="X47" s="346">
        <f>SUM(X45/A47)</f>
        <v>7.4890322580645163</v>
      </c>
      <c r="Y47" s="346">
        <f>SUM(Y45/A47)</f>
        <v>13.661290322580646</v>
      </c>
      <c r="Z47" s="346">
        <f>SUM(Z45/A47)</f>
        <v>12.663548387096775</v>
      </c>
      <c r="AA47" s="346">
        <f>SUM(AA45/A47)</f>
        <v>0</v>
      </c>
      <c r="AB47" s="346">
        <f>SUM(AB45/A47)</f>
        <v>0</v>
      </c>
      <c r="AC47" s="346">
        <f>SUM(AC45/A47)</f>
        <v>0.15129032258064518</v>
      </c>
      <c r="AD47" s="346">
        <f>SUM(AD45/A47)</f>
        <v>7.3077419354838709</v>
      </c>
      <c r="AF47" s="346">
        <f>SUM(AF45/A47)</f>
        <v>4.4964516129032264</v>
      </c>
      <c r="AG47" s="346">
        <f>SUM(AG45/A47)</f>
        <v>0</v>
      </c>
      <c r="AQ47" s="346">
        <f>SUM(AQ45/A47)</f>
        <v>0</v>
      </c>
      <c r="AS47" s="424"/>
      <c r="AT47" s="344"/>
    </row>
    <row r="48" spans="1:47" ht="14.25" thickBot="1" x14ac:dyDescent="0.35">
      <c r="A48" s="600" t="s">
        <v>321</v>
      </c>
      <c r="B48" s="426">
        <f>SUM(B11:B41)/A47</f>
        <v>0.45003548387096776</v>
      </c>
      <c r="T48" s="586">
        <f>T47/2245</f>
        <v>67985.333835189333</v>
      </c>
      <c r="U48" s="587" t="s">
        <v>319</v>
      </c>
      <c r="W48" s="355"/>
      <c r="X48" s="355"/>
      <c r="Y48" s="355"/>
      <c r="Z48" s="355"/>
      <c r="AA48" s="355"/>
      <c r="AR48" s="345">
        <f>AVERAGE(AR11:AR24)</f>
        <v>2193.8835714285715</v>
      </c>
      <c r="AT48" s="424"/>
    </row>
    <row r="49" spans="1:46" ht="14.25" thickBot="1" x14ac:dyDescent="0.35">
      <c r="U49" s="427"/>
      <c r="W49" s="355"/>
      <c r="X49" s="355"/>
      <c r="Y49" s="355"/>
      <c r="Z49" s="355"/>
      <c r="AA49" s="355"/>
      <c r="AB49" s="348"/>
      <c r="AJ49" s="346">
        <f>SUM(AJ10:AJ25)/A47</f>
        <v>107.47419354838709</v>
      </c>
      <c r="AR49" s="427">
        <f>SUM(AQ45*'Summery Report'!Q2)</f>
        <v>0</v>
      </c>
      <c r="AT49" s="424"/>
    </row>
    <row r="50" spans="1:46" ht="13.5" customHeight="1" thickBot="1" x14ac:dyDescent="0.25">
      <c r="B50" s="899" t="s">
        <v>310</v>
      </c>
      <c r="C50" s="900"/>
      <c r="D50" s="900"/>
      <c r="E50" s="901"/>
      <c r="F50" s="883" t="s">
        <v>280</v>
      </c>
      <c r="G50" s="884"/>
      <c r="H50" s="884"/>
      <c r="I50" s="884"/>
      <c r="J50" s="884"/>
      <c r="K50" s="884"/>
      <c r="L50" s="888" t="s">
        <v>317</v>
      </c>
      <c r="M50" s="889"/>
      <c r="N50" s="889"/>
      <c r="O50" s="889"/>
      <c r="P50" s="889"/>
      <c r="Q50" s="889"/>
      <c r="R50" s="890"/>
      <c r="S50" s="885" t="s">
        <v>295</v>
      </c>
      <c r="T50" s="886"/>
      <c r="U50" s="886"/>
      <c r="V50" s="886"/>
      <c r="W50" s="886"/>
      <c r="X50" s="887"/>
      <c r="AJ50" s="346" t="e">
        <f>SUM(#REF!-AI41)/14</f>
        <v>#REF!</v>
      </c>
    </row>
    <row r="51" spans="1:46" ht="25.5" customHeight="1" thickBot="1" x14ac:dyDescent="0.25">
      <c r="B51" s="712" t="s">
        <v>136</v>
      </c>
      <c r="C51" s="713" t="s">
        <v>259</v>
      </c>
      <c r="D51" s="714" t="s">
        <v>260</v>
      </c>
      <c r="E51" s="715" t="s">
        <v>279</v>
      </c>
      <c r="F51" s="891" t="s">
        <v>136</v>
      </c>
      <c r="G51" s="892"/>
      <c r="H51" s="650" t="s">
        <v>259</v>
      </c>
      <c r="I51" s="902" t="s">
        <v>260</v>
      </c>
      <c r="J51" s="902"/>
      <c r="K51" s="654" t="s">
        <v>279</v>
      </c>
      <c r="L51" s="891" t="s">
        <v>136</v>
      </c>
      <c r="M51" s="892"/>
      <c r="N51" s="650" t="s">
        <v>259</v>
      </c>
      <c r="O51" s="902" t="s">
        <v>260</v>
      </c>
      <c r="P51" s="902"/>
      <c r="Q51" s="651" t="s">
        <v>279</v>
      </c>
      <c r="R51" s="652" t="s">
        <v>284</v>
      </c>
      <c r="S51" s="656" t="s">
        <v>0</v>
      </c>
      <c r="T51" s="657" t="s">
        <v>259</v>
      </c>
      <c r="U51" s="657" t="s">
        <v>296</v>
      </c>
      <c r="V51" s="657" t="s">
        <v>279</v>
      </c>
      <c r="W51" s="657" t="s">
        <v>297</v>
      </c>
      <c r="X51" s="658" t="s">
        <v>298</v>
      </c>
    </row>
    <row r="52" spans="1:46" ht="11.25" customHeight="1" thickBot="1" x14ac:dyDescent="0.25">
      <c r="B52" s="807">
        <v>43171</v>
      </c>
      <c r="C52" s="799" t="s">
        <v>337</v>
      </c>
      <c r="D52" s="794">
        <v>15</v>
      </c>
      <c r="E52" s="799" t="s">
        <v>397</v>
      </c>
      <c r="F52" s="913"/>
      <c r="G52" s="914"/>
      <c r="H52" s="649"/>
      <c r="I52" s="912"/>
      <c r="J52" s="912"/>
      <c r="K52" s="653"/>
      <c r="L52" s="877">
        <v>43263</v>
      </c>
      <c r="M52" s="878"/>
      <c r="N52" s="759" t="s">
        <v>328</v>
      </c>
      <c r="O52" s="869">
        <v>88</v>
      </c>
      <c r="P52" s="869"/>
      <c r="Q52" s="759" t="s">
        <v>329</v>
      </c>
      <c r="R52" s="759" t="s">
        <v>330</v>
      </c>
      <c r="S52" s="659" t="s">
        <v>398</v>
      </c>
      <c r="T52" s="659" t="s">
        <v>399</v>
      </c>
      <c r="U52" s="758">
        <v>25</v>
      </c>
      <c r="V52" s="757" t="s">
        <v>400</v>
      </c>
      <c r="W52" s="659" t="s">
        <v>401</v>
      </c>
      <c r="X52" s="659" t="s">
        <v>402</v>
      </c>
    </row>
    <row r="53" spans="1:46" ht="11.25" customHeight="1" x14ac:dyDescent="0.2">
      <c r="A53" s="585"/>
      <c r="B53" s="659">
        <v>43355</v>
      </c>
      <c r="C53" s="717" t="s">
        <v>337</v>
      </c>
      <c r="D53" s="718">
        <v>120</v>
      </c>
      <c r="E53" s="719" t="s">
        <v>341</v>
      </c>
      <c r="F53" s="872"/>
      <c r="G53" s="873"/>
      <c r="H53" s="476"/>
      <c r="I53" s="874"/>
      <c r="J53" s="874"/>
      <c r="K53" s="483"/>
      <c r="L53" s="877">
        <v>43293</v>
      </c>
      <c r="M53" s="878"/>
      <c r="N53" s="760" t="s">
        <v>331</v>
      </c>
      <c r="O53" s="869">
        <v>40</v>
      </c>
      <c r="P53" s="869"/>
      <c r="Q53" s="760" t="s">
        <v>332</v>
      </c>
      <c r="R53" s="760" t="s">
        <v>330</v>
      </c>
      <c r="S53" s="659"/>
      <c r="T53" s="659"/>
      <c r="U53" s="758"/>
      <c r="V53" s="757"/>
      <c r="W53" s="659"/>
      <c r="X53" s="659"/>
    </row>
    <row r="54" spans="1:46" ht="11.25" customHeight="1" x14ac:dyDescent="0.2">
      <c r="A54" s="585"/>
      <c r="B54" s="642">
        <v>43355</v>
      </c>
      <c r="C54" s="552" t="s">
        <v>338</v>
      </c>
      <c r="D54" s="716">
        <v>110</v>
      </c>
      <c r="E54" s="643" t="s">
        <v>342</v>
      </c>
      <c r="F54" s="872"/>
      <c r="G54" s="873"/>
      <c r="H54" s="476"/>
      <c r="I54" s="874"/>
      <c r="J54" s="874"/>
      <c r="K54" s="483"/>
      <c r="L54" s="877">
        <v>43293</v>
      </c>
      <c r="M54" s="878"/>
      <c r="N54" s="760" t="s">
        <v>333</v>
      </c>
      <c r="O54" s="869">
        <v>115</v>
      </c>
      <c r="P54" s="869"/>
      <c r="Q54" s="760" t="s">
        <v>334</v>
      </c>
      <c r="R54" s="760" t="s">
        <v>330</v>
      </c>
      <c r="S54" s="642"/>
      <c r="T54" s="552"/>
      <c r="U54" s="758"/>
      <c r="V54" s="756"/>
      <c r="W54" s="552"/>
      <c r="X54" s="643"/>
    </row>
    <row r="55" spans="1:46" ht="11.25" customHeight="1" x14ac:dyDescent="0.2">
      <c r="B55" s="642">
        <v>43355</v>
      </c>
      <c r="C55" s="552" t="s">
        <v>339</v>
      </c>
      <c r="D55" s="716">
        <v>93</v>
      </c>
      <c r="E55" s="643" t="s">
        <v>343</v>
      </c>
      <c r="F55" s="872"/>
      <c r="G55" s="873"/>
      <c r="H55" s="476"/>
      <c r="I55" s="874"/>
      <c r="J55" s="874"/>
      <c r="K55" s="483"/>
      <c r="L55" s="877">
        <v>43324</v>
      </c>
      <c r="M55" s="878"/>
      <c r="N55" s="761" t="s">
        <v>335</v>
      </c>
      <c r="O55" s="869">
        <v>114</v>
      </c>
      <c r="P55" s="869"/>
      <c r="Q55" s="761" t="s">
        <v>336</v>
      </c>
      <c r="R55" s="761" t="s">
        <v>330</v>
      </c>
      <c r="S55" s="642"/>
      <c r="T55" s="552"/>
      <c r="U55" s="758"/>
      <c r="V55" s="756"/>
      <c r="W55" s="552"/>
      <c r="X55" s="643"/>
    </row>
    <row r="56" spans="1:46" ht="11.25" customHeight="1" x14ac:dyDescent="0.2">
      <c r="B56" s="642">
        <v>43355</v>
      </c>
      <c r="C56" s="552" t="s">
        <v>340</v>
      </c>
      <c r="D56" s="716">
        <v>95</v>
      </c>
      <c r="E56" s="643" t="s">
        <v>344</v>
      </c>
      <c r="F56" s="872"/>
      <c r="G56" s="873"/>
      <c r="H56" s="476"/>
      <c r="I56" s="875"/>
      <c r="J56" s="876"/>
      <c r="K56" s="483"/>
      <c r="L56" s="877">
        <v>43385</v>
      </c>
      <c r="M56" s="878"/>
      <c r="N56" s="762" t="s">
        <v>328</v>
      </c>
      <c r="O56" s="869">
        <v>106</v>
      </c>
      <c r="P56" s="869"/>
      <c r="Q56" s="762" t="s">
        <v>329</v>
      </c>
      <c r="R56" s="762" t="s">
        <v>330</v>
      </c>
      <c r="S56" s="642"/>
      <c r="T56" s="552"/>
      <c r="U56" s="758"/>
      <c r="V56" s="756"/>
      <c r="W56" s="552"/>
      <c r="X56" s="643"/>
    </row>
    <row r="57" spans="1:46" ht="11.25" customHeight="1" x14ac:dyDescent="0.25">
      <c r="A57" s="772"/>
      <c r="B57" s="642">
        <v>43385</v>
      </c>
      <c r="C57" s="552" t="s">
        <v>345</v>
      </c>
      <c r="D57" s="716">
        <v>124</v>
      </c>
      <c r="E57" s="643" t="s">
        <v>346</v>
      </c>
      <c r="F57" s="770"/>
      <c r="G57" s="771"/>
      <c r="H57" s="476"/>
      <c r="I57" s="768"/>
      <c r="J57" s="769"/>
      <c r="K57" s="483"/>
      <c r="L57" s="777"/>
      <c r="M57" s="778">
        <v>43416</v>
      </c>
      <c r="N57" s="767" t="s">
        <v>331</v>
      </c>
      <c r="O57" s="774"/>
      <c r="P57" s="775">
        <v>83</v>
      </c>
      <c r="Q57" s="773" t="s">
        <v>332</v>
      </c>
      <c r="R57" s="767" t="s">
        <v>347</v>
      </c>
      <c r="S57" s="642"/>
      <c r="T57" s="552"/>
      <c r="U57" s="758"/>
      <c r="V57" s="771"/>
      <c r="W57" s="552"/>
      <c r="X57" s="643"/>
    </row>
    <row r="58" spans="1:46" ht="11.25" customHeight="1" x14ac:dyDescent="0.25">
      <c r="A58" s="772"/>
      <c r="B58" s="642">
        <v>43446</v>
      </c>
      <c r="C58" s="552" t="s">
        <v>340</v>
      </c>
      <c r="D58" s="716">
        <v>74</v>
      </c>
      <c r="E58" s="643" t="s">
        <v>344</v>
      </c>
      <c r="F58" s="770"/>
      <c r="G58" s="771"/>
      <c r="H58" s="476"/>
      <c r="I58" s="768"/>
      <c r="J58" s="769"/>
      <c r="K58" s="483"/>
      <c r="L58" s="777"/>
      <c r="M58" s="778">
        <v>43416</v>
      </c>
      <c r="N58" s="767" t="s">
        <v>348</v>
      </c>
      <c r="O58" s="776"/>
      <c r="P58" s="779">
        <v>72</v>
      </c>
      <c r="Q58" s="773" t="s">
        <v>349</v>
      </c>
      <c r="R58" s="767" t="s">
        <v>347</v>
      </c>
      <c r="S58" s="642"/>
      <c r="T58" s="552"/>
      <c r="U58" s="758"/>
      <c r="V58" s="771"/>
      <c r="W58" s="552"/>
      <c r="X58" s="643"/>
    </row>
    <row r="59" spans="1:46" ht="11.25" customHeight="1" x14ac:dyDescent="0.2">
      <c r="B59" s="642" t="s">
        <v>350</v>
      </c>
      <c r="C59" s="552" t="s">
        <v>351</v>
      </c>
      <c r="D59" s="716">
        <v>58</v>
      </c>
      <c r="E59" s="643" t="s">
        <v>352</v>
      </c>
      <c r="F59" s="872"/>
      <c r="G59" s="873"/>
      <c r="H59" s="476"/>
      <c r="I59" s="875"/>
      <c r="J59" s="876"/>
      <c r="K59" s="483"/>
      <c r="L59" s="881">
        <v>43446</v>
      </c>
      <c r="M59" s="882"/>
      <c r="N59" s="765" t="s">
        <v>335</v>
      </c>
      <c r="O59" s="870">
        <v>77</v>
      </c>
      <c r="P59" s="871"/>
      <c r="Q59" s="764" t="s">
        <v>336</v>
      </c>
      <c r="R59" s="766" t="s">
        <v>330</v>
      </c>
      <c r="S59" s="642"/>
      <c r="T59" s="552"/>
      <c r="U59" s="758"/>
      <c r="V59" s="756"/>
      <c r="W59" s="552"/>
      <c r="X59" s="643"/>
    </row>
    <row r="60" spans="1:46" ht="11.25" customHeight="1" x14ac:dyDescent="0.2">
      <c r="B60" s="642" t="s">
        <v>353</v>
      </c>
      <c r="C60" s="552" t="s">
        <v>354</v>
      </c>
      <c r="D60" s="716">
        <v>137</v>
      </c>
      <c r="E60" s="643" t="s">
        <v>355</v>
      </c>
      <c r="F60" s="872"/>
      <c r="G60" s="873"/>
      <c r="H60" s="476"/>
      <c r="I60" s="875"/>
      <c r="J60" s="876"/>
      <c r="K60" s="483"/>
      <c r="L60" s="879" t="s">
        <v>356</v>
      </c>
      <c r="M60" s="880"/>
      <c r="N60" s="781" t="s">
        <v>360</v>
      </c>
      <c r="O60" s="870">
        <v>50</v>
      </c>
      <c r="P60" s="871"/>
      <c r="Q60" s="780" t="s">
        <v>361</v>
      </c>
      <c r="R60" s="782" t="s">
        <v>330</v>
      </c>
      <c r="S60" s="642"/>
      <c r="T60" s="552"/>
      <c r="U60" s="758"/>
      <c r="V60" s="756"/>
      <c r="W60" s="552"/>
      <c r="X60" s="643"/>
    </row>
    <row r="61" spans="1:46" ht="11.25" customHeight="1" x14ac:dyDescent="0.2">
      <c r="A61" s="585"/>
      <c r="B61" s="642" t="s">
        <v>356</v>
      </c>
      <c r="C61" s="552" t="s">
        <v>357</v>
      </c>
      <c r="D61" s="716">
        <v>132</v>
      </c>
      <c r="E61" s="643" t="s">
        <v>341</v>
      </c>
      <c r="F61" s="872"/>
      <c r="G61" s="873"/>
      <c r="H61" s="476"/>
      <c r="I61" s="875"/>
      <c r="J61" s="876"/>
      <c r="K61" s="483"/>
      <c r="L61" s="804"/>
      <c r="M61" s="805" t="s">
        <v>362</v>
      </c>
      <c r="N61" s="802" t="s">
        <v>348</v>
      </c>
      <c r="O61" s="800"/>
      <c r="P61" s="801">
        <v>85</v>
      </c>
      <c r="Q61" s="803" t="s">
        <v>349</v>
      </c>
      <c r="R61" s="806" t="s">
        <v>330</v>
      </c>
      <c r="S61" s="642"/>
      <c r="T61" s="552"/>
      <c r="U61" s="758"/>
      <c r="V61" s="756"/>
      <c r="W61" s="552"/>
      <c r="X61" s="643"/>
    </row>
    <row r="62" spans="1:46" ht="11.25" customHeight="1" x14ac:dyDescent="0.2">
      <c r="B62" s="642" t="s">
        <v>356</v>
      </c>
      <c r="C62" s="552" t="s">
        <v>358</v>
      </c>
      <c r="D62" s="716">
        <v>118</v>
      </c>
      <c r="E62" s="643" t="s">
        <v>359</v>
      </c>
      <c r="F62" s="872"/>
      <c r="G62" s="873"/>
      <c r="H62" s="476"/>
      <c r="I62" s="875"/>
      <c r="J62" s="876"/>
      <c r="K62" s="483"/>
      <c r="L62" s="879" t="s">
        <v>365</v>
      </c>
      <c r="M62" s="880"/>
      <c r="N62" s="784" t="s">
        <v>363</v>
      </c>
      <c r="O62" s="870">
        <v>69</v>
      </c>
      <c r="P62" s="871"/>
      <c r="Q62" s="783" t="s">
        <v>364</v>
      </c>
      <c r="R62" s="783" t="s">
        <v>330</v>
      </c>
      <c r="S62" s="642"/>
      <c r="T62" s="552"/>
      <c r="U62" s="758"/>
      <c r="V62" s="756"/>
      <c r="W62" s="552"/>
      <c r="X62" s="643"/>
    </row>
    <row r="63" spans="1:46" ht="11.25" customHeight="1" x14ac:dyDescent="0.2">
      <c r="B63" s="642" t="s">
        <v>362</v>
      </c>
      <c r="C63" s="552" t="s">
        <v>339</v>
      </c>
      <c r="D63" s="716">
        <v>121</v>
      </c>
      <c r="E63" s="643" t="s">
        <v>343</v>
      </c>
      <c r="F63" s="872"/>
      <c r="G63" s="873"/>
      <c r="H63" s="476"/>
      <c r="I63" s="875"/>
      <c r="J63" s="876"/>
      <c r="K63" s="483"/>
      <c r="L63" s="879" t="s">
        <v>366</v>
      </c>
      <c r="M63" s="880"/>
      <c r="N63" s="784" t="s">
        <v>367</v>
      </c>
      <c r="O63" s="870">
        <v>64</v>
      </c>
      <c r="P63" s="871"/>
      <c r="Q63" s="783" t="s">
        <v>368</v>
      </c>
      <c r="R63" s="783" t="s">
        <v>330</v>
      </c>
      <c r="S63" s="642"/>
      <c r="T63" s="552"/>
      <c r="U63" s="758"/>
      <c r="V63" s="756"/>
      <c r="W63" s="552"/>
      <c r="X63" s="643"/>
    </row>
    <row r="64" spans="1:46" ht="11.25" customHeight="1" x14ac:dyDescent="0.2">
      <c r="B64" s="642" t="s">
        <v>366</v>
      </c>
      <c r="C64" s="552" t="s">
        <v>371</v>
      </c>
      <c r="D64" s="716">
        <v>101</v>
      </c>
      <c r="E64" s="643" t="s">
        <v>344</v>
      </c>
      <c r="F64" s="872"/>
      <c r="G64" s="873"/>
      <c r="H64" s="476"/>
      <c r="I64" s="875"/>
      <c r="J64" s="876"/>
      <c r="K64" s="483"/>
      <c r="L64" s="879" t="s">
        <v>366</v>
      </c>
      <c r="M64" s="880"/>
      <c r="N64" s="784" t="s">
        <v>369</v>
      </c>
      <c r="O64" s="870">
        <v>67</v>
      </c>
      <c r="P64" s="871"/>
      <c r="Q64" s="783" t="s">
        <v>370</v>
      </c>
      <c r="R64" s="783" t="s">
        <v>330</v>
      </c>
      <c r="S64" s="642"/>
      <c r="T64" s="552"/>
      <c r="U64" s="758"/>
      <c r="V64" s="756"/>
      <c r="W64" s="552"/>
      <c r="X64" s="643"/>
    </row>
    <row r="65" spans="2:24" ht="11.25" customHeight="1" x14ac:dyDescent="0.2">
      <c r="B65" s="642" t="s">
        <v>377</v>
      </c>
      <c r="C65" s="552" t="s">
        <v>339</v>
      </c>
      <c r="D65" s="716">
        <v>64</v>
      </c>
      <c r="E65" s="643" t="s">
        <v>343</v>
      </c>
      <c r="F65" s="872"/>
      <c r="G65" s="873"/>
      <c r="H65" s="476"/>
      <c r="I65" s="875"/>
      <c r="J65" s="876"/>
      <c r="K65" s="483"/>
      <c r="L65" s="879" t="s">
        <v>372</v>
      </c>
      <c r="M65" s="880"/>
      <c r="N65" s="785" t="s">
        <v>373</v>
      </c>
      <c r="O65" s="870">
        <v>68</v>
      </c>
      <c r="P65" s="871"/>
      <c r="Q65" s="786" t="s">
        <v>374</v>
      </c>
      <c r="R65" s="786" t="s">
        <v>330</v>
      </c>
      <c r="S65" s="642"/>
      <c r="T65" s="552"/>
      <c r="U65" s="758"/>
      <c r="V65" s="756"/>
      <c r="W65" s="552"/>
      <c r="X65" s="643"/>
    </row>
    <row r="66" spans="2:24" ht="11.25" customHeight="1" x14ac:dyDescent="0.2">
      <c r="B66" s="642" t="s">
        <v>388</v>
      </c>
      <c r="C66" s="552" t="s">
        <v>389</v>
      </c>
      <c r="D66" s="716">
        <v>55</v>
      </c>
      <c r="E66" s="643" t="s">
        <v>390</v>
      </c>
      <c r="F66" s="872"/>
      <c r="G66" s="873"/>
      <c r="H66" s="481"/>
      <c r="I66" s="893"/>
      <c r="J66" s="894"/>
      <c r="K66" s="484"/>
      <c r="L66" s="879" t="s">
        <v>372</v>
      </c>
      <c r="M66" s="880"/>
      <c r="N66" s="785" t="s">
        <v>375</v>
      </c>
      <c r="O66" s="870">
        <v>106</v>
      </c>
      <c r="P66" s="871"/>
      <c r="Q66" s="786" t="s">
        <v>336</v>
      </c>
      <c r="R66" s="786" t="s">
        <v>330</v>
      </c>
      <c r="S66" s="642"/>
      <c r="T66" s="552"/>
      <c r="U66" s="758"/>
      <c r="V66" s="756"/>
      <c r="W66" s="552"/>
      <c r="X66" s="643"/>
    </row>
    <row r="67" spans="2:24" ht="11.25" customHeight="1" x14ac:dyDescent="0.2">
      <c r="B67" s="642" t="s">
        <v>388</v>
      </c>
      <c r="C67" s="552" t="s">
        <v>358</v>
      </c>
      <c r="D67" s="716">
        <v>55</v>
      </c>
      <c r="E67" s="643" t="s">
        <v>359</v>
      </c>
      <c r="F67" s="872"/>
      <c r="G67" s="873"/>
      <c r="H67" s="476"/>
      <c r="I67" s="875"/>
      <c r="J67" s="876"/>
      <c r="K67" s="483"/>
      <c r="L67" s="879" t="s">
        <v>376</v>
      </c>
      <c r="M67" s="880"/>
      <c r="N67" s="788" t="s">
        <v>348</v>
      </c>
      <c r="O67" s="870">
        <v>118</v>
      </c>
      <c r="P67" s="871"/>
      <c r="Q67" s="748" t="s">
        <v>334</v>
      </c>
      <c r="R67" s="787" t="s">
        <v>330</v>
      </c>
      <c r="S67" s="642"/>
      <c r="T67" s="552"/>
      <c r="U67" s="758"/>
      <c r="V67" s="756"/>
      <c r="W67" s="552"/>
      <c r="X67" s="643"/>
    </row>
    <row r="68" spans="2:24" ht="11.25" customHeight="1" x14ac:dyDescent="0.2">
      <c r="B68" s="642" t="s">
        <v>388</v>
      </c>
      <c r="C68" s="552" t="s">
        <v>357</v>
      </c>
      <c r="D68" s="716">
        <v>72</v>
      </c>
      <c r="E68" s="643" t="s">
        <v>341</v>
      </c>
      <c r="F68" s="872"/>
      <c r="G68" s="873"/>
      <c r="H68" s="476"/>
      <c r="I68" s="875"/>
      <c r="J68" s="876"/>
      <c r="K68" s="483"/>
      <c r="L68" s="879" t="s">
        <v>377</v>
      </c>
      <c r="M68" s="880"/>
      <c r="N68" s="790" t="s">
        <v>378</v>
      </c>
      <c r="O68" s="870">
        <v>70</v>
      </c>
      <c r="P68" s="871"/>
      <c r="Q68" s="748" t="s">
        <v>379</v>
      </c>
      <c r="R68" s="791" t="s">
        <v>330</v>
      </c>
      <c r="S68" s="642"/>
      <c r="T68" s="552"/>
      <c r="U68" s="758"/>
      <c r="V68" s="756"/>
      <c r="W68" s="552"/>
      <c r="X68" s="643"/>
    </row>
    <row r="69" spans="2:24" ht="11.25" customHeight="1" x14ac:dyDescent="0.2">
      <c r="B69" s="642" t="s">
        <v>388</v>
      </c>
      <c r="C69" s="552" t="s">
        <v>391</v>
      </c>
      <c r="D69" s="716">
        <v>39</v>
      </c>
      <c r="E69" s="643" t="s">
        <v>352</v>
      </c>
      <c r="F69" s="872"/>
      <c r="G69" s="873"/>
      <c r="H69" s="476"/>
      <c r="I69" s="875"/>
      <c r="J69" s="876"/>
      <c r="K69" s="483"/>
      <c r="L69" s="879" t="s">
        <v>377</v>
      </c>
      <c r="M69" s="880"/>
      <c r="N69" s="790" t="s">
        <v>380</v>
      </c>
      <c r="O69" s="870">
        <v>79</v>
      </c>
      <c r="P69" s="871"/>
      <c r="Q69" s="791" t="s">
        <v>381</v>
      </c>
      <c r="R69" s="791" t="s">
        <v>330</v>
      </c>
      <c r="S69" s="642"/>
      <c r="T69" s="552"/>
      <c r="U69" s="758"/>
      <c r="V69" s="756"/>
      <c r="W69" s="552"/>
      <c r="X69" s="643"/>
    </row>
    <row r="70" spans="2:24" ht="11.25" customHeight="1" x14ac:dyDescent="0.2">
      <c r="B70" s="642" t="s">
        <v>393</v>
      </c>
      <c r="C70" s="552" t="s">
        <v>338</v>
      </c>
      <c r="D70" s="716">
        <v>110</v>
      </c>
      <c r="E70" s="643" t="s">
        <v>387</v>
      </c>
      <c r="F70" s="872"/>
      <c r="G70" s="873"/>
      <c r="H70" s="476"/>
      <c r="I70" s="875"/>
      <c r="J70" s="876"/>
      <c r="K70" s="483"/>
      <c r="L70" s="879" t="s">
        <v>377</v>
      </c>
      <c r="M70" s="880"/>
      <c r="N70" s="790" t="s">
        <v>382</v>
      </c>
      <c r="O70" s="870">
        <v>57</v>
      </c>
      <c r="P70" s="871"/>
      <c r="Q70" s="791" t="s">
        <v>368</v>
      </c>
      <c r="R70" s="791" t="s">
        <v>330</v>
      </c>
      <c r="S70" s="642"/>
      <c r="T70" s="552"/>
      <c r="U70" s="758"/>
      <c r="V70" s="756"/>
      <c r="W70" s="552"/>
      <c r="X70" s="643"/>
    </row>
    <row r="71" spans="2:24" ht="11.25" customHeight="1" x14ac:dyDescent="0.2">
      <c r="B71" s="642" t="s">
        <v>409</v>
      </c>
      <c r="C71" s="552" t="s">
        <v>339</v>
      </c>
      <c r="D71" s="716">
        <v>89</v>
      </c>
      <c r="E71" s="643" t="s">
        <v>390</v>
      </c>
      <c r="F71" s="872"/>
      <c r="G71" s="873"/>
      <c r="H71" s="476"/>
      <c r="I71" s="875"/>
      <c r="J71" s="876"/>
      <c r="K71" s="483"/>
      <c r="L71" s="879" t="s">
        <v>383</v>
      </c>
      <c r="M71" s="880"/>
      <c r="N71" s="798" t="s">
        <v>395</v>
      </c>
      <c r="O71" s="870">
        <v>81</v>
      </c>
      <c r="P71" s="871"/>
      <c r="Q71" s="793" t="s">
        <v>364</v>
      </c>
      <c r="R71" s="793" t="s">
        <v>330</v>
      </c>
      <c r="S71" s="642"/>
      <c r="T71" s="552"/>
      <c r="U71" s="758"/>
      <c r="V71" s="756"/>
      <c r="W71" s="552"/>
      <c r="X71" s="643"/>
    </row>
    <row r="72" spans="2:24" ht="11.25" customHeight="1" x14ac:dyDescent="0.2">
      <c r="B72" s="642" t="s">
        <v>412</v>
      </c>
      <c r="C72" s="552" t="s">
        <v>340</v>
      </c>
      <c r="D72" s="716">
        <v>102</v>
      </c>
      <c r="E72" s="643" t="s">
        <v>344</v>
      </c>
      <c r="F72" s="872"/>
      <c r="G72" s="873"/>
      <c r="H72" s="481"/>
      <c r="I72" s="893"/>
      <c r="J72" s="894"/>
      <c r="K72" s="484"/>
      <c r="L72" s="879" t="s">
        <v>383</v>
      </c>
      <c r="M72" s="880"/>
      <c r="N72" s="792" t="s">
        <v>328</v>
      </c>
      <c r="O72" s="870">
        <v>162</v>
      </c>
      <c r="P72" s="871"/>
      <c r="Q72" s="793" t="s">
        <v>329</v>
      </c>
      <c r="R72" s="793" t="s">
        <v>330</v>
      </c>
      <c r="S72" s="642"/>
      <c r="T72" s="552"/>
      <c r="U72" s="758"/>
      <c r="V72" s="756"/>
      <c r="W72" s="552"/>
      <c r="X72" s="643"/>
    </row>
    <row r="73" spans="2:24" ht="11.25" customHeight="1" x14ac:dyDescent="0.2">
      <c r="B73" s="642" t="s">
        <v>413</v>
      </c>
      <c r="C73" s="552" t="s">
        <v>345</v>
      </c>
      <c r="D73" s="716">
        <v>147</v>
      </c>
      <c r="E73" s="643" t="s">
        <v>416</v>
      </c>
      <c r="F73" s="872"/>
      <c r="G73" s="873"/>
      <c r="H73" s="476"/>
      <c r="I73" s="875"/>
      <c r="J73" s="876"/>
      <c r="K73" s="483"/>
      <c r="L73" s="879" t="s">
        <v>383</v>
      </c>
      <c r="M73" s="880"/>
      <c r="N73" s="792" t="s">
        <v>384</v>
      </c>
      <c r="O73" s="870">
        <v>121</v>
      </c>
      <c r="P73" s="871"/>
      <c r="Q73" s="748" t="s">
        <v>385</v>
      </c>
      <c r="R73" s="793" t="s">
        <v>330</v>
      </c>
      <c r="S73" s="642"/>
      <c r="T73" s="552"/>
      <c r="U73" s="758"/>
      <c r="V73" s="756"/>
      <c r="W73" s="552"/>
      <c r="X73" s="643"/>
    </row>
    <row r="74" spans="2:24" ht="11.25" customHeight="1" x14ac:dyDescent="0.2">
      <c r="B74" s="642" t="s">
        <v>413</v>
      </c>
      <c r="C74" s="552" t="s">
        <v>417</v>
      </c>
      <c r="D74" s="716">
        <v>29</v>
      </c>
      <c r="E74" s="643" t="s">
        <v>397</v>
      </c>
      <c r="F74" s="872"/>
      <c r="G74" s="873"/>
      <c r="H74" s="476"/>
      <c r="I74" s="875"/>
      <c r="J74" s="876"/>
      <c r="K74" s="483"/>
      <c r="L74" s="879" t="s">
        <v>383</v>
      </c>
      <c r="M74" s="880"/>
      <c r="N74" s="792" t="s">
        <v>386</v>
      </c>
      <c r="O74" s="870">
        <v>140</v>
      </c>
      <c r="P74" s="871"/>
      <c r="Q74" s="793" t="s">
        <v>387</v>
      </c>
      <c r="R74" s="793" t="s">
        <v>330</v>
      </c>
      <c r="S74" s="642"/>
      <c r="T74" s="552"/>
      <c r="U74" s="758"/>
      <c r="V74" s="756"/>
      <c r="W74" s="552"/>
      <c r="X74" s="643"/>
    </row>
    <row r="75" spans="2:24" ht="11.25" customHeight="1" x14ac:dyDescent="0.2">
      <c r="B75" s="642" t="s">
        <v>413</v>
      </c>
      <c r="C75" s="552" t="s">
        <v>418</v>
      </c>
      <c r="D75" s="716">
        <v>111</v>
      </c>
      <c r="E75" s="643" t="s">
        <v>397</v>
      </c>
      <c r="F75" s="872"/>
      <c r="G75" s="873"/>
      <c r="H75" s="476"/>
      <c r="I75" s="875"/>
      <c r="J75" s="876"/>
      <c r="K75" s="483"/>
      <c r="L75" s="879" t="s">
        <v>393</v>
      </c>
      <c r="M75" s="880"/>
      <c r="N75" s="811" t="s">
        <v>373</v>
      </c>
      <c r="O75" s="870">
        <v>85</v>
      </c>
      <c r="P75" s="871"/>
      <c r="Q75" s="812" t="s">
        <v>374</v>
      </c>
      <c r="R75" s="812" t="s">
        <v>330</v>
      </c>
      <c r="S75" s="642"/>
      <c r="T75" s="552"/>
      <c r="U75" s="758"/>
      <c r="V75" s="756"/>
      <c r="W75" s="552"/>
      <c r="X75" s="643"/>
    </row>
    <row r="76" spans="2:24" ht="9.75" customHeight="1" x14ac:dyDescent="0.2">
      <c r="B76" s="642" t="s">
        <v>413</v>
      </c>
      <c r="C76" s="552" t="s">
        <v>419</v>
      </c>
      <c r="D76" s="716">
        <v>109</v>
      </c>
      <c r="E76" s="643" t="s">
        <v>341</v>
      </c>
      <c r="F76" s="872"/>
      <c r="G76" s="873"/>
      <c r="H76" s="476"/>
      <c r="I76" s="875"/>
      <c r="J76" s="876"/>
      <c r="K76" s="483"/>
      <c r="L76" s="879" t="s">
        <v>393</v>
      </c>
      <c r="M76" s="880"/>
      <c r="N76" s="811" t="s">
        <v>395</v>
      </c>
      <c r="O76" s="870">
        <v>70</v>
      </c>
      <c r="P76" s="871"/>
      <c r="Q76" s="812" t="s">
        <v>364</v>
      </c>
      <c r="R76" s="812" t="s">
        <v>330</v>
      </c>
      <c r="S76" s="642"/>
      <c r="T76" s="552"/>
      <c r="U76" s="758"/>
      <c r="V76" s="756"/>
      <c r="W76" s="552"/>
      <c r="X76" s="643"/>
    </row>
    <row r="77" spans="2:24" ht="11.25" hidden="1" customHeight="1" x14ac:dyDescent="0.2">
      <c r="B77" s="642"/>
      <c r="C77" s="552"/>
      <c r="D77" s="716"/>
      <c r="E77" s="643"/>
      <c r="F77" s="872"/>
      <c r="G77" s="873"/>
      <c r="H77" s="476"/>
      <c r="I77" s="628"/>
      <c r="J77" s="629"/>
      <c r="K77" s="483"/>
      <c r="L77" s="879" t="s">
        <v>393</v>
      </c>
      <c r="M77" s="880"/>
      <c r="N77" s="809" t="s">
        <v>394</v>
      </c>
      <c r="O77" s="870">
        <v>70</v>
      </c>
      <c r="P77" s="871"/>
      <c r="Q77" s="810" t="s">
        <v>364</v>
      </c>
      <c r="R77" s="810" t="s">
        <v>330</v>
      </c>
      <c r="S77" s="642"/>
      <c r="T77" s="552"/>
      <c r="U77" s="758"/>
      <c r="V77" s="756"/>
      <c r="W77" s="552"/>
      <c r="X77" s="643"/>
    </row>
    <row r="78" spans="2:24" ht="11.25" customHeight="1" x14ac:dyDescent="0.2">
      <c r="B78" s="642" t="s">
        <v>413</v>
      </c>
      <c r="C78" s="552" t="s">
        <v>338</v>
      </c>
      <c r="D78" s="716">
        <v>104</v>
      </c>
      <c r="E78" s="643" t="s">
        <v>342</v>
      </c>
      <c r="F78" s="872"/>
      <c r="G78" s="873"/>
      <c r="H78" s="476"/>
      <c r="I78" s="875"/>
      <c r="J78" s="876"/>
      <c r="K78" s="483"/>
      <c r="L78" s="879" t="s">
        <v>393</v>
      </c>
      <c r="M78" s="880"/>
      <c r="N78" s="811" t="s">
        <v>348</v>
      </c>
      <c r="O78" s="870">
        <v>117</v>
      </c>
      <c r="P78" s="871"/>
      <c r="Q78" s="812" t="s">
        <v>334</v>
      </c>
      <c r="R78" s="812" t="s">
        <v>330</v>
      </c>
      <c r="S78" s="642"/>
      <c r="T78" s="552"/>
      <c r="U78" s="758"/>
      <c r="V78" s="756"/>
      <c r="W78" s="552"/>
      <c r="X78" s="643"/>
    </row>
    <row r="79" spans="2:24" ht="11.25" customHeight="1" x14ac:dyDescent="0.2">
      <c r="B79" s="642" t="s">
        <v>413</v>
      </c>
      <c r="C79" s="552" t="s">
        <v>340</v>
      </c>
      <c r="D79" s="716">
        <v>53</v>
      </c>
      <c r="E79" s="643" t="s">
        <v>344</v>
      </c>
      <c r="F79" s="872"/>
      <c r="G79" s="873"/>
      <c r="H79" s="476"/>
      <c r="I79" s="875"/>
      <c r="J79" s="876"/>
      <c r="K79" s="483"/>
      <c r="L79" s="879" t="s">
        <v>393</v>
      </c>
      <c r="M79" s="880"/>
      <c r="N79" s="811" t="s">
        <v>378</v>
      </c>
      <c r="O79" s="870">
        <v>80</v>
      </c>
      <c r="P79" s="871"/>
      <c r="Q79" s="812" t="s">
        <v>379</v>
      </c>
      <c r="R79" s="812" t="s">
        <v>330</v>
      </c>
      <c r="S79" s="642"/>
      <c r="T79" s="552"/>
      <c r="U79" s="758"/>
      <c r="V79" s="756"/>
      <c r="W79" s="552"/>
      <c r="X79" s="643"/>
    </row>
    <row r="80" spans="2:24" ht="11.25" customHeight="1" x14ac:dyDescent="0.2">
      <c r="B80" s="642" t="s">
        <v>413</v>
      </c>
      <c r="C80" s="552" t="s">
        <v>420</v>
      </c>
      <c r="D80" s="716">
        <v>45</v>
      </c>
      <c r="E80" s="643" t="s">
        <v>344</v>
      </c>
      <c r="F80" s="872"/>
      <c r="G80" s="873"/>
      <c r="H80" s="476"/>
      <c r="I80" s="875"/>
      <c r="J80" s="876"/>
      <c r="K80" s="483"/>
      <c r="L80" s="879" t="s">
        <v>393</v>
      </c>
      <c r="M80" s="880"/>
      <c r="N80" s="811" t="s">
        <v>403</v>
      </c>
      <c r="O80" s="870">
        <v>103</v>
      </c>
      <c r="P80" s="871"/>
      <c r="Q80" s="812" t="s">
        <v>370</v>
      </c>
      <c r="R80" s="812" t="s">
        <v>330</v>
      </c>
      <c r="S80" s="642"/>
      <c r="T80" s="552"/>
      <c r="U80" s="758"/>
      <c r="V80" s="756"/>
      <c r="W80" s="552"/>
      <c r="X80" s="643"/>
    </row>
    <row r="81" spans="2:24" ht="11.25" customHeight="1" x14ac:dyDescent="0.2">
      <c r="B81" s="642" t="s">
        <v>413</v>
      </c>
      <c r="C81" s="552" t="s">
        <v>339</v>
      </c>
      <c r="D81" s="716">
        <v>81</v>
      </c>
      <c r="E81" s="643" t="s">
        <v>421</v>
      </c>
      <c r="F81" s="872"/>
      <c r="G81" s="873"/>
      <c r="H81" s="476"/>
      <c r="I81" s="875"/>
      <c r="J81" s="876"/>
      <c r="K81" s="483"/>
      <c r="L81" s="879" t="s">
        <v>393</v>
      </c>
      <c r="M81" s="880"/>
      <c r="N81" s="811" t="s">
        <v>382</v>
      </c>
      <c r="O81" s="870">
        <v>85</v>
      </c>
      <c r="P81" s="871"/>
      <c r="Q81" s="812" t="s">
        <v>368</v>
      </c>
      <c r="R81" s="812" t="s">
        <v>330</v>
      </c>
      <c r="S81" s="642"/>
      <c r="T81" s="552"/>
      <c r="U81" s="758"/>
      <c r="V81" s="756"/>
      <c r="W81" s="552"/>
      <c r="X81" s="643"/>
    </row>
    <row r="82" spans="2:24" ht="11.25" customHeight="1" x14ac:dyDescent="0.2">
      <c r="B82" s="642"/>
      <c r="C82" s="552"/>
      <c r="D82" s="716"/>
      <c r="E82" s="643"/>
      <c r="F82" s="872"/>
      <c r="G82" s="873"/>
      <c r="H82" s="476"/>
      <c r="I82" s="875"/>
      <c r="J82" s="876"/>
      <c r="K82" s="483"/>
      <c r="L82" s="879" t="s">
        <v>393</v>
      </c>
      <c r="M82" s="880"/>
      <c r="N82" s="811" t="s">
        <v>380</v>
      </c>
      <c r="O82" s="870">
        <v>83</v>
      </c>
      <c r="P82" s="871"/>
      <c r="Q82" s="812" t="s">
        <v>381</v>
      </c>
      <c r="R82" s="812" t="s">
        <v>330</v>
      </c>
      <c r="S82" s="642"/>
      <c r="T82" s="552"/>
      <c r="U82" s="758"/>
      <c r="V82" s="756"/>
      <c r="W82" s="552"/>
      <c r="X82" s="643"/>
    </row>
    <row r="83" spans="2:24" ht="11.25" customHeight="1" x14ac:dyDescent="0.2">
      <c r="B83" s="642"/>
      <c r="C83" s="552"/>
      <c r="D83" s="716"/>
      <c r="E83" s="643"/>
      <c r="F83" s="872"/>
      <c r="G83" s="873"/>
      <c r="H83" s="476"/>
      <c r="I83" s="875"/>
      <c r="J83" s="876"/>
      <c r="K83" s="483"/>
      <c r="L83" s="879" t="s">
        <v>404</v>
      </c>
      <c r="M83" s="880"/>
      <c r="N83" s="811" t="s">
        <v>328</v>
      </c>
      <c r="O83" s="870">
        <v>97</v>
      </c>
      <c r="P83" s="871"/>
      <c r="Q83" s="812" t="s">
        <v>329</v>
      </c>
      <c r="R83" s="812" t="s">
        <v>330</v>
      </c>
      <c r="S83" s="642"/>
      <c r="T83" s="552"/>
      <c r="U83" s="758"/>
      <c r="V83" s="756"/>
      <c r="W83" s="552"/>
      <c r="X83" s="643"/>
    </row>
    <row r="84" spans="2:24" ht="11.25" customHeight="1" x14ac:dyDescent="0.2">
      <c r="B84" s="642"/>
      <c r="C84" s="552"/>
      <c r="D84" s="716"/>
      <c r="E84" s="643"/>
      <c r="F84" s="872"/>
      <c r="G84" s="873"/>
      <c r="H84" s="476"/>
      <c r="I84" s="875"/>
      <c r="J84" s="876"/>
      <c r="K84" s="483"/>
      <c r="L84" s="879" t="s">
        <v>405</v>
      </c>
      <c r="M84" s="880"/>
      <c r="N84" s="811" t="s">
        <v>335</v>
      </c>
      <c r="O84" s="870">
        <v>122</v>
      </c>
      <c r="P84" s="871"/>
      <c r="Q84" s="812" t="s">
        <v>336</v>
      </c>
      <c r="R84" s="812" t="s">
        <v>330</v>
      </c>
      <c r="S84" s="642"/>
      <c r="T84" s="552"/>
      <c r="U84" s="552"/>
      <c r="V84" s="552"/>
      <c r="W84" s="552"/>
      <c r="X84" s="643"/>
    </row>
    <row r="85" spans="2:24" ht="11.25" customHeight="1" x14ac:dyDescent="0.2">
      <c r="B85" s="642"/>
      <c r="C85" s="552"/>
      <c r="D85" s="716"/>
      <c r="E85" s="643"/>
      <c r="F85" s="872"/>
      <c r="G85" s="873"/>
      <c r="H85" s="476"/>
      <c r="I85" s="875"/>
      <c r="J85" s="876"/>
      <c r="K85" s="483"/>
      <c r="L85" s="879" t="s">
        <v>405</v>
      </c>
      <c r="M85" s="880"/>
      <c r="N85" s="811" t="s">
        <v>348</v>
      </c>
      <c r="O85" s="870">
        <v>81</v>
      </c>
      <c r="P85" s="871"/>
      <c r="Q85" s="812" t="s">
        <v>334</v>
      </c>
      <c r="R85" s="812" t="s">
        <v>330</v>
      </c>
      <c r="S85" s="642"/>
      <c r="T85" s="552"/>
      <c r="U85" s="552"/>
      <c r="V85" s="552"/>
      <c r="W85" s="552"/>
      <c r="X85" s="643"/>
    </row>
    <row r="86" spans="2:24" ht="11.25" customHeight="1" x14ac:dyDescent="0.2">
      <c r="B86" s="642"/>
      <c r="C86" s="552"/>
      <c r="D86" s="716"/>
      <c r="E86" s="643"/>
      <c r="F86" s="872"/>
      <c r="G86" s="873"/>
      <c r="H86" s="476"/>
      <c r="I86" s="875"/>
      <c r="J86" s="876"/>
      <c r="K86" s="483"/>
      <c r="L86" s="879" t="s">
        <v>405</v>
      </c>
      <c r="M86" s="880"/>
      <c r="N86" s="811" t="s">
        <v>406</v>
      </c>
      <c r="O86" s="870">
        <v>113</v>
      </c>
      <c r="P86" s="871"/>
      <c r="Q86" s="812" t="s">
        <v>407</v>
      </c>
      <c r="R86" s="812" t="s">
        <v>330</v>
      </c>
      <c r="S86" s="642"/>
      <c r="T86" s="552"/>
      <c r="U86" s="552"/>
      <c r="V86" s="552"/>
      <c r="W86" s="552"/>
      <c r="X86" s="643"/>
    </row>
    <row r="87" spans="2:24" ht="11.25" customHeight="1" x14ac:dyDescent="0.2">
      <c r="B87" s="642"/>
      <c r="C87" s="552"/>
      <c r="D87" s="716"/>
      <c r="E87" s="643"/>
      <c r="F87" s="872"/>
      <c r="G87" s="873"/>
      <c r="H87" s="476"/>
      <c r="I87" s="875"/>
      <c r="J87" s="876"/>
      <c r="K87" s="483"/>
      <c r="L87" s="879" t="s">
        <v>408</v>
      </c>
      <c r="M87" s="880"/>
      <c r="N87" s="811" t="s">
        <v>384</v>
      </c>
      <c r="O87" s="870">
        <v>134</v>
      </c>
      <c r="P87" s="871"/>
      <c r="Q87" s="812" t="s">
        <v>385</v>
      </c>
      <c r="R87" s="812" t="s">
        <v>330</v>
      </c>
      <c r="S87" s="642"/>
      <c r="T87" s="552"/>
      <c r="U87" s="552"/>
      <c r="V87" s="552"/>
      <c r="W87" s="552"/>
      <c r="X87" s="643"/>
    </row>
    <row r="88" spans="2:24" ht="11.25" customHeight="1" x14ac:dyDescent="0.2">
      <c r="B88" s="642"/>
      <c r="C88" s="552"/>
      <c r="D88" s="716"/>
      <c r="E88" s="643"/>
      <c r="F88" s="872"/>
      <c r="G88" s="873"/>
      <c r="H88" s="476"/>
      <c r="I88" s="875"/>
      <c r="J88" s="876"/>
      <c r="K88" s="483"/>
      <c r="L88" s="879" t="s">
        <v>408</v>
      </c>
      <c r="M88" s="880"/>
      <c r="N88" s="811" t="s">
        <v>395</v>
      </c>
      <c r="O88" s="870">
        <v>25</v>
      </c>
      <c r="P88" s="871"/>
      <c r="Q88" s="812" t="s">
        <v>364</v>
      </c>
      <c r="R88" s="812" t="s">
        <v>330</v>
      </c>
      <c r="S88" s="642"/>
      <c r="T88" s="552"/>
      <c r="U88" s="552"/>
      <c r="V88" s="552"/>
      <c r="W88" s="552"/>
      <c r="X88" s="643"/>
    </row>
    <row r="89" spans="2:24" ht="11.25" customHeight="1" x14ac:dyDescent="0.2">
      <c r="B89" s="642"/>
      <c r="C89" s="552"/>
      <c r="D89" s="716"/>
      <c r="E89" s="643"/>
      <c r="F89" s="872"/>
      <c r="G89" s="873"/>
      <c r="H89" s="476"/>
      <c r="I89" s="875"/>
      <c r="J89" s="876"/>
      <c r="K89" s="483"/>
      <c r="L89" s="879" t="s">
        <v>409</v>
      </c>
      <c r="M89" s="880"/>
      <c r="N89" s="811" t="s">
        <v>395</v>
      </c>
      <c r="O89" s="870">
        <v>96</v>
      </c>
      <c r="P89" s="871"/>
      <c r="Q89" s="812" t="s">
        <v>364</v>
      </c>
      <c r="R89" s="812" t="s">
        <v>330</v>
      </c>
      <c r="S89" s="642"/>
      <c r="T89" s="552"/>
      <c r="U89" s="552"/>
      <c r="V89" s="552"/>
      <c r="W89" s="552"/>
      <c r="X89" s="643"/>
    </row>
    <row r="90" spans="2:24" ht="11.25" customHeight="1" x14ac:dyDescent="0.2">
      <c r="B90" s="642"/>
      <c r="C90" s="552"/>
      <c r="D90" s="716"/>
      <c r="E90" s="643"/>
      <c r="F90" s="872"/>
      <c r="G90" s="873"/>
      <c r="H90" s="476"/>
      <c r="I90" s="874"/>
      <c r="J90" s="874"/>
      <c r="K90" s="483"/>
      <c r="L90" s="879" t="s">
        <v>410</v>
      </c>
      <c r="M90" s="880"/>
      <c r="N90" s="811" t="s">
        <v>411</v>
      </c>
      <c r="O90" s="870">
        <v>85</v>
      </c>
      <c r="P90" s="871"/>
      <c r="Q90" s="812" t="s">
        <v>374</v>
      </c>
      <c r="R90" s="812" t="s">
        <v>330</v>
      </c>
      <c r="S90" s="642"/>
      <c r="T90" s="552"/>
      <c r="U90" s="552"/>
      <c r="V90" s="552"/>
      <c r="W90" s="552"/>
      <c r="X90" s="643"/>
    </row>
    <row r="91" spans="2:24" x14ac:dyDescent="0.2">
      <c r="B91" s="642"/>
      <c r="C91" s="552"/>
      <c r="D91" s="716"/>
      <c r="E91" s="643"/>
      <c r="F91" s="872"/>
      <c r="G91" s="873"/>
      <c r="H91" s="476"/>
      <c r="I91" s="874"/>
      <c r="J91" s="874"/>
      <c r="K91" s="483"/>
      <c r="L91" s="879" t="s">
        <v>410</v>
      </c>
      <c r="M91" s="880"/>
      <c r="N91" s="811" t="s">
        <v>386</v>
      </c>
      <c r="O91" s="870">
        <v>139</v>
      </c>
      <c r="P91" s="871"/>
      <c r="Q91" s="808" t="s">
        <v>387</v>
      </c>
      <c r="R91" s="812" t="s">
        <v>330</v>
      </c>
      <c r="S91" s="642"/>
      <c r="T91" s="552"/>
      <c r="U91" s="552"/>
      <c r="V91" s="552"/>
      <c r="W91" s="552"/>
      <c r="X91" s="643"/>
    </row>
    <row r="92" spans="2:24" x14ac:dyDescent="0.2">
      <c r="B92" s="642"/>
      <c r="C92" s="552"/>
      <c r="D92" s="716"/>
      <c r="E92" s="643"/>
      <c r="F92" s="872"/>
      <c r="G92" s="873"/>
      <c r="H92" s="476"/>
      <c r="I92" s="874"/>
      <c r="J92" s="874"/>
      <c r="K92" s="483"/>
      <c r="L92" s="879" t="s">
        <v>413</v>
      </c>
      <c r="M92" s="880"/>
      <c r="N92" s="813" t="s">
        <v>414</v>
      </c>
      <c r="O92" s="870">
        <v>66</v>
      </c>
      <c r="P92" s="871"/>
      <c r="Q92" s="808" t="s">
        <v>415</v>
      </c>
      <c r="R92" s="814" t="s">
        <v>330</v>
      </c>
      <c r="S92" s="642"/>
      <c r="T92" s="552"/>
      <c r="U92" s="552"/>
      <c r="V92" s="552"/>
      <c r="W92" s="552"/>
      <c r="X92" s="643"/>
    </row>
    <row r="93" spans="2:24" x14ac:dyDescent="0.2">
      <c r="B93" s="642"/>
      <c r="C93" s="552"/>
      <c r="D93" s="716"/>
      <c r="E93" s="643"/>
      <c r="F93" s="872"/>
      <c r="G93" s="873"/>
      <c r="H93" s="476"/>
      <c r="I93" s="874"/>
      <c r="J93" s="874"/>
      <c r="K93" s="483"/>
      <c r="L93" s="879" t="s">
        <v>413</v>
      </c>
      <c r="M93" s="880"/>
      <c r="N93" s="813" t="s">
        <v>378</v>
      </c>
      <c r="O93" s="895">
        <v>105</v>
      </c>
      <c r="P93" s="895"/>
      <c r="Q93" s="813" t="s">
        <v>379</v>
      </c>
      <c r="R93" s="814" t="s">
        <v>330</v>
      </c>
      <c r="S93" s="642"/>
      <c r="T93" s="552"/>
      <c r="U93" s="552"/>
      <c r="V93" s="552"/>
      <c r="W93" s="552"/>
      <c r="X93" s="643"/>
    </row>
    <row r="94" spans="2:24" x14ac:dyDescent="0.2">
      <c r="B94" s="642"/>
      <c r="C94" s="552"/>
      <c r="D94" s="716"/>
      <c r="E94" s="643"/>
      <c r="F94" s="872"/>
      <c r="G94" s="873"/>
      <c r="H94" s="476"/>
      <c r="I94" s="874"/>
      <c r="J94" s="874"/>
      <c r="K94" s="483"/>
      <c r="L94" s="879" t="s">
        <v>413</v>
      </c>
      <c r="M94" s="880"/>
      <c r="N94" s="813" t="s">
        <v>328</v>
      </c>
      <c r="O94" s="895">
        <v>77</v>
      </c>
      <c r="P94" s="895"/>
      <c r="Q94" s="813" t="s">
        <v>329</v>
      </c>
      <c r="R94" s="814" t="s">
        <v>330</v>
      </c>
      <c r="S94" s="642"/>
      <c r="T94" s="552"/>
      <c r="U94" s="552"/>
      <c r="V94" s="552"/>
      <c r="W94" s="552"/>
      <c r="X94" s="643"/>
    </row>
    <row r="95" spans="2:24" x14ac:dyDescent="0.2">
      <c r="B95" s="642"/>
      <c r="C95" s="552"/>
      <c r="D95" s="716"/>
      <c r="E95" s="643"/>
      <c r="F95" s="872"/>
      <c r="G95" s="873"/>
      <c r="H95" s="476"/>
      <c r="I95" s="874"/>
      <c r="J95" s="874"/>
      <c r="K95" s="483"/>
      <c r="L95" s="879" t="s">
        <v>413</v>
      </c>
      <c r="M95" s="880"/>
      <c r="N95" s="813" t="s">
        <v>380</v>
      </c>
      <c r="O95" s="895">
        <v>78</v>
      </c>
      <c r="P95" s="895"/>
      <c r="Q95" s="813" t="s">
        <v>381</v>
      </c>
      <c r="R95" s="814" t="s">
        <v>330</v>
      </c>
      <c r="S95" s="642"/>
      <c r="T95" s="552"/>
      <c r="U95" s="552"/>
      <c r="V95" s="552"/>
      <c r="W95" s="552"/>
      <c r="X95" s="643"/>
    </row>
    <row r="96" spans="2:24" x14ac:dyDescent="0.2">
      <c r="B96" s="642"/>
      <c r="C96" s="552"/>
      <c r="D96" s="716"/>
      <c r="E96" s="643"/>
      <c r="F96" s="872"/>
      <c r="G96" s="873"/>
      <c r="H96" s="476"/>
      <c r="I96" s="874"/>
      <c r="J96" s="874"/>
      <c r="K96" s="483"/>
      <c r="L96" s="879" t="s">
        <v>413</v>
      </c>
      <c r="M96" s="880"/>
      <c r="N96" s="813" t="s">
        <v>348</v>
      </c>
      <c r="O96" s="895">
        <v>113</v>
      </c>
      <c r="P96" s="895"/>
      <c r="Q96" s="813" t="s">
        <v>334</v>
      </c>
      <c r="R96" s="814" t="s">
        <v>330</v>
      </c>
      <c r="S96" s="642"/>
      <c r="T96" s="552"/>
      <c r="U96" s="552"/>
      <c r="V96" s="552"/>
      <c r="W96" s="552"/>
      <c r="X96" s="643"/>
    </row>
    <row r="97" spans="2:24" ht="12" thickBot="1" x14ac:dyDescent="0.25">
      <c r="B97" s="642"/>
      <c r="C97" s="552"/>
      <c r="D97" s="716"/>
      <c r="E97" s="643"/>
      <c r="F97" s="916"/>
      <c r="G97" s="917"/>
      <c r="H97" s="543"/>
      <c r="I97" s="918"/>
      <c r="J97" s="919"/>
      <c r="K97" s="648"/>
      <c r="L97" s="879" t="s">
        <v>413</v>
      </c>
      <c r="M97" s="880"/>
      <c r="N97" s="813" t="s">
        <v>403</v>
      </c>
      <c r="O97" s="895">
        <v>81</v>
      </c>
      <c r="P97" s="895"/>
      <c r="Q97" s="813" t="s">
        <v>370</v>
      </c>
      <c r="R97" s="814" t="s">
        <v>330</v>
      </c>
      <c r="S97" s="644"/>
      <c r="T97" s="645"/>
      <c r="U97" s="645"/>
      <c r="V97" s="645"/>
      <c r="W97" s="645"/>
      <c r="X97" s="647"/>
    </row>
    <row r="98" spans="2:24" ht="12.75" x14ac:dyDescent="0.2">
      <c r="B98" s="642"/>
      <c r="C98" s="552"/>
      <c r="D98" s="716"/>
      <c r="E98" s="643"/>
      <c r="K98" s="817"/>
      <c r="L98" s="879"/>
      <c r="M98" s="915"/>
      <c r="N98" s="815"/>
      <c r="O98" s="875"/>
      <c r="P98" s="876"/>
      <c r="Q98" s="815"/>
      <c r="R98" s="816"/>
    </row>
    <row r="99" spans="2:24" ht="13.5" thickBot="1" x14ac:dyDescent="0.25">
      <c r="B99" s="644"/>
      <c r="C99" s="645"/>
      <c r="D99" s="646"/>
      <c r="E99" s="647"/>
      <c r="K99" s="817"/>
      <c r="L99" s="879"/>
      <c r="M99" s="915"/>
      <c r="N99" s="815"/>
      <c r="O99" s="920"/>
      <c r="P99" s="921"/>
      <c r="Q99" s="818"/>
      <c r="R99" s="655"/>
    </row>
    <row r="108" spans="2:24" x14ac:dyDescent="0.2">
      <c r="P108" s="630"/>
    </row>
    <row r="109" spans="2:24" x14ac:dyDescent="0.2">
      <c r="P109" s="630"/>
    </row>
    <row r="110" spans="2:24" x14ac:dyDescent="0.2">
      <c r="P110" s="630"/>
    </row>
    <row r="111" spans="2:24" x14ac:dyDescent="0.2">
      <c r="P111" s="630"/>
    </row>
    <row r="112" spans="2:24" x14ac:dyDescent="0.2">
      <c r="P112" s="630"/>
    </row>
    <row r="113" spans="16:16" x14ac:dyDescent="0.2">
      <c r="P113" s="630"/>
    </row>
    <row r="114" spans="16:16" x14ac:dyDescent="0.2">
      <c r="P114" s="630"/>
    </row>
    <row r="115" spans="16:16" x14ac:dyDescent="0.2">
      <c r="P115" s="630"/>
    </row>
    <row r="116" spans="16:16" x14ac:dyDescent="0.2">
      <c r="P116" s="630"/>
    </row>
    <row r="117" spans="16:16" x14ac:dyDescent="0.2">
      <c r="P117" s="630"/>
    </row>
    <row r="118" spans="16:16" x14ac:dyDescent="0.2">
      <c r="P118" s="630"/>
    </row>
    <row r="119" spans="16:16" x14ac:dyDescent="0.2">
      <c r="P119" s="630"/>
    </row>
    <row r="120" spans="16:16" x14ac:dyDescent="0.2">
      <c r="P120" s="630"/>
    </row>
    <row r="121" spans="16:16" x14ac:dyDescent="0.2">
      <c r="P121" s="630"/>
    </row>
    <row r="122" spans="16:16" x14ac:dyDescent="0.2">
      <c r="P122" s="630"/>
    </row>
    <row r="123" spans="16:16" x14ac:dyDescent="0.2">
      <c r="P123" s="630"/>
    </row>
    <row r="124" spans="16:16" x14ac:dyDescent="0.2">
      <c r="P124" s="630"/>
    </row>
    <row r="125" spans="16:16" x14ac:dyDescent="0.2">
      <c r="P125" s="630"/>
    </row>
    <row r="126" spans="16:16" x14ac:dyDescent="0.2">
      <c r="P126" s="630"/>
    </row>
    <row r="127" spans="16:16" x14ac:dyDescent="0.2">
      <c r="P127" s="630"/>
    </row>
    <row r="128" spans="16:16" x14ac:dyDescent="0.2">
      <c r="P128" s="630"/>
    </row>
    <row r="129" spans="16:17" x14ac:dyDescent="0.2">
      <c r="P129" s="630"/>
    </row>
    <row r="130" spans="16:17" x14ac:dyDescent="0.2">
      <c r="P130" s="630"/>
    </row>
    <row r="131" spans="16:17" x14ac:dyDescent="0.2">
      <c r="P131" s="630"/>
    </row>
    <row r="132" spans="16:17" x14ac:dyDescent="0.2">
      <c r="P132" s="630"/>
    </row>
    <row r="133" spans="16:17" x14ac:dyDescent="0.2">
      <c r="P133" s="630"/>
    </row>
    <row r="134" spans="16:17" x14ac:dyDescent="0.2">
      <c r="P134" s="630"/>
    </row>
    <row r="135" spans="16:17" x14ac:dyDescent="0.2">
      <c r="P135" s="630"/>
    </row>
    <row r="136" spans="16:17" x14ac:dyDescent="0.2">
      <c r="P136" s="630"/>
    </row>
    <row r="137" spans="16:17" x14ac:dyDescent="0.2">
      <c r="P137" s="630"/>
    </row>
    <row r="138" spans="16:17" x14ac:dyDescent="0.2">
      <c r="P138" s="630"/>
    </row>
    <row r="139" spans="16:17" x14ac:dyDescent="0.2">
      <c r="P139" s="630"/>
      <c r="Q139" s="630"/>
    </row>
    <row r="140" spans="16:17" x14ac:dyDescent="0.2">
      <c r="P140" s="630"/>
    </row>
  </sheetData>
  <mergeCells count="190">
    <mergeCell ref="F80:G80"/>
    <mergeCell ref="F81:G81"/>
    <mergeCell ref="L98:M98"/>
    <mergeCell ref="F93:G93"/>
    <mergeCell ref="F97:G97"/>
    <mergeCell ref="L99:M99"/>
    <mergeCell ref="O90:P90"/>
    <mergeCell ref="O91:P91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I97:J97"/>
    <mergeCell ref="O98:P98"/>
    <mergeCell ref="O99:P99"/>
    <mergeCell ref="F82:G82"/>
    <mergeCell ref="F83:G83"/>
    <mergeCell ref="I95:J95"/>
    <mergeCell ref="I96:J96"/>
    <mergeCell ref="F6:L6"/>
    <mergeCell ref="O66:P66"/>
    <mergeCell ref="B50:E50"/>
    <mergeCell ref="O64:P64"/>
    <mergeCell ref="O65:P65"/>
    <mergeCell ref="O52:P52"/>
    <mergeCell ref="O56:P56"/>
    <mergeCell ref="I51:J51"/>
    <mergeCell ref="A1:B6"/>
    <mergeCell ref="O51:P51"/>
    <mergeCell ref="D2:AT2"/>
    <mergeCell ref="F7:L7"/>
    <mergeCell ref="M7:R7"/>
    <mergeCell ref="I52:J52"/>
    <mergeCell ref="I56:J56"/>
    <mergeCell ref="I59:J59"/>
    <mergeCell ref="L52:M52"/>
    <mergeCell ref="L55:M55"/>
    <mergeCell ref="F52:G52"/>
    <mergeCell ref="F55:G55"/>
    <mergeCell ref="F56:G56"/>
    <mergeCell ref="O55:P55"/>
    <mergeCell ref="I55:J55"/>
    <mergeCell ref="I60:J60"/>
    <mergeCell ref="L80:M80"/>
    <mergeCell ref="L81:M81"/>
    <mergeCell ref="L82:M82"/>
    <mergeCell ref="L83:M83"/>
    <mergeCell ref="L84:M84"/>
    <mergeCell ref="L74:M74"/>
    <mergeCell ref="L76:M76"/>
    <mergeCell ref="I75:J75"/>
    <mergeCell ref="L97:M97"/>
    <mergeCell ref="L90:M90"/>
    <mergeCell ref="L91:M91"/>
    <mergeCell ref="L92:M92"/>
    <mergeCell ref="L93:M93"/>
    <mergeCell ref="L94:M94"/>
    <mergeCell ref="L85:M85"/>
    <mergeCell ref="L86:M86"/>
    <mergeCell ref="L87:M87"/>
    <mergeCell ref="L88:M88"/>
    <mergeCell ref="L89:M89"/>
    <mergeCell ref="I90:J90"/>
    <mergeCell ref="I94:J94"/>
    <mergeCell ref="I91:J91"/>
    <mergeCell ref="I92:J92"/>
    <mergeCell ref="I93:J93"/>
    <mergeCell ref="O96:P96"/>
    <mergeCell ref="O69:P69"/>
    <mergeCell ref="O97:P97"/>
    <mergeCell ref="O92:P92"/>
    <mergeCell ref="O93:P93"/>
    <mergeCell ref="O94:P94"/>
    <mergeCell ref="O95:P95"/>
    <mergeCell ref="O79:P79"/>
    <mergeCell ref="O80:P80"/>
    <mergeCell ref="O75:P75"/>
    <mergeCell ref="O63:P63"/>
    <mergeCell ref="O78:P78"/>
    <mergeCell ref="O73:P73"/>
    <mergeCell ref="O74:P74"/>
    <mergeCell ref="O77:P77"/>
    <mergeCell ref="O70:P70"/>
    <mergeCell ref="O71:P71"/>
    <mergeCell ref="O72:P72"/>
    <mergeCell ref="O67:P67"/>
    <mergeCell ref="O68:P68"/>
    <mergeCell ref="O76:P76"/>
    <mergeCell ref="I63:J63"/>
    <mergeCell ref="F73:G73"/>
    <mergeCell ref="F74:G74"/>
    <mergeCell ref="F65:G65"/>
    <mergeCell ref="F66:G66"/>
    <mergeCell ref="F67:G67"/>
    <mergeCell ref="F68:G68"/>
    <mergeCell ref="F69:G69"/>
    <mergeCell ref="I64:J64"/>
    <mergeCell ref="I65:J65"/>
    <mergeCell ref="F63:G63"/>
    <mergeCell ref="F64:G64"/>
    <mergeCell ref="I71:J71"/>
    <mergeCell ref="I72:J72"/>
    <mergeCell ref="I73:J73"/>
    <mergeCell ref="I69:J69"/>
    <mergeCell ref="I70:J70"/>
    <mergeCell ref="I66:J66"/>
    <mergeCell ref="I67:J67"/>
    <mergeCell ref="I68:J68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F79:G79"/>
    <mergeCell ref="F70:G70"/>
    <mergeCell ref="F71:G71"/>
    <mergeCell ref="F72:G72"/>
    <mergeCell ref="F75:G75"/>
    <mergeCell ref="F76:G76"/>
    <mergeCell ref="F77:G77"/>
    <mergeCell ref="L77:M77"/>
    <mergeCell ref="L78:M78"/>
    <mergeCell ref="L79:M79"/>
    <mergeCell ref="I76:J76"/>
    <mergeCell ref="L72:M72"/>
    <mergeCell ref="L73:M73"/>
    <mergeCell ref="L75:M7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50:K50"/>
    <mergeCell ref="S50:X50"/>
    <mergeCell ref="L50:R50"/>
    <mergeCell ref="F51:G51"/>
    <mergeCell ref="L51:M51"/>
    <mergeCell ref="F94:G94"/>
    <mergeCell ref="F95:G95"/>
    <mergeCell ref="F96:G96"/>
    <mergeCell ref="I74:J74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L95:M95"/>
    <mergeCell ref="L96:M96"/>
    <mergeCell ref="F78:G78"/>
    <mergeCell ref="O53:P53"/>
    <mergeCell ref="O54:P54"/>
    <mergeCell ref="O62:P62"/>
    <mergeCell ref="F53:G53"/>
    <mergeCell ref="F54:G54"/>
    <mergeCell ref="F61:G61"/>
    <mergeCell ref="I53:J53"/>
    <mergeCell ref="I54:J54"/>
    <mergeCell ref="I61:J61"/>
    <mergeCell ref="L53:M53"/>
    <mergeCell ref="L54:M54"/>
    <mergeCell ref="L62:M62"/>
    <mergeCell ref="L56:M56"/>
    <mergeCell ref="L59:M59"/>
    <mergeCell ref="L60:M60"/>
    <mergeCell ref="F59:G59"/>
    <mergeCell ref="F60:G60"/>
    <mergeCell ref="O59:P59"/>
    <mergeCell ref="O60:P60"/>
    <mergeCell ref="I62:J62"/>
    <mergeCell ref="F62:G62"/>
  </mergeCells>
  <phoneticPr fontId="7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>
      <selection activeCell="Y35" sqref="Y35"/>
    </sheetView>
  </sheetViews>
  <sheetFormatPr defaultRowHeight="12.75" x14ac:dyDescent="0.2"/>
  <cols>
    <col min="2" max="2" width="10.28515625" style="42" bestFit="1" customWidth="1"/>
  </cols>
  <sheetData>
    <row r="1" spans="1:6" s="45" customFormat="1" ht="51" x14ac:dyDescent="0.2">
      <c r="A1" s="41" t="s">
        <v>0</v>
      </c>
      <c r="B1" s="44" t="s">
        <v>55</v>
      </c>
      <c r="C1" s="41" t="s">
        <v>54</v>
      </c>
      <c r="D1" s="118" t="s">
        <v>93</v>
      </c>
      <c r="E1" s="118" t="s">
        <v>94</v>
      </c>
    </row>
    <row r="2" spans="1:6" x14ac:dyDescent="0.2">
      <c r="A2" s="139">
        <f>SUM(Gen!A11)</f>
        <v>43435</v>
      </c>
      <c r="B2" s="43">
        <f>SUM('Summery Report'!F5)</f>
        <v>4555</v>
      </c>
      <c r="C2" s="169">
        <f>SUM('Summery Report'!C5)</f>
        <v>0.16800000000000001</v>
      </c>
      <c r="D2" s="119">
        <f>SUM('Summery Report'!R5)</f>
        <v>2.2827509481668775</v>
      </c>
      <c r="E2" s="119">
        <f>SUM('Summery Report'!S5)</f>
        <v>2.2827509481668775</v>
      </c>
      <c r="F2" s="49">
        <v>0.1</v>
      </c>
    </row>
    <row r="3" spans="1:6" x14ac:dyDescent="0.2">
      <c r="A3" s="139">
        <f>SUM(Gen!A12)</f>
        <v>43436</v>
      </c>
      <c r="B3" s="43">
        <f>SUM('Summery Report'!F6)</f>
        <v>4679</v>
      </c>
      <c r="C3" s="169">
        <f>SUM('Summery Report'!C6)</f>
        <v>0.1429</v>
      </c>
      <c r="D3" s="119">
        <f>SUM('Summery Report'!R6)</f>
        <v>2.7155455606340562</v>
      </c>
      <c r="E3" s="119">
        <f>SUM('Summery Report'!S6)</f>
        <v>2.7155455606340562</v>
      </c>
      <c r="F3" s="49">
        <v>0.13750000000000001</v>
      </c>
    </row>
    <row r="4" spans="1:6" x14ac:dyDescent="0.2">
      <c r="A4" s="139">
        <f>SUM(Gen!A13)</f>
        <v>43437</v>
      </c>
      <c r="B4" s="43">
        <f>SUM('Summery Report'!F7)</f>
        <v>4437</v>
      </c>
      <c r="C4" s="169">
        <f>SUM('Summery Report'!C7)</f>
        <v>0.1429</v>
      </c>
      <c r="D4" s="119">
        <f>SUM('Summery Report'!R7)</f>
        <v>4.0560235339881361</v>
      </c>
      <c r="E4" s="119">
        <f>SUM('Summery Report'!S7)</f>
        <v>4.0560235339881361</v>
      </c>
      <c r="F4" s="49">
        <v>8.7499999999999994E-2</v>
      </c>
    </row>
    <row r="5" spans="1:6" x14ac:dyDescent="0.2">
      <c r="A5" s="139">
        <f>SUM(Gen!A14)</f>
        <v>43438</v>
      </c>
      <c r="B5" s="43">
        <f>SUM('Summery Report'!F8)</f>
        <v>4694</v>
      </c>
      <c r="C5" s="169">
        <f>SUM('Summery Report'!C8)</f>
        <v>0.16880000000000001</v>
      </c>
      <c r="D5" s="119">
        <f>SUM('Summery Report'!R8)</f>
        <v>2.4692161820480405</v>
      </c>
      <c r="E5" s="119">
        <f>SUM('Summery Report'!S8)</f>
        <v>2.4692161820480405</v>
      </c>
      <c r="F5" s="49">
        <v>0.22500000000000001</v>
      </c>
    </row>
    <row r="6" spans="1:6" x14ac:dyDescent="0.2">
      <c r="A6" s="139">
        <f>SUM(Gen!A15)</f>
        <v>43439</v>
      </c>
      <c r="B6" s="43">
        <f>SUM('Summery Report'!F9)</f>
        <v>4359</v>
      </c>
      <c r="C6" s="169">
        <f>SUM('Summery Report'!C9)</f>
        <v>0.20780000000000001</v>
      </c>
      <c r="D6" s="119">
        <f>SUM('Summery Report'!R9)</f>
        <v>2.7271976401179945</v>
      </c>
      <c r="E6" s="119">
        <f>SUM('Summery Report'!S9)</f>
        <v>2.7271976401179945</v>
      </c>
      <c r="F6" s="49">
        <v>0.2</v>
      </c>
    </row>
    <row r="7" spans="1:6" x14ac:dyDescent="0.2">
      <c r="A7" s="139">
        <f>SUM(Gen!A16)</f>
        <v>43440</v>
      </c>
      <c r="B7" s="43">
        <f>SUM('Summery Report'!F10)</f>
        <v>4710</v>
      </c>
      <c r="C7" s="169">
        <f>SUM('Summery Report'!C10)</f>
        <v>0.29870000000000002</v>
      </c>
      <c r="D7" s="119">
        <f>SUM('Summery Report'!R10)</f>
        <v>2.6293211125158029</v>
      </c>
      <c r="E7" s="119">
        <f>SUM('Summery Report'!S10)</f>
        <v>2.6293211125158029</v>
      </c>
      <c r="F7" s="49">
        <v>0.35</v>
      </c>
    </row>
    <row r="8" spans="1:6" x14ac:dyDescent="0.2">
      <c r="A8" s="139">
        <f>SUM(Gen!A17)</f>
        <v>43441</v>
      </c>
      <c r="B8" s="43">
        <f>SUM('Summery Report'!F11)</f>
        <v>4875</v>
      </c>
      <c r="C8" s="169">
        <f>SUM('Summery Report'!C11)</f>
        <v>0.24679999999999999</v>
      </c>
      <c r="D8" s="119">
        <f>SUM('Summery Report'!R11)</f>
        <v>2.04792793931732</v>
      </c>
      <c r="E8" s="119">
        <f>SUM('Summery Report'!S11)</f>
        <v>2.04792793931732</v>
      </c>
      <c r="F8" s="49">
        <v>0.375</v>
      </c>
    </row>
    <row r="9" spans="1:6" x14ac:dyDescent="0.2">
      <c r="A9" s="139">
        <f>SUM(Gen!A18)</f>
        <v>43442</v>
      </c>
      <c r="B9" s="43">
        <f>SUM('Summery Report'!F12)</f>
        <v>4801</v>
      </c>
      <c r="C9" s="169">
        <f>SUM('Summery Report'!C12)</f>
        <v>0.28570000000000001</v>
      </c>
      <c r="D9" s="119">
        <f>SUM('Summery Report'!R12)</f>
        <v>1.6238756664651242</v>
      </c>
      <c r="E9" s="119">
        <f>SUM('Summery Report'!S12)</f>
        <v>1.6238756664651242</v>
      </c>
      <c r="F9" s="49">
        <v>0.32500000000000001</v>
      </c>
    </row>
    <row r="10" spans="1:6" x14ac:dyDescent="0.2">
      <c r="A10" s="139">
        <f>SUM(Gen!A19)</f>
        <v>43443</v>
      </c>
      <c r="B10" s="43">
        <f>SUM('Summery Report'!F13)</f>
        <v>4909</v>
      </c>
      <c r="C10" s="169">
        <f>SUM('Summery Report'!C13)</f>
        <v>0.46750000000000003</v>
      </c>
      <c r="D10" s="119">
        <f>SUM('Summery Report'!R13)</f>
        <v>1.277300030751358</v>
      </c>
      <c r="E10" s="119">
        <f>SUM('Summery Report'!S13)</f>
        <v>1.277300030751358</v>
      </c>
      <c r="F10" s="49">
        <v>0.75</v>
      </c>
    </row>
    <row r="11" spans="1:6" x14ac:dyDescent="0.2">
      <c r="A11" s="139">
        <f>SUM(Gen!A20)</f>
        <v>43444</v>
      </c>
      <c r="B11" s="43">
        <f>SUM('Summery Report'!F14)</f>
        <v>5316</v>
      </c>
      <c r="C11" s="169">
        <f>SUM('Summery Report'!C14)</f>
        <v>0.55840000000000001</v>
      </c>
      <c r="D11" s="119">
        <f>SUM('Summery Report'!R14)</f>
        <v>1.0587241409033443</v>
      </c>
      <c r="E11" s="119">
        <f>SUM('Summery Report'!S14)</f>
        <v>1.0587241409033443</v>
      </c>
      <c r="F11" s="49">
        <v>0.76249999999999996</v>
      </c>
    </row>
    <row r="12" spans="1:6" x14ac:dyDescent="0.2">
      <c r="A12" s="139">
        <f>SUM(Gen!A21)</f>
        <v>43445</v>
      </c>
      <c r="B12" s="43">
        <f>SUM('Summery Report'!F15)</f>
        <v>4922</v>
      </c>
      <c r="C12" s="169">
        <f>SUM('Summery Report'!C15)</f>
        <v>0.57140000000000002</v>
      </c>
      <c r="D12" s="119">
        <f>SUM('Summery Report'!R15)</f>
        <v>0.92334794212670324</v>
      </c>
      <c r="E12" s="119">
        <f>SUM('Summery Report'!S15)</f>
        <v>0.92334794212670324</v>
      </c>
      <c r="F12" s="49">
        <v>0.16250000000000001</v>
      </c>
    </row>
    <row r="13" spans="1:6" x14ac:dyDescent="0.2">
      <c r="A13" s="139">
        <f>SUM(Gen!A22)</f>
        <v>43446</v>
      </c>
      <c r="B13" s="43">
        <f>SUM('Summery Report'!F16)</f>
        <v>4870</v>
      </c>
      <c r="C13" s="169">
        <f>SUM('Summery Report'!C16)</f>
        <v>0.23380000000000001</v>
      </c>
      <c r="D13" s="119">
        <f>SUM('Summery Report'!R16)</f>
        <v>1.8466353621094451</v>
      </c>
      <c r="E13" s="119">
        <f>SUM('Summery Report'!S16)</f>
        <v>1.8466353621094451</v>
      </c>
      <c r="F13" s="49">
        <v>0.1125</v>
      </c>
    </row>
    <row r="14" spans="1:6" x14ac:dyDescent="0.2">
      <c r="A14" s="139">
        <f>SUM(Gen!A23)</f>
        <v>43447</v>
      </c>
      <c r="B14" s="43">
        <f>SUM('Summery Report'!F17)</f>
        <v>4660</v>
      </c>
      <c r="C14" s="169">
        <f>SUM('Summery Report'!C17)</f>
        <v>0.2727</v>
      </c>
      <c r="D14" s="119">
        <f>SUM('Summery Report'!R17)</f>
        <v>1.5985466937833233</v>
      </c>
      <c r="E14" s="119">
        <f>SUM('Summery Report'!S17)</f>
        <v>1.5985466937833233</v>
      </c>
      <c r="F14" s="49">
        <v>3.7499999999999999E-2</v>
      </c>
    </row>
    <row r="15" spans="1:6" x14ac:dyDescent="0.2">
      <c r="A15" s="139">
        <f>SUM(Gen!A24)</f>
        <v>43448</v>
      </c>
      <c r="B15" s="43">
        <f>SUM('Summery Report'!F18)</f>
        <v>4748</v>
      </c>
      <c r="C15" s="169">
        <f>SUM('Summery Report'!C18)</f>
        <v>0.25950000000000001</v>
      </c>
      <c r="D15" s="119">
        <f>SUM('Summery Report'!R18)</f>
        <v>2.014654144843778</v>
      </c>
      <c r="E15" s="119">
        <f>SUM('Summery Report'!S18)</f>
        <v>2.014654144843778</v>
      </c>
      <c r="F15" s="49">
        <v>0.125</v>
      </c>
    </row>
    <row r="16" spans="1:6" x14ac:dyDescent="0.2">
      <c r="A16" s="139">
        <f>SUM(Gen!A25)</f>
        <v>43449</v>
      </c>
      <c r="B16" s="43">
        <f>SUM('Summery Report'!F19)</f>
        <v>4724</v>
      </c>
      <c r="C16" s="169">
        <f>SUM('Summery Report'!C19)</f>
        <v>0.12989999999999999</v>
      </c>
      <c r="D16" s="119">
        <f>SUM('Summery Report'!R19)</f>
        <v>4.1816860131019427</v>
      </c>
      <c r="E16" s="119">
        <f>SUM('Summery Report'!S19)</f>
        <v>4.1816860131019427</v>
      </c>
      <c r="F16" s="49">
        <v>0.125</v>
      </c>
    </row>
    <row r="17" spans="1:6" x14ac:dyDescent="0.2">
      <c r="A17" s="139">
        <f>SUM(Gen!A26)</f>
        <v>43450</v>
      </c>
      <c r="B17" s="43">
        <f>SUM('Summery Report'!F20)</f>
        <v>5005</v>
      </c>
      <c r="C17" s="169">
        <f>SUM('Summery Report'!C20)</f>
        <v>0.25969999999999999</v>
      </c>
      <c r="D17" s="119">
        <f>SUM('Summery Report'!R20)</f>
        <v>2.0756796700981277</v>
      </c>
      <c r="E17" s="119">
        <f>SUM('Summery Report'!S20)</f>
        <v>2.0756796700981277</v>
      </c>
      <c r="F17" s="49">
        <v>0.05</v>
      </c>
    </row>
    <row r="18" spans="1:6" x14ac:dyDescent="0.2">
      <c r="A18" s="139">
        <f>SUM(Gen!A27)</f>
        <v>43451</v>
      </c>
      <c r="B18" s="43">
        <f>SUM('Summery Report'!F21)</f>
        <v>5332</v>
      </c>
      <c r="C18" s="169">
        <f>SUM('Summery Report'!C21)</f>
        <v>0.29870000000000002</v>
      </c>
      <c r="D18" s="119">
        <f>SUM('Summery Report'!R21)</f>
        <v>2.0472695427728613</v>
      </c>
      <c r="E18" s="119">
        <f>SUM('Summery Report'!S21)</f>
        <v>2.0472695427728613</v>
      </c>
      <c r="F18" s="49">
        <v>0.21249999999999999</v>
      </c>
    </row>
    <row r="19" spans="1:6" x14ac:dyDescent="0.2">
      <c r="A19" s="139">
        <f>SUM(Gen!A28)</f>
        <v>43452</v>
      </c>
      <c r="B19" s="43">
        <f>SUM('Summery Report'!F22)</f>
        <v>5890</v>
      </c>
      <c r="C19" s="169">
        <f>SUM('Summery Report'!C22)</f>
        <v>0.50649999999999995</v>
      </c>
      <c r="D19" s="119">
        <f>SUM('Summery Report'!R22)</f>
        <v>1.1435510776725972</v>
      </c>
      <c r="E19" s="119">
        <f>SUM('Summery Report'!S22)</f>
        <v>1.1435510776725972</v>
      </c>
      <c r="F19" s="49">
        <v>0.1125</v>
      </c>
    </row>
    <row r="20" spans="1:6" x14ac:dyDescent="0.2">
      <c r="A20" s="139">
        <f>SUM(Gen!A29)</f>
        <v>43453</v>
      </c>
      <c r="B20" s="43">
        <f>SUM('Summery Report'!F23)</f>
        <v>5737</v>
      </c>
      <c r="C20" s="169">
        <f>SUM('Summery Report'!C23)</f>
        <v>0.44159999999999999</v>
      </c>
      <c r="D20" s="119">
        <f>SUM('Summery Report'!R23)</f>
        <v>1.2448212028174102</v>
      </c>
      <c r="E20" s="119">
        <f>SUM('Summery Report'!S23)</f>
        <v>1.2448212028174102</v>
      </c>
      <c r="F20" s="49">
        <v>0.13750000000000001</v>
      </c>
    </row>
    <row r="21" spans="1:6" x14ac:dyDescent="0.2">
      <c r="A21" s="139">
        <f>SUM(Gen!A30)</f>
        <v>43454</v>
      </c>
      <c r="B21" s="43">
        <f>SUM('Summery Report'!F24)</f>
        <v>5582</v>
      </c>
      <c r="C21" s="169">
        <f>SUM('Summery Report'!C24)</f>
        <v>0.40260000000000001</v>
      </c>
      <c r="D21" s="119">
        <f>SUM('Summery Report'!R24)</f>
        <v>1.6419495054659032</v>
      </c>
      <c r="E21" s="119">
        <f>SUM('Summery Report'!S24)</f>
        <v>1.6419495054659032</v>
      </c>
      <c r="F21" s="49">
        <v>0.15</v>
      </c>
    </row>
    <row r="22" spans="1:6" x14ac:dyDescent="0.2">
      <c r="A22" s="139">
        <f>SUM(Gen!A31)</f>
        <v>43455</v>
      </c>
      <c r="B22" s="43">
        <f>SUM('Summery Report'!F25)</f>
        <v>5599</v>
      </c>
      <c r="C22" s="169">
        <f>SUM('Summery Report'!C25)</f>
        <v>0.49349999999999999</v>
      </c>
      <c r="D22" s="119">
        <f>SUM('Summery Report'!R25)</f>
        <v>1.2088683666861955</v>
      </c>
      <c r="E22" s="119">
        <f>SUM('Summery Report'!S25)</f>
        <v>1.2088683666861955</v>
      </c>
      <c r="F22" s="49">
        <v>0.13750000000000001</v>
      </c>
    </row>
    <row r="23" spans="1:6" x14ac:dyDescent="0.2">
      <c r="A23" s="139">
        <f>SUM(Gen!A32)</f>
        <v>43456</v>
      </c>
      <c r="B23" s="43">
        <f>SUM('Summery Report'!F26)</f>
        <v>5928</v>
      </c>
      <c r="C23" s="169">
        <f>SUM('Summery Report'!C26)</f>
        <v>0.49349999999999999</v>
      </c>
      <c r="D23" s="119">
        <f>SUM('Summery Report'!R26)</f>
        <v>1.2625073232401098</v>
      </c>
      <c r="E23" s="119">
        <f>SUM('Summery Report'!S26)</f>
        <v>1.2625073232401098</v>
      </c>
      <c r="F23" s="49">
        <v>0</v>
      </c>
    </row>
    <row r="24" spans="1:6" x14ac:dyDescent="0.2">
      <c r="A24" s="139">
        <f>SUM(Gen!A33)</f>
        <v>43457</v>
      </c>
      <c r="B24" s="43">
        <f>SUM('Summery Report'!F27)</f>
        <v>5850</v>
      </c>
      <c r="C24" s="169">
        <f>SUM('Summery Report'!C27)</f>
        <v>0.4456</v>
      </c>
      <c r="D24" s="119">
        <f>SUM('Summery Report'!R27)</f>
        <v>1.2933361025826258</v>
      </c>
      <c r="E24" s="119">
        <f>SUM('Summery Report'!S27)</f>
        <v>1.2933361025826258</v>
      </c>
      <c r="F24" s="49">
        <v>0.05</v>
      </c>
    </row>
    <row r="25" spans="1:6" x14ac:dyDescent="0.2">
      <c r="A25" s="139">
        <f>SUM(Gen!A34)</f>
        <v>43458</v>
      </c>
      <c r="B25" s="43">
        <f>SUM('Summery Report'!F28)</f>
        <v>6147</v>
      </c>
      <c r="C25" s="169">
        <f>SUM('Summery Report'!C28)</f>
        <v>0.50649999999999995</v>
      </c>
      <c r="D25" s="119">
        <f>SUM('Summery Report'!R28)</f>
        <v>1.6014846713021491</v>
      </c>
      <c r="E25" s="119">
        <f>SUM('Summery Report'!S28)</f>
        <v>1.6014846713021491</v>
      </c>
      <c r="F25" s="49">
        <v>0.1125</v>
      </c>
    </row>
    <row r="26" spans="1:6" x14ac:dyDescent="0.2">
      <c r="A26" s="139">
        <f>SUM(Gen!A35)</f>
        <v>43459</v>
      </c>
      <c r="B26" s="43">
        <f>SUM('Summery Report'!F29)</f>
        <v>6478</v>
      </c>
      <c r="C26" s="169">
        <f>SUM('Summery Report'!C29)</f>
        <v>0.94810000000000005</v>
      </c>
      <c r="D26" s="119">
        <f>SUM('Summery Report'!R29)</f>
        <v>0.7495311985868417</v>
      </c>
      <c r="E26" s="119">
        <f>SUM('Summery Report'!S29)</f>
        <v>0.7495311985868417</v>
      </c>
      <c r="F26" s="49">
        <v>0.125</v>
      </c>
    </row>
    <row r="27" spans="1:6" x14ac:dyDescent="0.2">
      <c r="A27" s="139">
        <f>SUM(Gen!A36)</f>
        <v>43460</v>
      </c>
      <c r="B27" s="43">
        <f>SUM('Summery Report'!F30)</f>
        <v>6636</v>
      </c>
      <c r="C27" s="169">
        <f>SUM('Summery Report'!C30)</f>
        <v>0.90910000000000002</v>
      </c>
      <c r="D27" s="119">
        <f>SUM('Summery Report'!R30)</f>
        <v>0.84365017157305389</v>
      </c>
      <c r="E27" s="119">
        <f>SUM('Summery Report'!S30)</f>
        <v>0.84365017157305389</v>
      </c>
      <c r="F27" s="49">
        <v>0.17499999999999999</v>
      </c>
    </row>
    <row r="28" spans="1:6" x14ac:dyDescent="0.2">
      <c r="A28" s="139">
        <f>SUM(Gen!A37)</f>
        <v>43461</v>
      </c>
      <c r="B28" s="43">
        <f>SUM('Summery Report'!F31)</f>
        <v>6583</v>
      </c>
      <c r="C28" s="169">
        <f>SUM('Summery Report'!C31)</f>
        <v>0.76619999999999999</v>
      </c>
      <c r="D28" s="119">
        <f>SUM('Summery Report'!R31)</f>
        <v>0.86738168984407926</v>
      </c>
      <c r="E28" s="119">
        <f>SUM('Summery Report'!S31)</f>
        <v>0.86738168984407926</v>
      </c>
      <c r="F28" s="49">
        <v>0.125</v>
      </c>
    </row>
    <row r="29" spans="1:6" x14ac:dyDescent="0.2">
      <c r="A29" s="139">
        <f>SUM(Gen!A38)</f>
        <v>43462</v>
      </c>
      <c r="B29" s="43">
        <f>SUM('Summery Report'!F32)</f>
        <v>7094</v>
      </c>
      <c r="C29" s="169">
        <f>SUM('Summery Report'!C32)</f>
        <v>0.7792</v>
      </c>
      <c r="D29" s="119">
        <f>SUM('Summery Report'!R32)</f>
        <v>0.99485043432160192</v>
      </c>
      <c r="E29" s="119">
        <f>SUM('Summery Report'!S32)</f>
        <v>0.99485043432160192</v>
      </c>
      <c r="F29" s="49">
        <v>7.4999999999999997E-2</v>
      </c>
    </row>
    <row r="30" spans="1:6" x14ac:dyDescent="0.2">
      <c r="A30" s="139">
        <f>SUM(Gen!A39)</f>
        <v>43463</v>
      </c>
      <c r="B30" s="43">
        <f>SUM('Summery Report'!F33)</f>
        <v>7628</v>
      </c>
      <c r="C30" s="169">
        <f>SUM('Summery Report'!C33)</f>
        <v>0.92210000000000003</v>
      </c>
      <c r="D30" s="119">
        <f>SUM('Summery Report'!R33)</f>
        <v>0.78322549919470752</v>
      </c>
      <c r="E30" s="119">
        <f>SUM('Summery Report'!S33)</f>
        <v>0.78322549919470752</v>
      </c>
      <c r="F30" s="49">
        <v>0.1125</v>
      </c>
    </row>
    <row r="31" spans="1:6" x14ac:dyDescent="0.2">
      <c r="A31" s="139">
        <f>SUM(Gen!A40)</f>
        <v>43464</v>
      </c>
      <c r="B31" s="43">
        <f>SUM('Summery Report'!F34)</f>
        <v>7378</v>
      </c>
      <c r="C31" s="169">
        <f>SUM('Summery Report'!C34)</f>
        <v>0.7792</v>
      </c>
      <c r="D31" s="119">
        <f>SUM('Summery Report'!R34)</f>
        <v>0.98947451866282565</v>
      </c>
      <c r="E31" s="119">
        <f>SUM('Summery Report'!S34)</f>
        <v>0.98947451866282565</v>
      </c>
      <c r="F31" s="49">
        <v>0.15</v>
      </c>
    </row>
    <row r="32" spans="1:6" x14ac:dyDescent="0.2">
      <c r="A32" s="139">
        <f>SUM(Gen!A41)</f>
        <v>43465</v>
      </c>
      <c r="B32" s="43">
        <f>SUM('Summery Report'!F35)</f>
        <v>7255</v>
      </c>
      <c r="C32" s="169">
        <f>SUM('Summery Report'!C35)</f>
        <v>0.84419999999999995</v>
      </c>
      <c r="D32" s="119">
        <f>SUM('Summery Report'!R35)</f>
        <v>1.2062224648507833</v>
      </c>
      <c r="E32" s="119">
        <f>SUM('Summery Report'!S35)</f>
        <v>1.2062224648507833</v>
      </c>
      <c r="F32" s="49">
        <v>0.17499999999999999</v>
      </c>
    </row>
    <row r="33" spans="1:2" x14ac:dyDescent="0.2">
      <c r="A33" s="40"/>
      <c r="B33" s="43">
        <f>Gen!S41</f>
        <v>3058.7599999999998</v>
      </c>
    </row>
    <row r="34" spans="1:2" x14ac:dyDescent="0.2">
      <c r="A34" s="40"/>
      <c r="B34" s="43"/>
    </row>
    <row r="35" spans="1:2" x14ac:dyDescent="0.2">
      <c r="A35" s="40"/>
    </row>
  </sheetData>
  <pageMargins left="0.7" right="0.7" top="0.75" bottom="0.75" header="0.3" footer="0.3"/>
  <pageSetup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V72"/>
  <sheetViews>
    <sheetView zoomScale="70" zoomScaleNormal="70" workbookViewId="0">
      <selection activeCell="M9" sqref="M9"/>
    </sheetView>
  </sheetViews>
  <sheetFormatPr defaultRowHeight="12.75" x14ac:dyDescent="0.2"/>
  <cols>
    <col min="1" max="1" width="14" customWidth="1"/>
    <col min="2" max="2" width="10.5703125" customWidth="1"/>
    <col min="3" max="3" width="10.85546875" customWidth="1"/>
    <col min="4" max="4" width="11.140625" customWidth="1"/>
    <col min="5" max="5" width="18.85546875" bestFit="1" customWidth="1"/>
    <col min="6" max="6" width="12.42578125" customWidth="1"/>
    <col min="7" max="7" width="18.42578125" customWidth="1"/>
    <col min="8" max="8" width="11.28515625" customWidth="1"/>
    <col min="9" max="9" width="10.42578125" bestFit="1" customWidth="1"/>
    <col min="10" max="10" width="9.28515625" customWidth="1"/>
    <col min="11" max="11" width="17.85546875" customWidth="1"/>
    <col min="12" max="12" width="9.140625" hidden="1" customWidth="1"/>
    <col min="13" max="13" width="17" customWidth="1"/>
    <col min="14" max="14" width="21.140625" style="45" customWidth="1"/>
    <col min="15" max="15" width="23.5703125" customWidth="1"/>
    <col min="16" max="16" width="17.5703125" customWidth="1"/>
    <col min="17" max="17" width="18.5703125" style="136" customWidth="1"/>
  </cols>
  <sheetData>
    <row r="1" spans="1:22" ht="15" x14ac:dyDescent="0.2">
      <c r="A1" s="62"/>
      <c r="B1" s="72"/>
      <c r="C1" s="73"/>
      <c r="D1" s="72"/>
      <c r="E1" s="72"/>
      <c r="F1" s="72"/>
      <c r="G1" s="72"/>
      <c r="H1" s="72"/>
      <c r="I1" s="72"/>
      <c r="J1" s="72"/>
      <c r="K1" s="72"/>
      <c r="L1" s="72"/>
      <c r="M1" s="74"/>
      <c r="N1" s="142"/>
      <c r="O1" s="72"/>
      <c r="P1" s="72"/>
      <c r="Q1" s="164"/>
    </row>
    <row r="2" spans="1:22" ht="15" x14ac:dyDescent="0.2">
      <c r="A2" s="63"/>
      <c r="B2" s="75"/>
      <c r="C2" s="76"/>
      <c r="D2" s="77"/>
      <c r="E2" s="77"/>
      <c r="F2" s="77"/>
      <c r="G2" s="77"/>
      <c r="H2" s="77"/>
      <c r="I2" s="77"/>
      <c r="J2" s="77"/>
      <c r="K2" s="77"/>
      <c r="L2" s="77"/>
      <c r="M2" s="78"/>
      <c r="N2" s="146"/>
      <c r="O2" s="75"/>
      <c r="P2" s="75"/>
      <c r="Q2" s="165"/>
    </row>
    <row r="3" spans="1:22" ht="15.75" x14ac:dyDescent="0.25">
      <c r="A3" s="63"/>
      <c r="B3" s="75"/>
      <c r="C3" s="928" t="s">
        <v>103</v>
      </c>
      <c r="D3" s="929"/>
      <c r="E3" s="929"/>
      <c r="F3" s="929"/>
      <c r="G3" s="929"/>
      <c r="H3" s="929"/>
      <c r="I3" s="929"/>
      <c r="J3" s="929"/>
      <c r="K3" s="929"/>
      <c r="L3" s="929"/>
      <c r="M3" s="930"/>
      <c r="N3" s="147"/>
      <c r="O3" s="79" t="e">
        <f>4579-#REF!</f>
        <v>#REF!</v>
      </c>
      <c r="P3" s="79"/>
      <c r="Q3" s="166"/>
    </row>
    <row r="4" spans="1:22" ht="15" x14ac:dyDescent="0.2">
      <c r="A4" s="63"/>
      <c r="B4" s="75"/>
      <c r="C4" s="76"/>
      <c r="D4" s="77"/>
      <c r="E4" s="77"/>
      <c r="F4" s="77"/>
      <c r="G4" s="87">
        <v>43374</v>
      </c>
      <c r="H4" s="87"/>
      <c r="I4" s="87"/>
      <c r="J4" s="87"/>
      <c r="K4" s="77"/>
      <c r="L4" s="77"/>
      <c r="M4" s="88"/>
      <c r="N4" s="146"/>
      <c r="O4" s="75"/>
      <c r="P4" s="75"/>
      <c r="Q4" s="165"/>
    </row>
    <row r="5" spans="1:22" ht="15" x14ac:dyDescent="0.2">
      <c r="A5" s="61"/>
      <c r="B5" s="80"/>
      <c r="C5" s="81"/>
      <c r="D5" s="80"/>
      <c r="E5" s="80"/>
      <c r="F5" s="80"/>
      <c r="G5" s="80"/>
      <c r="H5" s="80"/>
      <c r="I5" s="80"/>
      <c r="J5" s="80"/>
      <c r="K5" s="80"/>
      <c r="L5" s="80"/>
      <c r="M5" s="82"/>
      <c r="N5" s="146"/>
      <c r="O5" s="75"/>
      <c r="P5" s="75"/>
      <c r="Q5" s="167"/>
    </row>
    <row r="6" spans="1:22" ht="13.5" customHeight="1" x14ac:dyDescent="0.3">
      <c r="A6" s="9"/>
      <c r="B6" s="83"/>
      <c r="C6" s="931"/>
      <c r="D6" s="932"/>
      <c r="E6" s="932"/>
      <c r="F6" s="932"/>
      <c r="G6" s="933"/>
      <c r="H6" s="272"/>
      <c r="I6" s="272"/>
      <c r="J6" s="272"/>
      <c r="K6" s="934" t="s">
        <v>16</v>
      </c>
      <c r="L6" s="935"/>
      <c r="M6" s="935"/>
      <c r="N6" s="86" t="s">
        <v>4</v>
      </c>
      <c r="O6" s="84" t="s">
        <v>15</v>
      </c>
      <c r="P6" s="79"/>
      <c r="Q6" s="165"/>
    </row>
    <row r="7" spans="1:22" ht="18" customHeight="1" x14ac:dyDescent="0.3">
      <c r="A7" s="936" t="s">
        <v>8</v>
      </c>
      <c r="B7" s="144" t="s">
        <v>107</v>
      </c>
      <c r="C7" s="143" t="s">
        <v>108</v>
      </c>
      <c r="D7" s="144" t="s">
        <v>109</v>
      </c>
      <c r="E7" s="151" t="s">
        <v>105</v>
      </c>
      <c r="F7" s="938"/>
      <c r="G7" s="149" t="s">
        <v>106</v>
      </c>
      <c r="H7" s="940"/>
      <c r="I7" s="273"/>
      <c r="J7" s="273"/>
      <c r="K7" s="273" t="s">
        <v>7</v>
      </c>
      <c r="L7" s="152"/>
      <c r="M7" s="153" t="s">
        <v>69</v>
      </c>
      <c r="N7" s="154" t="s">
        <v>14</v>
      </c>
      <c r="O7" s="273" t="s">
        <v>13</v>
      </c>
      <c r="P7" s="155" t="s">
        <v>12</v>
      </c>
      <c r="Q7" s="85" t="s">
        <v>11</v>
      </c>
    </row>
    <row r="8" spans="1:22" ht="18" customHeight="1" x14ac:dyDescent="0.3">
      <c r="A8" s="937"/>
      <c r="B8" s="531" t="s">
        <v>92</v>
      </c>
      <c r="C8" s="144" t="s">
        <v>68</v>
      </c>
      <c r="D8" s="145" t="s">
        <v>91</v>
      </c>
      <c r="E8" s="156" t="s">
        <v>21</v>
      </c>
      <c r="F8" s="939"/>
      <c r="G8" s="150" t="s">
        <v>21</v>
      </c>
      <c r="H8" s="941"/>
      <c r="I8" s="157"/>
      <c r="J8" s="157"/>
      <c r="K8" s="157"/>
      <c r="L8" s="158"/>
      <c r="M8" s="161" t="s">
        <v>18</v>
      </c>
      <c r="N8" s="159" t="s">
        <v>104</v>
      </c>
      <c r="O8" s="157" t="s">
        <v>1</v>
      </c>
      <c r="P8" s="160" t="s">
        <v>10</v>
      </c>
      <c r="Q8" s="85" t="s">
        <v>9</v>
      </c>
    </row>
    <row r="9" spans="1:22" ht="18.75" x14ac:dyDescent="0.3">
      <c r="A9" s="434"/>
      <c r="B9" s="530"/>
      <c r="C9" s="530"/>
      <c r="D9" s="532"/>
      <c r="E9" s="89">
        <f t="shared" ref="E9:E40" si="0">SUM(D9%*1000)</f>
        <v>0</v>
      </c>
      <c r="F9" s="89">
        <f t="shared" ref="F9:F40" si="1">SUM(E9%*1000)</f>
        <v>0</v>
      </c>
      <c r="G9" s="540">
        <f>SUM(F9%*2000)</f>
        <v>0</v>
      </c>
      <c r="H9" s="530"/>
      <c r="I9" s="64"/>
      <c r="J9" s="64"/>
      <c r="K9" s="64"/>
      <c r="L9" s="64"/>
      <c r="M9" s="1030">
        <v>58530.58</v>
      </c>
      <c r="N9" s="482"/>
      <c r="O9" s="64"/>
      <c r="P9" s="51"/>
      <c r="Q9" s="168"/>
      <c r="U9" s="274"/>
      <c r="V9" s="274"/>
    </row>
    <row r="10" spans="1:22" ht="18.75" x14ac:dyDescent="0.3">
      <c r="A10" s="140">
        <f>Gen!A11</f>
        <v>43435</v>
      </c>
      <c r="B10" s="530">
        <v>85</v>
      </c>
      <c r="C10" s="530">
        <v>85</v>
      </c>
      <c r="D10" s="530">
        <v>75</v>
      </c>
      <c r="E10" s="89">
        <f t="shared" si="0"/>
        <v>750</v>
      </c>
      <c r="F10" s="89">
        <f t="shared" si="1"/>
        <v>7500</v>
      </c>
      <c r="G10" s="540">
        <f t="shared" ref="G10:H40" si="2">SUM(F10%*2000)</f>
        <v>150000</v>
      </c>
      <c r="H10" s="530">
        <f>SUM(G10%*2000)</f>
        <v>3000000</v>
      </c>
      <c r="I10" s="162">
        <f>SUM(F10+H10)</f>
        <v>3007500</v>
      </c>
      <c r="J10" s="66"/>
      <c r="K10" s="69"/>
      <c r="L10" s="67"/>
      <c r="M10" s="482">
        <v>58564.51</v>
      </c>
      <c r="N10" s="482">
        <f>(M10-M9)*4.4</f>
        <v>149.29200000000128</v>
      </c>
      <c r="O10" s="163">
        <f>'Summery Report'!C5</f>
        <v>0.16800000000000001</v>
      </c>
      <c r="P10" s="10">
        <f>SUM(M10/O10)</f>
        <v>348598.27380952379</v>
      </c>
      <c r="Q10" s="168">
        <f t="shared" ref="Q10:Q40" si="3">SUM(N10/P10)</f>
        <v>4.2826373856795209E-4</v>
      </c>
      <c r="U10" s="274"/>
      <c r="V10" s="274"/>
    </row>
    <row r="11" spans="1:22" ht="18.75" x14ac:dyDescent="0.3">
      <c r="A11" s="140">
        <f>Gen!A12</f>
        <v>43436</v>
      </c>
      <c r="B11" s="530">
        <v>85</v>
      </c>
      <c r="C11" s="530">
        <v>85</v>
      </c>
      <c r="D11" s="530">
        <v>61</v>
      </c>
      <c r="E11" s="89">
        <f t="shared" si="0"/>
        <v>610</v>
      </c>
      <c r="F11" s="89">
        <f t="shared" si="1"/>
        <v>6100</v>
      </c>
      <c r="G11" s="540">
        <f t="shared" si="2"/>
        <v>122000</v>
      </c>
      <c r="H11" s="530">
        <f t="shared" si="2"/>
        <v>2440000</v>
      </c>
      <c r="I11" s="162">
        <f t="shared" ref="I11:I40" si="4">SUM(F11+H11)</f>
        <v>2446100</v>
      </c>
      <c r="J11" s="66"/>
      <c r="K11" s="69"/>
      <c r="L11" s="255"/>
      <c r="M11" s="482">
        <v>58582.44</v>
      </c>
      <c r="N11" s="482">
        <f t="shared" ref="N11:N41" si="5">(M11-M10)*4.4</f>
        <v>78.892000000001289</v>
      </c>
      <c r="O11" s="163">
        <f>'Summery Report'!C6</f>
        <v>0.1429</v>
      </c>
      <c r="P11" s="10">
        <f t="shared" ref="P11:P16" si="6">SUM(M11/O11)</f>
        <v>409954.09377186844</v>
      </c>
      <c r="Q11" s="168">
        <f t="shared" si="3"/>
        <v>1.9244105912966726E-4</v>
      </c>
      <c r="T11" s="274"/>
      <c r="U11" s="274"/>
    </row>
    <row r="12" spans="1:22" ht="18.75" x14ac:dyDescent="0.3">
      <c r="A12" s="140">
        <f>Gen!A13</f>
        <v>43437</v>
      </c>
      <c r="B12" s="530">
        <v>85</v>
      </c>
      <c r="C12" s="530">
        <v>85</v>
      </c>
      <c r="D12" s="530">
        <v>52</v>
      </c>
      <c r="E12" s="89">
        <f t="shared" si="0"/>
        <v>520</v>
      </c>
      <c r="F12" s="89">
        <f t="shared" si="1"/>
        <v>5200</v>
      </c>
      <c r="G12" s="540">
        <f t="shared" si="2"/>
        <v>104000</v>
      </c>
      <c r="H12" s="530">
        <f t="shared" si="2"/>
        <v>2080000</v>
      </c>
      <c r="I12" s="162">
        <f t="shared" si="4"/>
        <v>2085200</v>
      </c>
      <c r="J12" s="66"/>
      <c r="K12" s="67"/>
      <c r="L12" s="255"/>
      <c r="M12" s="482">
        <v>58611.199999999997</v>
      </c>
      <c r="N12" s="482">
        <f t="shared" si="5"/>
        <v>126.54399999997696</v>
      </c>
      <c r="O12" s="163">
        <f>'Summery Report'!C7</f>
        <v>0.1429</v>
      </c>
      <c r="P12" s="10">
        <f t="shared" si="6"/>
        <v>410155.35339398182</v>
      </c>
      <c r="Q12" s="168">
        <f t="shared" si="3"/>
        <v>3.0852699825283748E-4</v>
      </c>
      <c r="T12" s="274"/>
      <c r="U12" s="274"/>
    </row>
    <row r="13" spans="1:22" ht="18.75" x14ac:dyDescent="0.3">
      <c r="A13" s="140">
        <f>Gen!A14</f>
        <v>43438</v>
      </c>
      <c r="B13" s="530">
        <v>85</v>
      </c>
      <c r="C13" s="530">
        <v>85</v>
      </c>
      <c r="D13" s="530">
        <v>45</v>
      </c>
      <c r="E13" s="89">
        <f t="shared" si="0"/>
        <v>450</v>
      </c>
      <c r="F13" s="89">
        <f t="shared" si="1"/>
        <v>4500</v>
      </c>
      <c r="G13" s="540">
        <f t="shared" si="2"/>
        <v>90000</v>
      </c>
      <c r="H13" s="530">
        <f t="shared" si="2"/>
        <v>1800000</v>
      </c>
      <c r="I13" s="162">
        <f t="shared" si="4"/>
        <v>1804500</v>
      </c>
      <c r="J13" s="66"/>
      <c r="K13" s="70"/>
      <c r="L13" s="255"/>
      <c r="M13" s="482">
        <v>58634.23</v>
      </c>
      <c r="N13" s="482">
        <f t="shared" si="5"/>
        <v>101.33200000002689</v>
      </c>
      <c r="O13" s="163">
        <f>'Summery Report'!C8</f>
        <v>0.16880000000000001</v>
      </c>
      <c r="P13" s="10">
        <f t="shared" si="6"/>
        <v>347359.18246445496</v>
      </c>
      <c r="Q13" s="168">
        <f t="shared" si="3"/>
        <v>2.9172109192880235E-4</v>
      </c>
      <c r="T13" s="274"/>
      <c r="U13" s="274"/>
    </row>
    <row r="14" spans="1:22" ht="18.75" x14ac:dyDescent="0.3">
      <c r="A14" s="140">
        <f>Gen!A15</f>
        <v>43439</v>
      </c>
      <c r="B14" s="530">
        <v>85</v>
      </c>
      <c r="C14" s="530">
        <v>85</v>
      </c>
      <c r="D14" s="530">
        <v>40</v>
      </c>
      <c r="E14" s="89">
        <f t="shared" si="0"/>
        <v>400</v>
      </c>
      <c r="F14" s="89">
        <f t="shared" si="1"/>
        <v>4000</v>
      </c>
      <c r="G14" s="540">
        <f t="shared" si="2"/>
        <v>80000</v>
      </c>
      <c r="H14" s="530">
        <f t="shared" si="2"/>
        <v>1600000</v>
      </c>
      <c r="I14" s="162">
        <f t="shared" si="4"/>
        <v>1604000</v>
      </c>
      <c r="J14" s="66"/>
      <c r="K14" s="67"/>
      <c r="L14" s="255"/>
      <c r="M14" s="482">
        <v>58659.6</v>
      </c>
      <c r="N14" s="482">
        <f t="shared" si="5"/>
        <v>111.62799999997952</v>
      </c>
      <c r="O14" s="163">
        <f>'Summery Report'!C9</f>
        <v>0.20780000000000001</v>
      </c>
      <c r="P14" s="10">
        <f t="shared" si="6"/>
        <v>282288.739172281</v>
      </c>
      <c r="Q14" s="168">
        <f t="shared" si="3"/>
        <v>3.9543908243485715E-4</v>
      </c>
      <c r="T14" s="274"/>
      <c r="U14" s="274"/>
    </row>
    <row r="15" spans="1:22" ht="18.75" x14ac:dyDescent="0.3">
      <c r="A15" s="140">
        <f>Gen!A16</f>
        <v>43440</v>
      </c>
      <c r="B15" s="530">
        <v>85</v>
      </c>
      <c r="C15" s="530">
        <v>85</v>
      </c>
      <c r="D15" s="530">
        <v>36</v>
      </c>
      <c r="E15" s="89">
        <f t="shared" si="0"/>
        <v>360</v>
      </c>
      <c r="F15" s="89">
        <f t="shared" si="1"/>
        <v>3600</v>
      </c>
      <c r="G15" s="540">
        <f t="shared" si="2"/>
        <v>72000</v>
      </c>
      <c r="H15" s="530">
        <f t="shared" si="2"/>
        <v>1440000</v>
      </c>
      <c r="I15" s="162">
        <f t="shared" si="4"/>
        <v>1443600</v>
      </c>
      <c r="J15" s="66"/>
      <c r="K15" s="70"/>
      <c r="L15" s="255"/>
      <c r="M15" s="482">
        <v>58683.61</v>
      </c>
      <c r="N15" s="482">
        <f t="shared" si="5"/>
        <v>105.64400000000897</v>
      </c>
      <c r="O15" s="163">
        <f>'Summery Report'!C10</f>
        <v>0.29870000000000002</v>
      </c>
      <c r="P15" s="10">
        <f t="shared" si="6"/>
        <v>196463.37462336791</v>
      </c>
      <c r="Q15" s="168">
        <f t="shared" si="3"/>
        <v>5.377287252778533E-4</v>
      </c>
      <c r="T15" s="274"/>
      <c r="U15" s="274"/>
    </row>
    <row r="16" spans="1:22" ht="18.75" x14ac:dyDescent="0.3">
      <c r="A16" s="140">
        <f>Gen!A17</f>
        <v>43441</v>
      </c>
      <c r="B16" s="530">
        <v>85</v>
      </c>
      <c r="C16" s="530">
        <v>85</v>
      </c>
      <c r="D16" s="530">
        <v>30</v>
      </c>
      <c r="E16" s="89">
        <f t="shared" si="0"/>
        <v>300</v>
      </c>
      <c r="F16" s="89">
        <f t="shared" si="1"/>
        <v>3000</v>
      </c>
      <c r="G16" s="540">
        <f t="shared" si="2"/>
        <v>60000</v>
      </c>
      <c r="H16" s="530">
        <f t="shared" si="2"/>
        <v>1200000</v>
      </c>
      <c r="I16" s="162">
        <f t="shared" si="4"/>
        <v>1203000</v>
      </c>
      <c r="J16" s="66"/>
      <c r="K16" s="67"/>
      <c r="L16" s="255"/>
      <c r="M16" s="482">
        <v>58710.01</v>
      </c>
      <c r="N16" s="482">
        <f t="shared" si="5"/>
        <v>116.16000000000641</v>
      </c>
      <c r="O16" s="163">
        <f>'Summery Report'!C11</f>
        <v>0.24679999999999999</v>
      </c>
      <c r="P16" s="10">
        <f t="shared" si="6"/>
        <v>237884.96758508915</v>
      </c>
      <c r="Q16" s="168">
        <f t="shared" si="3"/>
        <v>4.8830323823827626E-4</v>
      </c>
      <c r="T16" s="274"/>
      <c r="U16" s="274"/>
    </row>
    <row r="17" spans="1:21" ht="18.75" x14ac:dyDescent="0.3">
      <c r="A17" s="140">
        <f>Gen!A18</f>
        <v>43442</v>
      </c>
      <c r="B17" s="530">
        <v>85</v>
      </c>
      <c r="C17" s="530">
        <v>85</v>
      </c>
      <c r="D17" s="530">
        <v>23</v>
      </c>
      <c r="E17" s="89">
        <f t="shared" si="0"/>
        <v>230</v>
      </c>
      <c r="F17" s="89">
        <f t="shared" si="1"/>
        <v>2300</v>
      </c>
      <c r="G17" s="540">
        <f t="shared" si="2"/>
        <v>46000</v>
      </c>
      <c r="H17" s="530">
        <f t="shared" si="2"/>
        <v>920000</v>
      </c>
      <c r="I17" s="162">
        <f t="shared" si="4"/>
        <v>922300</v>
      </c>
      <c r="J17" s="66"/>
      <c r="K17" s="71"/>
      <c r="L17" s="255"/>
      <c r="M17" s="482">
        <v>58744</v>
      </c>
      <c r="N17" s="482">
        <f t="shared" si="5"/>
        <v>149.55599999999106</v>
      </c>
      <c r="O17" s="163">
        <f>'Summery Report'!C12</f>
        <v>0.28570000000000001</v>
      </c>
      <c r="P17" s="10">
        <f t="shared" ref="P17:P41" si="7">SUM(M17/O17)</f>
        <v>205614.2807140357</v>
      </c>
      <c r="Q17" s="168">
        <f t="shared" si="3"/>
        <v>7.2736192972895012E-4</v>
      </c>
      <c r="T17" s="274"/>
      <c r="U17" s="274"/>
    </row>
    <row r="18" spans="1:21" ht="18.75" x14ac:dyDescent="0.3">
      <c r="A18" s="140">
        <f>Gen!A19</f>
        <v>43443</v>
      </c>
      <c r="B18" s="530">
        <v>85</v>
      </c>
      <c r="C18" s="530">
        <v>85</v>
      </c>
      <c r="D18" s="530">
        <v>16</v>
      </c>
      <c r="E18" s="89">
        <f t="shared" si="0"/>
        <v>160</v>
      </c>
      <c r="F18" s="89">
        <f t="shared" si="1"/>
        <v>1600</v>
      </c>
      <c r="G18" s="540">
        <f t="shared" si="2"/>
        <v>32000</v>
      </c>
      <c r="H18" s="530">
        <f t="shared" si="2"/>
        <v>640000</v>
      </c>
      <c r="I18" s="162">
        <f t="shared" si="4"/>
        <v>641600</v>
      </c>
      <c r="J18" s="66"/>
      <c r="K18" s="67"/>
      <c r="L18" s="255"/>
      <c r="M18" s="482">
        <v>58780</v>
      </c>
      <c r="N18" s="482">
        <f t="shared" si="5"/>
        <v>158.4</v>
      </c>
      <c r="O18" s="163">
        <f>'Summery Report'!C13</f>
        <v>0.46750000000000003</v>
      </c>
      <c r="P18" s="10">
        <f t="shared" si="7"/>
        <v>125732.62032085561</v>
      </c>
      <c r="Q18" s="168">
        <f t="shared" si="3"/>
        <v>1.2598162640353862E-3</v>
      </c>
      <c r="T18" s="274"/>
      <c r="U18" s="274"/>
    </row>
    <row r="19" spans="1:21" ht="18.75" x14ac:dyDescent="0.3">
      <c r="A19" s="140">
        <f>Gen!A20</f>
        <v>43444</v>
      </c>
      <c r="B19" s="530">
        <v>85</v>
      </c>
      <c r="C19" s="530">
        <v>85</v>
      </c>
      <c r="D19" s="530">
        <v>9</v>
      </c>
      <c r="E19" s="89">
        <f t="shared" si="0"/>
        <v>90</v>
      </c>
      <c r="F19" s="89">
        <f t="shared" si="1"/>
        <v>900</v>
      </c>
      <c r="G19" s="540">
        <f t="shared" si="2"/>
        <v>18000</v>
      </c>
      <c r="H19" s="530">
        <f t="shared" si="2"/>
        <v>360000</v>
      </c>
      <c r="I19" s="162">
        <f t="shared" si="4"/>
        <v>360900</v>
      </c>
      <c r="J19" s="66"/>
      <c r="K19" s="67"/>
      <c r="L19" s="255"/>
      <c r="M19" s="482">
        <v>58824.82</v>
      </c>
      <c r="N19" s="482">
        <f t="shared" si="5"/>
        <v>197.20799999999875</v>
      </c>
      <c r="O19" s="163">
        <f>'Summery Report'!C14</f>
        <v>0.55840000000000001</v>
      </c>
      <c r="P19" s="10">
        <f t="shared" si="7"/>
        <v>105345.30802292263</v>
      </c>
      <c r="Q19" s="168">
        <f t="shared" si="3"/>
        <v>1.8720150303902215E-3</v>
      </c>
      <c r="T19" s="274"/>
      <c r="U19" s="274"/>
    </row>
    <row r="20" spans="1:21" ht="18.75" x14ac:dyDescent="0.3">
      <c r="A20" s="140">
        <f>Gen!A21</f>
        <v>43445</v>
      </c>
      <c r="B20" s="530">
        <v>85</v>
      </c>
      <c r="C20" s="530">
        <v>85</v>
      </c>
      <c r="D20" s="530">
        <v>2</v>
      </c>
      <c r="E20" s="89">
        <f t="shared" si="0"/>
        <v>20</v>
      </c>
      <c r="F20" s="89">
        <f t="shared" si="1"/>
        <v>200</v>
      </c>
      <c r="G20" s="540">
        <f t="shared" si="2"/>
        <v>4000</v>
      </c>
      <c r="H20" s="530">
        <f t="shared" si="2"/>
        <v>80000</v>
      </c>
      <c r="I20" s="162">
        <f t="shared" si="4"/>
        <v>80200</v>
      </c>
      <c r="J20" s="66"/>
      <c r="K20" s="67"/>
      <c r="L20" s="255"/>
      <c r="M20" s="482">
        <v>58852.51</v>
      </c>
      <c r="N20" s="482">
        <f t="shared" si="5"/>
        <v>121.83600000001026</v>
      </c>
      <c r="O20" s="163">
        <f>'Summery Report'!C15</f>
        <v>0.57140000000000002</v>
      </c>
      <c r="P20" s="10">
        <f t="shared" si="7"/>
        <v>102997.04235211761</v>
      </c>
      <c r="Q20" s="168">
        <f t="shared" si="3"/>
        <v>1.1829077536371151E-3</v>
      </c>
    </row>
    <row r="21" spans="1:21" ht="18.75" x14ac:dyDescent="0.3">
      <c r="A21" s="140">
        <f>Gen!A22</f>
        <v>43446</v>
      </c>
      <c r="B21" s="530">
        <v>85</v>
      </c>
      <c r="C21" s="530">
        <v>78</v>
      </c>
      <c r="D21" s="530">
        <v>0</v>
      </c>
      <c r="E21" s="89">
        <f t="shared" si="0"/>
        <v>0</v>
      </c>
      <c r="F21" s="89">
        <f t="shared" si="1"/>
        <v>0</v>
      </c>
      <c r="G21" s="540">
        <f t="shared" si="2"/>
        <v>0</v>
      </c>
      <c r="H21" s="530">
        <f t="shared" si="2"/>
        <v>0</v>
      </c>
      <c r="I21" s="162">
        <f t="shared" si="4"/>
        <v>0</v>
      </c>
      <c r="J21" s="66"/>
      <c r="K21" s="67"/>
      <c r="L21" s="255"/>
      <c r="M21" s="482">
        <v>58881.440000000002</v>
      </c>
      <c r="N21" s="482">
        <f t="shared" si="5"/>
        <v>127.29200000000129</v>
      </c>
      <c r="O21" s="163">
        <f>'Summery Report'!C16</f>
        <v>0.23380000000000001</v>
      </c>
      <c r="P21" s="10">
        <f t="shared" si="7"/>
        <v>251845.33789563729</v>
      </c>
      <c r="Q21" s="168">
        <f t="shared" si="3"/>
        <v>5.0543719039480525E-4</v>
      </c>
    </row>
    <row r="22" spans="1:21" ht="18.75" x14ac:dyDescent="0.3">
      <c r="A22" s="140">
        <f>Gen!A23</f>
        <v>43447</v>
      </c>
      <c r="B22" s="530">
        <v>85</v>
      </c>
      <c r="C22" s="530">
        <v>66</v>
      </c>
      <c r="D22" s="530">
        <v>0</v>
      </c>
      <c r="E22" s="89">
        <f t="shared" si="0"/>
        <v>0</v>
      </c>
      <c r="F22" s="89">
        <f t="shared" si="1"/>
        <v>0</v>
      </c>
      <c r="G22" s="540">
        <f t="shared" si="2"/>
        <v>0</v>
      </c>
      <c r="H22" s="530">
        <f t="shared" si="2"/>
        <v>0</v>
      </c>
      <c r="I22" s="162">
        <f t="shared" si="4"/>
        <v>0</v>
      </c>
      <c r="J22" s="66"/>
      <c r="K22" s="67"/>
      <c r="L22" s="255"/>
      <c r="M22" s="482">
        <v>58908.63</v>
      </c>
      <c r="N22" s="482">
        <f t="shared" si="5"/>
        <v>119.63599999997824</v>
      </c>
      <c r="O22" s="163">
        <f>'Summery Report'!C17</f>
        <v>0.2727</v>
      </c>
      <c r="P22" s="10">
        <f t="shared" si="7"/>
        <v>216019.9119911991</v>
      </c>
      <c r="Q22" s="168">
        <f t="shared" si="3"/>
        <v>5.5381931645658825E-4</v>
      </c>
    </row>
    <row r="23" spans="1:21" ht="18.75" x14ac:dyDescent="0.3">
      <c r="A23" s="140">
        <f>Gen!A24</f>
        <v>43448</v>
      </c>
      <c r="B23" s="530">
        <v>85</v>
      </c>
      <c r="C23" s="530">
        <v>60</v>
      </c>
      <c r="D23" s="530">
        <v>0</v>
      </c>
      <c r="E23" s="89">
        <f t="shared" si="0"/>
        <v>0</v>
      </c>
      <c r="F23" s="89">
        <f t="shared" si="1"/>
        <v>0</v>
      </c>
      <c r="G23" s="540">
        <f t="shared" si="2"/>
        <v>0</v>
      </c>
      <c r="H23" s="530">
        <f t="shared" si="2"/>
        <v>0</v>
      </c>
      <c r="I23" s="162">
        <f t="shared" si="4"/>
        <v>0</v>
      </c>
      <c r="J23" s="66"/>
      <c r="K23" s="67"/>
      <c r="L23" s="255"/>
      <c r="M23" s="482">
        <v>58933.29</v>
      </c>
      <c r="N23" s="482">
        <f t="shared" si="5"/>
        <v>108.50400000001538</v>
      </c>
      <c r="O23" s="163">
        <f>'Summery Report'!C18</f>
        <v>0.25950000000000001</v>
      </c>
      <c r="P23" s="10">
        <f t="shared" si="7"/>
        <v>227103.23699421965</v>
      </c>
      <c r="Q23" s="168">
        <f t="shared" si="3"/>
        <v>4.7777390334060752E-4</v>
      </c>
    </row>
    <row r="24" spans="1:21" ht="18.75" x14ac:dyDescent="0.3">
      <c r="A24" s="140">
        <f>Gen!A25</f>
        <v>43449</v>
      </c>
      <c r="B24" s="530">
        <v>85</v>
      </c>
      <c r="C24" s="530">
        <v>56</v>
      </c>
      <c r="D24" s="530">
        <v>0</v>
      </c>
      <c r="E24" s="89">
        <f t="shared" si="0"/>
        <v>0</v>
      </c>
      <c r="F24" s="89">
        <f t="shared" si="1"/>
        <v>0</v>
      </c>
      <c r="G24" s="540">
        <f t="shared" si="2"/>
        <v>0</v>
      </c>
      <c r="H24" s="530">
        <f t="shared" si="2"/>
        <v>0</v>
      </c>
      <c r="I24" s="162">
        <f t="shared" si="4"/>
        <v>0</v>
      </c>
      <c r="J24" s="66"/>
      <c r="K24" s="67"/>
      <c r="L24" s="255"/>
      <c r="M24" s="482">
        <v>58959.89</v>
      </c>
      <c r="N24" s="482">
        <f t="shared" si="5"/>
        <v>117.03999999999361</v>
      </c>
      <c r="O24" s="163">
        <f>'Summery Report'!C19</f>
        <v>0.12989999999999999</v>
      </c>
      <c r="P24" s="10">
        <f t="shared" si="7"/>
        <v>453886.75904541957</v>
      </c>
      <c r="Q24" s="168">
        <f t="shared" si="3"/>
        <v>2.5786167511505144E-4</v>
      </c>
    </row>
    <row r="25" spans="1:21" ht="18.75" x14ac:dyDescent="0.3">
      <c r="A25" s="140">
        <f>Gen!A26</f>
        <v>43450</v>
      </c>
      <c r="B25" s="530">
        <v>85</v>
      </c>
      <c r="C25" s="530">
        <v>52</v>
      </c>
      <c r="D25" s="530">
        <v>0</v>
      </c>
      <c r="E25" s="89">
        <f t="shared" si="0"/>
        <v>0</v>
      </c>
      <c r="F25" s="89">
        <f t="shared" si="1"/>
        <v>0</v>
      </c>
      <c r="G25" s="540">
        <f t="shared" si="2"/>
        <v>0</v>
      </c>
      <c r="H25" s="530">
        <f t="shared" si="2"/>
        <v>0</v>
      </c>
      <c r="I25" s="162">
        <f t="shared" si="4"/>
        <v>0</v>
      </c>
      <c r="J25" s="66"/>
      <c r="K25" s="67"/>
      <c r="L25" s="255"/>
      <c r="M25" s="482">
        <v>58986.14</v>
      </c>
      <c r="N25" s="482">
        <f t="shared" si="5"/>
        <v>115.50000000000001</v>
      </c>
      <c r="O25" s="163">
        <f>'Summery Report'!C20</f>
        <v>0.25969999999999999</v>
      </c>
      <c r="P25" s="10">
        <f t="shared" si="7"/>
        <v>227131.84443588759</v>
      </c>
      <c r="Q25" s="168">
        <f t="shared" si="3"/>
        <v>5.0851522069421732E-4</v>
      </c>
    </row>
    <row r="26" spans="1:21" ht="18.75" x14ac:dyDescent="0.3">
      <c r="A26" s="140">
        <f>Gen!A27</f>
        <v>43451</v>
      </c>
      <c r="B26" s="530">
        <v>85</v>
      </c>
      <c r="C26" s="530">
        <v>49</v>
      </c>
      <c r="D26" s="530">
        <v>0</v>
      </c>
      <c r="E26" s="89">
        <f t="shared" si="0"/>
        <v>0</v>
      </c>
      <c r="F26" s="89">
        <f t="shared" si="1"/>
        <v>0</v>
      </c>
      <c r="G26" s="540">
        <f t="shared" si="2"/>
        <v>0</v>
      </c>
      <c r="H26" s="530">
        <f t="shared" si="2"/>
        <v>0</v>
      </c>
      <c r="I26" s="162">
        <f t="shared" si="4"/>
        <v>0</v>
      </c>
      <c r="J26" s="66"/>
      <c r="K26" s="496"/>
      <c r="L26" s="255"/>
      <c r="M26" s="482">
        <v>59009.61</v>
      </c>
      <c r="N26" s="482">
        <f t="shared" si="5"/>
        <v>103.26800000000513</v>
      </c>
      <c r="O26" s="163">
        <f>'Summery Report'!C21</f>
        <v>0.29870000000000002</v>
      </c>
      <c r="P26" s="10">
        <f t="shared" si="7"/>
        <v>197554.77067291597</v>
      </c>
      <c r="Q26" s="168">
        <f t="shared" si="3"/>
        <v>5.2273098568184962E-4</v>
      </c>
    </row>
    <row r="27" spans="1:21" ht="18.75" x14ac:dyDescent="0.3">
      <c r="A27" s="140">
        <f>Gen!A28</f>
        <v>43452</v>
      </c>
      <c r="B27" s="530">
        <v>85</v>
      </c>
      <c r="C27" s="530">
        <v>37</v>
      </c>
      <c r="D27" s="530">
        <v>0</v>
      </c>
      <c r="E27" s="89">
        <f t="shared" si="0"/>
        <v>0</v>
      </c>
      <c r="F27" s="89">
        <f t="shared" si="1"/>
        <v>0</v>
      </c>
      <c r="G27" s="540">
        <f t="shared" si="2"/>
        <v>0</v>
      </c>
      <c r="H27" s="530">
        <f t="shared" si="2"/>
        <v>0</v>
      </c>
      <c r="I27" s="162">
        <f t="shared" si="4"/>
        <v>0</v>
      </c>
      <c r="J27" s="66"/>
      <c r="K27" s="67"/>
      <c r="L27" s="255"/>
      <c r="M27" s="482">
        <v>59036</v>
      </c>
      <c r="N27" s="482">
        <f t="shared" si="5"/>
        <v>116.11599999999744</v>
      </c>
      <c r="O27" s="163">
        <f>'Summery Report'!C22</f>
        <v>0.50649999999999995</v>
      </c>
      <c r="P27" s="10">
        <f t="shared" si="7"/>
        <v>116556.7620927937</v>
      </c>
      <c r="Q27" s="168">
        <f t="shared" si="3"/>
        <v>9.9621847686155382E-4</v>
      </c>
    </row>
    <row r="28" spans="1:21" ht="18.75" x14ac:dyDescent="0.3">
      <c r="A28" s="140">
        <f>Gen!A29</f>
        <v>43453</v>
      </c>
      <c r="B28" s="530">
        <v>85</v>
      </c>
      <c r="C28" s="530">
        <v>29</v>
      </c>
      <c r="D28" s="530">
        <v>0</v>
      </c>
      <c r="E28" s="89">
        <f t="shared" si="0"/>
        <v>0</v>
      </c>
      <c r="F28" s="89">
        <f t="shared" si="1"/>
        <v>0</v>
      </c>
      <c r="G28" s="540">
        <f t="shared" si="2"/>
        <v>0</v>
      </c>
      <c r="H28" s="530">
        <f t="shared" si="2"/>
        <v>0</v>
      </c>
      <c r="I28" s="162">
        <f t="shared" si="4"/>
        <v>0</v>
      </c>
      <c r="J28" s="66"/>
      <c r="K28" s="67"/>
      <c r="L28" s="255"/>
      <c r="M28" s="482">
        <v>59064.47</v>
      </c>
      <c r="N28" s="482">
        <f t="shared" si="5"/>
        <v>125.26800000000513</v>
      </c>
      <c r="O28" s="163">
        <f>'Summery Report'!C23</f>
        <v>0.44159999999999999</v>
      </c>
      <c r="P28" s="10">
        <f t="shared" si="7"/>
        <v>133751.06431159421</v>
      </c>
      <c r="Q28" s="168">
        <f t="shared" si="3"/>
        <v>9.3657572479702712E-4</v>
      </c>
    </row>
    <row r="29" spans="1:21" ht="18.75" x14ac:dyDescent="0.3">
      <c r="A29" s="140">
        <f>Gen!A30</f>
        <v>43454</v>
      </c>
      <c r="B29" s="530">
        <v>85</v>
      </c>
      <c r="C29" s="530">
        <v>20</v>
      </c>
      <c r="D29" s="530">
        <v>0</v>
      </c>
      <c r="E29" s="89">
        <f t="shared" si="0"/>
        <v>0</v>
      </c>
      <c r="F29" s="89">
        <f t="shared" si="1"/>
        <v>0</v>
      </c>
      <c r="G29" s="540">
        <f t="shared" si="2"/>
        <v>0</v>
      </c>
      <c r="H29" s="530">
        <f t="shared" si="2"/>
        <v>0</v>
      </c>
      <c r="I29" s="162">
        <f t="shared" si="4"/>
        <v>0</v>
      </c>
      <c r="J29" s="66"/>
      <c r="K29" s="67"/>
      <c r="L29" s="255"/>
      <c r="M29" s="482">
        <v>59090.69</v>
      </c>
      <c r="N29" s="482">
        <f t="shared" si="5"/>
        <v>115.36800000000513</v>
      </c>
      <c r="O29" s="163">
        <f>'Summery Report'!C24</f>
        <v>0.40260000000000001</v>
      </c>
      <c r="P29" s="10">
        <f t="shared" si="7"/>
        <v>146772.70243417783</v>
      </c>
      <c r="Q29" s="168">
        <f t="shared" si="3"/>
        <v>7.860317217484187E-4</v>
      </c>
    </row>
    <row r="30" spans="1:21" ht="18.75" x14ac:dyDescent="0.3">
      <c r="A30" s="140">
        <f>Gen!A31</f>
        <v>43455</v>
      </c>
      <c r="B30" s="530">
        <v>85</v>
      </c>
      <c r="C30" s="530">
        <v>15</v>
      </c>
      <c r="D30" s="530">
        <v>0</v>
      </c>
      <c r="E30" s="89">
        <f t="shared" si="0"/>
        <v>0</v>
      </c>
      <c r="F30" s="89">
        <f t="shared" si="1"/>
        <v>0</v>
      </c>
      <c r="G30" s="540">
        <f t="shared" si="2"/>
        <v>0</v>
      </c>
      <c r="H30" s="530">
        <f t="shared" si="2"/>
        <v>0</v>
      </c>
      <c r="I30" s="162">
        <f t="shared" si="4"/>
        <v>0</v>
      </c>
      <c r="J30" s="66"/>
      <c r="K30" s="67"/>
      <c r="L30" s="255"/>
      <c r="M30" s="482">
        <v>59119.81</v>
      </c>
      <c r="N30" s="482">
        <f t="shared" si="5"/>
        <v>128.12799999997952</v>
      </c>
      <c r="O30" s="163">
        <f>'Summery Report'!C25</f>
        <v>0.49349999999999999</v>
      </c>
      <c r="P30" s="10">
        <f t="shared" si="7"/>
        <v>119796.9807497467</v>
      </c>
      <c r="Q30" s="168">
        <f t="shared" si="3"/>
        <v>1.069542814836345E-3</v>
      </c>
    </row>
    <row r="31" spans="1:21" ht="18.75" x14ac:dyDescent="0.3">
      <c r="A31" s="140">
        <f>Gen!A32</f>
        <v>43456</v>
      </c>
      <c r="B31" s="530">
        <v>85</v>
      </c>
      <c r="C31" s="530">
        <v>11</v>
      </c>
      <c r="D31" s="530">
        <v>0</v>
      </c>
      <c r="E31" s="89">
        <f t="shared" si="0"/>
        <v>0</v>
      </c>
      <c r="F31" s="89">
        <f t="shared" si="1"/>
        <v>0</v>
      </c>
      <c r="G31" s="540">
        <f t="shared" si="2"/>
        <v>0</v>
      </c>
      <c r="H31" s="530">
        <f t="shared" si="2"/>
        <v>0</v>
      </c>
      <c r="I31" s="162">
        <f t="shared" si="4"/>
        <v>0</v>
      </c>
      <c r="J31" s="66"/>
      <c r="K31" s="67"/>
      <c r="L31" s="255"/>
      <c r="M31" s="482">
        <v>59147.07</v>
      </c>
      <c r="N31" s="482">
        <f t="shared" si="5"/>
        <v>119.94400000000897</v>
      </c>
      <c r="O31" s="163">
        <f>'Summery Report'!C26</f>
        <v>0.49349999999999999</v>
      </c>
      <c r="P31" s="10">
        <f t="shared" si="7"/>
        <v>119852.2188449848</v>
      </c>
      <c r="Q31" s="168">
        <f t="shared" si="3"/>
        <v>1.0007657860314032E-3</v>
      </c>
    </row>
    <row r="32" spans="1:21" ht="18.75" x14ac:dyDescent="0.3">
      <c r="A32" s="140">
        <f>Gen!A33</f>
        <v>43457</v>
      </c>
      <c r="B32" s="530">
        <v>85</v>
      </c>
      <c r="C32" s="530">
        <v>7</v>
      </c>
      <c r="D32" s="530">
        <v>0</v>
      </c>
      <c r="E32" s="89">
        <f t="shared" si="0"/>
        <v>0</v>
      </c>
      <c r="F32" s="89">
        <f t="shared" si="1"/>
        <v>0</v>
      </c>
      <c r="G32" s="540">
        <f t="shared" si="2"/>
        <v>0</v>
      </c>
      <c r="H32" s="530">
        <f t="shared" si="2"/>
        <v>0</v>
      </c>
      <c r="I32" s="162">
        <f t="shared" si="4"/>
        <v>0</v>
      </c>
      <c r="J32" s="66"/>
      <c r="K32" s="67"/>
      <c r="L32" s="255"/>
      <c r="M32" s="482">
        <v>59171.3</v>
      </c>
      <c r="N32" s="482">
        <f t="shared" si="5"/>
        <v>106.61200000001409</v>
      </c>
      <c r="O32" s="163">
        <f>'Summery Report'!C27</f>
        <v>0.4456</v>
      </c>
      <c r="P32" s="10">
        <f t="shared" si="7"/>
        <v>132790.17055655297</v>
      </c>
      <c r="Q32" s="168">
        <f t="shared" si="3"/>
        <v>8.0286063006907533E-4</v>
      </c>
    </row>
    <row r="33" spans="1:17" ht="18.75" x14ac:dyDescent="0.3">
      <c r="A33" s="140">
        <f>Gen!A34</f>
        <v>43458</v>
      </c>
      <c r="B33" s="530">
        <v>85</v>
      </c>
      <c r="C33" s="530">
        <v>4</v>
      </c>
      <c r="D33" s="530">
        <v>0</v>
      </c>
      <c r="E33" s="89">
        <f t="shared" si="0"/>
        <v>0</v>
      </c>
      <c r="F33" s="89">
        <f t="shared" si="1"/>
        <v>0</v>
      </c>
      <c r="G33" s="540">
        <f t="shared" si="2"/>
        <v>0</v>
      </c>
      <c r="H33" s="530">
        <f t="shared" si="2"/>
        <v>0</v>
      </c>
      <c r="I33" s="162">
        <f t="shared" si="4"/>
        <v>0</v>
      </c>
      <c r="J33" s="66"/>
      <c r="K33" s="67"/>
      <c r="L33" s="255"/>
      <c r="M33" s="482">
        <v>59198.5</v>
      </c>
      <c r="N33" s="482">
        <f t="shared" si="5"/>
        <v>119.6799999999872</v>
      </c>
      <c r="O33" s="163">
        <f>'Summery Report'!C28</f>
        <v>0.50649999999999995</v>
      </c>
      <c r="P33" s="10">
        <f t="shared" si="7"/>
        <v>116877.59131293189</v>
      </c>
      <c r="Q33" s="168">
        <f t="shared" si="3"/>
        <v>1.0239772967219358E-3</v>
      </c>
    </row>
    <row r="34" spans="1:17" ht="18.75" x14ac:dyDescent="0.3">
      <c r="A34" s="140">
        <f>Gen!A35</f>
        <v>43459</v>
      </c>
      <c r="B34" s="530">
        <v>85</v>
      </c>
      <c r="C34" s="530" t="s">
        <v>396</v>
      </c>
      <c r="D34" s="530">
        <v>0</v>
      </c>
      <c r="E34" s="89">
        <f t="shared" si="0"/>
        <v>0</v>
      </c>
      <c r="F34" s="89">
        <f t="shared" si="1"/>
        <v>0</v>
      </c>
      <c r="G34" s="540">
        <f t="shared" si="2"/>
        <v>0</v>
      </c>
      <c r="H34" s="530">
        <f t="shared" si="2"/>
        <v>0</v>
      </c>
      <c r="I34" s="162">
        <f t="shared" si="4"/>
        <v>0</v>
      </c>
      <c r="J34" s="66"/>
      <c r="K34" s="67"/>
      <c r="L34" s="255"/>
      <c r="M34" s="482">
        <v>59228.39</v>
      </c>
      <c r="N34" s="482">
        <f t="shared" si="5"/>
        <v>131.51599999999746</v>
      </c>
      <c r="O34" s="163">
        <f>'Summery Report'!C29</f>
        <v>0.94810000000000005</v>
      </c>
      <c r="P34" s="10">
        <f t="shared" si="7"/>
        <v>62470.614914038597</v>
      </c>
      <c r="Q34" s="168">
        <f t="shared" si="3"/>
        <v>2.10524580526328E-3</v>
      </c>
    </row>
    <row r="35" spans="1:17" ht="18.75" x14ac:dyDescent="0.3">
      <c r="A35" s="140">
        <f>Gen!A36</f>
        <v>43460</v>
      </c>
      <c r="B35" s="530">
        <v>85</v>
      </c>
      <c r="C35" s="530">
        <v>0</v>
      </c>
      <c r="D35" s="530">
        <v>0</v>
      </c>
      <c r="E35" s="89">
        <f t="shared" si="0"/>
        <v>0</v>
      </c>
      <c r="F35" s="89">
        <f t="shared" si="1"/>
        <v>0</v>
      </c>
      <c r="G35" s="540">
        <f t="shared" si="2"/>
        <v>0</v>
      </c>
      <c r="H35" s="530">
        <f t="shared" si="2"/>
        <v>0</v>
      </c>
      <c r="I35" s="162">
        <f t="shared" si="4"/>
        <v>0</v>
      </c>
      <c r="J35" s="66"/>
      <c r="K35" s="67"/>
      <c r="L35" s="255"/>
      <c r="M35" s="482">
        <v>59254.57</v>
      </c>
      <c r="N35" s="482">
        <f t="shared" si="5"/>
        <v>115.19200000000129</v>
      </c>
      <c r="O35" s="163">
        <f>'Summery Report'!C30</f>
        <v>0.90910000000000002</v>
      </c>
      <c r="P35" s="10">
        <f t="shared" si="7"/>
        <v>65179.375206247933</v>
      </c>
      <c r="Q35" s="168">
        <f t="shared" si="3"/>
        <v>1.7673075207532715E-3</v>
      </c>
    </row>
    <row r="36" spans="1:17" ht="18.75" x14ac:dyDescent="0.3">
      <c r="A36" s="140">
        <f>Gen!A37</f>
        <v>43461</v>
      </c>
      <c r="B36" s="530">
        <v>83</v>
      </c>
      <c r="C36" s="530">
        <v>0</v>
      </c>
      <c r="D36" s="530">
        <v>0</v>
      </c>
      <c r="E36" s="89">
        <f t="shared" si="0"/>
        <v>0</v>
      </c>
      <c r="F36" s="89">
        <f t="shared" si="1"/>
        <v>0</v>
      </c>
      <c r="G36" s="540">
        <f t="shared" si="2"/>
        <v>0</v>
      </c>
      <c r="H36" s="530">
        <f t="shared" si="2"/>
        <v>0</v>
      </c>
      <c r="I36" s="162">
        <f t="shared" si="4"/>
        <v>0</v>
      </c>
      <c r="J36" s="66"/>
      <c r="K36" s="67"/>
      <c r="L36" s="255"/>
      <c r="M36" s="482">
        <v>59279.22</v>
      </c>
      <c r="N36" s="482">
        <f t="shared" si="5"/>
        <v>108.46000000000642</v>
      </c>
      <c r="O36" s="163">
        <f>'Summery Report'!C31</f>
        <v>0.76619999999999999</v>
      </c>
      <c r="P36" s="10">
        <f t="shared" si="7"/>
        <v>77367.815191855916</v>
      </c>
      <c r="Q36" s="168">
        <f t="shared" si="3"/>
        <v>1.4018749234555533E-3</v>
      </c>
    </row>
    <row r="37" spans="1:17" ht="18.75" x14ac:dyDescent="0.3">
      <c r="A37" s="140">
        <f>Gen!A38</f>
        <v>43462</v>
      </c>
      <c r="B37" s="530">
        <v>80</v>
      </c>
      <c r="C37" s="530">
        <v>0</v>
      </c>
      <c r="D37" s="530">
        <v>0</v>
      </c>
      <c r="E37" s="89">
        <f t="shared" si="0"/>
        <v>0</v>
      </c>
      <c r="F37" s="89">
        <f t="shared" si="1"/>
        <v>0</v>
      </c>
      <c r="G37" s="540">
        <f t="shared" si="2"/>
        <v>0</v>
      </c>
      <c r="H37" s="530">
        <f t="shared" si="2"/>
        <v>0</v>
      </c>
      <c r="I37" s="162">
        <f t="shared" si="4"/>
        <v>0</v>
      </c>
      <c r="J37" s="66"/>
      <c r="K37" s="67"/>
      <c r="L37" s="255"/>
      <c r="M37" s="482">
        <v>59307.18</v>
      </c>
      <c r="N37" s="482">
        <f t="shared" si="5"/>
        <v>123.02399999999616</v>
      </c>
      <c r="O37" s="163">
        <f>'Summery Report'!C32</f>
        <v>0.7792</v>
      </c>
      <c r="P37" s="10">
        <f t="shared" si="7"/>
        <v>76112.910677618071</v>
      </c>
      <c r="Q37" s="168">
        <f t="shared" si="3"/>
        <v>1.6163355060887571E-3</v>
      </c>
    </row>
    <row r="38" spans="1:17" ht="18.75" x14ac:dyDescent="0.3">
      <c r="A38" s="140">
        <f>Gen!A39</f>
        <v>43463</v>
      </c>
      <c r="B38" s="530">
        <v>79</v>
      </c>
      <c r="C38" s="530">
        <v>0</v>
      </c>
      <c r="D38" s="530">
        <v>0</v>
      </c>
      <c r="E38" s="89">
        <f t="shared" si="0"/>
        <v>0</v>
      </c>
      <c r="F38" s="89">
        <f t="shared" si="1"/>
        <v>0</v>
      </c>
      <c r="G38" s="540">
        <f t="shared" si="2"/>
        <v>0</v>
      </c>
      <c r="H38" s="530">
        <f t="shared" si="2"/>
        <v>0</v>
      </c>
      <c r="I38" s="162">
        <f t="shared" si="4"/>
        <v>0</v>
      </c>
      <c r="J38" s="66"/>
      <c r="K38" s="67"/>
      <c r="L38" s="255"/>
      <c r="M38" s="482">
        <v>59332.42</v>
      </c>
      <c r="N38" s="482">
        <f t="shared" si="5"/>
        <v>111.05599999999104</v>
      </c>
      <c r="O38" s="163">
        <f>'Summery Report'!C33</f>
        <v>0.92210000000000003</v>
      </c>
      <c r="P38" s="10">
        <f t="shared" si="7"/>
        <v>64344.886671727574</v>
      </c>
      <c r="Q38" s="168">
        <f t="shared" si="3"/>
        <v>1.7259491118007955E-3</v>
      </c>
    </row>
    <row r="39" spans="1:17" ht="18.75" x14ac:dyDescent="0.3">
      <c r="A39" s="140">
        <f>Gen!A40</f>
        <v>43464</v>
      </c>
      <c r="B39" s="530">
        <v>76</v>
      </c>
      <c r="C39" s="530">
        <v>0</v>
      </c>
      <c r="D39" s="530">
        <v>0</v>
      </c>
      <c r="E39" s="89">
        <f t="shared" si="0"/>
        <v>0</v>
      </c>
      <c r="F39" s="89">
        <f t="shared" si="1"/>
        <v>0</v>
      </c>
      <c r="G39" s="540">
        <f t="shared" si="2"/>
        <v>0</v>
      </c>
      <c r="H39" s="530">
        <f t="shared" si="2"/>
        <v>0</v>
      </c>
      <c r="I39" s="162">
        <f t="shared" si="4"/>
        <v>0</v>
      </c>
      <c r="J39" s="66"/>
      <c r="K39" s="67"/>
      <c r="L39" s="255"/>
      <c r="M39" s="482">
        <v>59356.639999999999</v>
      </c>
      <c r="N39" s="482">
        <f t="shared" si="5"/>
        <v>106.56800000000513</v>
      </c>
      <c r="O39" s="163">
        <f>'Summery Report'!C34</f>
        <v>0.7792</v>
      </c>
      <c r="P39" s="10">
        <f t="shared" si="7"/>
        <v>76176.38603696099</v>
      </c>
      <c r="Q39" s="168">
        <f t="shared" si="3"/>
        <v>1.3989637149273272E-3</v>
      </c>
    </row>
    <row r="40" spans="1:17" ht="18.75" x14ac:dyDescent="0.3">
      <c r="A40" s="140">
        <f>Gen!A41</f>
        <v>43465</v>
      </c>
      <c r="B40" s="530">
        <v>72</v>
      </c>
      <c r="C40" s="530">
        <v>0</v>
      </c>
      <c r="D40" s="530">
        <v>0</v>
      </c>
      <c r="E40" s="89">
        <f t="shared" si="0"/>
        <v>0</v>
      </c>
      <c r="F40" s="89">
        <f t="shared" si="1"/>
        <v>0</v>
      </c>
      <c r="G40" s="540">
        <f t="shared" si="2"/>
        <v>0</v>
      </c>
      <c r="H40" s="530">
        <f t="shared" si="2"/>
        <v>0</v>
      </c>
      <c r="I40" s="162">
        <f t="shared" si="4"/>
        <v>0</v>
      </c>
      <c r="J40" s="66"/>
      <c r="K40" s="64"/>
      <c r="L40" s="255"/>
      <c r="M40" s="482">
        <v>59384.49</v>
      </c>
      <c r="N40" s="482">
        <f t="shared" si="5"/>
        <v>122.53999999999361</v>
      </c>
      <c r="O40" s="163">
        <f>'Summery Report'!C35</f>
        <v>0.84419999999999995</v>
      </c>
      <c r="P40" s="10">
        <f t="shared" si="7"/>
        <v>70344.100923951672</v>
      </c>
      <c r="Q40" s="168">
        <f t="shared" si="3"/>
        <v>1.7420081910275663E-3</v>
      </c>
    </row>
    <row r="41" spans="1:17" ht="18.75" x14ac:dyDescent="0.3">
      <c r="A41" s="140">
        <f>Gen!A42</f>
        <v>0</v>
      </c>
      <c r="B41" s="530"/>
      <c r="C41" s="530"/>
      <c r="D41" s="530"/>
      <c r="E41" s="89">
        <f t="shared" ref="E41" si="8">SUM(D41%*1000)</f>
        <v>0</v>
      </c>
      <c r="F41" s="89">
        <f t="shared" ref="F41" si="9">SUM(E41%*1000)</f>
        <v>0</v>
      </c>
      <c r="G41" s="65"/>
      <c r="H41" s="65"/>
      <c r="I41" s="65"/>
      <c r="J41" s="64"/>
      <c r="K41" s="7"/>
      <c r="L41" s="68"/>
      <c r="M41" s="482"/>
      <c r="N41" s="482">
        <f t="shared" si="5"/>
        <v>-261291.75600000002</v>
      </c>
      <c r="O41" s="163">
        <f>'Summery Report'!C36</f>
        <v>0</v>
      </c>
      <c r="P41" s="10" t="e">
        <f t="shared" si="7"/>
        <v>#DIV/0!</v>
      </c>
      <c r="Q41" s="10"/>
    </row>
    <row r="42" spans="1:17" ht="18.75" x14ac:dyDescent="0.3">
      <c r="A42" s="140"/>
      <c r="B42" s="9"/>
      <c r="C42" s="945" t="s">
        <v>6</v>
      </c>
      <c r="D42" s="945"/>
      <c r="E42" s="89">
        <f t="shared" ref="E42" si="10">SUM(D42%*1000)</f>
        <v>0</v>
      </c>
      <c r="F42" s="271"/>
      <c r="G42" s="3">
        <f>SUM(G10:G40)</f>
        <v>778000</v>
      </c>
      <c r="H42" s="3"/>
      <c r="I42" s="3"/>
      <c r="J42" s="3"/>
      <c r="K42" s="3">
        <f>SUM(K10:K40)</f>
        <v>0</v>
      </c>
      <c r="M42" s="482"/>
      <c r="N42" s="148">
        <f>SUM(N10:N40)</f>
        <v>3757.2039999999834</v>
      </c>
      <c r="O42" s="11"/>
      <c r="P42" s="10"/>
      <c r="Q42" s="168"/>
    </row>
    <row r="45" spans="1:17" ht="13.5" thickBot="1" x14ac:dyDescent="0.25">
      <c r="J45" s="50"/>
      <c r="O45" s="821"/>
      <c r="P45" s="821"/>
      <c r="Q45" s="821"/>
    </row>
    <row r="46" spans="1:17" x14ac:dyDescent="0.2">
      <c r="B46" s="922"/>
      <c r="C46" s="923"/>
      <c r="D46" s="923"/>
      <c r="E46" s="924"/>
      <c r="G46" s="922"/>
      <c r="H46" s="923"/>
      <c r="I46" s="924"/>
      <c r="J46" s="821"/>
      <c r="K46" s="922"/>
      <c r="L46" s="923"/>
      <c r="M46" s="924"/>
      <c r="O46" s="821"/>
      <c r="P46" s="821"/>
      <c r="Q46" s="821"/>
    </row>
    <row r="47" spans="1:17" x14ac:dyDescent="0.2">
      <c r="B47" s="925"/>
      <c r="C47" s="926"/>
      <c r="D47" s="926"/>
      <c r="E47" s="927"/>
      <c r="G47" s="925"/>
      <c r="H47" s="926"/>
      <c r="I47" s="927"/>
      <c r="J47" s="821"/>
      <c r="K47" s="925"/>
      <c r="L47" s="926"/>
      <c r="M47" s="927"/>
      <c r="O47" s="821"/>
      <c r="P47" s="821"/>
      <c r="Q47" s="821"/>
    </row>
    <row r="48" spans="1:17" x14ac:dyDescent="0.2">
      <c r="B48" s="925"/>
      <c r="C48" s="926"/>
      <c r="D48" s="926"/>
      <c r="E48" s="927"/>
      <c r="G48" s="925"/>
      <c r="H48" s="926"/>
      <c r="I48" s="927"/>
      <c r="J48" s="821"/>
      <c r="K48" s="925"/>
      <c r="L48" s="926"/>
      <c r="M48" s="927"/>
      <c r="O48" s="821"/>
      <c r="P48" s="821"/>
      <c r="Q48" s="821"/>
    </row>
    <row r="49" spans="2:17" x14ac:dyDescent="0.2">
      <c r="B49" s="925"/>
      <c r="C49" s="926"/>
      <c r="D49" s="926"/>
      <c r="E49" s="927"/>
      <c r="G49" s="925"/>
      <c r="H49" s="926"/>
      <c r="I49" s="927"/>
      <c r="J49" s="821"/>
      <c r="K49" s="925"/>
      <c r="L49" s="926"/>
      <c r="M49" s="927"/>
      <c r="O49" s="821"/>
      <c r="P49" s="821"/>
      <c r="Q49" s="821"/>
    </row>
    <row r="50" spans="2:17" x14ac:dyDescent="0.2">
      <c r="B50" s="925"/>
      <c r="C50" s="926"/>
      <c r="D50" s="926"/>
      <c r="E50" s="927"/>
      <c r="G50" s="925"/>
      <c r="H50" s="926"/>
      <c r="I50" s="927"/>
      <c r="J50" s="821"/>
      <c r="K50" s="925"/>
      <c r="L50" s="926"/>
      <c r="M50" s="927"/>
      <c r="O50" s="821"/>
      <c r="P50" s="821"/>
      <c r="Q50" s="821"/>
    </row>
    <row r="51" spans="2:17" x14ac:dyDescent="0.2">
      <c r="B51" s="925"/>
      <c r="C51" s="926"/>
      <c r="D51" s="926"/>
      <c r="E51" s="927"/>
      <c r="G51" s="925"/>
      <c r="H51" s="926"/>
      <c r="I51" s="927"/>
      <c r="J51" s="821"/>
      <c r="K51" s="925"/>
      <c r="L51" s="926"/>
      <c r="M51" s="927"/>
      <c r="O51" s="821"/>
      <c r="P51" s="821"/>
      <c r="Q51" s="821"/>
    </row>
    <row r="52" spans="2:17" x14ac:dyDescent="0.2">
      <c r="B52" s="925"/>
      <c r="C52" s="926"/>
      <c r="D52" s="926"/>
      <c r="E52" s="927"/>
      <c r="G52" s="925"/>
      <c r="H52" s="926"/>
      <c r="I52" s="927"/>
      <c r="J52" s="821"/>
      <c r="K52" s="925"/>
      <c r="L52" s="926"/>
      <c r="M52" s="927"/>
      <c r="O52" s="821"/>
      <c r="P52" s="821"/>
      <c r="Q52" s="821"/>
    </row>
    <row r="53" spans="2:17" x14ac:dyDescent="0.2">
      <c r="B53" s="925"/>
      <c r="C53" s="926"/>
      <c r="D53" s="926"/>
      <c r="E53" s="927"/>
      <c r="G53" s="925"/>
      <c r="H53" s="926"/>
      <c r="I53" s="927"/>
      <c r="J53" s="821"/>
      <c r="K53" s="925"/>
      <c r="L53" s="926"/>
      <c r="M53" s="927"/>
      <c r="O53" s="821"/>
      <c r="P53" s="821"/>
      <c r="Q53" s="821"/>
    </row>
    <row r="54" spans="2:17" x14ac:dyDescent="0.2">
      <c r="B54" s="925"/>
      <c r="C54" s="926"/>
      <c r="D54" s="926"/>
      <c r="E54" s="927"/>
      <c r="G54" s="925"/>
      <c r="H54" s="926"/>
      <c r="I54" s="927"/>
      <c r="J54" s="821"/>
      <c r="K54" s="925"/>
      <c r="L54" s="926"/>
      <c r="M54" s="927"/>
      <c r="O54" s="821"/>
      <c r="P54" s="821"/>
      <c r="Q54" s="821"/>
    </row>
    <row r="55" spans="2:17" x14ac:dyDescent="0.2">
      <c r="B55" s="925"/>
      <c r="C55" s="926"/>
      <c r="D55" s="926"/>
      <c r="E55" s="927"/>
      <c r="G55" s="925"/>
      <c r="H55" s="926"/>
      <c r="I55" s="927"/>
      <c r="J55" s="821"/>
      <c r="K55" s="925"/>
      <c r="L55" s="926"/>
      <c r="M55" s="927"/>
      <c r="O55" s="821"/>
      <c r="P55" s="821"/>
      <c r="Q55" s="821"/>
    </row>
    <row r="56" spans="2:17" x14ac:dyDescent="0.2">
      <c r="B56" s="925"/>
      <c r="C56" s="926"/>
      <c r="D56" s="926"/>
      <c r="E56" s="927"/>
      <c r="G56" s="925"/>
      <c r="H56" s="926"/>
      <c r="I56" s="927"/>
      <c r="J56" s="821"/>
      <c r="K56" s="925"/>
      <c r="L56" s="926"/>
      <c r="M56" s="927"/>
      <c r="O56" s="821"/>
      <c r="P56" s="821"/>
      <c r="Q56" s="821"/>
    </row>
    <row r="57" spans="2:17" x14ac:dyDescent="0.2">
      <c r="B57" s="925"/>
      <c r="C57" s="926"/>
      <c r="D57" s="926"/>
      <c r="E57" s="927"/>
      <c r="G57" s="925"/>
      <c r="H57" s="926"/>
      <c r="I57" s="927"/>
      <c r="J57" s="821"/>
      <c r="K57" s="925"/>
      <c r="L57" s="926"/>
      <c r="M57" s="927"/>
      <c r="O57" s="821"/>
      <c r="P57" s="821"/>
      <c r="Q57" s="821"/>
    </row>
    <row r="58" spans="2:17" x14ac:dyDescent="0.2">
      <c r="B58" s="925"/>
      <c r="C58" s="926"/>
      <c r="D58" s="926"/>
      <c r="E58" s="927"/>
      <c r="G58" s="925"/>
      <c r="H58" s="926"/>
      <c r="I58" s="927"/>
      <c r="J58" s="821"/>
      <c r="K58" s="925"/>
      <c r="L58" s="926"/>
      <c r="M58" s="927"/>
      <c r="O58" s="821"/>
      <c r="P58" s="821"/>
      <c r="Q58" s="821"/>
    </row>
    <row r="59" spans="2:17" x14ac:dyDescent="0.2">
      <c r="B59" s="925"/>
      <c r="C59" s="926"/>
      <c r="D59" s="926"/>
      <c r="E59" s="927"/>
      <c r="G59" s="925"/>
      <c r="H59" s="926"/>
      <c r="I59" s="927"/>
      <c r="J59" s="821"/>
      <c r="K59" s="925"/>
      <c r="L59" s="926"/>
      <c r="M59" s="927"/>
      <c r="O59" s="821"/>
      <c r="P59" s="821"/>
      <c r="Q59" s="821"/>
    </row>
    <row r="60" spans="2:17" x14ac:dyDescent="0.2">
      <c r="B60" s="925"/>
      <c r="C60" s="926"/>
      <c r="D60" s="926"/>
      <c r="E60" s="927"/>
      <c r="G60" s="925"/>
      <c r="H60" s="926"/>
      <c r="I60" s="927"/>
      <c r="J60" s="821"/>
      <c r="K60" s="925"/>
      <c r="L60" s="926"/>
      <c r="M60" s="927"/>
      <c r="O60" s="821"/>
      <c r="P60" s="821"/>
      <c r="Q60" s="821"/>
    </row>
    <row r="61" spans="2:17" x14ac:dyDescent="0.2">
      <c r="B61" s="925"/>
      <c r="C61" s="926"/>
      <c r="D61" s="926"/>
      <c r="E61" s="927"/>
      <c r="G61" s="925"/>
      <c r="H61" s="926"/>
      <c r="I61" s="927"/>
      <c r="J61" s="821"/>
      <c r="K61" s="925"/>
      <c r="L61" s="926"/>
      <c r="M61" s="927"/>
      <c r="O61" s="821"/>
      <c r="P61" s="821"/>
      <c r="Q61" s="821"/>
    </row>
    <row r="62" spans="2:17" ht="13.5" thickBot="1" x14ac:dyDescent="0.25">
      <c r="B62" s="942"/>
      <c r="C62" s="943"/>
      <c r="D62" s="943"/>
      <c r="E62" s="944"/>
      <c r="G62" s="942"/>
      <c r="H62" s="943"/>
      <c r="I62" s="944"/>
      <c r="J62" s="821"/>
      <c r="K62" s="822"/>
      <c r="L62" s="451"/>
      <c r="M62" s="452"/>
    </row>
    <row r="63" spans="2:17" ht="13.5" thickBot="1" x14ac:dyDescent="0.25">
      <c r="J63" s="820"/>
    </row>
    <row r="64" spans="2:17" ht="18.75" thickBot="1" x14ac:dyDescent="0.3">
      <c r="B64" s="825" t="s">
        <v>426</v>
      </c>
      <c r="C64" s="826"/>
      <c r="D64" s="827"/>
      <c r="E64" s="50"/>
      <c r="G64" s="825" t="s">
        <v>427</v>
      </c>
      <c r="H64" s="291"/>
      <c r="I64" s="307"/>
      <c r="K64" s="825" t="s">
        <v>428</v>
      </c>
      <c r="L64" s="291"/>
      <c r="M64" s="307"/>
    </row>
    <row r="65" spans="2:17" x14ac:dyDescent="0.2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O65" s="50"/>
      <c r="P65" s="50"/>
      <c r="Q65" s="823"/>
    </row>
    <row r="66" spans="2:17" ht="20.25" x14ac:dyDescent="0.3">
      <c r="B66" s="50"/>
      <c r="C66" s="50"/>
      <c r="D66" s="50"/>
      <c r="E66" s="50"/>
      <c r="F66" s="50"/>
      <c r="G66" s="50"/>
      <c r="H66" s="50"/>
      <c r="I66" s="828"/>
      <c r="J66" s="50"/>
      <c r="K66" s="50"/>
      <c r="L66" s="50"/>
      <c r="M66" s="50"/>
      <c r="O66" s="50"/>
      <c r="P66" s="50"/>
      <c r="Q66" s="823"/>
    </row>
    <row r="67" spans="2:17" ht="20.25" x14ac:dyDescent="0.3">
      <c r="C67" s="824"/>
      <c r="J67" s="50"/>
      <c r="K67" s="50"/>
      <c r="L67" s="50"/>
      <c r="M67" s="50"/>
    </row>
    <row r="72" spans="2:17" ht="15" x14ac:dyDescent="0.2">
      <c r="M72" s="75"/>
    </row>
  </sheetData>
  <mergeCells count="10">
    <mergeCell ref="K46:M61"/>
    <mergeCell ref="C3:M3"/>
    <mergeCell ref="C6:G6"/>
    <mergeCell ref="K6:M6"/>
    <mergeCell ref="A7:A8"/>
    <mergeCell ref="F7:F8"/>
    <mergeCell ref="H7:H8"/>
    <mergeCell ref="B46:E62"/>
    <mergeCell ref="C42:D42"/>
    <mergeCell ref="G46:I62"/>
  </mergeCells>
  <pageMargins left="0.75" right="0.75" top="1" bottom="1" header="0.5" footer="0.5"/>
  <pageSetup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A43" sqref="A43"/>
    </sheetView>
  </sheetViews>
  <sheetFormatPr defaultRowHeight="12.75" x14ac:dyDescent="0.2"/>
  <cols>
    <col min="1" max="1" width="9.7109375" bestFit="1" customWidth="1"/>
    <col min="2" max="2" width="10.28515625" style="42" bestFit="1" customWidth="1"/>
  </cols>
  <sheetData>
    <row r="1" spans="1:3" s="46" customFormat="1" x14ac:dyDescent="0.2">
      <c r="A1" s="44" t="s">
        <v>0</v>
      </c>
      <c r="B1" s="44" t="s">
        <v>110</v>
      </c>
      <c r="C1" s="44" t="s">
        <v>54</v>
      </c>
    </row>
    <row r="2" spans="1:3" x14ac:dyDescent="0.2">
      <c r="A2" s="139">
        <f>SUM(Gen!A11)</f>
        <v>43435</v>
      </c>
      <c r="B2" s="43" t="e">
        <f>SUM(#REF!)</f>
        <v>#REF!</v>
      </c>
      <c r="C2" s="137">
        <f>SUM(Gen!B11)</f>
        <v>0.16800000000000001</v>
      </c>
    </row>
    <row r="3" spans="1:3" x14ac:dyDescent="0.2">
      <c r="A3" s="139">
        <f>SUM(Gen!A12)</f>
        <v>43436</v>
      </c>
      <c r="B3" s="43" t="e">
        <f>#REF!</f>
        <v>#REF!</v>
      </c>
      <c r="C3" s="137">
        <f>SUM(Gen!B12)</f>
        <v>0.1429</v>
      </c>
    </row>
    <row r="4" spans="1:3" x14ac:dyDescent="0.2">
      <c r="A4" s="139">
        <f>SUM(Gen!A13)</f>
        <v>43437</v>
      </c>
      <c r="B4" s="43" t="e">
        <f>#REF!</f>
        <v>#REF!</v>
      </c>
      <c r="C4" s="137">
        <f>SUM(Gen!B13)</f>
        <v>0.1429</v>
      </c>
    </row>
    <row r="5" spans="1:3" x14ac:dyDescent="0.2">
      <c r="A5" s="139">
        <f>SUM(Gen!A14)</f>
        <v>43438</v>
      </c>
      <c r="B5" s="43" t="e">
        <f>#REF!</f>
        <v>#REF!</v>
      </c>
      <c r="C5" s="137">
        <f>SUM(Gen!B14)</f>
        <v>0.16880000000000001</v>
      </c>
    </row>
    <row r="6" spans="1:3" x14ac:dyDescent="0.2">
      <c r="A6" s="139">
        <f>SUM(Gen!A15)</f>
        <v>43439</v>
      </c>
      <c r="B6" s="43" t="e">
        <f>#REF!</f>
        <v>#REF!</v>
      </c>
      <c r="C6" s="137">
        <f>SUM(Gen!B15)</f>
        <v>0.20780000000000001</v>
      </c>
    </row>
    <row r="7" spans="1:3" x14ac:dyDescent="0.2">
      <c r="A7" s="139">
        <f>SUM(Gen!A16)</f>
        <v>43440</v>
      </c>
      <c r="B7" s="43" t="e">
        <f>#REF!</f>
        <v>#REF!</v>
      </c>
      <c r="C7" s="137">
        <f>SUM(Gen!B16)</f>
        <v>0.29870000000000002</v>
      </c>
    </row>
    <row r="8" spans="1:3" x14ac:dyDescent="0.2">
      <c r="A8" s="139">
        <f>SUM(Gen!A17)</f>
        <v>43441</v>
      </c>
      <c r="B8" s="43" t="e">
        <f>#REF!</f>
        <v>#REF!</v>
      </c>
      <c r="C8" s="137">
        <f>SUM(Gen!B17)</f>
        <v>0.24679999999999999</v>
      </c>
    </row>
    <row r="9" spans="1:3" x14ac:dyDescent="0.2">
      <c r="A9" s="139">
        <f>SUM(Gen!A18)</f>
        <v>43442</v>
      </c>
      <c r="B9" s="43" t="e">
        <f>#REF!</f>
        <v>#REF!</v>
      </c>
      <c r="C9" s="137">
        <f>SUM(Gen!B18)</f>
        <v>0.28570000000000001</v>
      </c>
    </row>
    <row r="10" spans="1:3" x14ac:dyDescent="0.2">
      <c r="A10" s="139">
        <f>SUM(Gen!A19)</f>
        <v>43443</v>
      </c>
      <c r="B10" s="43" t="e">
        <f>#REF!</f>
        <v>#REF!</v>
      </c>
      <c r="C10" s="137">
        <f>SUM(Gen!B19)</f>
        <v>0.46750000000000003</v>
      </c>
    </row>
    <row r="11" spans="1:3" x14ac:dyDescent="0.2">
      <c r="A11" s="139">
        <f>SUM(Gen!A20)</f>
        <v>43444</v>
      </c>
      <c r="B11" s="43" t="e">
        <f>#REF!</f>
        <v>#REF!</v>
      </c>
      <c r="C11" s="137">
        <f>SUM(Gen!B20)</f>
        <v>0.55840000000000001</v>
      </c>
    </row>
    <row r="12" spans="1:3" x14ac:dyDescent="0.2">
      <c r="A12" s="139">
        <f>SUM(Gen!A21)</f>
        <v>43445</v>
      </c>
      <c r="B12" s="43" t="e">
        <f>#REF!</f>
        <v>#REF!</v>
      </c>
      <c r="C12" s="137">
        <f>SUM(Gen!B21)</f>
        <v>0.57140000000000002</v>
      </c>
    </row>
    <row r="13" spans="1:3" x14ac:dyDescent="0.2">
      <c r="A13" s="139">
        <f>SUM(Gen!A22)</f>
        <v>43446</v>
      </c>
      <c r="B13" s="43" t="e">
        <f>#REF!</f>
        <v>#REF!</v>
      </c>
      <c r="C13" s="137">
        <f>SUM(Gen!B22)</f>
        <v>0.23380000000000001</v>
      </c>
    </row>
    <row r="14" spans="1:3" x14ac:dyDescent="0.2">
      <c r="A14" s="139">
        <f>SUM(Gen!A23)</f>
        <v>43447</v>
      </c>
      <c r="B14" s="43" t="e">
        <f>#REF!</f>
        <v>#REF!</v>
      </c>
      <c r="C14" s="137">
        <f>SUM(Gen!B23)</f>
        <v>0.2727</v>
      </c>
    </row>
    <row r="15" spans="1:3" x14ac:dyDescent="0.2">
      <c r="A15" s="139">
        <f>SUM(Gen!A24)</f>
        <v>43448</v>
      </c>
      <c r="B15" s="43" t="e">
        <f>#REF!</f>
        <v>#REF!</v>
      </c>
      <c r="C15" s="137">
        <f>SUM(Gen!B24)</f>
        <v>0.25950000000000001</v>
      </c>
    </row>
    <row r="16" spans="1:3" x14ac:dyDescent="0.2">
      <c r="A16" s="139">
        <f>SUM(Gen!A25)</f>
        <v>43449</v>
      </c>
      <c r="B16" s="43" t="e">
        <f>#REF!</f>
        <v>#REF!</v>
      </c>
      <c r="C16" s="137">
        <f>SUM(Gen!B25)</f>
        <v>0.12989999999999999</v>
      </c>
    </row>
    <row r="17" spans="1:3" x14ac:dyDescent="0.2">
      <c r="A17" s="139">
        <f>SUM(Gen!A26)</f>
        <v>43450</v>
      </c>
      <c r="B17" s="43" t="e">
        <f>#REF!</f>
        <v>#REF!</v>
      </c>
      <c r="C17" s="137">
        <f>SUM(Gen!B26)</f>
        <v>0.25969999999999999</v>
      </c>
    </row>
    <row r="18" spans="1:3" x14ac:dyDescent="0.2">
      <c r="A18" s="139">
        <f>SUM(Gen!A27)</f>
        <v>43451</v>
      </c>
      <c r="B18" s="43" t="e">
        <f>#REF!</f>
        <v>#REF!</v>
      </c>
      <c r="C18" s="137">
        <f>SUM(Gen!B27)</f>
        <v>0.29870000000000002</v>
      </c>
    </row>
    <row r="19" spans="1:3" x14ac:dyDescent="0.2">
      <c r="A19" s="139">
        <f>SUM(Gen!A28)</f>
        <v>43452</v>
      </c>
      <c r="B19" s="43" t="e">
        <f>#REF!</f>
        <v>#REF!</v>
      </c>
      <c r="C19" s="137">
        <f>SUM(Gen!B28)</f>
        <v>0.50649999999999995</v>
      </c>
    </row>
    <row r="20" spans="1:3" x14ac:dyDescent="0.2">
      <c r="A20" s="139">
        <f>SUM(Gen!A29)</f>
        <v>43453</v>
      </c>
      <c r="B20" s="43" t="e">
        <f>#REF!</f>
        <v>#REF!</v>
      </c>
      <c r="C20" s="137">
        <f>SUM(Gen!B29)</f>
        <v>0.44159999999999999</v>
      </c>
    </row>
    <row r="21" spans="1:3" x14ac:dyDescent="0.2">
      <c r="A21" s="139">
        <f>SUM(Gen!A30)</f>
        <v>43454</v>
      </c>
      <c r="B21" s="43" t="e">
        <f>#REF!</f>
        <v>#REF!</v>
      </c>
      <c r="C21" s="137">
        <f>SUM(Gen!B30)</f>
        <v>0.40260000000000001</v>
      </c>
    </row>
    <row r="22" spans="1:3" x14ac:dyDescent="0.2">
      <c r="A22" s="139">
        <f>SUM(Gen!A31)</f>
        <v>43455</v>
      </c>
      <c r="B22" s="43" t="e">
        <f>#REF!</f>
        <v>#REF!</v>
      </c>
      <c r="C22" s="137">
        <f>SUM(Gen!B31)</f>
        <v>0.49349999999999999</v>
      </c>
    </row>
    <row r="23" spans="1:3" x14ac:dyDescent="0.2">
      <c r="A23" s="139">
        <f>SUM(Gen!A32)</f>
        <v>43456</v>
      </c>
      <c r="B23" s="43" t="e">
        <f>#REF!</f>
        <v>#REF!</v>
      </c>
      <c r="C23" s="137">
        <f>SUM(Gen!B32)</f>
        <v>0.49349999999999999</v>
      </c>
    </row>
    <row r="24" spans="1:3" x14ac:dyDescent="0.2">
      <c r="A24" s="139">
        <f>SUM(Gen!A33)</f>
        <v>43457</v>
      </c>
      <c r="B24" s="43" t="e">
        <f>#REF!</f>
        <v>#REF!</v>
      </c>
      <c r="C24" s="137">
        <f>SUM(Gen!B33)</f>
        <v>0.4456</v>
      </c>
    </row>
    <row r="25" spans="1:3" x14ac:dyDescent="0.2">
      <c r="A25" s="139">
        <f>SUM(Gen!A34)</f>
        <v>43458</v>
      </c>
      <c r="B25" s="43" t="e">
        <f>#REF!</f>
        <v>#REF!</v>
      </c>
      <c r="C25" s="137">
        <f>SUM(Gen!B34)</f>
        <v>0.50649999999999995</v>
      </c>
    </row>
    <row r="26" spans="1:3" x14ac:dyDescent="0.2">
      <c r="A26" s="139">
        <f>SUM(Gen!A35)</f>
        <v>43459</v>
      </c>
      <c r="B26" s="43" t="e">
        <f>#REF!</f>
        <v>#REF!</v>
      </c>
      <c r="C26" s="137">
        <f>SUM(Gen!B35)</f>
        <v>0.94810000000000005</v>
      </c>
    </row>
    <row r="27" spans="1:3" x14ac:dyDescent="0.2">
      <c r="A27" s="139">
        <f>SUM(Gen!A36)</f>
        <v>43460</v>
      </c>
      <c r="B27" s="43" t="e">
        <f>#REF!</f>
        <v>#REF!</v>
      </c>
      <c r="C27" s="137">
        <f>SUM(Gen!B36)</f>
        <v>0.90910000000000002</v>
      </c>
    </row>
    <row r="28" spans="1:3" x14ac:dyDescent="0.2">
      <c r="A28" s="139">
        <f>SUM(Gen!A37)</f>
        <v>43461</v>
      </c>
      <c r="B28" s="43" t="e">
        <f>#REF!</f>
        <v>#REF!</v>
      </c>
      <c r="C28" s="137">
        <f>SUM(Gen!B37)</f>
        <v>0.76619999999999999</v>
      </c>
    </row>
    <row r="29" spans="1:3" x14ac:dyDescent="0.2">
      <c r="A29" s="139">
        <f>SUM(Gen!A38)</f>
        <v>43462</v>
      </c>
      <c r="B29" s="43" t="e">
        <f>#REF!</f>
        <v>#REF!</v>
      </c>
      <c r="C29" s="137">
        <f>SUM(Gen!B38)</f>
        <v>0.7792</v>
      </c>
    </row>
    <row r="30" spans="1:3" x14ac:dyDescent="0.2">
      <c r="A30" s="139">
        <f>SUM(Gen!A39)</f>
        <v>43463</v>
      </c>
      <c r="B30" s="43" t="e">
        <f>#REF!</f>
        <v>#REF!</v>
      </c>
      <c r="C30" s="137">
        <f>SUM(Gen!B39)</f>
        <v>0.92210000000000003</v>
      </c>
    </row>
    <row r="31" spans="1:3" x14ac:dyDescent="0.2">
      <c r="A31" s="139">
        <f>SUM(Gen!A40)</f>
        <v>43464</v>
      </c>
      <c r="B31" s="43" t="e">
        <f>#REF!</f>
        <v>#REF!</v>
      </c>
      <c r="C31" s="137">
        <f>SUM(Gen!B40)</f>
        <v>0.7792</v>
      </c>
    </row>
    <row r="32" spans="1:3" x14ac:dyDescent="0.2">
      <c r="A32" s="139">
        <f>SUM(Gen!A41)</f>
        <v>43465</v>
      </c>
      <c r="B32" s="43" t="e">
        <f>#REF!</f>
        <v>#REF!</v>
      </c>
      <c r="C32" s="137">
        <f>SUM(Gen!B41)</f>
        <v>0.84419999999999995</v>
      </c>
    </row>
    <row r="33" spans="1:2" x14ac:dyDescent="0.2">
      <c r="A33" s="40"/>
      <c r="B33" s="43"/>
    </row>
    <row r="34" spans="1:2" x14ac:dyDescent="0.2">
      <c r="A34" s="40"/>
      <c r="B34" s="43"/>
    </row>
    <row r="35" spans="1:2" x14ac:dyDescent="0.2">
      <c r="A35" s="4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N77"/>
  <sheetViews>
    <sheetView zoomScale="110" zoomScaleNormal="110" workbookViewId="0">
      <pane xSplit="1" topLeftCell="C1" activePane="topRight" state="frozen"/>
      <selection pane="topRight" activeCell="AM12" sqref="AM12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0.85546875" customWidth="1"/>
    <col min="5" max="5" width="13.140625" customWidth="1"/>
    <col min="6" max="6" width="8" customWidth="1"/>
    <col min="7" max="7" width="11.85546875" customWidth="1"/>
    <col min="8" max="8" width="13.28515625" bestFit="1" customWidth="1"/>
    <col min="9" max="9" width="10.28515625" customWidth="1"/>
    <col min="10" max="10" width="9.42578125" customWidth="1"/>
    <col min="11" max="11" width="13.28515625" bestFit="1" customWidth="1"/>
    <col min="12" max="14" width="10.28515625" customWidth="1"/>
    <col min="15" max="15" width="9.28515625" customWidth="1"/>
    <col min="16" max="16" width="10.140625" bestFit="1" customWidth="1"/>
    <col min="17" max="17" width="13.28515625" bestFit="1" customWidth="1"/>
    <col min="18" max="18" width="12" customWidth="1"/>
    <col min="19" max="19" width="9.5703125" customWidth="1"/>
    <col min="20" max="20" width="11.42578125" customWidth="1"/>
    <col min="23" max="23" width="13.140625" bestFit="1" customWidth="1"/>
    <col min="26" max="26" width="13.140625" bestFit="1" customWidth="1"/>
    <col min="29" max="29" width="11.5703125" bestFit="1" customWidth="1"/>
    <col min="30" max="30" width="10.85546875" bestFit="1" customWidth="1"/>
    <col min="31" max="39" width="10.85546875" customWidth="1"/>
    <col min="40" max="40" width="12.28515625" customWidth="1"/>
  </cols>
  <sheetData>
    <row r="1" spans="1:40" ht="23.25" thickBot="1" x14ac:dyDescent="0.35">
      <c r="A1" s="965" t="s">
        <v>322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/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</row>
    <row r="2" spans="1:40" ht="13.5" customHeight="1" thickTop="1" x14ac:dyDescent="0.25">
      <c r="A2" s="60"/>
      <c r="B2" s="60"/>
      <c r="C2" s="964" t="s">
        <v>85</v>
      </c>
      <c r="D2" s="964"/>
      <c r="E2" s="964"/>
      <c r="F2" s="964" t="s">
        <v>19</v>
      </c>
      <c r="G2" s="964"/>
      <c r="H2" s="964"/>
      <c r="I2" s="964" t="s">
        <v>171</v>
      </c>
      <c r="J2" s="964"/>
      <c r="K2" s="964"/>
      <c r="L2" s="964" t="s">
        <v>174</v>
      </c>
      <c r="M2" s="964"/>
      <c r="N2" s="964"/>
      <c r="O2" s="964" t="s">
        <v>172</v>
      </c>
      <c r="P2" s="964"/>
      <c r="Q2" s="964"/>
      <c r="R2" s="456"/>
      <c r="S2" s="973" t="s">
        <v>233</v>
      </c>
      <c r="T2" s="974"/>
      <c r="U2" s="975"/>
      <c r="V2" s="973" t="s">
        <v>234</v>
      </c>
      <c r="W2" s="974"/>
      <c r="X2" s="975"/>
      <c r="Y2" s="973" t="s">
        <v>235</v>
      </c>
      <c r="Z2" s="974"/>
      <c r="AA2" s="975"/>
      <c r="AB2" s="973" t="s">
        <v>236</v>
      </c>
      <c r="AC2" s="974"/>
      <c r="AD2" s="975"/>
      <c r="AE2" s="967" t="s">
        <v>308</v>
      </c>
      <c r="AF2" s="968"/>
      <c r="AG2" s="979"/>
      <c r="AH2" s="967" t="s">
        <v>316</v>
      </c>
      <c r="AI2" s="968"/>
      <c r="AJ2" s="979"/>
      <c r="AK2" s="967" t="s">
        <v>309</v>
      </c>
      <c r="AL2" s="968"/>
      <c r="AM2" s="968"/>
      <c r="AN2" s="971" t="s">
        <v>241</v>
      </c>
    </row>
    <row r="3" spans="1:40" ht="21.75" customHeight="1" thickBot="1" x14ac:dyDescent="0.3">
      <c r="A3" s="962" t="s">
        <v>8</v>
      </c>
      <c r="B3" s="60"/>
      <c r="C3" s="964" t="s">
        <v>173</v>
      </c>
      <c r="D3" s="964" t="s">
        <v>17</v>
      </c>
      <c r="E3" s="964" t="s">
        <v>18</v>
      </c>
      <c r="F3" s="964" t="s">
        <v>173</v>
      </c>
      <c r="G3" s="964" t="s">
        <v>17</v>
      </c>
      <c r="H3" s="964" t="s">
        <v>18</v>
      </c>
      <c r="I3" s="964" t="s">
        <v>173</v>
      </c>
      <c r="J3" s="964" t="s">
        <v>17</v>
      </c>
      <c r="K3" s="964" t="s">
        <v>18</v>
      </c>
      <c r="L3" s="964" t="s">
        <v>173</v>
      </c>
      <c r="M3" s="964" t="s">
        <v>17</v>
      </c>
      <c r="N3" s="964" t="s">
        <v>18</v>
      </c>
      <c r="O3" s="964" t="s">
        <v>173</v>
      </c>
      <c r="P3" s="964" t="s">
        <v>17</v>
      </c>
      <c r="Q3" s="964" t="s">
        <v>18</v>
      </c>
      <c r="R3" s="981" t="s">
        <v>237</v>
      </c>
      <c r="S3" s="976"/>
      <c r="T3" s="977"/>
      <c r="U3" s="978"/>
      <c r="V3" s="976"/>
      <c r="W3" s="977"/>
      <c r="X3" s="978"/>
      <c r="Y3" s="976"/>
      <c r="Z3" s="977"/>
      <c r="AA3" s="978"/>
      <c r="AB3" s="976"/>
      <c r="AC3" s="977"/>
      <c r="AD3" s="978"/>
      <c r="AE3" s="969"/>
      <c r="AF3" s="970"/>
      <c r="AG3" s="980"/>
      <c r="AH3" s="969"/>
      <c r="AI3" s="970"/>
      <c r="AJ3" s="980"/>
      <c r="AK3" s="969"/>
      <c r="AL3" s="970"/>
      <c r="AM3" s="970"/>
      <c r="AN3" s="972"/>
    </row>
    <row r="4" spans="1:40" ht="15.75" thickTop="1" x14ac:dyDescent="0.25">
      <c r="A4" s="963"/>
      <c r="B4" s="435"/>
      <c r="C4" s="964"/>
      <c r="D4" s="964"/>
      <c r="E4" s="964"/>
      <c r="F4" s="964"/>
      <c r="G4" s="964"/>
      <c r="H4" s="964"/>
      <c r="I4" s="964"/>
      <c r="J4" s="964"/>
      <c r="K4" s="964"/>
      <c r="L4" s="964"/>
      <c r="M4" s="964"/>
      <c r="N4" s="964"/>
      <c r="O4" s="964"/>
      <c r="P4" s="964"/>
      <c r="Q4" s="964"/>
      <c r="R4" s="981"/>
      <c r="S4" s="462" t="s">
        <v>238</v>
      </c>
      <c r="T4" s="463" t="s">
        <v>239</v>
      </c>
      <c r="U4" s="460" t="s">
        <v>240</v>
      </c>
      <c r="V4" s="458" t="s">
        <v>238</v>
      </c>
      <c r="W4" s="459" t="s">
        <v>239</v>
      </c>
      <c r="X4" s="460" t="s">
        <v>240</v>
      </c>
      <c r="Y4" s="458" t="s">
        <v>238</v>
      </c>
      <c r="Z4" s="459" t="s">
        <v>239</v>
      </c>
      <c r="AA4" s="460" t="s">
        <v>240</v>
      </c>
      <c r="AB4" s="458" t="s">
        <v>238</v>
      </c>
      <c r="AC4" s="459" t="s">
        <v>239</v>
      </c>
      <c r="AD4" s="524" t="s">
        <v>159</v>
      </c>
      <c r="AE4" s="458" t="s">
        <v>238</v>
      </c>
      <c r="AF4" s="459" t="s">
        <v>239</v>
      </c>
      <c r="AG4" s="525" t="s">
        <v>159</v>
      </c>
      <c r="AH4" s="458" t="s">
        <v>238</v>
      </c>
      <c r="AI4" s="459" t="s">
        <v>239</v>
      </c>
      <c r="AJ4" s="525" t="s">
        <v>159</v>
      </c>
      <c r="AK4" s="458" t="s">
        <v>238</v>
      </c>
      <c r="AL4" s="459" t="s">
        <v>239</v>
      </c>
      <c r="AM4" s="525" t="s">
        <v>159</v>
      </c>
      <c r="AN4" s="526"/>
    </row>
    <row r="5" spans="1:40" ht="20.25" x14ac:dyDescent="0.3">
      <c r="A5" s="5"/>
      <c r="B5" s="5"/>
      <c r="C5" s="436"/>
      <c r="D5" s="2">
        <v>173149</v>
      </c>
      <c r="E5" s="437"/>
      <c r="F5" s="436"/>
      <c r="G5" s="749">
        <v>31114</v>
      </c>
      <c r="H5" s="437"/>
      <c r="I5" s="436"/>
      <c r="J5" s="2">
        <v>6197</v>
      </c>
      <c r="K5" s="437"/>
      <c r="L5" s="436"/>
      <c r="M5" s="2">
        <v>6488</v>
      </c>
      <c r="N5" s="437"/>
      <c r="O5" s="436"/>
      <c r="P5" s="750">
        <v>15270</v>
      </c>
      <c r="Q5" s="439"/>
      <c r="R5" s="439"/>
      <c r="S5" s="439"/>
      <c r="T5" s="751">
        <v>33852</v>
      </c>
      <c r="U5" s="439"/>
      <c r="V5" s="439"/>
      <c r="W5" s="751">
        <v>47157</v>
      </c>
      <c r="X5" s="439"/>
      <c r="Y5" s="439"/>
      <c r="Z5" s="751">
        <v>57847</v>
      </c>
      <c r="AA5" s="439"/>
      <c r="AB5" s="439"/>
      <c r="AC5" s="751">
        <v>9822</v>
      </c>
      <c r="AD5" s="464"/>
      <c r="AE5" s="439"/>
      <c r="AF5" s="752">
        <v>8408</v>
      </c>
      <c r="AG5" s="464"/>
      <c r="AH5" s="464"/>
      <c r="AI5" s="752">
        <v>12642</v>
      </c>
      <c r="AJ5" s="464"/>
      <c r="AK5" s="439"/>
      <c r="AL5" s="751">
        <v>1560</v>
      </c>
      <c r="AM5" s="464"/>
      <c r="AN5" s="457"/>
    </row>
    <row r="6" spans="1:40" ht="23.1" customHeight="1" x14ac:dyDescent="0.3">
      <c r="A6" s="97">
        <f>Gen!A11</f>
        <v>43435</v>
      </c>
      <c r="B6" s="5"/>
      <c r="C6" s="141">
        <f t="shared" ref="C6:C24" si="0">D5</f>
        <v>173149</v>
      </c>
      <c r="D6" s="2">
        <v>173248</v>
      </c>
      <c r="E6" s="98">
        <f t="shared" ref="E6:E31" si="1">D6-C6</f>
        <v>99</v>
      </c>
      <c r="F6" s="141">
        <f t="shared" ref="F6:F37" si="2">G5</f>
        <v>31114</v>
      </c>
      <c r="G6" s="749">
        <v>31126</v>
      </c>
      <c r="H6" s="98">
        <f t="shared" ref="H6:H36" si="3">G6-F6</f>
        <v>12</v>
      </c>
      <c r="I6" s="141">
        <f t="shared" ref="I6:I37" si="4">J5</f>
        <v>6197</v>
      </c>
      <c r="J6" s="2">
        <v>6201</v>
      </c>
      <c r="K6" s="98">
        <f t="shared" ref="K6:K24" si="5">J6-I6</f>
        <v>4</v>
      </c>
      <c r="L6" s="141">
        <f t="shared" ref="L6:L37" si="6">M5</f>
        <v>6488</v>
      </c>
      <c r="M6" s="2">
        <v>6488</v>
      </c>
      <c r="N6" s="59">
        <f>M6-M5</f>
        <v>0</v>
      </c>
      <c r="O6" s="141">
        <f t="shared" ref="O6:O37" si="7">P5</f>
        <v>15270</v>
      </c>
      <c r="P6" s="750">
        <v>15280</v>
      </c>
      <c r="Q6" s="98">
        <f t="shared" ref="Q6:Q38" si="8">P6-O6</f>
        <v>10</v>
      </c>
      <c r="R6" s="444">
        <f t="shared" ref="R6:R36" si="9">SUM(H6+K6+N6+Q6)</f>
        <v>26</v>
      </c>
      <c r="S6" s="438">
        <f>T5</f>
        <v>33852</v>
      </c>
      <c r="T6" s="751">
        <v>33892</v>
      </c>
      <c r="U6" s="440">
        <f t="shared" ref="U6:U37" si="10">T6-T5</f>
        <v>40</v>
      </c>
      <c r="V6" s="438">
        <f>W5</f>
        <v>47157</v>
      </c>
      <c r="W6" s="751">
        <v>47211</v>
      </c>
      <c r="X6" s="440">
        <f>W6-W5</f>
        <v>54</v>
      </c>
      <c r="Y6" s="438">
        <f>Z5</f>
        <v>57847</v>
      </c>
      <c r="Z6" s="751">
        <v>57904</v>
      </c>
      <c r="AA6" s="440">
        <f>Z6-Z5</f>
        <v>57</v>
      </c>
      <c r="AB6" s="438">
        <f>AC5</f>
        <v>9822</v>
      </c>
      <c r="AC6" s="751">
        <v>9833</v>
      </c>
      <c r="AD6" s="440">
        <f>AC6-AC5</f>
        <v>11</v>
      </c>
      <c r="AE6" s="438">
        <f>AF5</f>
        <v>8408</v>
      </c>
      <c r="AF6" s="752">
        <v>8428</v>
      </c>
      <c r="AG6" s="440">
        <f>AF6-AF5</f>
        <v>20</v>
      </c>
      <c r="AH6" s="438">
        <f>AI5</f>
        <v>12642</v>
      </c>
      <c r="AI6" s="752">
        <v>12691</v>
      </c>
      <c r="AJ6" s="440">
        <f>AI6-AI5</f>
        <v>49</v>
      </c>
      <c r="AK6" s="576">
        <f>AL5</f>
        <v>1560</v>
      </c>
      <c r="AL6" s="751">
        <v>1560</v>
      </c>
      <c r="AM6" s="440">
        <f>AL6-AL5</f>
        <v>0</v>
      </c>
      <c r="AN6" s="457">
        <f>U6+X6+AA6+AD6+AG6+AJ6+AM6</f>
        <v>231</v>
      </c>
    </row>
    <row r="7" spans="1:40" ht="23.1" customHeight="1" x14ac:dyDescent="0.3">
      <c r="A7" s="97">
        <f>Gen!A12</f>
        <v>43436</v>
      </c>
      <c r="B7" s="5"/>
      <c r="C7" s="141">
        <f t="shared" si="0"/>
        <v>173248</v>
      </c>
      <c r="D7" s="2">
        <v>173348</v>
      </c>
      <c r="E7" s="98">
        <f t="shared" si="1"/>
        <v>100</v>
      </c>
      <c r="F7" s="141">
        <f t="shared" si="2"/>
        <v>31126</v>
      </c>
      <c r="G7" s="749">
        <v>31137</v>
      </c>
      <c r="H7" s="98">
        <f t="shared" si="3"/>
        <v>11</v>
      </c>
      <c r="I7" s="141">
        <f t="shared" si="4"/>
        <v>6201</v>
      </c>
      <c r="J7" s="2">
        <v>6204</v>
      </c>
      <c r="K7" s="98">
        <f t="shared" si="5"/>
        <v>3</v>
      </c>
      <c r="L7" s="141">
        <f t="shared" si="6"/>
        <v>6488</v>
      </c>
      <c r="M7" s="2">
        <v>6488</v>
      </c>
      <c r="N7" s="59">
        <f>M7-M6</f>
        <v>0</v>
      </c>
      <c r="O7" s="141">
        <f t="shared" si="7"/>
        <v>15280</v>
      </c>
      <c r="P7" s="750">
        <v>15292</v>
      </c>
      <c r="Q7" s="98">
        <f t="shared" si="8"/>
        <v>12</v>
      </c>
      <c r="R7" s="444">
        <f t="shared" si="9"/>
        <v>26</v>
      </c>
      <c r="S7" s="438">
        <f t="shared" ref="S7:S37" si="11">T6</f>
        <v>33892</v>
      </c>
      <c r="T7" s="751">
        <v>33934</v>
      </c>
      <c r="U7" s="440">
        <f t="shared" si="10"/>
        <v>42</v>
      </c>
      <c r="V7" s="438">
        <f t="shared" ref="V7:V37" si="12">W6</f>
        <v>47211</v>
      </c>
      <c r="W7" s="751">
        <v>47266</v>
      </c>
      <c r="X7" s="440">
        <f t="shared" ref="X7:X37" si="13">W7-W6</f>
        <v>55</v>
      </c>
      <c r="Y7" s="438">
        <f t="shared" ref="Y7:Y37" si="14">Z6</f>
        <v>57904</v>
      </c>
      <c r="Z7" s="751">
        <v>57959</v>
      </c>
      <c r="AA7" s="440">
        <f t="shared" ref="AA7:AA37" si="15">Z7-Z6</f>
        <v>55</v>
      </c>
      <c r="AB7" s="438">
        <f t="shared" ref="AB7:AB37" si="16">AC6</f>
        <v>9833</v>
      </c>
      <c r="AC7" s="751">
        <v>9845</v>
      </c>
      <c r="AD7" s="440">
        <f t="shared" ref="AD7:AD37" si="17">AC7-AC6</f>
        <v>12</v>
      </c>
      <c r="AE7" s="438">
        <f t="shared" ref="AE7:AE37" si="18">AF6</f>
        <v>8428</v>
      </c>
      <c r="AF7" s="752">
        <v>8448</v>
      </c>
      <c r="AG7" s="440">
        <f t="shared" ref="AG7:AG37" si="19">AF7-AF6</f>
        <v>20</v>
      </c>
      <c r="AH7" s="438">
        <f t="shared" ref="AH7:AH37" si="20">AI6</f>
        <v>12691</v>
      </c>
      <c r="AI7" s="752">
        <v>12741</v>
      </c>
      <c r="AJ7" s="440">
        <f t="shared" ref="AJ7:AJ37" si="21">AI7-AI6</f>
        <v>50</v>
      </c>
      <c r="AK7" s="576">
        <f>AL6</f>
        <v>1560</v>
      </c>
      <c r="AL7" s="751">
        <v>1560</v>
      </c>
      <c r="AM7" s="440">
        <f>AL7-AL6</f>
        <v>0</v>
      </c>
      <c r="AN7" s="457">
        <f t="shared" ref="AN7:AN38" si="22">U7+X7+AA7+AD7+AG7+AJ7+AM7</f>
        <v>234</v>
      </c>
    </row>
    <row r="8" spans="1:40" ht="23.1" customHeight="1" x14ac:dyDescent="0.3">
      <c r="A8" s="97">
        <f>Gen!A13</f>
        <v>43437</v>
      </c>
      <c r="B8" s="5"/>
      <c r="C8" s="141">
        <f t="shared" si="0"/>
        <v>173348</v>
      </c>
      <c r="D8" s="2">
        <v>173438</v>
      </c>
      <c r="E8" s="98">
        <f t="shared" si="1"/>
        <v>90</v>
      </c>
      <c r="F8" s="141">
        <f t="shared" si="2"/>
        <v>31137</v>
      </c>
      <c r="G8" s="749">
        <v>31148</v>
      </c>
      <c r="H8" s="98">
        <f t="shared" si="3"/>
        <v>11</v>
      </c>
      <c r="I8" s="141">
        <f t="shared" si="4"/>
        <v>6204</v>
      </c>
      <c r="J8" s="2">
        <v>6207</v>
      </c>
      <c r="K8" s="98">
        <f t="shared" si="5"/>
        <v>3</v>
      </c>
      <c r="L8" s="141">
        <f>M7</f>
        <v>6488</v>
      </c>
      <c r="M8" s="2">
        <v>6488</v>
      </c>
      <c r="N8" s="59">
        <f>M8-M7</f>
        <v>0</v>
      </c>
      <c r="O8" s="141">
        <f t="shared" si="7"/>
        <v>15292</v>
      </c>
      <c r="P8" s="750">
        <v>15305</v>
      </c>
      <c r="Q8" s="98">
        <f t="shared" si="8"/>
        <v>13</v>
      </c>
      <c r="R8" s="444">
        <f t="shared" si="9"/>
        <v>27</v>
      </c>
      <c r="S8" s="438">
        <f t="shared" si="11"/>
        <v>33934</v>
      </c>
      <c r="T8" s="751">
        <v>33974</v>
      </c>
      <c r="U8" s="440">
        <f t="shared" si="10"/>
        <v>40</v>
      </c>
      <c r="V8" s="438">
        <f t="shared" si="12"/>
        <v>47266</v>
      </c>
      <c r="W8" s="751">
        <v>47320</v>
      </c>
      <c r="X8" s="440">
        <f t="shared" si="13"/>
        <v>54</v>
      </c>
      <c r="Y8" s="438">
        <f t="shared" si="14"/>
        <v>57959</v>
      </c>
      <c r="Z8" s="751">
        <v>58014</v>
      </c>
      <c r="AA8" s="440">
        <f t="shared" si="15"/>
        <v>55</v>
      </c>
      <c r="AB8" s="438">
        <f t="shared" si="16"/>
        <v>9845</v>
      </c>
      <c r="AC8" s="751">
        <v>9856</v>
      </c>
      <c r="AD8" s="440">
        <f t="shared" si="17"/>
        <v>11</v>
      </c>
      <c r="AE8" s="438">
        <f t="shared" si="18"/>
        <v>8448</v>
      </c>
      <c r="AF8" s="752">
        <v>8468</v>
      </c>
      <c r="AG8" s="440">
        <f t="shared" si="19"/>
        <v>20</v>
      </c>
      <c r="AH8" s="438">
        <f t="shared" si="20"/>
        <v>12741</v>
      </c>
      <c r="AI8" s="752">
        <v>12790</v>
      </c>
      <c r="AJ8" s="440">
        <f t="shared" si="21"/>
        <v>49</v>
      </c>
      <c r="AK8" s="576">
        <f t="shared" ref="AK8:AK11" si="23">AL7</f>
        <v>1560</v>
      </c>
      <c r="AL8" s="751">
        <v>1560</v>
      </c>
      <c r="AM8" s="440">
        <f t="shared" ref="AM8:AM37" si="24">AL8-AL7</f>
        <v>0</v>
      </c>
      <c r="AN8" s="457">
        <f t="shared" si="22"/>
        <v>229</v>
      </c>
    </row>
    <row r="9" spans="1:40" ht="23.1" customHeight="1" x14ac:dyDescent="0.3">
      <c r="A9" s="97">
        <f>Gen!A14</f>
        <v>43438</v>
      </c>
      <c r="B9" s="5"/>
      <c r="C9" s="141">
        <f t="shared" si="0"/>
        <v>173438</v>
      </c>
      <c r="D9" s="2">
        <v>173525</v>
      </c>
      <c r="E9" s="98">
        <f t="shared" si="1"/>
        <v>87</v>
      </c>
      <c r="F9" s="141">
        <f t="shared" si="2"/>
        <v>31148</v>
      </c>
      <c r="G9" s="749">
        <v>31160</v>
      </c>
      <c r="H9" s="98">
        <f t="shared" si="3"/>
        <v>12</v>
      </c>
      <c r="I9" s="141">
        <f t="shared" si="4"/>
        <v>6207</v>
      </c>
      <c r="J9" s="2">
        <v>6210</v>
      </c>
      <c r="K9" s="98">
        <f t="shared" si="5"/>
        <v>3</v>
      </c>
      <c r="L9" s="141">
        <f>M8</f>
        <v>6488</v>
      </c>
      <c r="M9" s="2">
        <v>6488</v>
      </c>
      <c r="N9" s="59">
        <f t="shared" ref="N9:N14" si="25">M9-M8</f>
        <v>0</v>
      </c>
      <c r="O9" s="141">
        <f t="shared" si="7"/>
        <v>15305</v>
      </c>
      <c r="P9" s="750">
        <v>15317</v>
      </c>
      <c r="Q9" s="98">
        <f t="shared" si="8"/>
        <v>12</v>
      </c>
      <c r="R9" s="444">
        <f t="shared" si="9"/>
        <v>27</v>
      </c>
      <c r="S9" s="438">
        <f t="shared" si="11"/>
        <v>33974</v>
      </c>
      <c r="T9" s="751">
        <v>34013</v>
      </c>
      <c r="U9" s="440">
        <f t="shared" si="10"/>
        <v>39</v>
      </c>
      <c r="V9" s="438">
        <f t="shared" si="12"/>
        <v>47320</v>
      </c>
      <c r="W9" s="751">
        <v>47374</v>
      </c>
      <c r="X9" s="440">
        <f t="shared" si="13"/>
        <v>54</v>
      </c>
      <c r="Y9" s="438">
        <f t="shared" si="14"/>
        <v>58014</v>
      </c>
      <c r="Z9" s="751">
        <v>58068</v>
      </c>
      <c r="AA9" s="440">
        <f t="shared" si="15"/>
        <v>54</v>
      </c>
      <c r="AB9" s="438">
        <f t="shared" si="16"/>
        <v>9856</v>
      </c>
      <c r="AC9" s="751">
        <v>9867</v>
      </c>
      <c r="AD9" s="440">
        <f t="shared" si="17"/>
        <v>11</v>
      </c>
      <c r="AE9" s="438">
        <f t="shared" si="18"/>
        <v>8468</v>
      </c>
      <c r="AF9" s="752">
        <v>8469</v>
      </c>
      <c r="AG9" s="440">
        <f t="shared" si="19"/>
        <v>1</v>
      </c>
      <c r="AH9" s="438">
        <f t="shared" si="20"/>
        <v>12790</v>
      </c>
      <c r="AI9" s="752">
        <v>12840</v>
      </c>
      <c r="AJ9" s="440">
        <f t="shared" si="21"/>
        <v>50</v>
      </c>
      <c r="AK9" s="576">
        <f t="shared" si="23"/>
        <v>1560</v>
      </c>
      <c r="AL9" s="751">
        <v>1560</v>
      </c>
      <c r="AM9" s="440">
        <f t="shared" si="24"/>
        <v>0</v>
      </c>
      <c r="AN9" s="457">
        <f t="shared" si="22"/>
        <v>209</v>
      </c>
    </row>
    <row r="10" spans="1:40" ht="23.1" customHeight="1" x14ac:dyDescent="0.3">
      <c r="A10" s="97">
        <f>Gen!A15</f>
        <v>43439</v>
      </c>
      <c r="B10" s="5"/>
      <c r="C10" s="141">
        <f t="shared" si="0"/>
        <v>173525</v>
      </c>
      <c r="D10" s="2">
        <v>173609</v>
      </c>
      <c r="E10" s="98">
        <f t="shared" si="1"/>
        <v>84</v>
      </c>
      <c r="F10" s="141">
        <f t="shared" si="2"/>
        <v>31160</v>
      </c>
      <c r="G10" s="749">
        <v>31172</v>
      </c>
      <c r="H10" s="98">
        <f t="shared" si="3"/>
        <v>12</v>
      </c>
      <c r="I10" s="141">
        <f t="shared" si="4"/>
        <v>6210</v>
      </c>
      <c r="J10" s="2">
        <v>6213</v>
      </c>
      <c r="K10" s="98">
        <f t="shared" si="5"/>
        <v>3</v>
      </c>
      <c r="L10" s="141"/>
      <c r="M10" s="2">
        <v>6488</v>
      </c>
      <c r="N10" s="59">
        <f t="shared" si="25"/>
        <v>0</v>
      </c>
      <c r="O10" s="141">
        <f t="shared" si="7"/>
        <v>15317</v>
      </c>
      <c r="P10" s="750">
        <v>15326</v>
      </c>
      <c r="Q10" s="98">
        <f t="shared" si="8"/>
        <v>9</v>
      </c>
      <c r="R10" s="444">
        <f t="shared" si="9"/>
        <v>24</v>
      </c>
      <c r="S10" s="438">
        <f t="shared" si="11"/>
        <v>34013</v>
      </c>
      <c r="T10" s="751">
        <v>34054</v>
      </c>
      <c r="U10" s="440">
        <f t="shared" si="10"/>
        <v>41</v>
      </c>
      <c r="V10" s="438">
        <f t="shared" si="12"/>
        <v>47374</v>
      </c>
      <c r="W10" s="751">
        <v>47429</v>
      </c>
      <c r="X10" s="440">
        <f t="shared" si="13"/>
        <v>55</v>
      </c>
      <c r="Y10" s="438">
        <f t="shared" si="14"/>
        <v>58068</v>
      </c>
      <c r="Z10" s="751">
        <v>58124</v>
      </c>
      <c r="AA10" s="440">
        <f t="shared" si="15"/>
        <v>56</v>
      </c>
      <c r="AB10" s="438">
        <f t="shared" si="16"/>
        <v>9867</v>
      </c>
      <c r="AC10" s="751">
        <v>9879</v>
      </c>
      <c r="AD10" s="440">
        <f t="shared" si="17"/>
        <v>12</v>
      </c>
      <c r="AE10" s="438">
        <f t="shared" si="18"/>
        <v>8469</v>
      </c>
      <c r="AF10" s="752">
        <v>8470</v>
      </c>
      <c r="AG10" s="440">
        <f t="shared" si="19"/>
        <v>1</v>
      </c>
      <c r="AH10" s="438">
        <f t="shared" si="20"/>
        <v>12840</v>
      </c>
      <c r="AI10" s="752">
        <v>12887</v>
      </c>
      <c r="AJ10" s="440">
        <f t="shared" si="21"/>
        <v>47</v>
      </c>
      <c r="AK10" s="576">
        <f t="shared" si="23"/>
        <v>1560</v>
      </c>
      <c r="AL10" s="751">
        <v>1560</v>
      </c>
      <c r="AM10" s="440">
        <f t="shared" si="24"/>
        <v>0</v>
      </c>
      <c r="AN10" s="457">
        <f t="shared" si="22"/>
        <v>212</v>
      </c>
    </row>
    <row r="11" spans="1:40" ht="23.1" customHeight="1" x14ac:dyDescent="0.3">
      <c r="A11" s="97">
        <f>Gen!A16</f>
        <v>43440</v>
      </c>
      <c r="B11" s="5"/>
      <c r="C11" s="141">
        <f t="shared" si="0"/>
        <v>173609</v>
      </c>
      <c r="D11" s="2">
        <v>173717</v>
      </c>
      <c r="E11" s="98">
        <f t="shared" si="1"/>
        <v>108</v>
      </c>
      <c r="F11" s="141">
        <f t="shared" si="2"/>
        <v>31172</v>
      </c>
      <c r="G11" s="749">
        <v>31186</v>
      </c>
      <c r="H11" s="98">
        <f t="shared" si="3"/>
        <v>14</v>
      </c>
      <c r="I11" s="141">
        <f t="shared" si="4"/>
        <v>6213</v>
      </c>
      <c r="J11" s="2">
        <v>6216</v>
      </c>
      <c r="K11" s="98">
        <f t="shared" si="5"/>
        <v>3</v>
      </c>
      <c r="L11" s="141">
        <f t="shared" ref="L11:L15" si="26">M11</f>
        <v>6488</v>
      </c>
      <c r="M11" s="2">
        <v>6488</v>
      </c>
      <c r="N11" s="59">
        <f t="shared" si="25"/>
        <v>0</v>
      </c>
      <c r="O11" s="141">
        <f t="shared" si="7"/>
        <v>15326</v>
      </c>
      <c r="P11" s="750">
        <v>15336</v>
      </c>
      <c r="Q11" s="98">
        <f t="shared" si="8"/>
        <v>10</v>
      </c>
      <c r="R11" s="444">
        <f t="shared" si="9"/>
        <v>27</v>
      </c>
      <c r="S11" s="438">
        <f t="shared" si="11"/>
        <v>34054</v>
      </c>
      <c r="T11" s="751">
        <v>34094</v>
      </c>
      <c r="U11" s="440">
        <f t="shared" si="10"/>
        <v>40</v>
      </c>
      <c r="V11" s="438">
        <f t="shared" si="12"/>
        <v>47429</v>
      </c>
      <c r="W11" s="751">
        <v>47482</v>
      </c>
      <c r="X11" s="440">
        <f t="shared" si="13"/>
        <v>53</v>
      </c>
      <c r="Y11" s="438">
        <f t="shared" si="14"/>
        <v>58124</v>
      </c>
      <c r="Z11" s="751">
        <v>58180</v>
      </c>
      <c r="AA11" s="440">
        <f t="shared" si="15"/>
        <v>56</v>
      </c>
      <c r="AB11" s="438">
        <f t="shared" si="16"/>
        <v>9879</v>
      </c>
      <c r="AC11" s="751">
        <v>9890</v>
      </c>
      <c r="AD11" s="440">
        <f t="shared" si="17"/>
        <v>11</v>
      </c>
      <c r="AE11" s="438">
        <f t="shared" si="18"/>
        <v>8470</v>
      </c>
      <c r="AF11" s="752">
        <v>8470</v>
      </c>
      <c r="AG11" s="440">
        <f t="shared" si="19"/>
        <v>0</v>
      </c>
      <c r="AH11" s="438">
        <f t="shared" si="20"/>
        <v>12887</v>
      </c>
      <c r="AI11" s="752">
        <v>12935</v>
      </c>
      <c r="AJ11" s="440">
        <f t="shared" si="21"/>
        <v>48</v>
      </c>
      <c r="AK11" s="576">
        <f t="shared" si="23"/>
        <v>1560</v>
      </c>
      <c r="AL11" s="751">
        <v>1560</v>
      </c>
      <c r="AM11" s="440">
        <f t="shared" si="24"/>
        <v>0</v>
      </c>
      <c r="AN11" s="457">
        <f t="shared" si="22"/>
        <v>208</v>
      </c>
    </row>
    <row r="12" spans="1:40" ht="23.1" customHeight="1" x14ac:dyDescent="0.3">
      <c r="A12" s="97">
        <f>Gen!A17</f>
        <v>43441</v>
      </c>
      <c r="B12" s="5"/>
      <c r="C12" s="141">
        <f t="shared" si="0"/>
        <v>173717</v>
      </c>
      <c r="D12" s="2">
        <v>173810</v>
      </c>
      <c r="E12" s="98">
        <f t="shared" si="1"/>
        <v>93</v>
      </c>
      <c r="F12" s="141">
        <f t="shared" si="2"/>
        <v>31186</v>
      </c>
      <c r="G12" s="749">
        <v>31199</v>
      </c>
      <c r="H12" s="98">
        <f t="shared" si="3"/>
        <v>13</v>
      </c>
      <c r="I12" s="141">
        <f t="shared" si="4"/>
        <v>6216</v>
      </c>
      <c r="J12" s="2">
        <v>6220</v>
      </c>
      <c r="K12" s="98">
        <f t="shared" si="5"/>
        <v>4</v>
      </c>
      <c r="L12" s="141">
        <f t="shared" si="26"/>
        <v>6488</v>
      </c>
      <c r="M12" s="2">
        <v>6488</v>
      </c>
      <c r="N12" s="59">
        <f t="shared" si="25"/>
        <v>0</v>
      </c>
      <c r="O12" s="141">
        <f t="shared" si="7"/>
        <v>15336</v>
      </c>
      <c r="P12" s="750">
        <v>15348</v>
      </c>
      <c r="Q12" s="98">
        <f t="shared" si="8"/>
        <v>12</v>
      </c>
      <c r="R12" s="444">
        <f t="shared" si="9"/>
        <v>29</v>
      </c>
      <c r="S12" s="438">
        <f t="shared" si="11"/>
        <v>34094</v>
      </c>
      <c r="T12" s="751">
        <v>34134</v>
      </c>
      <c r="U12" s="440">
        <f t="shared" si="10"/>
        <v>40</v>
      </c>
      <c r="V12" s="438">
        <f t="shared" si="12"/>
        <v>47482</v>
      </c>
      <c r="W12" s="751">
        <v>47537</v>
      </c>
      <c r="X12" s="440">
        <f t="shared" si="13"/>
        <v>55</v>
      </c>
      <c r="Y12" s="438">
        <f t="shared" si="14"/>
        <v>58180</v>
      </c>
      <c r="Z12" s="751">
        <v>58232</v>
      </c>
      <c r="AA12" s="440">
        <f t="shared" si="15"/>
        <v>52</v>
      </c>
      <c r="AB12" s="438">
        <f t="shared" si="16"/>
        <v>9890</v>
      </c>
      <c r="AC12" s="751">
        <v>9901</v>
      </c>
      <c r="AD12" s="440">
        <f t="shared" si="17"/>
        <v>11</v>
      </c>
      <c r="AE12" s="438">
        <f t="shared" si="18"/>
        <v>8470</v>
      </c>
      <c r="AF12" s="752">
        <v>8470</v>
      </c>
      <c r="AG12" s="440">
        <f t="shared" si="19"/>
        <v>0</v>
      </c>
      <c r="AH12" s="438">
        <f t="shared" si="20"/>
        <v>12935</v>
      </c>
      <c r="AI12" s="752">
        <v>12984</v>
      </c>
      <c r="AJ12" s="440">
        <f t="shared" si="21"/>
        <v>49</v>
      </c>
      <c r="AK12" s="576">
        <f>AL11</f>
        <v>1560</v>
      </c>
      <c r="AL12" s="751">
        <v>5210</v>
      </c>
      <c r="AM12" s="440"/>
      <c r="AN12" s="457">
        <f t="shared" si="22"/>
        <v>207</v>
      </c>
    </row>
    <row r="13" spans="1:40" ht="23.1" customHeight="1" x14ac:dyDescent="0.3">
      <c r="A13" s="97">
        <f>Gen!A18</f>
        <v>43442</v>
      </c>
      <c r="B13" s="5"/>
      <c r="C13" s="141">
        <f t="shared" si="0"/>
        <v>173810</v>
      </c>
      <c r="D13" s="2">
        <v>173913</v>
      </c>
      <c r="E13" s="98">
        <f t="shared" si="1"/>
        <v>103</v>
      </c>
      <c r="F13" s="141">
        <f t="shared" si="2"/>
        <v>31199</v>
      </c>
      <c r="G13" s="749">
        <v>31213</v>
      </c>
      <c r="H13" s="98">
        <f t="shared" si="3"/>
        <v>14</v>
      </c>
      <c r="I13" s="141">
        <f t="shared" si="4"/>
        <v>6220</v>
      </c>
      <c r="J13" s="2">
        <v>6223</v>
      </c>
      <c r="K13" s="98">
        <f t="shared" si="5"/>
        <v>3</v>
      </c>
      <c r="L13" s="141">
        <f t="shared" si="26"/>
        <v>6488</v>
      </c>
      <c r="M13" s="2">
        <v>6488</v>
      </c>
      <c r="N13" s="59">
        <f t="shared" si="25"/>
        <v>0</v>
      </c>
      <c r="O13" s="141">
        <f t="shared" si="7"/>
        <v>15348</v>
      </c>
      <c r="P13" s="750">
        <v>15352</v>
      </c>
      <c r="Q13" s="98">
        <f t="shared" si="8"/>
        <v>4</v>
      </c>
      <c r="R13" s="444">
        <f t="shared" si="9"/>
        <v>21</v>
      </c>
      <c r="S13" s="438">
        <f t="shared" si="11"/>
        <v>34134</v>
      </c>
      <c r="T13" s="751">
        <v>34174</v>
      </c>
      <c r="U13" s="440">
        <f t="shared" si="10"/>
        <v>40</v>
      </c>
      <c r="V13" s="438">
        <f t="shared" si="12"/>
        <v>47537</v>
      </c>
      <c r="W13" s="751">
        <v>47589</v>
      </c>
      <c r="X13" s="440">
        <f t="shared" si="13"/>
        <v>52</v>
      </c>
      <c r="Y13" s="438">
        <f t="shared" si="14"/>
        <v>58232</v>
      </c>
      <c r="Z13" s="751">
        <v>58273</v>
      </c>
      <c r="AA13" s="440">
        <f t="shared" si="15"/>
        <v>41</v>
      </c>
      <c r="AB13" s="438">
        <f t="shared" si="16"/>
        <v>9901</v>
      </c>
      <c r="AC13" s="751">
        <v>9912</v>
      </c>
      <c r="AD13" s="440">
        <f t="shared" si="17"/>
        <v>11</v>
      </c>
      <c r="AE13" s="438">
        <f t="shared" si="18"/>
        <v>8470</v>
      </c>
      <c r="AF13" s="752">
        <v>8485</v>
      </c>
      <c r="AG13" s="440">
        <f t="shared" si="19"/>
        <v>15</v>
      </c>
      <c r="AH13" s="438">
        <f t="shared" si="20"/>
        <v>12984</v>
      </c>
      <c r="AI13" s="752">
        <v>13032</v>
      </c>
      <c r="AJ13" s="440">
        <f t="shared" si="21"/>
        <v>48</v>
      </c>
      <c r="AK13" s="576">
        <f t="shared" ref="AK13:AK37" si="27">AL12</f>
        <v>5210</v>
      </c>
      <c r="AL13" s="751">
        <v>5250</v>
      </c>
      <c r="AM13" s="440">
        <f t="shared" si="24"/>
        <v>40</v>
      </c>
      <c r="AN13" s="457">
        <f t="shared" si="22"/>
        <v>247</v>
      </c>
    </row>
    <row r="14" spans="1:40" ht="23.1" customHeight="1" x14ac:dyDescent="0.3">
      <c r="A14" s="97">
        <f>Gen!A19</f>
        <v>43443</v>
      </c>
      <c r="B14" s="5"/>
      <c r="C14" s="141">
        <f t="shared" si="0"/>
        <v>173913</v>
      </c>
      <c r="D14" s="2">
        <v>174038</v>
      </c>
      <c r="E14" s="98">
        <f t="shared" si="1"/>
        <v>125</v>
      </c>
      <c r="F14" s="141">
        <f t="shared" si="2"/>
        <v>31213</v>
      </c>
      <c r="G14" s="749">
        <v>31228</v>
      </c>
      <c r="H14" s="98">
        <f t="shared" si="3"/>
        <v>15</v>
      </c>
      <c r="I14" s="141">
        <f t="shared" si="4"/>
        <v>6223</v>
      </c>
      <c r="J14" s="2">
        <v>6226</v>
      </c>
      <c r="K14" s="98">
        <f t="shared" si="5"/>
        <v>3</v>
      </c>
      <c r="L14" s="141">
        <f t="shared" si="26"/>
        <v>6488</v>
      </c>
      <c r="M14" s="2">
        <v>6488</v>
      </c>
      <c r="N14" s="59">
        <f t="shared" si="25"/>
        <v>0</v>
      </c>
      <c r="O14" s="141">
        <f t="shared" si="7"/>
        <v>15352</v>
      </c>
      <c r="P14" s="750">
        <v>15361</v>
      </c>
      <c r="Q14" s="98">
        <f t="shared" si="8"/>
        <v>9</v>
      </c>
      <c r="R14" s="444">
        <f t="shared" si="9"/>
        <v>27</v>
      </c>
      <c r="S14" s="438">
        <f t="shared" si="11"/>
        <v>34174</v>
      </c>
      <c r="T14" s="751">
        <v>34215</v>
      </c>
      <c r="U14" s="440">
        <f t="shared" si="10"/>
        <v>41</v>
      </c>
      <c r="V14" s="438">
        <f t="shared" si="12"/>
        <v>47589</v>
      </c>
      <c r="W14" s="751">
        <v>47644</v>
      </c>
      <c r="X14" s="440">
        <f t="shared" si="13"/>
        <v>55</v>
      </c>
      <c r="Y14" s="438">
        <f t="shared" si="14"/>
        <v>58273</v>
      </c>
      <c r="Z14" s="751">
        <v>58316</v>
      </c>
      <c r="AA14" s="440">
        <f t="shared" si="15"/>
        <v>43</v>
      </c>
      <c r="AB14" s="438">
        <f t="shared" si="16"/>
        <v>9912</v>
      </c>
      <c r="AC14" s="751">
        <v>9924</v>
      </c>
      <c r="AD14" s="440">
        <f t="shared" si="17"/>
        <v>12</v>
      </c>
      <c r="AE14" s="438">
        <f t="shared" si="18"/>
        <v>8485</v>
      </c>
      <c r="AF14" s="752">
        <v>8508</v>
      </c>
      <c r="AG14" s="440">
        <f t="shared" si="19"/>
        <v>23</v>
      </c>
      <c r="AH14" s="438">
        <f t="shared" si="20"/>
        <v>13032</v>
      </c>
      <c r="AI14" s="752">
        <v>13081</v>
      </c>
      <c r="AJ14" s="440">
        <f t="shared" si="21"/>
        <v>49</v>
      </c>
      <c r="AK14" s="576">
        <f t="shared" si="27"/>
        <v>5250</v>
      </c>
      <c r="AL14" s="751">
        <v>5320</v>
      </c>
      <c r="AM14" s="440">
        <f t="shared" si="24"/>
        <v>70</v>
      </c>
      <c r="AN14" s="457">
        <f t="shared" si="22"/>
        <v>293</v>
      </c>
    </row>
    <row r="15" spans="1:40" ht="23.1" customHeight="1" x14ac:dyDescent="0.3">
      <c r="A15" s="97">
        <f>Gen!A20</f>
        <v>43444</v>
      </c>
      <c r="B15" s="5"/>
      <c r="C15" s="141">
        <f t="shared" si="0"/>
        <v>174038</v>
      </c>
      <c r="D15" s="2">
        <v>174152</v>
      </c>
      <c r="E15" s="98">
        <f t="shared" si="1"/>
        <v>114</v>
      </c>
      <c r="F15" s="141">
        <f>G14</f>
        <v>31228</v>
      </c>
      <c r="G15" s="749">
        <v>31244</v>
      </c>
      <c r="H15" s="98">
        <f t="shared" si="3"/>
        <v>16</v>
      </c>
      <c r="I15" s="141">
        <f t="shared" si="4"/>
        <v>6226</v>
      </c>
      <c r="J15" s="2">
        <v>6235</v>
      </c>
      <c r="K15" s="98">
        <f t="shared" si="5"/>
        <v>9</v>
      </c>
      <c r="L15" s="141">
        <f t="shared" si="26"/>
        <v>6488</v>
      </c>
      <c r="M15" s="2">
        <v>6488</v>
      </c>
      <c r="N15" s="59">
        <f t="shared" ref="N15:N37" si="28">M15-M14</f>
        <v>0</v>
      </c>
      <c r="O15" s="141">
        <f t="shared" si="7"/>
        <v>15361</v>
      </c>
      <c r="P15" s="750">
        <v>15382</v>
      </c>
      <c r="Q15" s="98">
        <f t="shared" si="8"/>
        <v>21</v>
      </c>
      <c r="R15" s="444">
        <f t="shared" si="9"/>
        <v>46</v>
      </c>
      <c r="S15" s="438">
        <f t="shared" si="11"/>
        <v>34215</v>
      </c>
      <c r="T15" s="751">
        <v>34255</v>
      </c>
      <c r="U15" s="440">
        <f t="shared" si="10"/>
        <v>40</v>
      </c>
      <c r="V15" s="438">
        <f t="shared" si="12"/>
        <v>47644</v>
      </c>
      <c r="W15" s="751">
        <v>47699</v>
      </c>
      <c r="X15" s="440">
        <f t="shared" si="13"/>
        <v>55</v>
      </c>
      <c r="Y15" s="438">
        <f t="shared" si="14"/>
        <v>58316</v>
      </c>
      <c r="Z15" s="751">
        <v>58369</v>
      </c>
      <c r="AA15" s="440">
        <f t="shared" si="15"/>
        <v>53</v>
      </c>
      <c r="AB15" s="438">
        <f t="shared" si="16"/>
        <v>9924</v>
      </c>
      <c r="AC15" s="751">
        <v>9935</v>
      </c>
      <c r="AD15" s="440">
        <f t="shared" si="17"/>
        <v>11</v>
      </c>
      <c r="AE15" s="438">
        <f t="shared" si="18"/>
        <v>8508</v>
      </c>
      <c r="AF15" s="752">
        <v>8528</v>
      </c>
      <c r="AG15" s="440">
        <f t="shared" si="19"/>
        <v>20</v>
      </c>
      <c r="AH15" s="438">
        <f t="shared" si="20"/>
        <v>13081</v>
      </c>
      <c r="AI15" s="752">
        <v>13130</v>
      </c>
      <c r="AJ15" s="440">
        <f t="shared" si="21"/>
        <v>49</v>
      </c>
      <c r="AK15" s="576">
        <f t="shared" si="27"/>
        <v>5320</v>
      </c>
      <c r="AL15" s="751">
        <v>5364</v>
      </c>
      <c r="AM15" s="440">
        <f t="shared" si="24"/>
        <v>44</v>
      </c>
      <c r="AN15" s="457">
        <f t="shared" si="22"/>
        <v>272</v>
      </c>
    </row>
    <row r="16" spans="1:40" ht="23.1" customHeight="1" x14ac:dyDescent="0.3">
      <c r="A16" s="97">
        <f>Gen!A21</f>
        <v>43445</v>
      </c>
      <c r="B16" s="5"/>
      <c r="C16" s="141">
        <f t="shared" si="0"/>
        <v>174152</v>
      </c>
      <c r="D16" s="2">
        <v>174266</v>
      </c>
      <c r="E16" s="98">
        <f t="shared" si="1"/>
        <v>114</v>
      </c>
      <c r="F16" s="141">
        <f>G15</f>
        <v>31244</v>
      </c>
      <c r="G16" s="749">
        <v>31259</v>
      </c>
      <c r="H16" s="98">
        <f t="shared" si="3"/>
        <v>15</v>
      </c>
      <c r="I16" s="141">
        <f t="shared" si="4"/>
        <v>6235</v>
      </c>
      <c r="J16" s="2">
        <v>6239</v>
      </c>
      <c r="K16" s="98">
        <f t="shared" si="5"/>
        <v>4</v>
      </c>
      <c r="L16" s="141">
        <f t="shared" si="6"/>
        <v>6488</v>
      </c>
      <c r="M16" s="2">
        <v>6488</v>
      </c>
      <c r="N16" s="59">
        <f t="shared" si="28"/>
        <v>0</v>
      </c>
      <c r="O16" s="141">
        <f t="shared" si="7"/>
        <v>15382</v>
      </c>
      <c r="P16" s="750">
        <v>15395</v>
      </c>
      <c r="Q16" s="98">
        <f t="shared" si="8"/>
        <v>13</v>
      </c>
      <c r="R16" s="444">
        <f t="shared" si="9"/>
        <v>32</v>
      </c>
      <c r="S16" s="438">
        <f t="shared" si="11"/>
        <v>34255</v>
      </c>
      <c r="T16" s="751">
        <v>34295</v>
      </c>
      <c r="U16" s="440">
        <f t="shared" si="10"/>
        <v>40</v>
      </c>
      <c r="V16" s="438">
        <f t="shared" si="12"/>
        <v>47699</v>
      </c>
      <c r="W16" s="751">
        <v>47750</v>
      </c>
      <c r="X16" s="440">
        <f t="shared" si="13"/>
        <v>51</v>
      </c>
      <c r="Y16" s="438">
        <f t="shared" si="14"/>
        <v>58369</v>
      </c>
      <c r="Z16" s="751">
        <v>58398</v>
      </c>
      <c r="AA16" s="440">
        <f t="shared" si="15"/>
        <v>29</v>
      </c>
      <c r="AB16" s="438">
        <f t="shared" si="16"/>
        <v>9935</v>
      </c>
      <c r="AC16" s="751">
        <v>9944</v>
      </c>
      <c r="AD16" s="440">
        <f t="shared" si="17"/>
        <v>9</v>
      </c>
      <c r="AE16" s="438">
        <f t="shared" si="18"/>
        <v>8528</v>
      </c>
      <c r="AF16" s="752">
        <v>8559</v>
      </c>
      <c r="AG16" s="440">
        <f t="shared" si="19"/>
        <v>31</v>
      </c>
      <c r="AH16" s="438">
        <f t="shared" si="20"/>
        <v>13130</v>
      </c>
      <c r="AI16" s="752">
        <v>13179</v>
      </c>
      <c r="AJ16" s="440">
        <f t="shared" si="21"/>
        <v>49</v>
      </c>
      <c r="AK16" s="576">
        <f t="shared" si="27"/>
        <v>5364</v>
      </c>
      <c r="AL16" s="751">
        <v>5394</v>
      </c>
      <c r="AM16" s="440">
        <f t="shared" si="24"/>
        <v>30</v>
      </c>
      <c r="AN16" s="457">
        <f t="shared" si="22"/>
        <v>239</v>
      </c>
    </row>
    <row r="17" spans="1:40" ht="23.1" customHeight="1" x14ac:dyDescent="0.3">
      <c r="A17" s="97">
        <f>Gen!A22</f>
        <v>43446</v>
      </c>
      <c r="B17" s="5"/>
      <c r="C17" s="141">
        <f t="shared" si="0"/>
        <v>174266</v>
      </c>
      <c r="D17" s="2">
        <v>174371</v>
      </c>
      <c r="E17" s="98">
        <f t="shared" si="1"/>
        <v>105</v>
      </c>
      <c r="F17" s="141">
        <f t="shared" si="2"/>
        <v>31259</v>
      </c>
      <c r="G17" s="749">
        <v>31273</v>
      </c>
      <c r="H17" s="98">
        <f t="shared" si="3"/>
        <v>14</v>
      </c>
      <c r="I17" s="141">
        <f t="shared" si="4"/>
        <v>6239</v>
      </c>
      <c r="J17" s="2">
        <v>6244</v>
      </c>
      <c r="K17" s="98">
        <f t="shared" si="5"/>
        <v>5</v>
      </c>
      <c r="L17" s="141">
        <f t="shared" si="6"/>
        <v>6488</v>
      </c>
      <c r="M17" s="2">
        <v>6488</v>
      </c>
      <c r="N17" s="59">
        <f t="shared" si="28"/>
        <v>0</v>
      </c>
      <c r="O17" s="141">
        <f t="shared" si="7"/>
        <v>15395</v>
      </c>
      <c r="P17" s="750">
        <v>15410</v>
      </c>
      <c r="Q17" s="98">
        <f>P17-O17</f>
        <v>15</v>
      </c>
      <c r="R17" s="444">
        <f t="shared" si="9"/>
        <v>34</v>
      </c>
      <c r="S17" s="438">
        <f t="shared" si="11"/>
        <v>34295</v>
      </c>
      <c r="T17" s="751">
        <v>34335</v>
      </c>
      <c r="U17" s="440">
        <f t="shared" si="10"/>
        <v>40</v>
      </c>
      <c r="V17" s="438">
        <f t="shared" si="12"/>
        <v>47750</v>
      </c>
      <c r="W17" s="751">
        <v>47803</v>
      </c>
      <c r="X17" s="440">
        <f t="shared" si="13"/>
        <v>53</v>
      </c>
      <c r="Y17" s="438">
        <f t="shared" si="14"/>
        <v>58398</v>
      </c>
      <c r="Z17" s="751">
        <v>58439</v>
      </c>
      <c r="AA17" s="440">
        <f t="shared" si="15"/>
        <v>41</v>
      </c>
      <c r="AB17" s="438">
        <f t="shared" si="16"/>
        <v>9944</v>
      </c>
      <c r="AC17" s="751">
        <v>9953</v>
      </c>
      <c r="AD17" s="440">
        <f t="shared" si="17"/>
        <v>9</v>
      </c>
      <c r="AE17" s="438">
        <f t="shared" si="18"/>
        <v>8559</v>
      </c>
      <c r="AF17" s="752">
        <v>8570</v>
      </c>
      <c r="AG17" s="440">
        <f t="shared" si="19"/>
        <v>11</v>
      </c>
      <c r="AH17" s="438">
        <f t="shared" si="20"/>
        <v>13179</v>
      </c>
      <c r="AI17" s="752">
        <v>13229</v>
      </c>
      <c r="AJ17" s="440">
        <f t="shared" si="21"/>
        <v>50</v>
      </c>
      <c r="AK17" s="576">
        <f t="shared" si="27"/>
        <v>5394</v>
      </c>
      <c r="AL17" s="751">
        <v>5545</v>
      </c>
      <c r="AM17" s="440">
        <f t="shared" si="24"/>
        <v>151</v>
      </c>
      <c r="AN17" s="457">
        <f t="shared" si="22"/>
        <v>355</v>
      </c>
    </row>
    <row r="18" spans="1:40" ht="23.1" customHeight="1" x14ac:dyDescent="0.3">
      <c r="A18" s="97">
        <f>Gen!A23</f>
        <v>43447</v>
      </c>
      <c r="B18" s="5"/>
      <c r="C18" s="141">
        <f t="shared" si="0"/>
        <v>174371</v>
      </c>
      <c r="D18" s="2">
        <v>174482</v>
      </c>
      <c r="E18" s="98">
        <f t="shared" si="1"/>
        <v>111</v>
      </c>
      <c r="F18" s="141">
        <f t="shared" si="2"/>
        <v>31273</v>
      </c>
      <c r="G18" s="749">
        <v>31288</v>
      </c>
      <c r="H18" s="98">
        <f t="shared" si="3"/>
        <v>15</v>
      </c>
      <c r="I18" s="141">
        <f t="shared" si="4"/>
        <v>6244</v>
      </c>
      <c r="J18" s="2">
        <v>6246</v>
      </c>
      <c r="K18" s="98">
        <f t="shared" si="5"/>
        <v>2</v>
      </c>
      <c r="L18" s="141">
        <f t="shared" si="6"/>
        <v>6488</v>
      </c>
      <c r="M18" s="2">
        <v>6488</v>
      </c>
      <c r="N18" s="59">
        <f t="shared" si="28"/>
        <v>0</v>
      </c>
      <c r="O18" s="141">
        <f t="shared" si="7"/>
        <v>15410</v>
      </c>
      <c r="P18" s="750">
        <v>15421</v>
      </c>
      <c r="Q18" s="98">
        <f>P18-O18</f>
        <v>11</v>
      </c>
      <c r="R18" s="444">
        <f t="shared" si="9"/>
        <v>28</v>
      </c>
      <c r="S18" s="438">
        <f t="shared" si="11"/>
        <v>34335</v>
      </c>
      <c r="T18" s="751">
        <v>34374</v>
      </c>
      <c r="U18" s="440">
        <f t="shared" si="10"/>
        <v>39</v>
      </c>
      <c r="V18" s="438">
        <f t="shared" si="12"/>
        <v>47803</v>
      </c>
      <c r="W18" s="751">
        <v>47857</v>
      </c>
      <c r="X18" s="440">
        <f t="shared" si="13"/>
        <v>54</v>
      </c>
      <c r="Y18" s="438">
        <f t="shared" si="14"/>
        <v>58439</v>
      </c>
      <c r="Z18" s="751">
        <v>58471</v>
      </c>
      <c r="AA18" s="440">
        <f t="shared" si="15"/>
        <v>32</v>
      </c>
      <c r="AB18" s="438">
        <f t="shared" si="16"/>
        <v>9953</v>
      </c>
      <c r="AC18" s="751">
        <v>9962</v>
      </c>
      <c r="AD18" s="440">
        <f t="shared" si="17"/>
        <v>9</v>
      </c>
      <c r="AE18" s="438">
        <f t="shared" si="18"/>
        <v>8570</v>
      </c>
      <c r="AF18" s="752">
        <v>8591</v>
      </c>
      <c r="AG18" s="440">
        <f t="shared" si="19"/>
        <v>21</v>
      </c>
      <c r="AH18" s="438">
        <f t="shared" si="20"/>
        <v>13229</v>
      </c>
      <c r="AI18" s="752">
        <v>13289</v>
      </c>
      <c r="AJ18" s="440">
        <f t="shared" si="21"/>
        <v>60</v>
      </c>
      <c r="AK18" s="576">
        <f t="shared" si="27"/>
        <v>5545</v>
      </c>
      <c r="AL18" s="751">
        <v>5550</v>
      </c>
      <c r="AM18" s="440">
        <f>AL18-AL17</f>
        <v>5</v>
      </c>
      <c r="AN18" s="457">
        <f t="shared" si="22"/>
        <v>220</v>
      </c>
    </row>
    <row r="19" spans="1:40" ht="23.1" customHeight="1" x14ac:dyDescent="0.3">
      <c r="A19" s="97">
        <f>Gen!A24</f>
        <v>43448</v>
      </c>
      <c r="B19" s="5"/>
      <c r="C19" s="141">
        <f t="shared" si="0"/>
        <v>174482</v>
      </c>
      <c r="D19" s="2">
        <v>174582</v>
      </c>
      <c r="E19" s="98">
        <f t="shared" si="1"/>
        <v>100</v>
      </c>
      <c r="F19" s="141">
        <f t="shared" si="2"/>
        <v>31288</v>
      </c>
      <c r="G19" s="749">
        <v>31303</v>
      </c>
      <c r="H19" s="98">
        <f t="shared" si="3"/>
        <v>15</v>
      </c>
      <c r="I19" s="141">
        <f t="shared" si="4"/>
        <v>6246</v>
      </c>
      <c r="J19" s="2">
        <v>6249</v>
      </c>
      <c r="K19" s="98">
        <f t="shared" si="5"/>
        <v>3</v>
      </c>
      <c r="L19" s="141">
        <f t="shared" si="6"/>
        <v>6488</v>
      </c>
      <c r="M19" s="2">
        <v>6488</v>
      </c>
      <c r="N19" s="59">
        <f t="shared" si="28"/>
        <v>0</v>
      </c>
      <c r="O19" s="141">
        <f t="shared" si="7"/>
        <v>15421</v>
      </c>
      <c r="P19" s="750">
        <v>15442</v>
      </c>
      <c r="Q19" s="98">
        <f>P19-O19</f>
        <v>21</v>
      </c>
      <c r="R19" s="444">
        <f t="shared" si="9"/>
        <v>39</v>
      </c>
      <c r="S19" s="438">
        <f t="shared" si="11"/>
        <v>34374</v>
      </c>
      <c r="T19" s="751">
        <v>34416</v>
      </c>
      <c r="U19" s="440">
        <f t="shared" si="10"/>
        <v>42</v>
      </c>
      <c r="V19" s="438">
        <f t="shared" si="12"/>
        <v>47857</v>
      </c>
      <c r="W19" s="751">
        <v>47909</v>
      </c>
      <c r="X19" s="440">
        <f t="shared" si="13"/>
        <v>52</v>
      </c>
      <c r="Y19" s="438">
        <f t="shared" si="14"/>
        <v>58471</v>
      </c>
      <c r="Z19" s="751">
        <v>58498</v>
      </c>
      <c r="AA19" s="440">
        <f t="shared" si="15"/>
        <v>27</v>
      </c>
      <c r="AB19" s="438">
        <f t="shared" si="16"/>
        <v>9962</v>
      </c>
      <c r="AC19" s="751">
        <v>9971</v>
      </c>
      <c r="AD19" s="440">
        <f t="shared" si="17"/>
        <v>9</v>
      </c>
      <c r="AE19" s="438">
        <f t="shared" si="18"/>
        <v>8591</v>
      </c>
      <c r="AF19" s="752">
        <v>8609</v>
      </c>
      <c r="AG19" s="440">
        <f t="shared" si="19"/>
        <v>18</v>
      </c>
      <c r="AH19" s="438">
        <f t="shared" si="20"/>
        <v>13289</v>
      </c>
      <c r="AI19" s="752">
        <v>13329</v>
      </c>
      <c r="AJ19" s="440">
        <f t="shared" si="21"/>
        <v>40</v>
      </c>
      <c r="AK19" s="576">
        <f>AL18</f>
        <v>5550</v>
      </c>
      <c r="AL19" s="751">
        <v>5550</v>
      </c>
      <c r="AM19" s="440">
        <f>AL19-AL18</f>
        <v>0</v>
      </c>
      <c r="AN19" s="457">
        <f t="shared" si="22"/>
        <v>188</v>
      </c>
    </row>
    <row r="20" spans="1:40" ht="23.1" customHeight="1" x14ac:dyDescent="0.3">
      <c r="A20" s="97">
        <f>Gen!A25</f>
        <v>43449</v>
      </c>
      <c r="B20" s="5"/>
      <c r="C20" s="141">
        <f t="shared" si="0"/>
        <v>174582</v>
      </c>
      <c r="D20" s="2">
        <v>174669</v>
      </c>
      <c r="E20" s="98">
        <f t="shared" si="1"/>
        <v>87</v>
      </c>
      <c r="F20" s="141">
        <f t="shared" si="2"/>
        <v>31303</v>
      </c>
      <c r="G20" s="749">
        <v>31316</v>
      </c>
      <c r="H20" s="98">
        <f t="shared" si="3"/>
        <v>13</v>
      </c>
      <c r="I20" s="141">
        <f t="shared" si="4"/>
        <v>6249</v>
      </c>
      <c r="J20" s="2">
        <v>6254</v>
      </c>
      <c r="K20" s="98">
        <f t="shared" si="5"/>
        <v>5</v>
      </c>
      <c r="L20" s="141">
        <f t="shared" si="6"/>
        <v>6488</v>
      </c>
      <c r="M20" s="2">
        <v>6488</v>
      </c>
      <c r="N20" s="59">
        <f t="shared" si="28"/>
        <v>0</v>
      </c>
      <c r="O20" s="141">
        <f t="shared" si="7"/>
        <v>15442</v>
      </c>
      <c r="P20" s="750">
        <v>15329</v>
      </c>
      <c r="Q20" s="98">
        <f t="shared" si="8"/>
        <v>-113</v>
      </c>
      <c r="R20" s="444">
        <f t="shared" si="9"/>
        <v>-95</v>
      </c>
      <c r="S20" s="438">
        <f t="shared" si="11"/>
        <v>34416</v>
      </c>
      <c r="T20" s="751">
        <v>34455</v>
      </c>
      <c r="U20" s="440">
        <f t="shared" si="10"/>
        <v>39</v>
      </c>
      <c r="V20" s="438">
        <f t="shared" si="12"/>
        <v>47909</v>
      </c>
      <c r="W20" s="751">
        <v>47961</v>
      </c>
      <c r="X20" s="440">
        <f t="shared" si="13"/>
        <v>52</v>
      </c>
      <c r="Y20" s="438">
        <f t="shared" si="14"/>
        <v>58498</v>
      </c>
      <c r="Z20" s="751">
        <v>58536</v>
      </c>
      <c r="AA20" s="440">
        <f t="shared" si="15"/>
        <v>38</v>
      </c>
      <c r="AB20" s="438">
        <f t="shared" si="16"/>
        <v>9971</v>
      </c>
      <c r="AC20" s="751">
        <v>9980</v>
      </c>
      <c r="AD20" s="440">
        <f t="shared" si="17"/>
        <v>9</v>
      </c>
      <c r="AE20" s="438">
        <f t="shared" si="18"/>
        <v>8609</v>
      </c>
      <c r="AF20" s="752">
        <v>8611</v>
      </c>
      <c r="AG20" s="440">
        <f t="shared" si="19"/>
        <v>2</v>
      </c>
      <c r="AH20" s="438">
        <f t="shared" si="20"/>
        <v>13329</v>
      </c>
      <c r="AI20" s="752">
        <v>13376</v>
      </c>
      <c r="AJ20" s="440">
        <f t="shared" si="21"/>
        <v>47</v>
      </c>
      <c r="AK20" s="576">
        <f>AL19</f>
        <v>5550</v>
      </c>
      <c r="AL20" s="751">
        <v>5550</v>
      </c>
      <c r="AM20" s="440">
        <f>AL20-AL19</f>
        <v>0</v>
      </c>
      <c r="AN20" s="457">
        <f t="shared" si="22"/>
        <v>187</v>
      </c>
    </row>
    <row r="21" spans="1:40" ht="23.1" customHeight="1" x14ac:dyDescent="0.3">
      <c r="A21" s="97">
        <f>Gen!A26</f>
        <v>43450</v>
      </c>
      <c r="B21" s="5"/>
      <c r="C21" s="141">
        <f t="shared" si="0"/>
        <v>174669</v>
      </c>
      <c r="D21" s="2">
        <v>174774</v>
      </c>
      <c r="E21" s="98">
        <f t="shared" si="1"/>
        <v>105</v>
      </c>
      <c r="F21" s="141">
        <f t="shared" si="2"/>
        <v>31316</v>
      </c>
      <c r="G21" s="749">
        <v>31330</v>
      </c>
      <c r="H21" s="98">
        <f t="shared" si="3"/>
        <v>14</v>
      </c>
      <c r="I21" s="141">
        <f t="shared" si="4"/>
        <v>6254</v>
      </c>
      <c r="J21" s="2">
        <v>6257</v>
      </c>
      <c r="K21" s="98">
        <f t="shared" si="5"/>
        <v>3</v>
      </c>
      <c r="L21" s="141">
        <f t="shared" si="6"/>
        <v>6488</v>
      </c>
      <c r="M21" s="2">
        <v>6488</v>
      </c>
      <c r="N21" s="59">
        <f t="shared" si="28"/>
        <v>0</v>
      </c>
      <c r="O21" s="141">
        <f t="shared" si="7"/>
        <v>15329</v>
      </c>
      <c r="P21" s="750">
        <v>15316</v>
      </c>
      <c r="Q21" s="98">
        <f t="shared" si="8"/>
        <v>-13</v>
      </c>
      <c r="R21" s="444">
        <f t="shared" si="9"/>
        <v>4</v>
      </c>
      <c r="S21" s="438">
        <f t="shared" si="11"/>
        <v>34455</v>
      </c>
      <c r="T21" s="751">
        <v>34495</v>
      </c>
      <c r="U21" s="440">
        <f t="shared" si="10"/>
        <v>40</v>
      </c>
      <c r="V21" s="438">
        <f t="shared" si="12"/>
        <v>47961</v>
      </c>
      <c r="W21" s="751">
        <v>48014</v>
      </c>
      <c r="X21" s="440">
        <f t="shared" si="13"/>
        <v>53</v>
      </c>
      <c r="Y21" s="438">
        <f t="shared" si="14"/>
        <v>58536</v>
      </c>
      <c r="Z21" s="751">
        <v>58577</v>
      </c>
      <c r="AA21" s="440">
        <f t="shared" si="15"/>
        <v>41</v>
      </c>
      <c r="AB21" s="438">
        <f t="shared" si="16"/>
        <v>9980</v>
      </c>
      <c r="AC21" s="751">
        <v>9991</v>
      </c>
      <c r="AD21" s="440">
        <f t="shared" si="17"/>
        <v>11</v>
      </c>
      <c r="AE21" s="438">
        <f t="shared" si="18"/>
        <v>8611</v>
      </c>
      <c r="AF21" s="752">
        <v>8638</v>
      </c>
      <c r="AG21" s="440">
        <f t="shared" si="19"/>
        <v>27</v>
      </c>
      <c r="AH21" s="438">
        <f t="shared" si="20"/>
        <v>13376</v>
      </c>
      <c r="AI21" s="752">
        <v>13423</v>
      </c>
      <c r="AJ21" s="440">
        <f t="shared" si="21"/>
        <v>47</v>
      </c>
      <c r="AK21" s="576">
        <f t="shared" si="27"/>
        <v>5550</v>
      </c>
      <c r="AL21" s="751">
        <v>5862</v>
      </c>
      <c r="AM21" s="440">
        <f t="shared" si="24"/>
        <v>312</v>
      </c>
      <c r="AN21" s="457">
        <f t="shared" si="22"/>
        <v>531</v>
      </c>
    </row>
    <row r="22" spans="1:40" ht="23.1" customHeight="1" x14ac:dyDescent="0.3">
      <c r="A22" s="97">
        <f>Gen!A27</f>
        <v>43451</v>
      </c>
      <c r="B22" s="5"/>
      <c r="C22" s="141">
        <f t="shared" si="0"/>
        <v>174774</v>
      </c>
      <c r="D22" s="2">
        <v>174883</v>
      </c>
      <c r="E22" s="98">
        <f t="shared" si="1"/>
        <v>109</v>
      </c>
      <c r="F22" s="141">
        <f t="shared" si="2"/>
        <v>31330</v>
      </c>
      <c r="G22" s="749">
        <v>31343</v>
      </c>
      <c r="H22" s="98">
        <f t="shared" si="3"/>
        <v>13</v>
      </c>
      <c r="I22" s="141">
        <f t="shared" si="4"/>
        <v>6257</v>
      </c>
      <c r="J22" s="2">
        <v>6260</v>
      </c>
      <c r="K22" s="98">
        <f t="shared" si="5"/>
        <v>3</v>
      </c>
      <c r="L22" s="141">
        <f t="shared" si="6"/>
        <v>6488</v>
      </c>
      <c r="M22" s="2">
        <v>6488</v>
      </c>
      <c r="N22" s="59">
        <f t="shared" si="28"/>
        <v>0</v>
      </c>
      <c r="O22" s="141">
        <f t="shared" si="7"/>
        <v>15316</v>
      </c>
      <c r="P22" s="750">
        <v>15328</v>
      </c>
      <c r="Q22" s="98">
        <f t="shared" si="8"/>
        <v>12</v>
      </c>
      <c r="R22" s="444">
        <f t="shared" si="9"/>
        <v>28</v>
      </c>
      <c r="S22" s="438">
        <f t="shared" si="11"/>
        <v>34495</v>
      </c>
      <c r="T22" s="751">
        <v>34535</v>
      </c>
      <c r="U22" s="440">
        <f t="shared" si="10"/>
        <v>40</v>
      </c>
      <c r="V22" s="438">
        <f t="shared" si="12"/>
        <v>48014</v>
      </c>
      <c r="W22" s="751">
        <v>48066</v>
      </c>
      <c r="X22" s="440">
        <f t="shared" si="13"/>
        <v>52</v>
      </c>
      <c r="Y22" s="438">
        <f t="shared" si="14"/>
        <v>58577</v>
      </c>
      <c r="Z22" s="751">
        <v>58618</v>
      </c>
      <c r="AA22" s="440">
        <f t="shared" si="15"/>
        <v>41</v>
      </c>
      <c r="AB22" s="438">
        <f t="shared" si="16"/>
        <v>9991</v>
      </c>
      <c r="AC22" s="751">
        <v>10001</v>
      </c>
      <c r="AD22" s="440">
        <f t="shared" si="17"/>
        <v>10</v>
      </c>
      <c r="AE22" s="438">
        <f t="shared" si="18"/>
        <v>8638</v>
      </c>
      <c r="AF22" s="752">
        <v>8652</v>
      </c>
      <c r="AG22" s="440">
        <f t="shared" si="19"/>
        <v>14</v>
      </c>
      <c r="AH22" s="438">
        <f t="shared" si="20"/>
        <v>13423</v>
      </c>
      <c r="AI22" s="752">
        <v>13470</v>
      </c>
      <c r="AJ22" s="440">
        <f t="shared" si="21"/>
        <v>47</v>
      </c>
      <c r="AK22" s="576">
        <f t="shared" si="27"/>
        <v>5862</v>
      </c>
      <c r="AL22" s="751">
        <v>5941</v>
      </c>
      <c r="AM22" s="440">
        <f t="shared" si="24"/>
        <v>79</v>
      </c>
      <c r="AN22" s="457">
        <f t="shared" si="22"/>
        <v>283</v>
      </c>
    </row>
    <row r="23" spans="1:40" ht="23.1" customHeight="1" x14ac:dyDescent="0.3">
      <c r="A23" s="97">
        <f>Gen!A28</f>
        <v>43452</v>
      </c>
      <c r="B23" s="5"/>
      <c r="C23" s="141">
        <f t="shared" si="0"/>
        <v>174883</v>
      </c>
      <c r="D23" s="2">
        <v>174997</v>
      </c>
      <c r="E23" s="98">
        <f t="shared" si="1"/>
        <v>114</v>
      </c>
      <c r="F23" s="141">
        <f t="shared" si="2"/>
        <v>31343</v>
      </c>
      <c r="G23" s="749">
        <v>31358</v>
      </c>
      <c r="H23" s="98">
        <f t="shared" si="3"/>
        <v>15</v>
      </c>
      <c r="I23" s="141">
        <f t="shared" si="4"/>
        <v>6260</v>
      </c>
      <c r="J23" s="2">
        <v>6264</v>
      </c>
      <c r="K23" s="98">
        <f t="shared" si="5"/>
        <v>4</v>
      </c>
      <c r="L23" s="141">
        <f t="shared" si="6"/>
        <v>6488</v>
      </c>
      <c r="M23" s="2">
        <v>6488</v>
      </c>
      <c r="N23" s="59">
        <f t="shared" si="28"/>
        <v>0</v>
      </c>
      <c r="O23" s="141">
        <f t="shared" si="7"/>
        <v>15328</v>
      </c>
      <c r="P23" s="750">
        <v>15341</v>
      </c>
      <c r="Q23" s="98">
        <f t="shared" si="8"/>
        <v>13</v>
      </c>
      <c r="R23" s="444">
        <f t="shared" si="9"/>
        <v>32</v>
      </c>
      <c r="S23" s="438">
        <f t="shared" si="11"/>
        <v>34535</v>
      </c>
      <c r="T23" s="751">
        <v>34574</v>
      </c>
      <c r="U23" s="440">
        <f t="shared" si="10"/>
        <v>39</v>
      </c>
      <c r="V23" s="438">
        <f t="shared" si="12"/>
        <v>48066</v>
      </c>
      <c r="W23" s="751">
        <v>48121</v>
      </c>
      <c r="X23" s="440">
        <f t="shared" si="13"/>
        <v>55</v>
      </c>
      <c r="Y23" s="438">
        <f t="shared" si="14"/>
        <v>58618</v>
      </c>
      <c r="Z23" s="751">
        <v>58649</v>
      </c>
      <c r="AA23" s="440">
        <f t="shared" si="15"/>
        <v>31</v>
      </c>
      <c r="AB23" s="438">
        <f t="shared" si="16"/>
        <v>10001</v>
      </c>
      <c r="AC23" s="751">
        <v>10014</v>
      </c>
      <c r="AD23" s="440">
        <f t="shared" si="17"/>
        <v>13</v>
      </c>
      <c r="AE23" s="438">
        <f t="shared" si="18"/>
        <v>8652</v>
      </c>
      <c r="AF23" s="752">
        <v>8673</v>
      </c>
      <c r="AG23" s="440">
        <f t="shared" si="19"/>
        <v>21</v>
      </c>
      <c r="AH23" s="438">
        <f t="shared" si="20"/>
        <v>13470</v>
      </c>
      <c r="AI23" s="752">
        <v>13518</v>
      </c>
      <c r="AJ23" s="440">
        <f t="shared" si="21"/>
        <v>48</v>
      </c>
      <c r="AK23" s="576">
        <f t="shared" si="27"/>
        <v>5941</v>
      </c>
      <c r="AL23" s="751">
        <v>6019</v>
      </c>
      <c r="AM23" s="440">
        <f t="shared" si="24"/>
        <v>78</v>
      </c>
      <c r="AN23" s="457">
        <f t="shared" si="22"/>
        <v>285</v>
      </c>
    </row>
    <row r="24" spans="1:40" ht="23.1" customHeight="1" x14ac:dyDescent="0.3">
      <c r="A24" s="97">
        <f>Gen!A29</f>
        <v>43453</v>
      </c>
      <c r="B24" s="5"/>
      <c r="C24" s="141">
        <f t="shared" si="0"/>
        <v>174997</v>
      </c>
      <c r="D24" s="2">
        <v>175107</v>
      </c>
      <c r="E24" s="98">
        <f t="shared" si="1"/>
        <v>110</v>
      </c>
      <c r="F24" s="141">
        <f t="shared" si="2"/>
        <v>31358</v>
      </c>
      <c r="G24" s="749">
        <v>31384</v>
      </c>
      <c r="H24" s="98">
        <f t="shared" si="3"/>
        <v>26</v>
      </c>
      <c r="I24" s="141">
        <f t="shared" si="4"/>
        <v>6264</v>
      </c>
      <c r="J24" s="2">
        <v>6269</v>
      </c>
      <c r="K24" s="98">
        <f t="shared" si="5"/>
        <v>5</v>
      </c>
      <c r="L24" s="141">
        <f t="shared" si="6"/>
        <v>6488</v>
      </c>
      <c r="M24" s="2">
        <v>6488</v>
      </c>
      <c r="N24" s="59">
        <f t="shared" si="28"/>
        <v>0</v>
      </c>
      <c r="O24" s="141">
        <f t="shared" si="7"/>
        <v>15341</v>
      </c>
      <c r="P24" s="750">
        <v>15350</v>
      </c>
      <c r="Q24" s="98">
        <f t="shared" si="8"/>
        <v>9</v>
      </c>
      <c r="R24" s="444">
        <f t="shared" si="9"/>
        <v>40</v>
      </c>
      <c r="S24" s="438">
        <f t="shared" si="11"/>
        <v>34574</v>
      </c>
      <c r="T24" s="751">
        <v>34612</v>
      </c>
      <c r="U24" s="440">
        <f t="shared" si="10"/>
        <v>38</v>
      </c>
      <c r="V24" s="438">
        <f t="shared" si="12"/>
        <v>48121</v>
      </c>
      <c r="W24" s="751">
        <v>48174</v>
      </c>
      <c r="X24" s="440">
        <f t="shared" si="13"/>
        <v>53</v>
      </c>
      <c r="Y24" s="438">
        <f t="shared" si="14"/>
        <v>58649</v>
      </c>
      <c r="Z24" s="751">
        <v>58687</v>
      </c>
      <c r="AA24" s="440">
        <f t="shared" si="15"/>
        <v>38</v>
      </c>
      <c r="AB24" s="438">
        <f t="shared" si="16"/>
        <v>10014</v>
      </c>
      <c r="AC24" s="751">
        <v>10026</v>
      </c>
      <c r="AD24" s="440">
        <f t="shared" si="17"/>
        <v>12</v>
      </c>
      <c r="AE24" s="438">
        <f t="shared" si="18"/>
        <v>8673</v>
      </c>
      <c r="AF24" s="752">
        <v>8692</v>
      </c>
      <c r="AG24" s="440">
        <f t="shared" si="19"/>
        <v>19</v>
      </c>
      <c r="AH24" s="438">
        <f t="shared" si="20"/>
        <v>13518</v>
      </c>
      <c r="AI24" s="752">
        <v>13564</v>
      </c>
      <c r="AJ24" s="440">
        <f t="shared" si="21"/>
        <v>46</v>
      </c>
      <c r="AK24" s="576">
        <f t="shared" si="27"/>
        <v>6019</v>
      </c>
      <c r="AL24" s="751">
        <v>6105</v>
      </c>
      <c r="AM24" s="440">
        <f t="shared" si="24"/>
        <v>86</v>
      </c>
      <c r="AN24" s="457">
        <f t="shared" si="22"/>
        <v>292</v>
      </c>
    </row>
    <row r="25" spans="1:40" ht="23.1" customHeight="1" x14ac:dyDescent="0.3">
      <c r="A25" s="97">
        <f>Gen!A30</f>
        <v>43454</v>
      </c>
      <c r="B25" s="5"/>
      <c r="C25" s="141">
        <f>D24</f>
        <v>175107</v>
      </c>
      <c r="D25" s="2">
        <v>175230</v>
      </c>
      <c r="E25" s="98">
        <f t="shared" si="1"/>
        <v>123</v>
      </c>
      <c r="F25" s="141">
        <f>G24</f>
        <v>31384</v>
      </c>
      <c r="G25" s="749">
        <v>31402</v>
      </c>
      <c r="H25" s="98">
        <f t="shared" si="3"/>
        <v>18</v>
      </c>
      <c r="I25" s="141">
        <f>J25</f>
        <v>6273</v>
      </c>
      <c r="J25" s="2">
        <v>6273</v>
      </c>
      <c r="K25" s="98">
        <f>J25-J24</f>
        <v>4</v>
      </c>
      <c r="L25" s="141">
        <f>M24</f>
        <v>6488</v>
      </c>
      <c r="M25" s="2">
        <v>6488</v>
      </c>
      <c r="N25" s="59">
        <f t="shared" si="28"/>
        <v>0</v>
      </c>
      <c r="O25" s="141">
        <f>P24</f>
        <v>15350</v>
      </c>
      <c r="P25" s="750">
        <v>15367</v>
      </c>
      <c r="Q25" s="98">
        <f>P25-O25</f>
        <v>17</v>
      </c>
      <c r="R25" s="444">
        <f t="shared" si="9"/>
        <v>39</v>
      </c>
      <c r="S25" s="438">
        <f t="shared" si="11"/>
        <v>34612</v>
      </c>
      <c r="T25" s="751">
        <v>34652</v>
      </c>
      <c r="U25" s="440">
        <f t="shared" si="10"/>
        <v>40</v>
      </c>
      <c r="V25" s="438">
        <f t="shared" si="12"/>
        <v>48174</v>
      </c>
      <c r="W25" s="751">
        <v>48227</v>
      </c>
      <c r="X25" s="440">
        <f t="shared" si="13"/>
        <v>53</v>
      </c>
      <c r="Y25" s="438">
        <f t="shared" si="14"/>
        <v>58687</v>
      </c>
      <c r="Z25" s="751">
        <v>58708</v>
      </c>
      <c r="AA25" s="440">
        <f t="shared" si="15"/>
        <v>21</v>
      </c>
      <c r="AB25" s="438">
        <f t="shared" si="16"/>
        <v>10026</v>
      </c>
      <c r="AC25" s="751">
        <v>10034</v>
      </c>
      <c r="AD25" s="440">
        <f t="shared" si="17"/>
        <v>8</v>
      </c>
      <c r="AE25" s="438">
        <f t="shared" si="18"/>
        <v>8692</v>
      </c>
      <c r="AF25" s="752">
        <v>8712</v>
      </c>
      <c r="AG25" s="440">
        <f t="shared" si="19"/>
        <v>20</v>
      </c>
      <c r="AH25" s="438">
        <f t="shared" si="20"/>
        <v>13564</v>
      </c>
      <c r="AI25" s="752">
        <v>13611</v>
      </c>
      <c r="AJ25" s="440">
        <f t="shared" si="21"/>
        <v>47</v>
      </c>
      <c r="AK25" s="576">
        <f t="shared" si="27"/>
        <v>6105</v>
      </c>
      <c r="AL25" s="751">
        <v>6194</v>
      </c>
      <c r="AM25" s="440">
        <f t="shared" si="24"/>
        <v>89</v>
      </c>
      <c r="AN25" s="457">
        <f t="shared" si="22"/>
        <v>278</v>
      </c>
    </row>
    <row r="26" spans="1:40" ht="23.1" customHeight="1" x14ac:dyDescent="0.3">
      <c r="A26" s="97">
        <f>Gen!A31</f>
        <v>43455</v>
      </c>
      <c r="B26" s="5"/>
      <c r="C26" s="141">
        <f>D25</f>
        <v>175230</v>
      </c>
      <c r="D26" s="2">
        <v>175360</v>
      </c>
      <c r="E26" s="98">
        <f t="shared" si="1"/>
        <v>130</v>
      </c>
      <c r="F26" s="141">
        <f t="shared" si="2"/>
        <v>31402</v>
      </c>
      <c r="G26" s="749">
        <v>31420</v>
      </c>
      <c r="H26" s="98">
        <f t="shared" si="3"/>
        <v>18</v>
      </c>
      <c r="I26" s="141">
        <f t="shared" ref="I26:I29" si="29">J26</f>
        <v>6278</v>
      </c>
      <c r="J26" s="2">
        <v>6278</v>
      </c>
      <c r="K26" s="98">
        <f t="shared" ref="K26:K37" si="30">J26-J25</f>
        <v>5</v>
      </c>
      <c r="L26" s="141">
        <f t="shared" si="6"/>
        <v>6488</v>
      </c>
      <c r="M26" s="2">
        <v>6488</v>
      </c>
      <c r="N26" s="59">
        <f t="shared" si="28"/>
        <v>0</v>
      </c>
      <c r="O26" s="141">
        <f t="shared" si="7"/>
        <v>15367</v>
      </c>
      <c r="P26" s="750">
        <v>15373</v>
      </c>
      <c r="Q26" s="98">
        <f>P26-O26</f>
        <v>6</v>
      </c>
      <c r="R26" s="444">
        <f t="shared" si="9"/>
        <v>29</v>
      </c>
      <c r="S26" s="438">
        <f t="shared" si="11"/>
        <v>34652</v>
      </c>
      <c r="T26" s="751">
        <v>34691</v>
      </c>
      <c r="U26" s="440">
        <f t="shared" si="10"/>
        <v>39</v>
      </c>
      <c r="V26" s="438">
        <f t="shared" si="12"/>
        <v>48227</v>
      </c>
      <c r="W26" s="751">
        <v>48280</v>
      </c>
      <c r="X26" s="440">
        <f t="shared" si="13"/>
        <v>53</v>
      </c>
      <c r="Y26" s="438">
        <f t="shared" si="14"/>
        <v>58708</v>
      </c>
      <c r="Z26" s="751">
        <v>58722</v>
      </c>
      <c r="AA26" s="440">
        <f t="shared" si="15"/>
        <v>14</v>
      </c>
      <c r="AB26" s="438">
        <f t="shared" si="16"/>
        <v>10034</v>
      </c>
      <c r="AC26" s="751">
        <v>10037</v>
      </c>
      <c r="AD26" s="440">
        <f t="shared" si="17"/>
        <v>3</v>
      </c>
      <c r="AE26" s="438">
        <f t="shared" si="18"/>
        <v>8712</v>
      </c>
      <c r="AF26" s="752">
        <v>8732</v>
      </c>
      <c r="AG26" s="440">
        <f t="shared" si="19"/>
        <v>20</v>
      </c>
      <c r="AH26" s="438">
        <f t="shared" si="20"/>
        <v>13611</v>
      </c>
      <c r="AI26" s="752">
        <v>13657</v>
      </c>
      <c r="AJ26" s="440">
        <f t="shared" si="21"/>
        <v>46</v>
      </c>
      <c r="AK26" s="576">
        <f t="shared" si="27"/>
        <v>6194</v>
      </c>
      <c r="AL26" s="751">
        <v>6292</v>
      </c>
      <c r="AM26" s="440">
        <f t="shared" si="24"/>
        <v>98</v>
      </c>
      <c r="AN26" s="457">
        <f t="shared" si="22"/>
        <v>273</v>
      </c>
    </row>
    <row r="27" spans="1:40" ht="23.1" customHeight="1" x14ac:dyDescent="0.3">
      <c r="A27" s="97">
        <f>Gen!A32</f>
        <v>43456</v>
      </c>
      <c r="B27" s="5"/>
      <c r="C27" s="141">
        <f>D26</f>
        <v>175360</v>
      </c>
      <c r="D27" s="2">
        <v>175490</v>
      </c>
      <c r="E27" s="98">
        <f t="shared" si="1"/>
        <v>130</v>
      </c>
      <c r="F27" s="141">
        <f t="shared" si="2"/>
        <v>31420</v>
      </c>
      <c r="G27" s="749">
        <v>31441</v>
      </c>
      <c r="H27" s="98">
        <f t="shared" si="3"/>
        <v>21</v>
      </c>
      <c r="I27" s="141">
        <f t="shared" si="29"/>
        <v>6282</v>
      </c>
      <c r="J27" s="2">
        <v>6282</v>
      </c>
      <c r="K27" s="98">
        <f t="shared" si="30"/>
        <v>4</v>
      </c>
      <c r="L27" s="141">
        <f t="shared" si="6"/>
        <v>6488</v>
      </c>
      <c r="M27" s="2">
        <v>6488</v>
      </c>
      <c r="N27" s="59">
        <f t="shared" si="28"/>
        <v>0</v>
      </c>
      <c r="O27" s="141">
        <f t="shared" si="7"/>
        <v>15373</v>
      </c>
      <c r="P27" s="750">
        <v>15382</v>
      </c>
      <c r="Q27" s="98">
        <f t="shared" si="8"/>
        <v>9</v>
      </c>
      <c r="R27" s="444">
        <f t="shared" si="9"/>
        <v>34</v>
      </c>
      <c r="S27" s="438">
        <f t="shared" si="11"/>
        <v>34691</v>
      </c>
      <c r="T27" s="751">
        <v>34733</v>
      </c>
      <c r="U27" s="440">
        <f t="shared" si="10"/>
        <v>42</v>
      </c>
      <c r="V27" s="438">
        <f t="shared" si="12"/>
        <v>48280</v>
      </c>
      <c r="W27" s="751">
        <v>48332</v>
      </c>
      <c r="X27" s="440">
        <f t="shared" si="13"/>
        <v>52</v>
      </c>
      <c r="Y27" s="438">
        <f t="shared" si="14"/>
        <v>58722</v>
      </c>
      <c r="Z27" s="751">
        <v>58752</v>
      </c>
      <c r="AA27" s="440">
        <f t="shared" si="15"/>
        <v>30</v>
      </c>
      <c r="AB27" s="438">
        <f t="shared" si="16"/>
        <v>10037</v>
      </c>
      <c r="AC27" s="751">
        <v>10043</v>
      </c>
      <c r="AD27" s="440">
        <f t="shared" si="17"/>
        <v>6</v>
      </c>
      <c r="AE27" s="438">
        <f t="shared" si="18"/>
        <v>8732</v>
      </c>
      <c r="AF27" s="752">
        <v>8752</v>
      </c>
      <c r="AG27" s="440">
        <f t="shared" si="19"/>
        <v>20</v>
      </c>
      <c r="AH27" s="438">
        <f t="shared" si="20"/>
        <v>13657</v>
      </c>
      <c r="AI27" s="752">
        <v>13705</v>
      </c>
      <c r="AJ27" s="440">
        <f t="shared" si="21"/>
        <v>48</v>
      </c>
      <c r="AK27" s="576">
        <f t="shared" si="27"/>
        <v>6292</v>
      </c>
      <c r="AL27" s="751">
        <v>6407</v>
      </c>
      <c r="AM27" s="440">
        <f t="shared" si="24"/>
        <v>115</v>
      </c>
      <c r="AN27" s="457">
        <f t="shared" si="22"/>
        <v>313</v>
      </c>
    </row>
    <row r="28" spans="1:40" ht="23.1" customHeight="1" x14ac:dyDescent="0.3">
      <c r="A28" s="97">
        <f>Gen!A33</f>
        <v>43457</v>
      </c>
      <c r="B28" s="5"/>
      <c r="C28" s="141">
        <f t="shared" ref="C28:C37" si="31">D27</f>
        <v>175490</v>
      </c>
      <c r="D28" s="2">
        <v>175621</v>
      </c>
      <c r="E28" s="98">
        <f t="shared" si="1"/>
        <v>131</v>
      </c>
      <c r="F28" s="141">
        <f t="shared" si="2"/>
        <v>31441</v>
      </c>
      <c r="G28" s="749">
        <v>31463</v>
      </c>
      <c r="H28" s="98">
        <f t="shared" si="3"/>
        <v>22</v>
      </c>
      <c r="I28" s="141">
        <f t="shared" si="29"/>
        <v>6286</v>
      </c>
      <c r="J28" s="2">
        <v>6286</v>
      </c>
      <c r="K28" s="98">
        <f t="shared" si="30"/>
        <v>4</v>
      </c>
      <c r="L28" s="141">
        <f t="shared" si="6"/>
        <v>6488</v>
      </c>
      <c r="M28" s="2">
        <v>6488</v>
      </c>
      <c r="N28" s="59">
        <f t="shared" si="28"/>
        <v>0</v>
      </c>
      <c r="O28" s="141">
        <f t="shared" si="7"/>
        <v>15382</v>
      </c>
      <c r="P28" s="750">
        <v>15391</v>
      </c>
      <c r="Q28" s="98">
        <f t="shared" si="8"/>
        <v>9</v>
      </c>
      <c r="R28" s="444">
        <f t="shared" si="9"/>
        <v>35</v>
      </c>
      <c r="S28" s="438">
        <f t="shared" si="11"/>
        <v>34733</v>
      </c>
      <c r="T28" s="751">
        <v>34772</v>
      </c>
      <c r="U28" s="440">
        <f t="shared" si="10"/>
        <v>39</v>
      </c>
      <c r="V28" s="438">
        <f t="shared" si="12"/>
        <v>48332</v>
      </c>
      <c r="W28" s="751">
        <v>48387</v>
      </c>
      <c r="X28" s="440">
        <f t="shared" si="13"/>
        <v>55</v>
      </c>
      <c r="Y28" s="438">
        <f t="shared" si="14"/>
        <v>58752</v>
      </c>
      <c r="Z28" s="751">
        <v>58762</v>
      </c>
      <c r="AA28" s="440">
        <f t="shared" si="15"/>
        <v>10</v>
      </c>
      <c r="AB28" s="438">
        <f t="shared" si="16"/>
        <v>10043</v>
      </c>
      <c r="AC28" s="751">
        <v>10047</v>
      </c>
      <c r="AD28" s="440">
        <f t="shared" si="17"/>
        <v>4</v>
      </c>
      <c r="AE28" s="438">
        <f t="shared" si="18"/>
        <v>8752</v>
      </c>
      <c r="AF28" s="752">
        <v>8771</v>
      </c>
      <c r="AG28" s="440">
        <f t="shared" si="19"/>
        <v>19</v>
      </c>
      <c r="AH28" s="438">
        <f t="shared" si="20"/>
        <v>13705</v>
      </c>
      <c r="AI28" s="752">
        <v>13749</v>
      </c>
      <c r="AJ28" s="440">
        <f t="shared" si="21"/>
        <v>44</v>
      </c>
      <c r="AK28" s="576">
        <f t="shared" si="27"/>
        <v>6407</v>
      </c>
      <c r="AL28" s="751">
        <v>6526</v>
      </c>
      <c r="AM28" s="440">
        <f t="shared" si="24"/>
        <v>119</v>
      </c>
      <c r="AN28" s="457">
        <f t="shared" si="22"/>
        <v>290</v>
      </c>
    </row>
    <row r="29" spans="1:40" ht="23.1" customHeight="1" x14ac:dyDescent="0.3">
      <c r="A29" s="97">
        <f>Gen!A34</f>
        <v>43458</v>
      </c>
      <c r="B29" s="5"/>
      <c r="C29" s="141">
        <f t="shared" si="31"/>
        <v>175621</v>
      </c>
      <c r="D29" s="2">
        <v>175733</v>
      </c>
      <c r="E29" s="98">
        <f t="shared" si="1"/>
        <v>112</v>
      </c>
      <c r="F29" s="141">
        <f t="shared" si="2"/>
        <v>31463</v>
      </c>
      <c r="G29" s="749">
        <v>31480</v>
      </c>
      <c r="H29" s="98">
        <f t="shared" si="3"/>
        <v>17</v>
      </c>
      <c r="I29" s="141">
        <f t="shared" si="29"/>
        <v>6289</v>
      </c>
      <c r="J29" s="2">
        <v>6289</v>
      </c>
      <c r="K29" s="98">
        <f t="shared" si="30"/>
        <v>3</v>
      </c>
      <c r="L29" s="141">
        <f t="shared" si="6"/>
        <v>6488</v>
      </c>
      <c r="M29" s="2">
        <v>6488</v>
      </c>
      <c r="N29" s="59">
        <f t="shared" si="28"/>
        <v>0</v>
      </c>
      <c r="O29" s="141">
        <f t="shared" si="7"/>
        <v>15391</v>
      </c>
      <c r="P29" s="750">
        <v>15401</v>
      </c>
      <c r="Q29" s="98">
        <f t="shared" si="8"/>
        <v>10</v>
      </c>
      <c r="R29" s="444">
        <f t="shared" si="9"/>
        <v>30</v>
      </c>
      <c r="S29" s="438">
        <f t="shared" si="11"/>
        <v>34772</v>
      </c>
      <c r="T29" s="751">
        <v>34802</v>
      </c>
      <c r="U29" s="440">
        <f t="shared" si="10"/>
        <v>30</v>
      </c>
      <c r="V29" s="438">
        <f t="shared" si="12"/>
        <v>48387</v>
      </c>
      <c r="W29" s="751">
        <v>48439</v>
      </c>
      <c r="X29" s="440">
        <f t="shared" si="13"/>
        <v>52</v>
      </c>
      <c r="Y29" s="438">
        <f t="shared" si="14"/>
        <v>58762</v>
      </c>
      <c r="Z29" s="751">
        <v>58780</v>
      </c>
      <c r="AA29" s="440">
        <f t="shared" si="15"/>
        <v>18</v>
      </c>
      <c r="AB29" s="438">
        <f t="shared" si="16"/>
        <v>10047</v>
      </c>
      <c r="AC29" s="751">
        <v>10052</v>
      </c>
      <c r="AD29" s="440">
        <f t="shared" si="17"/>
        <v>5</v>
      </c>
      <c r="AE29" s="438">
        <f t="shared" si="18"/>
        <v>8771</v>
      </c>
      <c r="AF29" s="752">
        <v>8791</v>
      </c>
      <c r="AG29" s="440">
        <f t="shared" si="19"/>
        <v>20</v>
      </c>
      <c r="AH29" s="438">
        <f t="shared" si="20"/>
        <v>13749</v>
      </c>
      <c r="AI29" s="752">
        <v>13794</v>
      </c>
      <c r="AJ29" s="440">
        <f t="shared" si="21"/>
        <v>45</v>
      </c>
      <c r="AK29" s="576">
        <f t="shared" si="27"/>
        <v>6526</v>
      </c>
      <c r="AL29" s="751">
        <v>6526</v>
      </c>
      <c r="AM29" s="440">
        <f t="shared" si="24"/>
        <v>0</v>
      </c>
      <c r="AN29" s="457">
        <f t="shared" si="22"/>
        <v>170</v>
      </c>
    </row>
    <row r="30" spans="1:40" ht="23.1" customHeight="1" x14ac:dyDescent="0.3">
      <c r="A30" s="97">
        <f>Gen!A35</f>
        <v>43459</v>
      </c>
      <c r="B30" s="5"/>
      <c r="C30" s="141">
        <f t="shared" si="31"/>
        <v>175733</v>
      </c>
      <c r="D30" s="2">
        <v>175880</v>
      </c>
      <c r="E30" s="98">
        <f t="shared" si="1"/>
        <v>147</v>
      </c>
      <c r="F30" s="141">
        <f t="shared" si="2"/>
        <v>31480</v>
      </c>
      <c r="G30" s="749">
        <v>31504</v>
      </c>
      <c r="H30" s="98">
        <f t="shared" si="3"/>
        <v>24</v>
      </c>
      <c r="I30" s="141">
        <f t="shared" si="4"/>
        <v>6289</v>
      </c>
      <c r="J30" s="2">
        <v>6293</v>
      </c>
      <c r="K30" s="98">
        <f t="shared" si="30"/>
        <v>4</v>
      </c>
      <c r="L30" s="141">
        <f t="shared" si="6"/>
        <v>6488</v>
      </c>
      <c r="M30" s="2">
        <v>6488</v>
      </c>
      <c r="N30" s="59">
        <f t="shared" si="28"/>
        <v>0</v>
      </c>
      <c r="O30" s="141">
        <f t="shared" si="7"/>
        <v>15401</v>
      </c>
      <c r="P30" s="750">
        <v>15421</v>
      </c>
      <c r="Q30" s="98">
        <f t="shared" si="8"/>
        <v>20</v>
      </c>
      <c r="R30" s="444">
        <f t="shared" si="9"/>
        <v>48</v>
      </c>
      <c r="S30" s="438">
        <f t="shared" si="11"/>
        <v>34802</v>
      </c>
      <c r="T30" s="751">
        <v>34851</v>
      </c>
      <c r="U30" s="440">
        <f t="shared" si="10"/>
        <v>49</v>
      </c>
      <c r="V30" s="438">
        <f t="shared" si="12"/>
        <v>48439</v>
      </c>
      <c r="W30" s="751">
        <v>48492</v>
      </c>
      <c r="X30" s="440">
        <f t="shared" si="13"/>
        <v>53</v>
      </c>
      <c r="Y30" s="438">
        <f t="shared" si="14"/>
        <v>58780</v>
      </c>
      <c r="Z30" s="751">
        <v>58797</v>
      </c>
      <c r="AA30" s="440">
        <f t="shared" si="15"/>
        <v>17</v>
      </c>
      <c r="AB30" s="438">
        <f t="shared" si="16"/>
        <v>10052</v>
      </c>
      <c r="AC30" s="751">
        <v>10056</v>
      </c>
      <c r="AD30" s="440">
        <f t="shared" si="17"/>
        <v>4</v>
      </c>
      <c r="AE30" s="438">
        <f t="shared" si="18"/>
        <v>8791</v>
      </c>
      <c r="AF30" s="752">
        <v>8813</v>
      </c>
      <c r="AG30" s="440">
        <f t="shared" si="19"/>
        <v>22</v>
      </c>
      <c r="AH30" s="438">
        <f t="shared" si="20"/>
        <v>13794</v>
      </c>
      <c r="AI30" s="752">
        <v>13840</v>
      </c>
      <c r="AJ30" s="440">
        <f t="shared" si="21"/>
        <v>46</v>
      </c>
      <c r="AK30" s="576">
        <f t="shared" si="27"/>
        <v>6526</v>
      </c>
      <c r="AL30" s="751">
        <v>6536</v>
      </c>
      <c r="AM30" s="440">
        <f t="shared" si="24"/>
        <v>10</v>
      </c>
      <c r="AN30" s="457">
        <f t="shared" si="22"/>
        <v>201</v>
      </c>
    </row>
    <row r="31" spans="1:40" ht="23.1" customHeight="1" x14ac:dyDescent="0.3">
      <c r="A31" s="97">
        <f>Gen!A36</f>
        <v>43460</v>
      </c>
      <c r="B31" s="5"/>
      <c r="C31" s="141">
        <f t="shared" si="31"/>
        <v>175880</v>
      </c>
      <c r="D31" s="2">
        <v>176047</v>
      </c>
      <c r="E31" s="98">
        <f t="shared" si="1"/>
        <v>167</v>
      </c>
      <c r="F31" s="141">
        <f t="shared" si="2"/>
        <v>31504</v>
      </c>
      <c r="G31" s="749">
        <v>31527</v>
      </c>
      <c r="H31" s="98">
        <f t="shared" si="3"/>
        <v>23</v>
      </c>
      <c r="I31" s="141">
        <f t="shared" si="4"/>
        <v>6293</v>
      </c>
      <c r="J31" s="2">
        <v>6298</v>
      </c>
      <c r="K31" s="98">
        <f t="shared" si="30"/>
        <v>5</v>
      </c>
      <c r="L31" s="141">
        <f t="shared" si="6"/>
        <v>6488</v>
      </c>
      <c r="M31" s="2">
        <v>6488</v>
      </c>
      <c r="N31" s="59">
        <f t="shared" si="28"/>
        <v>0</v>
      </c>
      <c r="O31" s="141">
        <f t="shared" si="7"/>
        <v>15421</v>
      </c>
      <c r="P31" s="750">
        <v>15442</v>
      </c>
      <c r="Q31" s="98">
        <f t="shared" si="8"/>
        <v>21</v>
      </c>
      <c r="R31" s="444">
        <f t="shared" si="9"/>
        <v>49</v>
      </c>
      <c r="S31" s="438">
        <f t="shared" si="11"/>
        <v>34851</v>
      </c>
      <c r="T31" s="751">
        <v>34890</v>
      </c>
      <c r="U31" s="440">
        <f t="shared" si="10"/>
        <v>39</v>
      </c>
      <c r="V31" s="438">
        <f t="shared" si="12"/>
        <v>48492</v>
      </c>
      <c r="W31" s="751">
        <v>48544</v>
      </c>
      <c r="X31" s="440">
        <f t="shared" si="13"/>
        <v>52</v>
      </c>
      <c r="Y31" s="438">
        <f t="shared" si="14"/>
        <v>58797</v>
      </c>
      <c r="Z31" s="751">
        <v>58814</v>
      </c>
      <c r="AA31" s="440">
        <f t="shared" si="15"/>
        <v>17</v>
      </c>
      <c r="AB31" s="438"/>
      <c r="AC31" s="751">
        <v>10059</v>
      </c>
      <c r="AD31" s="440">
        <f t="shared" si="17"/>
        <v>3</v>
      </c>
      <c r="AE31" s="438">
        <f t="shared" si="18"/>
        <v>8813</v>
      </c>
      <c r="AF31" s="752">
        <v>8834</v>
      </c>
      <c r="AG31" s="440">
        <f t="shared" si="19"/>
        <v>21</v>
      </c>
      <c r="AH31" s="438">
        <f t="shared" si="20"/>
        <v>13840</v>
      </c>
      <c r="AI31" s="752">
        <v>13883</v>
      </c>
      <c r="AJ31" s="440">
        <f t="shared" si="21"/>
        <v>43</v>
      </c>
      <c r="AK31" s="584">
        <f t="shared" si="27"/>
        <v>6536</v>
      </c>
      <c r="AL31" s="751">
        <v>6536</v>
      </c>
      <c r="AM31" s="440">
        <f t="shared" si="24"/>
        <v>0</v>
      </c>
      <c r="AN31" s="457">
        <f t="shared" si="22"/>
        <v>175</v>
      </c>
    </row>
    <row r="32" spans="1:40" ht="23.1" customHeight="1" x14ac:dyDescent="0.3">
      <c r="A32" s="97">
        <f>Gen!A37</f>
        <v>43461</v>
      </c>
      <c r="B32" s="5" t="s">
        <v>58</v>
      </c>
      <c r="C32" s="141">
        <f t="shared" si="31"/>
        <v>176047</v>
      </c>
      <c r="D32" s="2">
        <v>176206</v>
      </c>
      <c r="E32" s="98">
        <f t="shared" ref="E32:E37" si="32">D32-C32</f>
        <v>159</v>
      </c>
      <c r="F32" s="141">
        <f t="shared" si="2"/>
        <v>31527</v>
      </c>
      <c r="G32" s="749">
        <v>31549</v>
      </c>
      <c r="H32" s="98">
        <f t="shared" si="3"/>
        <v>22</v>
      </c>
      <c r="I32" s="141">
        <f t="shared" si="4"/>
        <v>6298</v>
      </c>
      <c r="J32" s="2">
        <v>6302</v>
      </c>
      <c r="K32" s="98">
        <f t="shared" si="30"/>
        <v>4</v>
      </c>
      <c r="L32" s="141">
        <f t="shared" si="6"/>
        <v>6488</v>
      </c>
      <c r="M32" s="2">
        <v>6488</v>
      </c>
      <c r="N32" s="59">
        <f t="shared" si="28"/>
        <v>0</v>
      </c>
      <c r="O32" s="141">
        <f t="shared" si="7"/>
        <v>15442</v>
      </c>
      <c r="P32" s="750">
        <v>15464</v>
      </c>
      <c r="Q32" s="98">
        <f t="shared" si="8"/>
        <v>22</v>
      </c>
      <c r="R32" s="444">
        <f t="shared" si="9"/>
        <v>48</v>
      </c>
      <c r="S32" s="438">
        <f t="shared" si="11"/>
        <v>34890</v>
      </c>
      <c r="T32" s="751">
        <v>34928</v>
      </c>
      <c r="U32" s="440">
        <f t="shared" si="10"/>
        <v>38</v>
      </c>
      <c r="V32" s="438">
        <f t="shared" si="12"/>
        <v>48544</v>
      </c>
      <c r="W32" s="751">
        <v>48596</v>
      </c>
      <c r="X32" s="440">
        <f t="shared" si="13"/>
        <v>52</v>
      </c>
      <c r="Y32" s="438">
        <f t="shared" si="14"/>
        <v>58814</v>
      </c>
      <c r="Z32" s="751">
        <v>58837</v>
      </c>
      <c r="AA32" s="440">
        <f t="shared" si="15"/>
        <v>23</v>
      </c>
      <c r="AB32" s="438">
        <f t="shared" si="16"/>
        <v>10059</v>
      </c>
      <c r="AC32" s="751">
        <v>10063</v>
      </c>
      <c r="AD32" s="440">
        <f t="shared" si="17"/>
        <v>4</v>
      </c>
      <c r="AE32" s="438">
        <f t="shared" si="18"/>
        <v>8834</v>
      </c>
      <c r="AF32" s="752">
        <v>8855</v>
      </c>
      <c r="AG32" s="440">
        <f t="shared" si="19"/>
        <v>21</v>
      </c>
      <c r="AH32" s="438">
        <f t="shared" si="20"/>
        <v>13883</v>
      </c>
      <c r="AI32" s="752">
        <v>13926</v>
      </c>
      <c r="AJ32" s="440">
        <f t="shared" si="21"/>
        <v>43</v>
      </c>
      <c r="AK32" s="584">
        <f t="shared" si="27"/>
        <v>6536</v>
      </c>
      <c r="AL32" s="751">
        <v>6536</v>
      </c>
      <c r="AM32" s="440">
        <f t="shared" si="24"/>
        <v>0</v>
      </c>
      <c r="AN32" s="457">
        <f t="shared" si="22"/>
        <v>181</v>
      </c>
    </row>
    <row r="33" spans="1:40" ht="23.1" customHeight="1" x14ac:dyDescent="0.3">
      <c r="A33" s="97">
        <f>Gen!A38</f>
        <v>43462</v>
      </c>
      <c r="B33" s="5"/>
      <c r="C33" s="141">
        <f t="shared" si="31"/>
        <v>176206</v>
      </c>
      <c r="D33" s="2">
        <v>176370</v>
      </c>
      <c r="E33" s="98">
        <f t="shared" si="32"/>
        <v>164</v>
      </c>
      <c r="F33" s="141">
        <f t="shared" si="2"/>
        <v>31549</v>
      </c>
      <c r="G33" s="749">
        <v>31571</v>
      </c>
      <c r="H33" s="98">
        <f t="shared" si="3"/>
        <v>22</v>
      </c>
      <c r="I33" s="141">
        <f t="shared" si="4"/>
        <v>6302</v>
      </c>
      <c r="J33" s="2">
        <v>6309</v>
      </c>
      <c r="K33" s="98">
        <f t="shared" si="30"/>
        <v>7</v>
      </c>
      <c r="L33" s="141">
        <f t="shared" si="6"/>
        <v>6488</v>
      </c>
      <c r="M33" s="2">
        <v>6488</v>
      </c>
      <c r="N33" s="59">
        <f t="shared" si="28"/>
        <v>0</v>
      </c>
      <c r="O33" s="141">
        <f t="shared" si="7"/>
        <v>15464</v>
      </c>
      <c r="P33" s="750">
        <v>15487</v>
      </c>
      <c r="Q33" s="98">
        <f t="shared" si="8"/>
        <v>23</v>
      </c>
      <c r="R33" s="444">
        <f t="shared" si="9"/>
        <v>52</v>
      </c>
      <c r="S33" s="438">
        <f t="shared" si="11"/>
        <v>34928</v>
      </c>
      <c r="T33" s="751">
        <v>34967</v>
      </c>
      <c r="U33" s="440">
        <f t="shared" si="10"/>
        <v>39</v>
      </c>
      <c r="V33" s="438">
        <f t="shared" si="12"/>
        <v>48596</v>
      </c>
      <c r="W33" s="751">
        <v>48648</v>
      </c>
      <c r="X33" s="440">
        <f t="shared" si="13"/>
        <v>52</v>
      </c>
      <c r="Y33" s="438">
        <f t="shared" si="14"/>
        <v>58837</v>
      </c>
      <c r="Z33" s="751">
        <v>58862</v>
      </c>
      <c r="AA33" s="440">
        <f t="shared" si="15"/>
        <v>25</v>
      </c>
      <c r="AB33" s="438">
        <f t="shared" si="16"/>
        <v>10063</v>
      </c>
      <c r="AC33" s="751">
        <v>10063</v>
      </c>
      <c r="AD33" s="440">
        <f t="shared" si="17"/>
        <v>0</v>
      </c>
      <c r="AE33" s="438">
        <f t="shared" si="18"/>
        <v>8855</v>
      </c>
      <c r="AF33" s="752">
        <v>8878</v>
      </c>
      <c r="AG33" s="440">
        <f t="shared" si="19"/>
        <v>23</v>
      </c>
      <c r="AH33" s="438">
        <f t="shared" si="20"/>
        <v>13926</v>
      </c>
      <c r="AI33" s="752">
        <v>13970</v>
      </c>
      <c r="AJ33" s="440">
        <f t="shared" si="21"/>
        <v>44</v>
      </c>
      <c r="AK33" s="584">
        <f t="shared" si="27"/>
        <v>6536</v>
      </c>
      <c r="AL33" s="751">
        <v>6536</v>
      </c>
      <c r="AM33" s="440">
        <f t="shared" si="24"/>
        <v>0</v>
      </c>
      <c r="AN33" s="457">
        <f t="shared" si="22"/>
        <v>183</v>
      </c>
    </row>
    <row r="34" spans="1:40" ht="23.1" customHeight="1" x14ac:dyDescent="0.3">
      <c r="A34" s="97">
        <f>Gen!A39</f>
        <v>43463</v>
      </c>
      <c r="B34" s="250"/>
      <c r="C34" s="141">
        <f t="shared" si="31"/>
        <v>176370</v>
      </c>
      <c r="D34" s="2">
        <v>176543</v>
      </c>
      <c r="E34" s="98">
        <f t="shared" si="32"/>
        <v>173</v>
      </c>
      <c r="F34" s="141">
        <f t="shared" si="2"/>
        <v>31571</v>
      </c>
      <c r="G34" s="749">
        <v>31595</v>
      </c>
      <c r="H34" s="98">
        <f t="shared" si="3"/>
        <v>24</v>
      </c>
      <c r="I34" s="141">
        <f t="shared" si="4"/>
        <v>6309</v>
      </c>
      <c r="J34" s="2">
        <v>6314</v>
      </c>
      <c r="K34" s="98">
        <f t="shared" si="30"/>
        <v>5</v>
      </c>
      <c r="L34" s="141">
        <f t="shared" si="6"/>
        <v>6488</v>
      </c>
      <c r="M34" s="2">
        <v>6488</v>
      </c>
      <c r="N34" s="59">
        <f t="shared" si="28"/>
        <v>0</v>
      </c>
      <c r="O34" s="141">
        <f t="shared" si="7"/>
        <v>15487</v>
      </c>
      <c r="P34" s="750">
        <v>15511</v>
      </c>
      <c r="Q34" s="98">
        <f t="shared" si="8"/>
        <v>24</v>
      </c>
      <c r="R34" s="444">
        <f t="shared" si="9"/>
        <v>53</v>
      </c>
      <c r="S34" s="438">
        <f t="shared" si="11"/>
        <v>34967</v>
      </c>
      <c r="T34" s="751">
        <v>35006</v>
      </c>
      <c r="U34" s="440">
        <f t="shared" si="10"/>
        <v>39</v>
      </c>
      <c r="V34" s="438">
        <f t="shared" si="12"/>
        <v>48648</v>
      </c>
      <c r="W34" s="751">
        <v>48701</v>
      </c>
      <c r="X34" s="440">
        <f t="shared" si="13"/>
        <v>53</v>
      </c>
      <c r="Y34" s="438">
        <f t="shared" si="14"/>
        <v>58862</v>
      </c>
      <c r="Z34" s="751">
        <v>58887</v>
      </c>
      <c r="AA34" s="440">
        <f t="shared" si="15"/>
        <v>25</v>
      </c>
      <c r="AB34" s="438">
        <f t="shared" si="16"/>
        <v>10063</v>
      </c>
      <c r="AC34" s="751">
        <v>10063</v>
      </c>
      <c r="AD34" s="440">
        <f t="shared" si="17"/>
        <v>0</v>
      </c>
      <c r="AE34" s="438">
        <f t="shared" si="18"/>
        <v>8878</v>
      </c>
      <c r="AF34" s="752">
        <v>8900</v>
      </c>
      <c r="AG34" s="440">
        <f t="shared" si="19"/>
        <v>22</v>
      </c>
      <c r="AH34" s="438">
        <f t="shared" si="20"/>
        <v>13970</v>
      </c>
      <c r="AI34" s="752">
        <v>14013</v>
      </c>
      <c r="AJ34" s="440">
        <f t="shared" si="21"/>
        <v>43</v>
      </c>
      <c r="AK34" s="584">
        <f t="shared" si="27"/>
        <v>6536</v>
      </c>
      <c r="AL34" s="751">
        <v>6536</v>
      </c>
      <c r="AM34" s="440">
        <f t="shared" si="24"/>
        <v>0</v>
      </c>
      <c r="AN34" s="457">
        <f t="shared" si="22"/>
        <v>182</v>
      </c>
    </row>
    <row r="35" spans="1:40" ht="23.1" customHeight="1" x14ac:dyDescent="0.3">
      <c r="A35" s="97">
        <f>Gen!A40</f>
        <v>43464</v>
      </c>
      <c r="B35" s="250"/>
      <c r="C35" s="141">
        <f t="shared" si="31"/>
        <v>176543</v>
      </c>
      <c r="D35" s="2">
        <v>176699</v>
      </c>
      <c r="E35" s="98">
        <f t="shared" si="32"/>
        <v>156</v>
      </c>
      <c r="F35" s="141">
        <f t="shared" si="2"/>
        <v>31595</v>
      </c>
      <c r="G35" s="749">
        <v>31616</v>
      </c>
      <c r="H35" s="98">
        <f t="shared" si="3"/>
        <v>21</v>
      </c>
      <c r="I35" s="141">
        <f t="shared" si="4"/>
        <v>6314</v>
      </c>
      <c r="J35" s="2">
        <v>6318</v>
      </c>
      <c r="K35" s="98">
        <f t="shared" si="30"/>
        <v>4</v>
      </c>
      <c r="L35" s="141">
        <f t="shared" si="6"/>
        <v>6488</v>
      </c>
      <c r="M35" s="2">
        <v>6488</v>
      </c>
      <c r="N35" s="59">
        <f t="shared" si="28"/>
        <v>0</v>
      </c>
      <c r="O35" s="141">
        <f t="shared" si="7"/>
        <v>15511</v>
      </c>
      <c r="P35" s="750">
        <v>15522</v>
      </c>
      <c r="Q35" s="98">
        <f t="shared" si="8"/>
        <v>11</v>
      </c>
      <c r="R35" s="444">
        <f t="shared" si="9"/>
        <v>36</v>
      </c>
      <c r="S35" s="438">
        <f t="shared" si="11"/>
        <v>35006</v>
      </c>
      <c r="T35" s="751">
        <v>35045</v>
      </c>
      <c r="U35" s="440">
        <f t="shared" si="10"/>
        <v>39</v>
      </c>
      <c r="V35" s="438">
        <f t="shared" si="12"/>
        <v>48701</v>
      </c>
      <c r="W35" s="751">
        <v>48755</v>
      </c>
      <c r="X35" s="440">
        <f t="shared" si="13"/>
        <v>54</v>
      </c>
      <c r="Y35" s="438">
        <f t="shared" si="14"/>
        <v>58887</v>
      </c>
      <c r="Z35" s="751">
        <v>58913</v>
      </c>
      <c r="AA35" s="440">
        <f t="shared" si="15"/>
        <v>26</v>
      </c>
      <c r="AB35" s="438">
        <f t="shared" si="16"/>
        <v>10063</v>
      </c>
      <c r="AC35" s="751">
        <v>10063</v>
      </c>
      <c r="AD35" s="440">
        <f t="shared" si="17"/>
        <v>0</v>
      </c>
      <c r="AE35" s="438">
        <f t="shared" si="18"/>
        <v>8900</v>
      </c>
      <c r="AF35" s="752">
        <v>8923</v>
      </c>
      <c r="AG35" s="440">
        <f t="shared" si="19"/>
        <v>23</v>
      </c>
      <c r="AH35" s="438">
        <f t="shared" si="20"/>
        <v>14013</v>
      </c>
      <c r="AI35" s="752">
        <v>14057</v>
      </c>
      <c r="AJ35" s="440">
        <f t="shared" si="21"/>
        <v>44</v>
      </c>
      <c r="AK35" s="584">
        <f t="shared" si="27"/>
        <v>6536</v>
      </c>
      <c r="AL35" s="751">
        <v>6536</v>
      </c>
      <c r="AM35" s="440">
        <f t="shared" si="24"/>
        <v>0</v>
      </c>
      <c r="AN35" s="457">
        <f t="shared" si="22"/>
        <v>186</v>
      </c>
    </row>
    <row r="36" spans="1:40" ht="23.1" customHeight="1" x14ac:dyDescent="0.3">
      <c r="A36" s="97">
        <f>Gen!A41</f>
        <v>43465</v>
      </c>
      <c r="B36" s="251"/>
      <c r="C36" s="141">
        <f t="shared" si="31"/>
        <v>176699</v>
      </c>
      <c r="D36" s="2">
        <v>176819</v>
      </c>
      <c r="E36" s="98">
        <f t="shared" si="32"/>
        <v>120</v>
      </c>
      <c r="F36" s="141">
        <f t="shared" si="2"/>
        <v>31616</v>
      </c>
      <c r="G36" s="749">
        <v>31642</v>
      </c>
      <c r="H36" s="98">
        <f t="shared" si="3"/>
        <v>26</v>
      </c>
      <c r="I36" s="141">
        <f t="shared" si="4"/>
        <v>6318</v>
      </c>
      <c r="J36" s="2">
        <v>6322</v>
      </c>
      <c r="K36" s="98">
        <f t="shared" si="30"/>
        <v>4</v>
      </c>
      <c r="L36" s="141">
        <f t="shared" si="6"/>
        <v>6488</v>
      </c>
      <c r="M36" s="2">
        <v>6488</v>
      </c>
      <c r="N36" s="59">
        <f t="shared" si="28"/>
        <v>0</v>
      </c>
      <c r="O36" s="141">
        <f t="shared" si="7"/>
        <v>15522</v>
      </c>
      <c r="P36" s="750">
        <v>15533</v>
      </c>
      <c r="Q36" s="98">
        <f t="shared" si="8"/>
        <v>11</v>
      </c>
      <c r="R36" s="444">
        <f t="shared" si="9"/>
        <v>41</v>
      </c>
      <c r="S36" s="438">
        <f t="shared" si="11"/>
        <v>35045</v>
      </c>
      <c r="T36" s="751">
        <v>35084</v>
      </c>
      <c r="U36" s="440">
        <f t="shared" si="10"/>
        <v>39</v>
      </c>
      <c r="V36" s="438">
        <f t="shared" si="12"/>
        <v>48755</v>
      </c>
      <c r="W36" s="751">
        <v>48807</v>
      </c>
      <c r="X36" s="440">
        <f t="shared" si="13"/>
        <v>52</v>
      </c>
      <c r="Y36" s="438">
        <f t="shared" si="14"/>
        <v>58913</v>
      </c>
      <c r="Z36" s="751">
        <v>58939</v>
      </c>
      <c r="AA36" s="440">
        <f t="shared" si="15"/>
        <v>26</v>
      </c>
      <c r="AB36" s="438">
        <f t="shared" si="16"/>
        <v>10063</v>
      </c>
      <c r="AC36" s="751">
        <v>10063</v>
      </c>
      <c r="AD36" s="440">
        <f t="shared" si="17"/>
        <v>0</v>
      </c>
      <c r="AE36" s="438">
        <f t="shared" si="18"/>
        <v>8923</v>
      </c>
      <c r="AF36" s="752">
        <v>8945</v>
      </c>
      <c r="AG36" s="440">
        <f t="shared" si="19"/>
        <v>22</v>
      </c>
      <c r="AH36" s="438">
        <f t="shared" si="20"/>
        <v>14057</v>
      </c>
      <c r="AI36" s="752">
        <v>14098</v>
      </c>
      <c r="AJ36" s="440">
        <f t="shared" si="21"/>
        <v>41</v>
      </c>
      <c r="AK36" s="584">
        <f t="shared" si="27"/>
        <v>6536</v>
      </c>
      <c r="AL36" s="751">
        <v>6536</v>
      </c>
      <c r="AM36" s="440">
        <f t="shared" si="24"/>
        <v>0</v>
      </c>
      <c r="AN36" s="457">
        <f t="shared" si="22"/>
        <v>180</v>
      </c>
    </row>
    <row r="37" spans="1:40" ht="24" customHeight="1" x14ac:dyDescent="0.3">
      <c r="A37" s="97">
        <f>Gen!A42</f>
        <v>0</v>
      </c>
      <c r="B37" s="4"/>
      <c r="C37" s="141">
        <f t="shared" si="31"/>
        <v>176819</v>
      </c>
      <c r="D37" s="2"/>
      <c r="E37" s="98">
        <f t="shared" si="32"/>
        <v>-176819</v>
      </c>
      <c r="F37" s="141">
        <f t="shared" si="2"/>
        <v>31642</v>
      </c>
      <c r="G37" s="749"/>
      <c r="H37" s="59">
        <f t="shared" ref="H37" si="33">G37-F37</f>
        <v>-31642</v>
      </c>
      <c r="I37" s="141">
        <f t="shared" si="4"/>
        <v>6322</v>
      </c>
      <c r="J37" s="2"/>
      <c r="K37" s="98">
        <f t="shared" si="30"/>
        <v>-6322</v>
      </c>
      <c r="L37" s="141">
        <f t="shared" si="6"/>
        <v>6488</v>
      </c>
      <c r="M37" s="2"/>
      <c r="N37" s="59">
        <f t="shared" si="28"/>
        <v>-6488</v>
      </c>
      <c r="O37" s="141">
        <f t="shared" si="7"/>
        <v>15533</v>
      </c>
      <c r="P37" s="750"/>
      <c r="Q37" s="98">
        <f t="shared" si="8"/>
        <v>-15533</v>
      </c>
      <c r="R37" s="444">
        <f>E37</f>
        <v>-176819</v>
      </c>
      <c r="S37" s="438">
        <f t="shared" si="11"/>
        <v>35084</v>
      </c>
      <c r="T37" s="751"/>
      <c r="U37" s="440">
        <f t="shared" si="10"/>
        <v>-35084</v>
      </c>
      <c r="V37" s="438">
        <f t="shared" si="12"/>
        <v>48807</v>
      </c>
      <c r="W37" s="751"/>
      <c r="X37" s="440">
        <f t="shared" si="13"/>
        <v>-48807</v>
      </c>
      <c r="Y37" s="438">
        <f t="shared" si="14"/>
        <v>58939</v>
      </c>
      <c r="Z37" s="751"/>
      <c r="AA37" s="440">
        <f t="shared" si="15"/>
        <v>-58939</v>
      </c>
      <c r="AB37" s="438">
        <f t="shared" si="16"/>
        <v>10063</v>
      </c>
      <c r="AC37" s="751"/>
      <c r="AD37" s="440">
        <f t="shared" si="17"/>
        <v>-10063</v>
      </c>
      <c r="AE37" s="438">
        <f t="shared" si="18"/>
        <v>8945</v>
      </c>
      <c r="AF37" s="752"/>
      <c r="AG37" s="440">
        <f t="shared" si="19"/>
        <v>-8945</v>
      </c>
      <c r="AH37" s="438">
        <f t="shared" si="20"/>
        <v>14098</v>
      </c>
      <c r="AI37" s="752"/>
      <c r="AJ37" s="440">
        <f t="shared" si="21"/>
        <v>-14098</v>
      </c>
      <c r="AK37" s="584">
        <f t="shared" si="27"/>
        <v>6536</v>
      </c>
      <c r="AL37" s="751"/>
      <c r="AM37" s="440">
        <f t="shared" si="24"/>
        <v>-6536</v>
      </c>
      <c r="AN37" s="457">
        <f t="shared" si="22"/>
        <v>-182472</v>
      </c>
    </row>
    <row r="38" spans="1:40" ht="17.25" x14ac:dyDescent="0.3">
      <c r="A38" s="97"/>
      <c r="B38" s="52"/>
      <c r="C38" s="982" t="s">
        <v>6</v>
      </c>
      <c r="D38" s="982"/>
      <c r="E38" s="53">
        <f>SUM(E6:E36)</f>
        <v>3670</v>
      </c>
      <c r="F38" s="54" t="s">
        <v>51</v>
      </c>
      <c r="G38" s="55"/>
      <c r="H38" s="56">
        <f>SUM(H6:H37)</f>
        <v>-31114</v>
      </c>
      <c r="I38" s="57"/>
      <c r="J38" s="54"/>
      <c r="K38" s="58">
        <f>SUM(K6:K37)</f>
        <v>-6197</v>
      </c>
      <c r="L38" s="249"/>
      <c r="M38" s="249"/>
      <c r="N38" s="249"/>
      <c r="O38" s="57"/>
      <c r="P38" s="441"/>
      <c r="Q38" s="442">
        <f t="shared" si="8"/>
        <v>0</v>
      </c>
      <c r="R38" s="443">
        <f>E38</f>
        <v>3670</v>
      </c>
      <c r="S38" s="441"/>
      <c r="T38" s="441"/>
      <c r="U38" s="461">
        <f>SUM(U6:U37)</f>
        <v>-33852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41"/>
      <c r="AH38" s="441"/>
      <c r="AI38" s="441"/>
      <c r="AJ38" s="441"/>
      <c r="AK38" s="441"/>
      <c r="AL38" s="441"/>
      <c r="AM38" s="441"/>
      <c r="AN38" s="457">
        <f t="shared" si="22"/>
        <v>-33852</v>
      </c>
    </row>
    <row r="40" spans="1:40" x14ac:dyDescent="0.2">
      <c r="R40" s="50"/>
    </row>
    <row r="41" spans="1:40" ht="13.5" thickBot="1" x14ac:dyDescent="0.25">
      <c r="R41" s="50"/>
    </row>
    <row r="42" spans="1:40" ht="18.75" thickBot="1" x14ac:dyDescent="0.3">
      <c r="A42" s="951"/>
      <c r="B42" s="506"/>
      <c r="C42" s="948" t="s">
        <v>291</v>
      </c>
      <c r="D42" s="949"/>
      <c r="E42" s="949"/>
      <c r="F42" s="949"/>
      <c r="G42" s="949"/>
      <c r="H42" s="949"/>
      <c r="I42" s="949"/>
      <c r="J42" s="949"/>
      <c r="K42" s="950"/>
      <c r="R42" s="50"/>
    </row>
    <row r="43" spans="1:40" ht="24.75" customHeight="1" x14ac:dyDescent="0.2">
      <c r="A43" s="952"/>
      <c r="B43" s="50"/>
      <c r="C43" s="954" t="s">
        <v>285</v>
      </c>
      <c r="D43" s="955"/>
      <c r="E43" s="956" t="s">
        <v>306</v>
      </c>
      <c r="F43" s="957"/>
      <c r="G43" s="958" t="s">
        <v>286</v>
      </c>
      <c r="H43" s="959"/>
      <c r="I43" s="958" t="s">
        <v>307</v>
      </c>
      <c r="J43" s="959"/>
      <c r="K43" s="946" t="s">
        <v>292</v>
      </c>
      <c r="R43" s="50"/>
    </row>
    <row r="44" spans="1:40" ht="13.5" thickBot="1" x14ac:dyDescent="0.25">
      <c r="A44" s="952"/>
      <c r="B44" s="50"/>
      <c r="C44" s="960" t="s">
        <v>287</v>
      </c>
      <c r="D44" s="961"/>
      <c r="E44" s="960" t="s">
        <v>288</v>
      </c>
      <c r="F44" s="961"/>
      <c r="G44" s="960" t="s">
        <v>289</v>
      </c>
      <c r="H44" s="961"/>
      <c r="I44" s="960" t="s">
        <v>290</v>
      </c>
      <c r="J44" s="961"/>
      <c r="K44" s="947"/>
      <c r="R44" s="50"/>
    </row>
    <row r="45" spans="1:40" ht="13.5" thickBot="1" x14ac:dyDescent="0.25">
      <c r="A45" s="953"/>
      <c r="B45" s="50"/>
      <c r="C45" s="602" t="s">
        <v>294</v>
      </c>
      <c r="D45" s="603" t="s">
        <v>293</v>
      </c>
      <c r="E45" s="604" t="s">
        <v>294</v>
      </c>
      <c r="F45" s="605" t="s">
        <v>293</v>
      </c>
      <c r="G45" s="604"/>
      <c r="H45" s="605" t="s">
        <v>293</v>
      </c>
      <c r="I45" s="604" t="s">
        <v>294</v>
      </c>
      <c r="J45" s="605" t="s">
        <v>293</v>
      </c>
      <c r="K45" s="606" t="s">
        <v>293</v>
      </c>
      <c r="R45" s="50"/>
    </row>
    <row r="46" spans="1:40" ht="14.25" thickBot="1" x14ac:dyDescent="0.3">
      <c r="A46" s="527">
        <f>Gen!A11</f>
        <v>43435</v>
      </c>
      <c r="B46" s="50"/>
      <c r="C46" s="102">
        <v>150</v>
      </c>
      <c r="D46" s="601">
        <f t="shared" ref="D46:D77" si="34">C46*217/300</f>
        <v>108.5</v>
      </c>
      <c r="E46" s="10">
        <v>110</v>
      </c>
      <c r="F46" s="601">
        <f t="shared" ref="F46:F75" si="35">E46*92/305</f>
        <v>33.180327868852459</v>
      </c>
      <c r="G46" s="604">
        <v>300</v>
      </c>
      <c r="H46" s="601">
        <f>G46*146/383</f>
        <v>114.36031331592689</v>
      </c>
      <c r="I46" s="10">
        <v>280</v>
      </c>
      <c r="J46" s="601">
        <f>I46*213/308</f>
        <v>193.63636363636363</v>
      </c>
      <c r="K46" s="607">
        <f>D46+F46+H46+J46</f>
        <v>449.67700482114299</v>
      </c>
    </row>
    <row r="47" spans="1:40" ht="14.25" thickBot="1" x14ac:dyDescent="0.3">
      <c r="A47" s="527">
        <f>Gen!A12</f>
        <v>43436</v>
      </c>
      <c r="B47" s="50"/>
      <c r="C47" s="102">
        <v>175</v>
      </c>
      <c r="D47" s="601">
        <f t="shared" si="34"/>
        <v>126.58333333333333</v>
      </c>
      <c r="E47" s="10">
        <v>140</v>
      </c>
      <c r="F47" s="601">
        <f t="shared" si="35"/>
        <v>42.229508196721312</v>
      </c>
      <c r="G47" s="604">
        <v>220</v>
      </c>
      <c r="H47" s="601">
        <f t="shared" ref="H47:H75" si="36">G47*146/383</f>
        <v>83.86422976501305</v>
      </c>
      <c r="I47" s="10">
        <v>275</v>
      </c>
      <c r="J47" s="601">
        <f t="shared" ref="J47:J75" si="37">I47*213/308</f>
        <v>190.17857142857142</v>
      </c>
      <c r="K47" s="607">
        <f t="shared" ref="K47:K75" si="38">D47+F47+H47+J47</f>
        <v>442.85564272363911</v>
      </c>
    </row>
    <row r="48" spans="1:40" ht="14.25" thickBot="1" x14ac:dyDescent="0.3">
      <c r="A48" s="527">
        <f>Gen!A13</f>
        <v>43437</v>
      </c>
      <c r="B48" s="50"/>
      <c r="C48" s="102">
        <v>186</v>
      </c>
      <c r="D48" s="601">
        <f t="shared" si="34"/>
        <v>134.54</v>
      </c>
      <c r="E48" s="10">
        <v>150</v>
      </c>
      <c r="F48" s="601">
        <f t="shared" si="35"/>
        <v>45.245901639344261</v>
      </c>
      <c r="G48" s="604">
        <v>162</v>
      </c>
      <c r="H48" s="601">
        <f t="shared" si="36"/>
        <v>61.75456919060052</v>
      </c>
      <c r="I48" s="10">
        <v>255</v>
      </c>
      <c r="J48" s="601">
        <f t="shared" si="37"/>
        <v>176.34740259740261</v>
      </c>
      <c r="K48" s="607">
        <f t="shared" si="38"/>
        <v>417.88787342734736</v>
      </c>
    </row>
    <row r="49" spans="1:11" ht="14.25" thickBot="1" x14ac:dyDescent="0.3">
      <c r="A49" s="527">
        <f>Gen!A14</f>
        <v>43438</v>
      </c>
      <c r="B49" s="50"/>
      <c r="C49" s="102">
        <v>170</v>
      </c>
      <c r="D49" s="601">
        <f t="shared" si="34"/>
        <v>122.96666666666667</v>
      </c>
      <c r="E49" s="10">
        <v>130</v>
      </c>
      <c r="F49" s="601">
        <f t="shared" si="35"/>
        <v>39.213114754098363</v>
      </c>
      <c r="G49" s="604">
        <v>160</v>
      </c>
      <c r="H49" s="601">
        <f t="shared" si="36"/>
        <v>60.992167101827675</v>
      </c>
      <c r="I49" s="10">
        <v>250</v>
      </c>
      <c r="J49" s="601">
        <f t="shared" si="37"/>
        <v>172.8896103896104</v>
      </c>
      <c r="K49" s="607">
        <f t="shared" si="38"/>
        <v>396.06155891220311</v>
      </c>
    </row>
    <row r="50" spans="1:11" ht="14.25" thickBot="1" x14ac:dyDescent="0.3">
      <c r="A50" s="527">
        <f>Gen!A15</f>
        <v>43439</v>
      </c>
      <c r="B50" s="50"/>
      <c r="C50" s="102">
        <v>220</v>
      </c>
      <c r="D50" s="601">
        <f t="shared" si="34"/>
        <v>159.13333333333333</v>
      </c>
      <c r="E50" s="10">
        <v>180</v>
      </c>
      <c r="F50" s="601">
        <f t="shared" si="35"/>
        <v>54.295081967213115</v>
      </c>
      <c r="G50" s="604">
        <v>140</v>
      </c>
      <c r="H50" s="601">
        <f t="shared" si="36"/>
        <v>53.36814621409922</v>
      </c>
      <c r="I50" s="10">
        <v>250</v>
      </c>
      <c r="J50" s="601">
        <f t="shared" si="37"/>
        <v>172.8896103896104</v>
      </c>
      <c r="K50" s="607">
        <f t="shared" si="38"/>
        <v>439.68617190425607</v>
      </c>
    </row>
    <row r="51" spans="1:11" ht="14.25" thickBot="1" x14ac:dyDescent="0.3">
      <c r="A51" s="527">
        <f>Gen!A16</f>
        <v>43440</v>
      </c>
      <c r="B51" s="50"/>
      <c r="C51" s="102">
        <v>245</v>
      </c>
      <c r="D51" s="601">
        <f t="shared" si="34"/>
        <v>177.21666666666667</v>
      </c>
      <c r="E51" s="10">
        <v>205</v>
      </c>
      <c r="F51" s="601">
        <f t="shared" si="35"/>
        <v>61.83606557377049</v>
      </c>
      <c r="G51" s="604">
        <v>25</v>
      </c>
      <c r="H51" s="601">
        <f t="shared" si="36"/>
        <v>9.5300261096605752</v>
      </c>
      <c r="I51" s="10">
        <v>240</v>
      </c>
      <c r="J51" s="601">
        <f t="shared" si="37"/>
        <v>165.97402597402598</v>
      </c>
      <c r="K51" s="607">
        <f t="shared" si="38"/>
        <v>414.55678432412373</v>
      </c>
    </row>
    <row r="52" spans="1:11" ht="14.25" thickBot="1" x14ac:dyDescent="0.3">
      <c r="A52" s="527">
        <f>Gen!A17</f>
        <v>43441</v>
      </c>
      <c r="B52" s="50"/>
      <c r="C52" s="102">
        <v>160</v>
      </c>
      <c r="D52" s="601">
        <f t="shared" si="34"/>
        <v>115.73333333333333</v>
      </c>
      <c r="E52" s="10">
        <v>100</v>
      </c>
      <c r="F52" s="601">
        <f t="shared" si="35"/>
        <v>30.16393442622951</v>
      </c>
      <c r="G52" s="604">
        <v>185</v>
      </c>
      <c r="H52" s="601">
        <f t="shared" si="36"/>
        <v>70.522193211488258</v>
      </c>
      <c r="I52" s="10">
        <v>220</v>
      </c>
      <c r="J52" s="601">
        <f t="shared" si="37"/>
        <v>152.14285714285714</v>
      </c>
      <c r="K52" s="607">
        <f t="shared" si="38"/>
        <v>368.56231811390825</v>
      </c>
    </row>
    <row r="53" spans="1:11" ht="14.25" thickBot="1" x14ac:dyDescent="0.3">
      <c r="A53" s="527">
        <f>Gen!A18</f>
        <v>43442</v>
      </c>
      <c r="B53" s="50"/>
      <c r="C53" s="102">
        <v>185</v>
      </c>
      <c r="D53" s="601">
        <f t="shared" si="34"/>
        <v>133.81666666666666</v>
      </c>
      <c r="E53" s="10">
        <v>145</v>
      </c>
      <c r="F53" s="601">
        <f t="shared" si="35"/>
        <v>43.73770491803279</v>
      </c>
      <c r="G53" s="604">
        <v>240</v>
      </c>
      <c r="H53" s="601">
        <f t="shared" si="36"/>
        <v>91.488250652741513</v>
      </c>
      <c r="I53" s="10">
        <v>240</v>
      </c>
      <c r="J53" s="601">
        <f t="shared" si="37"/>
        <v>165.97402597402598</v>
      </c>
      <c r="K53" s="607">
        <f t="shared" si="38"/>
        <v>435.01664821146699</v>
      </c>
    </row>
    <row r="54" spans="1:11" ht="14.25" thickBot="1" x14ac:dyDescent="0.3">
      <c r="A54" s="527">
        <f>Gen!A19</f>
        <v>43443</v>
      </c>
      <c r="B54" s="50"/>
      <c r="C54" s="102">
        <v>171</v>
      </c>
      <c r="D54" s="601">
        <f t="shared" si="34"/>
        <v>123.69</v>
      </c>
      <c r="E54" s="10">
        <v>135</v>
      </c>
      <c r="F54" s="601">
        <f t="shared" si="35"/>
        <v>40.721311475409834</v>
      </c>
      <c r="G54" s="604">
        <v>300</v>
      </c>
      <c r="H54" s="601">
        <f t="shared" si="36"/>
        <v>114.36031331592689</v>
      </c>
      <c r="I54" s="10">
        <v>225</v>
      </c>
      <c r="J54" s="601">
        <f t="shared" si="37"/>
        <v>155.60064935064935</v>
      </c>
      <c r="K54" s="607">
        <f t="shared" si="38"/>
        <v>434.37227414198605</v>
      </c>
    </row>
    <row r="55" spans="1:11" ht="14.25" thickBot="1" x14ac:dyDescent="0.3">
      <c r="A55" s="527">
        <f>Gen!A20</f>
        <v>43444</v>
      </c>
      <c r="B55" s="50"/>
      <c r="C55" s="102">
        <v>171</v>
      </c>
      <c r="D55" s="601">
        <f t="shared" si="34"/>
        <v>123.69</v>
      </c>
      <c r="E55" s="10">
        <v>135</v>
      </c>
      <c r="F55" s="601">
        <f t="shared" si="35"/>
        <v>40.721311475409834</v>
      </c>
      <c r="G55" s="604">
        <v>280</v>
      </c>
      <c r="H55" s="601">
        <f t="shared" si="36"/>
        <v>106.73629242819844</v>
      </c>
      <c r="I55" s="10">
        <v>235</v>
      </c>
      <c r="J55" s="601">
        <f t="shared" si="37"/>
        <v>162.51623376623377</v>
      </c>
      <c r="K55" s="607">
        <f t="shared" si="38"/>
        <v>433.66383766984205</v>
      </c>
    </row>
    <row r="56" spans="1:11" ht="14.25" thickBot="1" x14ac:dyDescent="0.3">
      <c r="A56" s="527">
        <f>Gen!A21</f>
        <v>43445</v>
      </c>
      <c r="B56" s="50"/>
      <c r="C56" s="102">
        <v>185</v>
      </c>
      <c r="D56" s="601">
        <f t="shared" si="34"/>
        <v>133.81666666666666</v>
      </c>
      <c r="E56" s="10">
        <v>150</v>
      </c>
      <c r="F56" s="601">
        <f t="shared" si="35"/>
        <v>45.245901639344261</v>
      </c>
      <c r="G56" s="604">
        <v>255</v>
      </c>
      <c r="H56" s="601">
        <f t="shared" si="36"/>
        <v>97.206266318537857</v>
      </c>
      <c r="I56" s="10">
        <v>260</v>
      </c>
      <c r="J56" s="601">
        <f t="shared" si="37"/>
        <v>179.80519480519482</v>
      </c>
      <c r="K56" s="607">
        <f t="shared" si="38"/>
        <v>456.07402942974363</v>
      </c>
    </row>
    <row r="57" spans="1:11" ht="14.25" thickBot="1" x14ac:dyDescent="0.3">
      <c r="A57" s="527">
        <f>Gen!A22</f>
        <v>43446</v>
      </c>
      <c r="B57" s="50"/>
      <c r="C57" s="102">
        <v>159</v>
      </c>
      <c r="D57" s="601">
        <f t="shared" si="34"/>
        <v>115.01</v>
      </c>
      <c r="E57" s="10">
        <v>123</v>
      </c>
      <c r="F57" s="601">
        <f t="shared" si="35"/>
        <v>37.101639344262296</v>
      </c>
      <c r="G57" s="604">
        <v>205</v>
      </c>
      <c r="H57" s="601">
        <f t="shared" si="36"/>
        <v>78.146214099216706</v>
      </c>
      <c r="I57" s="10">
        <v>280</v>
      </c>
      <c r="J57" s="601">
        <f t="shared" si="37"/>
        <v>193.63636363636363</v>
      </c>
      <c r="K57" s="607">
        <f t="shared" si="38"/>
        <v>423.89421707984263</v>
      </c>
    </row>
    <row r="58" spans="1:11" ht="14.25" thickBot="1" x14ac:dyDescent="0.3">
      <c r="A58" s="527">
        <f>Gen!A23</f>
        <v>43447</v>
      </c>
      <c r="B58" s="50"/>
      <c r="C58" s="102">
        <v>150</v>
      </c>
      <c r="D58" s="601">
        <f t="shared" si="34"/>
        <v>108.5</v>
      </c>
      <c r="E58" s="10">
        <v>115</v>
      </c>
      <c r="F58" s="601">
        <f t="shared" si="35"/>
        <v>34.688524590163937</v>
      </c>
      <c r="G58" s="604">
        <v>235</v>
      </c>
      <c r="H58" s="601">
        <f t="shared" si="36"/>
        <v>89.582245430809394</v>
      </c>
      <c r="I58" s="10">
        <v>280</v>
      </c>
      <c r="J58" s="601">
        <f t="shared" si="37"/>
        <v>193.63636363636363</v>
      </c>
      <c r="K58" s="607">
        <f t="shared" si="38"/>
        <v>426.40713365733694</v>
      </c>
    </row>
    <row r="59" spans="1:11" ht="14.25" thickBot="1" x14ac:dyDescent="0.3">
      <c r="A59" s="527">
        <f>Gen!A24</f>
        <v>43448</v>
      </c>
      <c r="B59" s="50"/>
      <c r="C59" s="102">
        <v>290</v>
      </c>
      <c r="D59" s="601">
        <f t="shared" si="34"/>
        <v>209.76666666666668</v>
      </c>
      <c r="E59" s="10">
        <v>245</v>
      </c>
      <c r="F59" s="601">
        <f t="shared" si="35"/>
        <v>73.901639344262293</v>
      </c>
      <c r="G59" s="604">
        <v>185</v>
      </c>
      <c r="H59" s="601">
        <f t="shared" si="36"/>
        <v>70.522193211488258</v>
      </c>
      <c r="I59" s="10">
        <v>185</v>
      </c>
      <c r="J59" s="601">
        <f t="shared" si="37"/>
        <v>127.93831168831169</v>
      </c>
      <c r="K59" s="607">
        <f t="shared" si="38"/>
        <v>482.12881091072887</v>
      </c>
    </row>
    <row r="60" spans="1:11" ht="14.25" thickBot="1" x14ac:dyDescent="0.3">
      <c r="A60" s="527">
        <f>Gen!A25</f>
        <v>43449</v>
      </c>
      <c r="B60" s="50"/>
      <c r="C60" s="102">
        <v>200</v>
      </c>
      <c r="D60" s="601">
        <f t="shared" si="34"/>
        <v>144.66666666666666</v>
      </c>
      <c r="E60" s="10">
        <v>165</v>
      </c>
      <c r="F60" s="601">
        <f t="shared" si="35"/>
        <v>49.770491803278688</v>
      </c>
      <c r="G60" s="604">
        <v>300</v>
      </c>
      <c r="H60" s="601">
        <f t="shared" si="36"/>
        <v>114.36031331592689</v>
      </c>
      <c r="I60" s="10">
        <v>290</v>
      </c>
      <c r="J60" s="601">
        <f t="shared" si="37"/>
        <v>200.55194805194805</v>
      </c>
      <c r="K60" s="607">
        <f t="shared" si="38"/>
        <v>509.34941983782028</v>
      </c>
    </row>
    <row r="61" spans="1:11" ht="14.25" thickBot="1" x14ac:dyDescent="0.3">
      <c r="A61" s="527">
        <f>Gen!A26</f>
        <v>43450</v>
      </c>
      <c r="B61" s="50"/>
      <c r="C61" s="102">
        <v>265</v>
      </c>
      <c r="D61" s="601">
        <f t="shared" si="34"/>
        <v>191.68333333333334</v>
      </c>
      <c r="E61" s="10">
        <v>230</v>
      </c>
      <c r="F61" s="601">
        <f t="shared" si="35"/>
        <v>69.377049180327873</v>
      </c>
      <c r="G61" s="604">
        <v>195</v>
      </c>
      <c r="H61" s="601">
        <f t="shared" si="36"/>
        <v>74.334203655352482</v>
      </c>
      <c r="I61" s="10">
        <v>270</v>
      </c>
      <c r="J61" s="601">
        <f t="shared" si="37"/>
        <v>186.72077922077921</v>
      </c>
      <c r="K61" s="607">
        <f t="shared" si="38"/>
        <v>522.11536538979294</v>
      </c>
    </row>
    <row r="62" spans="1:11" ht="14.25" thickBot="1" x14ac:dyDescent="0.3">
      <c r="A62" s="527">
        <f>Gen!A27</f>
        <v>43451</v>
      </c>
      <c r="B62" s="50"/>
      <c r="C62" s="102">
        <v>256</v>
      </c>
      <c r="D62" s="601">
        <f t="shared" si="34"/>
        <v>185.17333333333335</v>
      </c>
      <c r="E62" s="10">
        <v>220</v>
      </c>
      <c r="F62" s="601">
        <f t="shared" si="35"/>
        <v>66.360655737704917</v>
      </c>
      <c r="G62" s="604">
        <v>285</v>
      </c>
      <c r="H62" s="601">
        <f t="shared" si="36"/>
        <v>108.64229765013054</v>
      </c>
      <c r="I62" s="10">
        <v>200</v>
      </c>
      <c r="J62" s="601">
        <f t="shared" si="37"/>
        <v>138.3116883116883</v>
      </c>
      <c r="K62" s="607">
        <f t="shared" si="38"/>
        <v>498.48797503285709</v>
      </c>
    </row>
    <row r="63" spans="1:11" ht="14.25" thickBot="1" x14ac:dyDescent="0.3">
      <c r="A63" s="527">
        <f>Gen!A28</f>
        <v>43452</v>
      </c>
      <c r="B63" s="50"/>
      <c r="C63" s="102">
        <v>211</v>
      </c>
      <c r="D63" s="601">
        <f t="shared" si="34"/>
        <v>152.62333333333333</v>
      </c>
      <c r="E63" s="10">
        <v>175</v>
      </c>
      <c r="F63" s="601">
        <f t="shared" si="35"/>
        <v>52.786885245901637</v>
      </c>
      <c r="G63" s="604">
        <v>284</v>
      </c>
      <c r="H63" s="601">
        <f t="shared" si="36"/>
        <v>108.26109660574413</v>
      </c>
      <c r="I63" s="10">
        <v>205</v>
      </c>
      <c r="J63" s="601">
        <f t="shared" si="37"/>
        <v>141.76948051948051</v>
      </c>
      <c r="K63" s="607">
        <f t="shared" si="38"/>
        <v>455.44079570445962</v>
      </c>
    </row>
    <row r="64" spans="1:11" ht="14.25" thickBot="1" x14ac:dyDescent="0.3">
      <c r="A64" s="527">
        <f>Gen!A29</f>
        <v>43453</v>
      </c>
      <c r="B64" s="50"/>
      <c r="C64" s="102">
        <v>120</v>
      </c>
      <c r="D64" s="601">
        <f t="shared" si="34"/>
        <v>86.8</v>
      </c>
      <c r="E64" s="10">
        <v>156</v>
      </c>
      <c r="F64" s="601">
        <f t="shared" si="35"/>
        <v>47.05573770491803</v>
      </c>
      <c r="G64" s="604">
        <v>245</v>
      </c>
      <c r="H64" s="601">
        <f t="shared" si="36"/>
        <v>93.394255874673632</v>
      </c>
      <c r="I64" s="10">
        <v>215</v>
      </c>
      <c r="J64" s="601">
        <f t="shared" si="37"/>
        <v>148.68506493506493</v>
      </c>
      <c r="K64" s="607">
        <f t="shared" si="38"/>
        <v>375.93505851465659</v>
      </c>
    </row>
    <row r="65" spans="1:11" ht="14.25" thickBot="1" x14ac:dyDescent="0.3">
      <c r="A65" s="527">
        <f>Gen!A30</f>
        <v>43454</v>
      </c>
      <c r="B65" s="50"/>
      <c r="C65" s="102">
        <v>198</v>
      </c>
      <c r="D65" s="601">
        <f t="shared" si="34"/>
        <v>143.22</v>
      </c>
      <c r="E65" s="10">
        <v>162</v>
      </c>
      <c r="F65" s="601">
        <f t="shared" si="35"/>
        <v>48.865573770491807</v>
      </c>
      <c r="G65" s="604">
        <v>10</v>
      </c>
      <c r="H65" s="601">
        <f t="shared" si="36"/>
        <v>3.8120104438642297</v>
      </c>
      <c r="I65" s="10">
        <v>280</v>
      </c>
      <c r="J65" s="601">
        <f t="shared" si="37"/>
        <v>193.63636363636363</v>
      </c>
      <c r="K65" s="607">
        <f t="shared" si="38"/>
        <v>389.53394785071964</v>
      </c>
    </row>
    <row r="66" spans="1:11" ht="14.25" thickBot="1" x14ac:dyDescent="0.3">
      <c r="A66" s="527">
        <f>Gen!A31</f>
        <v>43455</v>
      </c>
      <c r="B66" s="50"/>
      <c r="C66" s="102">
        <v>241</v>
      </c>
      <c r="D66" s="601">
        <f t="shared" si="34"/>
        <v>174.32333333333332</v>
      </c>
      <c r="E66" s="10">
        <v>175</v>
      </c>
      <c r="F66" s="601">
        <f t="shared" si="35"/>
        <v>52.786885245901637</v>
      </c>
      <c r="G66" s="604">
        <v>62</v>
      </c>
      <c r="H66" s="601">
        <f t="shared" si="36"/>
        <v>23.634464751958223</v>
      </c>
      <c r="I66" s="10">
        <v>290</v>
      </c>
      <c r="J66" s="601">
        <f t="shared" si="37"/>
        <v>200.55194805194805</v>
      </c>
      <c r="K66" s="607">
        <f t="shared" si="38"/>
        <v>451.29663138314123</v>
      </c>
    </row>
    <row r="67" spans="1:11" ht="14.25" thickBot="1" x14ac:dyDescent="0.3">
      <c r="A67" s="527">
        <f>Gen!A32</f>
        <v>43456</v>
      </c>
      <c r="B67" s="50"/>
      <c r="C67" s="102">
        <v>141</v>
      </c>
      <c r="D67" s="601">
        <f t="shared" si="34"/>
        <v>101.99</v>
      </c>
      <c r="E67" s="10">
        <v>105</v>
      </c>
      <c r="F67" s="601">
        <f t="shared" si="35"/>
        <v>31.672131147540984</v>
      </c>
      <c r="G67" s="604">
        <v>83</v>
      </c>
      <c r="H67" s="601">
        <f t="shared" si="36"/>
        <v>31.639686684073109</v>
      </c>
      <c r="I67" s="10">
        <v>285</v>
      </c>
      <c r="J67" s="601">
        <f t="shared" si="37"/>
        <v>197.09415584415584</v>
      </c>
      <c r="K67" s="607">
        <f t="shared" si="38"/>
        <v>362.39597367576994</v>
      </c>
    </row>
    <row r="68" spans="1:11" ht="14.25" thickBot="1" x14ac:dyDescent="0.3">
      <c r="A68" s="527">
        <f>Gen!A33</f>
        <v>43457</v>
      </c>
      <c r="B68" s="50"/>
      <c r="C68" s="102">
        <v>146</v>
      </c>
      <c r="D68" s="601">
        <f t="shared" si="34"/>
        <v>105.60666666666667</v>
      </c>
      <c r="E68" s="10">
        <v>110</v>
      </c>
      <c r="F68" s="601">
        <f t="shared" si="35"/>
        <v>33.180327868852459</v>
      </c>
      <c r="G68" s="604">
        <v>175</v>
      </c>
      <c r="H68" s="601">
        <f t="shared" si="36"/>
        <v>66.710182767624019</v>
      </c>
      <c r="I68" s="10">
        <v>286</v>
      </c>
      <c r="J68" s="601">
        <f t="shared" si="37"/>
        <v>197.78571428571428</v>
      </c>
      <c r="K68" s="607">
        <f t="shared" si="38"/>
        <v>403.28289158885741</v>
      </c>
    </row>
    <row r="69" spans="1:11" ht="14.25" thickBot="1" x14ac:dyDescent="0.3">
      <c r="A69" s="527">
        <f>Gen!A34</f>
        <v>43458</v>
      </c>
      <c r="B69" s="50"/>
      <c r="C69" s="102">
        <v>150</v>
      </c>
      <c r="D69" s="601">
        <f t="shared" si="34"/>
        <v>108.5</v>
      </c>
      <c r="E69" s="10">
        <v>120</v>
      </c>
      <c r="F69" s="601">
        <f t="shared" si="35"/>
        <v>36.196721311475407</v>
      </c>
      <c r="G69" s="604">
        <v>300</v>
      </c>
      <c r="H69" s="601">
        <f t="shared" si="36"/>
        <v>114.36031331592689</v>
      </c>
      <c r="I69" s="10">
        <v>280</v>
      </c>
      <c r="J69" s="601">
        <f t="shared" si="37"/>
        <v>193.63636363636363</v>
      </c>
      <c r="K69" s="607">
        <f t="shared" si="38"/>
        <v>452.69339826376591</v>
      </c>
    </row>
    <row r="70" spans="1:11" ht="14.25" thickBot="1" x14ac:dyDescent="0.3">
      <c r="A70" s="527">
        <f>Gen!A35</f>
        <v>43459</v>
      </c>
      <c r="B70" s="50"/>
      <c r="C70" s="102">
        <v>250</v>
      </c>
      <c r="D70" s="601">
        <f t="shared" si="34"/>
        <v>180.83333333333334</v>
      </c>
      <c r="E70" s="10">
        <v>215</v>
      </c>
      <c r="F70" s="601">
        <f t="shared" si="35"/>
        <v>64.852459016393439</v>
      </c>
      <c r="G70" s="604">
        <v>100</v>
      </c>
      <c r="H70" s="601">
        <f t="shared" si="36"/>
        <v>38.120104438642301</v>
      </c>
      <c r="I70" s="10">
        <v>270</v>
      </c>
      <c r="J70" s="601">
        <f t="shared" si="37"/>
        <v>186.72077922077921</v>
      </c>
      <c r="K70" s="607">
        <f t="shared" si="38"/>
        <v>470.52667600914828</v>
      </c>
    </row>
    <row r="71" spans="1:11" ht="14.25" thickBot="1" x14ac:dyDescent="0.3">
      <c r="A71" s="527">
        <f>Gen!A36</f>
        <v>43460</v>
      </c>
      <c r="B71" s="50"/>
      <c r="C71" s="102">
        <v>260</v>
      </c>
      <c r="D71" s="601">
        <f t="shared" si="34"/>
        <v>188.06666666666666</v>
      </c>
      <c r="E71" s="10">
        <v>220</v>
      </c>
      <c r="F71" s="601">
        <f t="shared" si="35"/>
        <v>66.360655737704917</v>
      </c>
      <c r="G71" s="604">
        <v>150</v>
      </c>
      <c r="H71" s="601">
        <f t="shared" si="36"/>
        <v>57.180156657963444</v>
      </c>
      <c r="I71" s="10">
        <v>280</v>
      </c>
      <c r="J71" s="601">
        <f t="shared" si="37"/>
        <v>193.63636363636363</v>
      </c>
      <c r="K71" s="607">
        <f t="shared" si="38"/>
        <v>505.24384269869864</v>
      </c>
    </row>
    <row r="72" spans="1:11" ht="14.25" thickBot="1" x14ac:dyDescent="0.3">
      <c r="A72" s="527">
        <f>Gen!A37</f>
        <v>43461</v>
      </c>
      <c r="B72" s="50"/>
      <c r="C72" s="102">
        <v>230</v>
      </c>
      <c r="D72" s="601">
        <f t="shared" si="34"/>
        <v>166.36666666666667</v>
      </c>
      <c r="E72" s="10">
        <v>195</v>
      </c>
      <c r="F72" s="601">
        <f t="shared" si="35"/>
        <v>58.819672131147541</v>
      </c>
      <c r="G72" s="604">
        <v>145</v>
      </c>
      <c r="H72" s="601">
        <f t="shared" si="36"/>
        <v>55.274151436031332</v>
      </c>
      <c r="I72" s="10">
        <v>285</v>
      </c>
      <c r="J72" s="601">
        <f t="shared" si="37"/>
        <v>197.09415584415584</v>
      </c>
      <c r="K72" s="607">
        <f t="shared" si="38"/>
        <v>477.55464607800138</v>
      </c>
    </row>
    <row r="73" spans="1:11" ht="14.25" thickBot="1" x14ac:dyDescent="0.3">
      <c r="A73" s="527">
        <f>Gen!A38</f>
        <v>43462</v>
      </c>
      <c r="B73" s="50"/>
      <c r="C73" s="102">
        <v>245</v>
      </c>
      <c r="D73" s="601">
        <f t="shared" si="34"/>
        <v>177.21666666666667</v>
      </c>
      <c r="E73" s="10">
        <v>210</v>
      </c>
      <c r="F73" s="601">
        <f t="shared" si="35"/>
        <v>63.344262295081968</v>
      </c>
      <c r="G73" s="604">
        <v>150</v>
      </c>
      <c r="H73" s="601">
        <f t="shared" si="36"/>
        <v>57.180156657963444</v>
      </c>
      <c r="I73" s="10">
        <v>277</v>
      </c>
      <c r="J73" s="601">
        <f t="shared" si="37"/>
        <v>191.5616883116883</v>
      </c>
      <c r="K73" s="607">
        <f t="shared" si="38"/>
        <v>489.30277393140034</v>
      </c>
    </row>
    <row r="74" spans="1:11" ht="14.25" thickBot="1" x14ac:dyDescent="0.3">
      <c r="A74" s="527">
        <f>Gen!A39</f>
        <v>43463</v>
      </c>
      <c r="B74" s="50"/>
      <c r="C74" s="102">
        <v>240</v>
      </c>
      <c r="D74" s="601">
        <f t="shared" si="34"/>
        <v>173.6</v>
      </c>
      <c r="E74" s="10">
        <v>205</v>
      </c>
      <c r="F74" s="601">
        <f t="shared" si="35"/>
        <v>61.83606557377049</v>
      </c>
      <c r="G74" s="604">
        <v>160</v>
      </c>
      <c r="H74" s="601">
        <f t="shared" si="36"/>
        <v>60.992167101827675</v>
      </c>
      <c r="I74" s="10">
        <v>282</v>
      </c>
      <c r="J74" s="601">
        <f t="shared" si="37"/>
        <v>195.01948051948051</v>
      </c>
      <c r="K74" s="607">
        <f t="shared" si="38"/>
        <v>491.44771319507868</v>
      </c>
    </row>
    <row r="75" spans="1:11" ht="14.25" thickBot="1" x14ac:dyDescent="0.3">
      <c r="A75" s="527">
        <f>Gen!A40</f>
        <v>43464</v>
      </c>
      <c r="B75" s="451"/>
      <c r="C75" s="102">
        <v>255</v>
      </c>
      <c r="D75" s="601">
        <f t="shared" si="34"/>
        <v>184.45</v>
      </c>
      <c r="E75" s="10">
        <v>220</v>
      </c>
      <c r="F75" s="601">
        <f t="shared" si="35"/>
        <v>66.360655737704917</v>
      </c>
      <c r="G75" s="604">
        <v>85</v>
      </c>
      <c r="H75" s="601">
        <f t="shared" si="36"/>
        <v>32.40208877284595</v>
      </c>
      <c r="I75" s="10">
        <v>250</v>
      </c>
      <c r="J75" s="601">
        <f t="shared" si="37"/>
        <v>172.8896103896104</v>
      </c>
      <c r="K75" s="607">
        <f t="shared" si="38"/>
        <v>456.10235490016123</v>
      </c>
    </row>
    <row r="76" spans="1:11" ht="14.25" thickBot="1" x14ac:dyDescent="0.3">
      <c r="A76" s="527">
        <f>Gen!A41</f>
        <v>43465</v>
      </c>
      <c r="C76" s="102">
        <v>107</v>
      </c>
      <c r="D76" s="601">
        <f t="shared" si="34"/>
        <v>77.396666666666661</v>
      </c>
      <c r="E76" s="10">
        <v>77</v>
      </c>
      <c r="F76" s="601">
        <f t="shared" ref="F76:F77" si="39">E76*92/305</f>
        <v>23.22622950819672</v>
      </c>
      <c r="G76" s="604">
        <v>300</v>
      </c>
      <c r="H76" s="601">
        <f t="shared" ref="H76:H77" si="40">G76*146/383</f>
        <v>114.36031331592689</v>
      </c>
      <c r="I76" s="10">
        <v>295</v>
      </c>
      <c r="J76" s="601">
        <f t="shared" ref="J76:J77" si="41">I76*213/308</f>
        <v>204.00974025974025</v>
      </c>
      <c r="K76" s="607">
        <f t="shared" ref="K76:K77" si="42">D76+F76+H76+J76</f>
        <v>418.99294975053056</v>
      </c>
    </row>
    <row r="77" spans="1:11" ht="14.25" thickBot="1" x14ac:dyDescent="0.3">
      <c r="A77" s="527">
        <f>Gen!A42</f>
        <v>0</v>
      </c>
      <c r="C77" s="102"/>
      <c r="D77" s="608">
        <f t="shared" si="34"/>
        <v>0</v>
      </c>
      <c r="E77" s="10"/>
      <c r="F77" s="608">
        <f t="shared" si="39"/>
        <v>0</v>
      </c>
      <c r="G77" s="604"/>
      <c r="H77" s="608">
        <f t="shared" si="40"/>
        <v>0</v>
      </c>
      <c r="I77" s="10"/>
      <c r="J77" s="608">
        <f t="shared" si="41"/>
        <v>0</v>
      </c>
      <c r="K77" s="609">
        <f t="shared" si="42"/>
        <v>0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7" type="noConversion"/>
  <pageMargins left="0.75" right="0.75" top="1" bottom="1" header="0.5" footer="0.5"/>
  <pageSetup scale="2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G39" sqref="G39"/>
    </sheetView>
  </sheetViews>
  <sheetFormatPr defaultRowHeight="12.75" x14ac:dyDescent="0.2"/>
  <cols>
    <col min="1" max="1" width="9.7109375" bestFit="1" customWidth="1"/>
    <col min="2" max="2" width="10.28515625" style="42" bestFit="1" customWidth="1"/>
  </cols>
  <sheetData>
    <row r="1" spans="1:3" s="46" customFormat="1" x14ac:dyDescent="0.2">
      <c r="A1" s="44" t="s">
        <v>0</v>
      </c>
      <c r="B1" s="44" t="s">
        <v>53</v>
      </c>
      <c r="C1" s="44" t="s">
        <v>54</v>
      </c>
    </row>
    <row r="2" spans="1:3" x14ac:dyDescent="0.2">
      <c r="A2" s="139">
        <f>SUM(Gen!A11)</f>
        <v>43435</v>
      </c>
      <c r="B2" s="43">
        <f>SUM('Water-Meter'!R10)</f>
        <v>24</v>
      </c>
      <c r="C2" s="137">
        <f>SUM(Gen!B11)</f>
        <v>0.16800000000000001</v>
      </c>
    </row>
    <row r="3" spans="1:3" x14ac:dyDescent="0.2">
      <c r="A3" s="139">
        <f>SUM(Gen!A12)</f>
        <v>43436</v>
      </c>
      <c r="B3" s="43">
        <f>SUM('Water-Meter'!R11)</f>
        <v>27</v>
      </c>
      <c r="C3" s="137">
        <f>SUM(Gen!B12)</f>
        <v>0.1429</v>
      </c>
    </row>
    <row r="4" spans="1:3" x14ac:dyDescent="0.2">
      <c r="A4" s="139">
        <f>SUM(Gen!A13)</f>
        <v>43437</v>
      </c>
      <c r="B4" s="43">
        <f>SUM('Water-Meter'!R12)</f>
        <v>29</v>
      </c>
      <c r="C4" s="137">
        <f>SUM(Gen!B13)</f>
        <v>0.1429</v>
      </c>
    </row>
    <row r="5" spans="1:3" x14ac:dyDescent="0.2">
      <c r="A5" s="139">
        <f>SUM(Gen!A14)</f>
        <v>43438</v>
      </c>
      <c r="B5" s="43">
        <f>SUM('Water-Meter'!R13)</f>
        <v>21</v>
      </c>
      <c r="C5" s="137">
        <f>SUM(Gen!B14)</f>
        <v>0.16880000000000001</v>
      </c>
    </row>
    <row r="6" spans="1:3" x14ac:dyDescent="0.2">
      <c r="A6" s="139">
        <f>SUM(Gen!A15)</f>
        <v>43439</v>
      </c>
      <c r="B6" s="43">
        <f>SUM('Water-Meter'!R14)</f>
        <v>27</v>
      </c>
      <c r="C6" s="137">
        <f>SUM(Gen!B15)</f>
        <v>0.20780000000000001</v>
      </c>
    </row>
    <row r="7" spans="1:3" x14ac:dyDescent="0.2">
      <c r="A7" s="139">
        <f>SUM(Gen!A16)</f>
        <v>43440</v>
      </c>
      <c r="B7" s="43">
        <f>SUM('Water-Meter'!R15)</f>
        <v>46</v>
      </c>
      <c r="C7" s="137">
        <f>SUM(Gen!B16)</f>
        <v>0.29870000000000002</v>
      </c>
    </row>
    <row r="8" spans="1:3" x14ac:dyDescent="0.2">
      <c r="A8" s="139">
        <f>SUM(Gen!A17)</f>
        <v>43441</v>
      </c>
      <c r="B8" s="43">
        <f>SUM('Water-Meter'!R16)</f>
        <v>32</v>
      </c>
      <c r="C8" s="137">
        <f>SUM(Gen!B17)</f>
        <v>0.24679999999999999</v>
      </c>
    </row>
    <row r="9" spans="1:3" x14ac:dyDescent="0.2">
      <c r="A9" s="139">
        <f>SUM(Gen!A18)</f>
        <v>43442</v>
      </c>
      <c r="B9" s="43">
        <f>SUM('Water-Meter'!R17)</f>
        <v>34</v>
      </c>
      <c r="C9" s="137">
        <f>SUM(Gen!B18)</f>
        <v>0.28570000000000001</v>
      </c>
    </row>
    <row r="10" spans="1:3" x14ac:dyDescent="0.2">
      <c r="A10" s="139">
        <f>SUM(Gen!A19)</f>
        <v>43443</v>
      </c>
      <c r="B10" s="43">
        <f>SUM('Water-Meter'!R18)</f>
        <v>28</v>
      </c>
      <c r="C10" s="137">
        <f>SUM(Gen!B19)</f>
        <v>0.46750000000000003</v>
      </c>
    </row>
    <row r="11" spans="1:3" x14ac:dyDescent="0.2">
      <c r="A11" s="139">
        <f>SUM(Gen!A20)</f>
        <v>43444</v>
      </c>
      <c r="B11" s="43">
        <f>SUM('Water-Meter'!R19)</f>
        <v>39</v>
      </c>
      <c r="C11" s="137">
        <f>SUM(Gen!B20)</f>
        <v>0.55840000000000001</v>
      </c>
    </row>
    <row r="12" spans="1:3" x14ac:dyDescent="0.2">
      <c r="A12" s="139">
        <f>SUM(Gen!A21)</f>
        <v>43445</v>
      </c>
      <c r="B12" s="43">
        <f>SUM('Water-Meter'!R20)</f>
        <v>-95</v>
      </c>
      <c r="C12" s="137">
        <f>SUM(Gen!B21)</f>
        <v>0.57140000000000002</v>
      </c>
    </row>
    <row r="13" spans="1:3" x14ac:dyDescent="0.2">
      <c r="A13" s="139">
        <f>SUM(Gen!A22)</f>
        <v>43446</v>
      </c>
      <c r="B13" s="43">
        <f>SUM('Water-Meter'!R21)</f>
        <v>4</v>
      </c>
      <c r="C13" s="137">
        <f>SUM(Gen!B22)</f>
        <v>0.23380000000000001</v>
      </c>
    </row>
    <row r="14" spans="1:3" x14ac:dyDescent="0.2">
      <c r="A14" s="139">
        <f>SUM(Gen!A23)</f>
        <v>43447</v>
      </c>
      <c r="B14" s="43">
        <f>SUM('Water-Meter'!R22)</f>
        <v>28</v>
      </c>
      <c r="C14" s="137">
        <f>SUM(Gen!B23)</f>
        <v>0.2727</v>
      </c>
    </row>
    <row r="15" spans="1:3" x14ac:dyDescent="0.2">
      <c r="A15" s="139">
        <f>SUM(Gen!A24)</f>
        <v>43448</v>
      </c>
      <c r="B15" s="43">
        <f>SUM('Water-Meter'!R23)</f>
        <v>32</v>
      </c>
      <c r="C15" s="137">
        <f>SUM(Gen!B24)</f>
        <v>0.25950000000000001</v>
      </c>
    </row>
    <row r="16" spans="1:3" x14ac:dyDescent="0.2">
      <c r="A16" s="139">
        <f>SUM(Gen!A25)</f>
        <v>43449</v>
      </c>
      <c r="B16" s="43">
        <f>SUM('Water-Meter'!R24)</f>
        <v>40</v>
      </c>
      <c r="C16" s="137">
        <f>SUM(Gen!B25)</f>
        <v>0.12989999999999999</v>
      </c>
    </row>
    <row r="17" spans="1:3" x14ac:dyDescent="0.2">
      <c r="A17" s="139">
        <f>SUM(Gen!A26)</f>
        <v>43450</v>
      </c>
      <c r="B17" s="43">
        <f>SUM('Water-Meter'!R25)</f>
        <v>39</v>
      </c>
      <c r="C17" s="137">
        <f>SUM(Gen!B26)</f>
        <v>0.25969999999999999</v>
      </c>
    </row>
    <row r="18" spans="1:3" x14ac:dyDescent="0.2">
      <c r="A18" s="139">
        <f>SUM(Gen!A27)</f>
        <v>43451</v>
      </c>
      <c r="B18" s="43">
        <f>SUM('Water-Meter'!R26)</f>
        <v>29</v>
      </c>
      <c r="C18" s="137">
        <f>SUM(Gen!B27)</f>
        <v>0.29870000000000002</v>
      </c>
    </row>
    <row r="19" spans="1:3" x14ac:dyDescent="0.2">
      <c r="A19" s="139">
        <f>SUM(Gen!A28)</f>
        <v>43452</v>
      </c>
      <c r="B19" s="43">
        <f>SUM('Water-Meter'!R27)</f>
        <v>34</v>
      </c>
      <c r="C19" s="137">
        <f>SUM(Gen!B28)</f>
        <v>0.50649999999999995</v>
      </c>
    </row>
    <row r="20" spans="1:3" x14ac:dyDescent="0.2">
      <c r="A20" s="139">
        <f>SUM(Gen!A29)</f>
        <v>43453</v>
      </c>
      <c r="B20" s="43">
        <f>SUM('Water-Meter'!R28)</f>
        <v>35</v>
      </c>
      <c r="C20" s="137">
        <f>SUM(Gen!B29)</f>
        <v>0.44159999999999999</v>
      </c>
    </row>
    <row r="21" spans="1:3" x14ac:dyDescent="0.2">
      <c r="A21" s="139">
        <f>SUM(Gen!A30)</f>
        <v>43454</v>
      </c>
      <c r="B21" s="43">
        <f>SUM('Water-Meter'!R29)</f>
        <v>30</v>
      </c>
      <c r="C21" s="137">
        <f>SUM(Gen!B30)</f>
        <v>0.40260000000000001</v>
      </c>
    </row>
    <row r="22" spans="1:3" x14ac:dyDescent="0.2">
      <c r="A22" s="139">
        <f>SUM(Gen!A31)</f>
        <v>43455</v>
      </c>
      <c r="B22" s="43">
        <f>SUM('Water-Meter'!R30)</f>
        <v>48</v>
      </c>
      <c r="C22" s="137">
        <f>SUM(Gen!B31)</f>
        <v>0.49349999999999999</v>
      </c>
    </row>
    <row r="23" spans="1:3" x14ac:dyDescent="0.2">
      <c r="A23" s="139">
        <f>SUM(Gen!A32)</f>
        <v>43456</v>
      </c>
      <c r="B23" s="43">
        <f>SUM('Water-Meter'!R31)</f>
        <v>49</v>
      </c>
      <c r="C23" s="137">
        <f>SUM(Gen!B32)</f>
        <v>0.49349999999999999</v>
      </c>
    </row>
    <row r="24" spans="1:3" x14ac:dyDescent="0.2">
      <c r="A24" s="139">
        <f>SUM(Gen!A33)</f>
        <v>43457</v>
      </c>
      <c r="B24" s="43">
        <f>SUM('Water-Meter'!R32)</f>
        <v>48</v>
      </c>
      <c r="C24" s="137">
        <f>SUM(Gen!B33)</f>
        <v>0.4456</v>
      </c>
    </row>
    <row r="25" spans="1:3" x14ac:dyDescent="0.2">
      <c r="A25" s="139">
        <f>SUM(Gen!A34)</f>
        <v>43458</v>
      </c>
      <c r="B25" s="43">
        <f>SUM('Water-Meter'!R33)</f>
        <v>52</v>
      </c>
      <c r="C25" s="137">
        <f>SUM(Gen!B34)</f>
        <v>0.50649999999999995</v>
      </c>
    </row>
    <row r="26" spans="1:3" x14ac:dyDescent="0.2">
      <c r="A26" s="139">
        <f>SUM(Gen!A35)</f>
        <v>43459</v>
      </c>
      <c r="B26" s="43">
        <f>SUM('Water-Meter'!R34)</f>
        <v>53</v>
      </c>
      <c r="C26" s="137">
        <f>SUM(Gen!B35)</f>
        <v>0.94810000000000005</v>
      </c>
    </row>
    <row r="27" spans="1:3" x14ac:dyDescent="0.2">
      <c r="A27" s="139">
        <f>SUM(Gen!A36)</f>
        <v>43460</v>
      </c>
      <c r="B27" s="43">
        <f>SUM('Water-Meter'!R35)</f>
        <v>36</v>
      </c>
      <c r="C27" s="137">
        <f>SUM(Gen!B36)</f>
        <v>0.90910000000000002</v>
      </c>
    </row>
    <row r="28" spans="1:3" x14ac:dyDescent="0.2">
      <c r="A28" s="139">
        <f>SUM(Gen!A37)</f>
        <v>43461</v>
      </c>
      <c r="B28" s="43">
        <f>SUM('Water-Meter'!R36)</f>
        <v>41</v>
      </c>
      <c r="C28" s="137">
        <f>SUM(Gen!B37)</f>
        <v>0.76619999999999999</v>
      </c>
    </row>
    <row r="29" spans="1:3" x14ac:dyDescent="0.2">
      <c r="A29" s="139">
        <f>SUM(Gen!A38)</f>
        <v>43462</v>
      </c>
      <c r="B29" s="43">
        <f>SUM('Water-Meter'!R37)</f>
        <v>-176819</v>
      </c>
      <c r="C29" s="137">
        <f>SUM(Gen!B38)</f>
        <v>0.7792</v>
      </c>
    </row>
    <row r="30" spans="1:3" x14ac:dyDescent="0.2">
      <c r="A30" s="139">
        <f>SUM(Gen!A39)</f>
        <v>43463</v>
      </c>
      <c r="B30" s="43">
        <f>SUM('Water-Meter'!R38)</f>
        <v>3670</v>
      </c>
      <c r="C30" s="137">
        <f>SUM(Gen!B39)</f>
        <v>0.92210000000000003</v>
      </c>
    </row>
    <row r="31" spans="1:3" x14ac:dyDescent="0.2">
      <c r="A31" s="139">
        <f>SUM(Gen!A40)</f>
        <v>43464</v>
      </c>
      <c r="B31" s="43">
        <f>SUM('Water-Meter'!R39)</f>
        <v>0</v>
      </c>
      <c r="C31" s="137">
        <f>SUM(Gen!B40)</f>
        <v>0.7792</v>
      </c>
    </row>
    <row r="32" spans="1:3" x14ac:dyDescent="0.2">
      <c r="A32" s="139">
        <f>SUM(Gen!A41)</f>
        <v>43465</v>
      </c>
      <c r="B32" s="43">
        <f>SUM('Water-Meter'!R40)</f>
        <v>0</v>
      </c>
      <c r="C32" s="137">
        <f>SUM(Gen!B41)</f>
        <v>0.84419999999999995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T42"/>
  <sheetViews>
    <sheetView workbookViewId="0">
      <selection activeCell="L38" sqref="L38"/>
    </sheetView>
  </sheetViews>
  <sheetFormatPr defaultRowHeight="12.75" x14ac:dyDescent="0.2"/>
  <cols>
    <col min="1" max="1" width="9.140625" customWidth="1"/>
    <col min="2" max="2" width="12.28515625" hidden="1" customWidth="1"/>
    <col min="3" max="3" width="13.140625" customWidth="1"/>
    <col min="4" max="7" width="10.5703125" customWidth="1"/>
    <col min="8" max="8" width="11.7109375" customWidth="1"/>
    <col min="14" max="14" width="7.140625" customWidth="1"/>
    <col min="15" max="15" width="7.28515625" customWidth="1"/>
    <col min="16" max="16" width="6.5703125" customWidth="1"/>
    <col min="17" max="17" width="7.42578125" customWidth="1"/>
    <col min="18" max="18" width="6.5703125" customWidth="1"/>
    <col min="19" max="19" width="17" customWidth="1"/>
    <col min="20" max="20" width="18.28515625" customWidth="1"/>
  </cols>
  <sheetData>
    <row r="4" spans="1:20" x14ac:dyDescent="0.2">
      <c r="C4" s="986" t="s">
        <v>103</v>
      </c>
      <c r="D4" s="987"/>
      <c r="E4" s="987"/>
      <c r="F4" s="987"/>
      <c r="G4" s="987"/>
      <c r="H4" s="987"/>
      <c r="I4" s="987"/>
      <c r="J4" s="987"/>
      <c r="K4" s="987"/>
      <c r="L4" s="987"/>
      <c r="M4" s="987"/>
      <c r="N4" s="987"/>
      <c r="O4" s="987"/>
      <c r="P4" s="987"/>
      <c r="Q4" s="988"/>
      <c r="R4" s="19"/>
      <c r="S4" s="19"/>
      <c r="T4" s="19"/>
    </row>
    <row r="5" spans="1:20" ht="13.5" x14ac:dyDescent="0.25">
      <c r="A5" s="4"/>
      <c r="B5" s="4"/>
      <c r="C5" s="983" t="s">
        <v>37</v>
      </c>
      <c r="D5" s="983"/>
      <c r="E5" s="983"/>
      <c r="F5" s="983"/>
      <c r="G5" s="983"/>
      <c r="H5" s="983"/>
      <c r="I5" s="983" t="s">
        <v>27</v>
      </c>
      <c r="J5" s="983"/>
      <c r="K5" s="983"/>
      <c r="L5" s="983"/>
      <c r="M5" s="983"/>
      <c r="N5" s="983"/>
      <c r="O5" s="983"/>
      <c r="P5" s="983"/>
      <c r="Q5" s="983"/>
      <c r="R5" s="983"/>
      <c r="S5" s="983"/>
      <c r="T5" s="20"/>
    </row>
    <row r="6" spans="1:20" ht="13.5" x14ac:dyDescent="0.25">
      <c r="A6" s="984" t="s">
        <v>8</v>
      </c>
      <c r="B6" s="4" t="s">
        <v>22</v>
      </c>
      <c r="C6" s="21" t="s">
        <v>23</v>
      </c>
      <c r="D6" s="18" t="s">
        <v>25</v>
      </c>
      <c r="E6" s="22" t="s">
        <v>39</v>
      </c>
      <c r="F6" s="23" t="s">
        <v>40</v>
      </c>
      <c r="G6" s="23" t="s">
        <v>26</v>
      </c>
      <c r="H6" s="24" t="s">
        <v>40</v>
      </c>
      <c r="I6" s="25"/>
      <c r="J6" s="25"/>
      <c r="K6" s="25"/>
      <c r="L6" s="25"/>
      <c r="M6" s="25"/>
      <c r="N6" s="25" t="s">
        <v>49</v>
      </c>
      <c r="O6" s="25" t="s">
        <v>49</v>
      </c>
      <c r="P6" s="25" t="s">
        <v>49</v>
      </c>
      <c r="Q6" s="25" t="s">
        <v>49</v>
      </c>
      <c r="R6" s="25"/>
      <c r="S6" s="25" t="s">
        <v>34</v>
      </c>
      <c r="T6" s="22" t="s">
        <v>35</v>
      </c>
    </row>
    <row r="7" spans="1:20" ht="14.25" thickBot="1" x14ac:dyDescent="0.3">
      <c r="A7" s="985"/>
      <c r="B7" s="5" t="s">
        <v>23</v>
      </c>
      <c r="C7" s="26" t="s">
        <v>24</v>
      </c>
      <c r="D7" s="27"/>
      <c r="E7" s="28" t="s">
        <v>38</v>
      </c>
      <c r="F7" s="28"/>
      <c r="G7" s="28" t="s">
        <v>41</v>
      </c>
      <c r="H7" s="28" t="s">
        <v>24</v>
      </c>
      <c r="I7" s="26" t="s">
        <v>29</v>
      </c>
      <c r="J7" s="27" t="s">
        <v>28</v>
      </c>
      <c r="K7" s="28" t="s">
        <v>30</v>
      </c>
      <c r="L7" s="26" t="s">
        <v>31</v>
      </c>
      <c r="M7" s="28" t="s">
        <v>45</v>
      </c>
      <c r="N7" s="28" t="s">
        <v>46</v>
      </c>
      <c r="O7" s="28" t="s">
        <v>47</v>
      </c>
      <c r="P7" s="39" t="s">
        <v>48</v>
      </c>
      <c r="Q7" s="39" t="s">
        <v>50</v>
      </c>
      <c r="R7" s="27" t="s">
        <v>32</v>
      </c>
      <c r="S7" s="28" t="s">
        <v>33</v>
      </c>
      <c r="T7" s="28" t="s">
        <v>36</v>
      </c>
    </row>
    <row r="8" spans="1:20" ht="15.95" customHeight="1" thickBot="1" x14ac:dyDescent="0.3">
      <c r="A8" s="35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 ht="15.95" customHeight="1" x14ac:dyDescent="0.25">
      <c r="A9" s="30">
        <v>0.29166666666666669</v>
      </c>
      <c r="B9" s="1"/>
      <c r="C9" s="6"/>
      <c r="D9" s="2"/>
      <c r="E9" s="2"/>
      <c r="F9" s="2"/>
      <c r="G9" s="2"/>
      <c r="H9" s="2"/>
      <c r="I9" s="6"/>
      <c r="J9" s="2"/>
      <c r="K9" s="2"/>
      <c r="L9" s="2"/>
      <c r="M9" s="2"/>
      <c r="N9" s="2"/>
      <c r="O9" s="2"/>
      <c r="P9" s="2"/>
      <c r="Q9" s="6"/>
      <c r="R9" s="2"/>
      <c r="S9" s="2"/>
      <c r="T9" s="15"/>
    </row>
    <row r="10" spans="1:20" ht="15.95" customHeight="1" x14ac:dyDescent="0.25">
      <c r="A10" s="29" t="s">
        <v>42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5"/>
    </row>
    <row r="11" spans="1:20" ht="15.95" customHeight="1" x14ac:dyDescent="0.25">
      <c r="A11" s="29" t="s">
        <v>43</v>
      </c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15"/>
    </row>
    <row r="12" spans="1:20" ht="15.95" customHeight="1" x14ac:dyDescent="0.25">
      <c r="A12" s="29" t="s">
        <v>44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5"/>
    </row>
    <row r="13" spans="1:20" ht="15.95" customHeight="1" thickBot="1" x14ac:dyDescent="0.3">
      <c r="A13" s="29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15"/>
    </row>
    <row r="14" spans="1:20" ht="15.95" customHeight="1" x14ac:dyDescent="0.25">
      <c r="A14" s="30">
        <v>0.29166666666666669</v>
      </c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15"/>
    </row>
    <row r="15" spans="1:20" ht="15.95" customHeight="1" x14ac:dyDescent="0.25">
      <c r="A15" s="29" t="s">
        <v>42</v>
      </c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15"/>
    </row>
    <row r="16" spans="1:20" ht="15.95" customHeight="1" x14ac:dyDescent="0.25">
      <c r="A16" s="29" t="s">
        <v>43</v>
      </c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5"/>
    </row>
    <row r="17" spans="1:20" ht="15.95" customHeight="1" x14ac:dyDescent="0.25">
      <c r="A17" s="29" t="s">
        <v>44</v>
      </c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15"/>
    </row>
    <row r="18" spans="1:20" ht="15.95" customHeight="1" thickBot="1" x14ac:dyDescent="0.3">
      <c r="A18" s="29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5"/>
    </row>
    <row r="19" spans="1:20" ht="15.95" customHeight="1" x14ac:dyDescent="0.25">
      <c r="A19" s="30">
        <v>0.29166666666666669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5"/>
    </row>
    <row r="20" spans="1:20" ht="15.95" customHeight="1" x14ac:dyDescent="0.25">
      <c r="A20" s="29" t="s">
        <v>42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5"/>
    </row>
    <row r="21" spans="1:20" ht="15.95" customHeight="1" x14ac:dyDescent="0.25">
      <c r="A21" s="29" t="s">
        <v>43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5"/>
    </row>
    <row r="22" spans="1:20" ht="15.95" customHeight="1" x14ac:dyDescent="0.25">
      <c r="A22" s="29" t="s">
        <v>44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5"/>
    </row>
    <row r="23" spans="1:20" ht="15.95" customHeight="1" thickBot="1" x14ac:dyDescent="0.3">
      <c r="A23" s="29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15"/>
    </row>
    <row r="24" spans="1:20" ht="15.95" customHeight="1" x14ac:dyDescent="0.25">
      <c r="A24" s="30">
        <v>0.29166666666666669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5"/>
    </row>
    <row r="25" spans="1:20" ht="15.95" customHeight="1" x14ac:dyDescent="0.25">
      <c r="A25" s="29" t="s">
        <v>42</v>
      </c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5"/>
    </row>
    <row r="26" spans="1:20" ht="15.95" customHeight="1" x14ac:dyDescent="0.25">
      <c r="A26" s="29" t="s">
        <v>43</v>
      </c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5"/>
    </row>
    <row r="27" spans="1:20" ht="15.95" customHeight="1" x14ac:dyDescent="0.25">
      <c r="A27" s="29" t="s">
        <v>44</v>
      </c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5"/>
    </row>
    <row r="28" spans="1:20" ht="15.95" customHeight="1" thickBot="1" x14ac:dyDescent="0.3">
      <c r="A28" s="29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5"/>
    </row>
    <row r="29" spans="1:20" ht="15.95" customHeight="1" x14ac:dyDescent="0.25">
      <c r="A29" s="30">
        <v>0.29166666666666669</v>
      </c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5"/>
    </row>
    <row r="30" spans="1:20" ht="15.95" customHeight="1" x14ac:dyDescent="0.25">
      <c r="A30" s="29" t="s">
        <v>42</v>
      </c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5"/>
    </row>
    <row r="31" spans="1:20" ht="15.95" customHeight="1" x14ac:dyDescent="0.25">
      <c r="A31" s="29" t="s">
        <v>43</v>
      </c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5"/>
    </row>
    <row r="32" spans="1:20" ht="15.95" customHeight="1" x14ac:dyDescent="0.25">
      <c r="A32" s="29" t="s">
        <v>44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5"/>
    </row>
    <row r="33" spans="1:20" ht="15.95" customHeight="1" thickBot="1" x14ac:dyDescent="0.3">
      <c r="A33" s="29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5"/>
    </row>
    <row r="34" spans="1:20" ht="15.95" customHeight="1" x14ac:dyDescent="0.25">
      <c r="A34" s="30">
        <v>0.29166666666666669</v>
      </c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5"/>
    </row>
    <row r="35" spans="1:20" ht="15.95" customHeight="1" x14ac:dyDescent="0.25">
      <c r="A35" s="29" t="s">
        <v>42</v>
      </c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5"/>
    </row>
    <row r="36" spans="1:20" ht="15.95" customHeight="1" x14ac:dyDescent="0.25">
      <c r="A36" s="29" t="s">
        <v>43</v>
      </c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5"/>
    </row>
    <row r="37" spans="1:20" ht="15.95" customHeight="1" x14ac:dyDescent="0.25">
      <c r="A37" s="29" t="s">
        <v>44</v>
      </c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15"/>
    </row>
    <row r="38" spans="1:20" ht="15.95" customHeight="1" x14ac:dyDescent="0.25">
      <c r="A38" s="31"/>
      <c r="B38" s="32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/>
    </row>
    <row r="39" spans="1:20" ht="15.95" customHeight="1" x14ac:dyDescent="0.25">
      <c r="A39" s="36">
        <v>0.29166666666666669</v>
      </c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15"/>
    </row>
    <row r="40" spans="1:20" ht="15.95" customHeight="1" x14ac:dyDescent="0.25">
      <c r="A40" s="29" t="s">
        <v>42</v>
      </c>
      <c r="B40" s="9"/>
      <c r="C40" s="2"/>
      <c r="D40" s="8"/>
      <c r="E40" s="8"/>
      <c r="F40" s="8"/>
      <c r="G40" s="8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37"/>
    </row>
    <row r="41" spans="1:20" x14ac:dyDescent="0.2">
      <c r="A41" s="29" t="s">
        <v>43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37"/>
    </row>
    <row r="42" spans="1:20" ht="13.5" thickBot="1" x14ac:dyDescent="0.25">
      <c r="A42" s="38" t="s">
        <v>44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7"/>
    </row>
  </sheetData>
  <mergeCells count="5">
    <mergeCell ref="I5:P5"/>
    <mergeCell ref="Q5:S5"/>
    <mergeCell ref="A6:A7"/>
    <mergeCell ref="C4:Q4"/>
    <mergeCell ref="C5:H5"/>
  </mergeCells>
  <pageMargins left="0.7" right="0.7" top="0.75" bottom="0.75" header="0.3" footer="0.3"/>
  <pageSetup paperSize="9" scale="6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workbookViewId="0">
      <selection activeCell="E26" sqref="E26"/>
    </sheetView>
  </sheetViews>
  <sheetFormatPr defaultRowHeight="12.75" x14ac:dyDescent="0.2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186" t="s">
        <v>232</v>
      </c>
      <c r="B2" s="170"/>
      <c r="C2" s="171"/>
      <c r="D2" s="171"/>
      <c r="E2" s="171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33">
        <v>2209.85</v>
      </c>
      <c r="R2" s="132" t="s">
        <v>101</v>
      </c>
      <c r="S2" s="132" t="s">
        <v>102</v>
      </c>
      <c r="T2" s="133">
        <v>1584</v>
      </c>
      <c r="U2" s="101"/>
      <c r="V2" s="105"/>
      <c r="W2" s="100"/>
    </row>
    <row r="3" spans="1:27" ht="38.25" customHeight="1" x14ac:dyDescent="0.2">
      <c r="A3" s="102"/>
      <c r="B3" s="47"/>
      <c r="C3" s="10"/>
      <c r="D3" s="10"/>
      <c r="E3" s="10"/>
      <c r="F3" s="10"/>
      <c r="G3" s="10"/>
      <c r="H3" s="10"/>
      <c r="I3" s="10"/>
      <c r="J3" s="10"/>
      <c r="K3" s="10"/>
      <c r="L3" s="10"/>
      <c r="M3" s="173" t="s">
        <v>81</v>
      </c>
      <c r="N3" s="173"/>
      <c r="O3" s="173"/>
      <c r="P3" s="173" t="s">
        <v>76</v>
      </c>
      <c r="Q3" s="174" t="s">
        <v>88</v>
      </c>
      <c r="R3" s="174"/>
      <c r="S3" s="174"/>
      <c r="T3" s="175"/>
      <c r="U3" s="176"/>
      <c r="V3" s="107" t="s">
        <v>89</v>
      </c>
      <c r="W3" s="173" t="s">
        <v>113</v>
      </c>
      <c r="AA3" s="181" t="s">
        <v>114</v>
      </c>
    </row>
    <row r="4" spans="1:27" s="90" customFormat="1" ht="50.25" customHeight="1" x14ac:dyDescent="0.2">
      <c r="A4" s="103" t="s">
        <v>0</v>
      </c>
      <c r="B4" s="121" t="s">
        <v>99</v>
      </c>
      <c r="C4" s="92" t="s">
        <v>83</v>
      </c>
      <c r="D4" s="92" t="s">
        <v>97</v>
      </c>
      <c r="E4" s="92" t="s">
        <v>98</v>
      </c>
      <c r="F4" s="113" t="s">
        <v>74</v>
      </c>
      <c r="G4" s="92" t="s">
        <v>77</v>
      </c>
      <c r="H4" s="92" t="s">
        <v>78</v>
      </c>
      <c r="I4" s="92" t="s">
        <v>79</v>
      </c>
      <c r="J4" s="92" t="s">
        <v>80</v>
      </c>
      <c r="K4" s="113" t="s">
        <v>84</v>
      </c>
      <c r="L4" s="113" t="s">
        <v>111</v>
      </c>
      <c r="M4" s="92">
        <v>3</v>
      </c>
      <c r="N4" s="92">
        <v>2</v>
      </c>
      <c r="O4" s="92">
        <v>1</v>
      </c>
      <c r="P4" s="96"/>
      <c r="Q4" s="99" t="s">
        <v>86</v>
      </c>
      <c r="R4" s="99" t="s">
        <v>96</v>
      </c>
      <c r="S4" s="99" t="s">
        <v>95</v>
      </c>
      <c r="T4" s="99" t="s">
        <v>35</v>
      </c>
      <c r="U4" s="104" t="s">
        <v>87</v>
      </c>
      <c r="V4" s="106"/>
      <c r="W4" s="95"/>
    </row>
    <row r="5" spans="1:27" x14ac:dyDescent="0.2">
      <c r="A5" s="93">
        <f>SUM(Gen!A11)</f>
        <v>43435</v>
      </c>
      <c r="B5" s="123">
        <v>0</v>
      </c>
      <c r="C5" s="129">
        <f>SUM(Gen!B11)</f>
        <v>0.16800000000000001</v>
      </c>
      <c r="D5" s="125">
        <f>SUM(77*C5)</f>
        <v>12.936</v>
      </c>
      <c r="E5" s="115"/>
      <c r="F5" s="111">
        <f>Gen!T11</f>
        <v>4555</v>
      </c>
      <c r="G5" s="127">
        <f>Gen!S11</f>
        <v>1825.13</v>
      </c>
      <c r="H5" s="127" t="e">
        <f>Gen!#REF!</f>
        <v>#REF!</v>
      </c>
      <c r="I5" s="127" t="e">
        <f t="shared" ref="I5:I35" si="0">SUM(G5:H5)</f>
        <v>#REF!</v>
      </c>
      <c r="J5" s="127" t="e">
        <f>Gen!AT11</f>
        <v>#REF!</v>
      </c>
      <c r="K5" s="110">
        <f>'Water-Meter'!E10</f>
        <v>84</v>
      </c>
      <c r="L5" s="108" t="e">
        <f>#REF!</f>
        <v>#REF!</v>
      </c>
      <c r="M5" s="130" t="e">
        <f>#REF!</f>
        <v>#REF!</v>
      </c>
      <c r="N5" s="130" t="e">
        <f>#REF!</f>
        <v>#REF!</v>
      </c>
      <c r="O5" s="130" t="e">
        <f>#REF!</f>
        <v>#REF!</v>
      </c>
      <c r="P5" s="131" t="e">
        <f t="shared" ref="P5:P35" si="1">J5/52000</f>
        <v>#REF!</v>
      </c>
      <c r="Q5" s="10" t="e">
        <f>I5*Q2</f>
        <v>#REF!</v>
      </c>
      <c r="R5" s="117" t="e">
        <f>SUM(Q5/D5)/X5</f>
        <v>#REF!</v>
      </c>
      <c r="S5" s="134" t="e">
        <f>SUM(Q5/E5)/X5</f>
        <v>#REF!</v>
      </c>
      <c r="T5" s="117">
        <f>(K5*102)/X5</f>
        <v>5.4090909090909092</v>
      </c>
      <c r="U5" s="178" t="e">
        <f>SUM(L5*1963)/X5</f>
        <v>#REF!</v>
      </c>
      <c r="V5" s="48" t="e">
        <f>SUM(Q5+T5+U5)</f>
        <v>#REF!</v>
      </c>
      <c r="W5" s="180" t="e">
        <f>SUM(V5/E5)/T2</f>
        <v>#REF!</v>
      </c>
      <c r="X5">
        <f>SUM(T2)</f>
        <v>1584</v>
      </c>
      <c r="Y5" s="135">
        <v>106</v>
      </c>
      <c r="Z5" s="120" t="e">
        <f>SUM(Y5-S5)</f>
        <v>#REF!</v>
      </c>
      <c r="AA5">
        <v>106</v>
      </c>
    </row>
    <row r="6" spans="1:27" x14ac:dyDescent="0.2">
      <c r="A6" s="93">
        <f>SUM(Gen!A12)</f>
        <v>43436</v>
      </c>
      <c r="B6" s="123">
        <v>0</v>
      </c>
      <c r="C6" s="129">
        <f>SUM(Gen!B12)</f>
        <v>0.1429</v>
      </c>
      <c r="D6" s="125">
        <f t="shared" ref="D6:D35" si="2">SUM(77*C6)</f>
        <v>11.003299999999999</v>
      </c>
      <c r="E6" s="115"/>
      <c r="F6" s="111">
        <f>Gen!T12</f>
        <v>4679</v>
      </c>
      <c r="G6" s="127">
        <f>Gen!S12</f>
        <v>1835.19</v>
      </c>
      <c r="H6" s="127" t="e">
        <f>Gen!#REF!</f>
        <v>#REF!</v>
      </c>
      <c r="I6" s="127" t="e">
        <f t="shared" si="0"/>
        <v>#REF!</v>
      </c>
      <c r="J6" s="127" t="e">
        <f>Gen!AT12</f>
        <v>#REF!</v>
      </c>
      <c r="K6" s="110">
        <f>'Water-Meter'!E11</f>
        <v>108</v>
      </c>
      <c r="L6" s="108" t="e">
        <f>#REF!</f>
        <v>#REF!</v>
      </c>
      <c r="M6" s="130" t="e">
        <f>#REF!</f>
        <v>#REF!</v>
      </c>
      <c r="N6" s="130" t="e">
        <f>#REF!</f>
        <v>#REF!</v>
      </c>
      <c r="O6" s="130" t="e">
        <f>#REF!</f>
        <v>#REF!</v>
      </c>
      <c r="P6" s="131" t="e">
        <f t="shared" si="1"/>
        <v>#REF!</v>
      </c>
      <c r="Q6" s="10" t="e">
        <f>I6*Q2</f>
        <v>#REF!</v>
      </c>
      <c r="R6" s="117" t="e">
        <f t="shared" ref="R6:R35" si="3">SUM(Q6/D6)/X6</f>
        <v>#REF!</v>
      </c>
      <c r="S6" s="134" t="e">
        <f t="shared" ref="S6:S35" si="4">SUM(Q6/E6)/X6</f>
        <v>#REF!</v>
      </c>
      <c r="T6" s="117">
        <f t="shared" ref="T6:T35" si="5">(K6*102)/X6</f>
        <v>6.9545454545454541</v>
      </c>
      <c r="U6" s="178" t="e">
        <f t="shared" ref="U6:U35" si="6">SUM(L6*1963)/X6</f>
        <v>#REF!</v>
      </c>
      <c r="V6" s="48" t="e">
        <f t="shared" ref="V6:V36" si="7">SUM(Q6+T6+U6)</f>
        <v>#REF!</v>
      </c>
      <c r="W6" s="180" t="e">
        <f>SUM(V6/E6)/T2</f>
        <v>#REF!</v>
      </c>
      <c r="X6">
        <f>SUM(X5)</f>
        <v>1584</v>
      </c>
      <c r="Y6" s="135">
        <v>106</v>
      </c>
      <c r="Z6" s="120" t="e">
        <f t="shared" ref="Z6:Z35" si="8">SUM(Y6-S6)</f>
        <v>#REF!</v>
      </c>
    </row>
    <row r="7" spans="1:27" x14ac:dyDescent="0.2">
      <c r="A7" s="93">
        <f>SUM(Gen!A13)</f>
        <v>43437</v>
      </c>
      <c r="B7" s="123">
        <v>0</v>
      </c>
      <c r="C7" s="129">
        <f>SUM(Gen!B13)</f>
        <v>0.1429</v>
      </c>
      <c r="D7" s="125">
        <f t="shared" si="2"/>
        <v>11.003299999999999</v>
      </c>
      <c r="E7" s="115"/>
      <c r="F7" s="111">
        <f>Gen!T13</f>
        <v>4437</v>
      </c>
      <c r="G7" s="127">
        <f>Gen!S13</f>
        <v>2768.05</v>
      </c>
      <c r="H7" s="127" t="e">
        <f>Gen!#REF!</f>
        <v>#REF!</v>
      </c>
      <c r="I7" s="127" t="e">
        <f t="shared" si="0"/>
        <v>#REF!</v>
      </c>
      <c r="J7" s="127" t="e">
        <f>Gen!AT13</f>
        <v>#REF!</v>
      </c>
      <c r="K7" s="110">
        <f>'Water-Meter'!E12</f>
        <v>93</v>
      </c>
      <c r="L7" s="108" t="e">
        <f>#REF!</f>
        <v>#REF!</v>
      </c>
      <c r="M7" s="130" t="e">
        <f>#REF!</f>
        <v>#REF!</v>
      </c>
      <c r="N7" s="130" t="e">
        <f>#REF!</f>
        <v>#REF!</v>
      </c>
      <c r="O7" s="130" t="e">
        <f>#REF!</f>
        <v>#REF!</v>
      </c>
      <c r="P7" s="131" t="e">
        <f t="shared" si="1"/>
        <v>#REF!</v>
      </c>
      <c r="Q7" s="10" t="e">
        <f>I7*Q2</f>
        <v>#REF!</v>
      </c>
      <c r="R7" s="117" t="e">
        <f t="shared" si="3"/>
        <v>#REF!</v>
      </c>
      <c r="S7" s="134" t="e">
        <f t="shared" si="4"/>
        <v>#REF!</v>
      </c>
      <c r="T7" s="117">
        <f t="shared" si="5"/>
        <v>5.9886363636363633</v>
      </c>
      <c r="U7" s="178" t="e">
        <f t="shared" si="6"/>
        <v>#REF!</v>
      </c>
      <c r="V7" s="48" t="e">
        <f t="shared" si="7"/>
        <v>#REF!</v>
      </c>
      <c r="W7" s="180" t="e">
        <f>SUM(V7/E7)/T2</f>
        <v>#REF!</v>
      </c>
      <c r="X7">
        <f t="shared" ref="X7:X35" si="9">SUM(X6)</f>
        <v>1584</v>
      </c>
      <c r="Y7" s="135">
        <v>106</v>
      </c>
      <c r="Z7" s="120" t="e">
        <f t="shared" si="8"/>
        <v>#REF!</v>
      </c>
    </row>
    <row r="8" spans="1:27" x14ac:dyDescent="0.2">
      <c r="A8" s="93">
        <f>SUM(Gen!A14)</f>
        <v>43438</v>
      </c>
      <c r="B8" s="123">
        <v>0</v>
      </c>
      <c r="C8" s="129">
        <f>SUM(Gen!B14)</f>
        <v>0.16880000000000001</v>
      </c>
      <c r="D8" s="125">
        <f t="shared" si="2"/>
        <v>12.9976</v>
      </c>
      <c r="E8" s="115"/>
      <c r="F8" s="111">
        <f>Gen!T14</f>
        <v>4694</v>
      </c>
      <c r="G8" s="127">
        <f>Gen!S14</f>
        <v>1910.45</v>
      </c>
      <c r="H8" s="127">
        <f>Gen!AJ9</f>
        <v>0</v>
      </c>
      <c r="I8" s="127">
        <f t="shared" si="0"/>
        <v>1910.45</v>
      </c>
      <c r="J8" s="127" t="e">
        <f>Gen!AT14</f>
        <v>#REF!</v>
      </c>
      <c r="K8" s="110">
        <f>'Water-Meter'!E13</f>
        <v>103</v>
      </c>
      <c r="L8" s="108" t="e">
        <f>#REF!</f>
        <v>#REF!</v>
      </c>
      <c r="M8" s="130" t="e">
        <f>#REF!</f>
        <v>#REF!</v>
      </c>
      <c r="N8" s="130" t="e">
        <f>#REF!</f>
        <v>#REF!</v>
      </c>
      <c r="O8" s="130" t="e">
        <f>#REF!</f>
        <v>#REF!</v>
      </c>
      <c r="P8" s="131" t="e">
        <f t="shared" si="1"/>
        <v>#REF!</v>
      </c>
      <c r="Q8" s="10">
        <f>I8*Q2</f>
        <v>4221807.9325000001</v>
      </c>
      <c r="R8" s="117">
        <f t="shared" si="3"/>
        <v>205.05960990253524</v>
      </c>
      <c r="S8" s="134" t="e">
        <f t="shared" si="4"/>
        <v>#DIV/0!</v>
      </c>
      <c r="T8" s="117">
        <f t="shared" si="5"/>
        <v>6.6325757575757578</v>
      </c>
      <c r="U8" s="178" t="e">
        <f t="shared" si="6"/>
        <v>#REF!</v>
      </c>
      <c r="V8" s="48" t="e">
        <f t="shared" si="7"/>
        <v>#REF!</v>
      </c>
      <c r="W8" s="180" t="e">
        <f>SUM(V8/E8)/T2</f>
        <v>#REF!</v>
      </c>
      <c r="X8">
        <f t="shared" si="9"/>
        <v>1584</v>
      </c>
      <c r="Y8" s="135">
        <v>106</v>
      </c>
      <c r="Z8" s="120" t="e">
        <f t="shared" si="8"/>
        <v>#DIV/0!</v>
      </c>
    </row>
    <row r="9" spans="1:27" x14ac:dyDescent="0.2">
      <c r="A9" s="93">
        <f>SUM(Gen!A15)</f>
        <v>43439</v>
      </c>
      <c r="B9" s="123">
        <v>0</v>
      </c>
      <c r="C9" s="129">
        <f>SUM(Gen!B15)</f>
        <v>0.20780000000000001</v>
      </c>
      <c r="D9" s="125">
        <f t="shared" si="2"/>
        <v>16.000600000000002</v>
      </c>
      <c r="E9" s="115"/>
      <c r="F9" s="111">
        <f>Gen!T15</f>
        <v>4359</v>
      </c>
      <c r="G9" s="127">
        <f>Gen!S15</f>
        <v>1785.28</v>
      </c>
      <c r="H9" s="127">
        <f>Gen!AJ10</f>
        <v>0</v>
      </c>
      <c r="I9" s="127">
        <f t="shared" si="0"/>
        <v>1785.28</v>
      </c>
      <c r="J9" s="127" t="e">
        <f>Gen!AT15</f>
        <v>#REF!</v>
      </c>
      <c r="K9" s="110">
        <f>'Water-Meter'!E14</f>
        <v>125</v>
      </c>
      <c r="L9" s="108" t="e">
        <f>#REF!</f>
        <v>#REF!</v>
      </c>
      <c r="M9" s="130" t="e">
        <f>#REF!</f>
        <v>#REF!</v>
      </c>
      <c r="N9" s="130" t="e">
        <f>#REF!</f>
        <v>#REF!</v>
      </c>
      <c r="O9" s="130" t="e">
        <f>#REF!</f>
        <v>#REF!</v>
      </c>
      <c r="P9" s="131" t="e">
        <f t="shared" si="1"/>
        <v>#REF!</v>
      </c>
      <c r="Q9" s="10">
        <f>I9*Q2</f>
        <v>3945201.0079999999</v>
      </c>
      <c r="R9" s="117">
        <f t="shared" si="3"/>
        <v>155.66023786734257</v>
      </c>
      <c r="S9" s="134" t="e">
        <f t="shared" si="4"/>
        <v>#DIV/0!</v>
      </c>
      <c r="T9" s="117">
        <f t="shared" si="5"/>
        <v>8.0492424242424239</v>
      </c>
      <c r="U9" s="178" t="e">
        <f t="shared" si="6"/>
        <v>#REF!</v>
      </c>
      <c r="V9" s="48" t="e">
        <f t="shared" si="7"/>
        <v>#REF!</v>
      </c>
      <c r="W9" s="180" t="e">
        <f>SUM(V9/E9)/T2</f>
        <v>#REF!</v>
      </c>
      <c r="X9">
        <f t="shared" si="9"/>
        <v>1584</v>
      </c>
      <c r="Y9" s="135">
        <v>106</v>
      </c>
      <c r="Z9" s="120" t="e">
        <f t="shared" si="8"/>
        <v>#DIV/0!</v>
      </c>
    </row>
    <row r="10" spans="1:27" x14ac:dyDescent="0.2">
      <c r="A10" s="93">
        <f>SUM(Gen!A16)</f>
        <v>43440</v>
      </c>
      <c r="B10" s="123">
        <v>0</v>
      </c>
      <c r="C10" s="129">
        <f>SUM(Gen!B16)</f>
        <v>0.29870000000000002</v>
      </c>
      <c r="D10" s="125">
        <f t="shared" si="2"/>
        <v>22.9999</v>
      </c>
      <c r="E10" s="115"/>
      <c r="F10" s="111">
        <f>Gen!T16</f>
        <v>4710</v>
      </c>
      <c r="G10" s="127">
        <f>Gen!S16</f>
        <v>1903.8600000000001</v>
      </c>
      <c r="H10" s="127" t="e">
        <f>Gen!#REF!</f>
        <v>#REF!</v>
      </c>
      <c r="I10" s="127" t="e">
        <f t="shared" si="0"/>
        <v>#REF!</v>
      </c>
      <c r="J10" s="127" t="e">
        <f>Gen!AT16</f>
        <v>#REF!</v>
      </c>
      <c r="K10" s="110">
        <f>'Water-Meter'!E15</f>
        <v>114</v>
      </c>
      <c r="L10" s="108" t="e">
        <f>#REF!</f>
        <v>#REF!</v>
      </c>
      <c r="M10" s="130" t="e">
        <f>#REF!</f>
        <v>#REF!</v>
      </c>
      <c r="N10" s="130" t="e">
        <f>#REF!</f>
        <v>#REF!</v>
      </c>
      <c r="O10" s="130" t="e">
        <f>#REF!</f>
        <v>#REF!</v>
      </c>
      <c r="P10" s="131" t="e">
        <f t="shared" si="1"/>
        <v>#REF!</v>
      </c>
      <c r="Q10" s="10" t="e">
        <f>I10*Q2</f>
        <v>#REF!</v>
      </c>
      <c r="R10" s="117" t="e">
        <f t="shared" si="3"/>
        <v>#REF!</v>
      </c>
      <c r="S10" s="134" t="e">
        <f t="shared" si="4"/>
        <v>#REF!</v>
      </c>
      <c r="T10" s="117">
        <f t="shared" si="5"/>
        <v>7.3409090909090908</v>
      </c>
      <c r="U10" s="178" t="e">
        <f t="shared" si="6"/>
        <v>#REF!</v>
      </c>
      <c r="V10" s="48" t="e">
        <f t="shared" si="7"/>
        <v>#REF!</v>
      </c>
      <c r="W10" s="180" t="e">
        <f>SUM(V10/E10)/T2</f>
        <v>#REF!</v>
      </c>
      <c r="X10">
        <f t="shared" si="9"/>
        <v>1584</v>
      </c>
      <c r="Y10" s="135">
        <v>106</v>
      </c>
      <c r="Z10" s="120" t="e">
        <f t="shared" si="8"/>
        <v>#REF!</v>
      </c>
    </row>
    <row r="11" spans="1:27" x14ac:dyDescent="0.2">
      <c r="A11" s="93">
        <f>SUM(Gen!A17)</f>
        <v>43441</v>
      </c>
      <c r="B11" s="123">
        <v>0</v>
      </c>
      <c r="C11" s="129">
        <f>SUM(Gen!B17)</f>
        <v>0.24679999999999999</v>
      </c>
      <c r="D11" s="125">
        <f t="shared" si="2"/>
        <v>19.003599999999999</v>
      </c>
      <c r="E11" s="115"/>
      <c r="F11" s="111">
        <f>Gen!T17</f>
        <v>4875</v>
      </c>
      <c r="G11" s="127">
        <f>Gen!S17</f>
        <v>2010.19</v>
      </c>
      <c r="H11" s="127">
        <f>Gen!AJ25</f>
        <v>571.31999999999994</v>
      </c>
      <c r="I11" s="127">
        <f t="shared" si="0"/>
        <v>2581.5100000000002</v>
      </c>
      <c r="J11" s="127" t="e">
        <f>Gen!AT17</f>
        <v>#REF!</v>
      </c>
      <c r="K11" s="110">
        <f>'Water-Meter'!E16</f>
        <v>114</v>
      </c>
      <c r="L11" s="108" t="e">
        <f>#REF!</f>
        <v>#REF!</v>
      </c>
      <c r="M11" s="130" t="e">
        <f>#REF!</f>
        <v>#REF!</v>
      </c>
      <c r="N11" s="130" t="e">
        <f>#REF!</f>
        <v>#REF!</v>
      </c>
      <c r="O11" s="130" t="e">
        <f>#REF!</f>
        <v>#REF!</v>
      </c>
      <c r="P11" s="131" t="e">
        <f t="shared" si="1"/>
        <v>#REF!</v>
      </c>
      <c r="Q11" s="10">
        <f>I11*Q2</f>
        <v>5704749.8735000007</v>
      </c>
      <c r="R11" s="117">
        <f t="shared" si="3"/>
        <v>189.51585520624911</v>
      </c>
      <c r="S11" s="134" t="e">
        <f t="shared" si="4"/>
        <v>#DIV/0!</v>
      </c>
      <c r="T11" s="117">
        <f t="shared" si="5"/>
        <v>7.3409090909090908</v>
      </c>
      <c r="U11" s="178" t="e">
        <f t="shared" si="6"/>
        <v>#REF!</v>
      </c>
      <c r="V11" s="48" t="e">
        <f t="shared" si="7"/>
        <v>#REF!</v>
      </c>
      <c r="W11" s="180" t="e">
        <f>SUM(V11/E11)/T2</f>
        <v>#REF!</v>
      </c>
      <c r="X11">
        <f t="shared" si="9"/>
        <v>1584</v>
      </c>
      <c r="Y11" s="135">
        <v>106</v>
      </c>
      <c r="Z11" s="120" t="e">
        <f t="shared" si="8"/>
        <v>#DIV/0!</v>
      </c>
    </row>
    <row r="12" spans="1:27" x14ac:dyDescent="0.2">
      <c r="A12" s="93">
        <f>SUM(Gen!A18)</f>
        <v>43442</v>
      </c>
      <c r="B12" s="123">
        <v>0</v>
      </c>
      <c r="C12" s="129">
        <f>SUM(Gen!B18)</f>
        <v>0.28570000000000001</v>
      </c>
      <c r="D12" s="125">
        <f t="shared" si="2"/>
        <v>21.998899999999999</v>
      </c>
      <c r="E12" s="115"/>
      <c r="F12" s="111">
        <f>Gen!T18</f>
        <v>4801</v>
      </c>
      <c r="G12" s="127">
        <f>Gen!S18</f>
        <v>1923.46</v>
      </c>
      <c r="H12" s="127" t="e">
        <f>Gen!#REF!</f>
        <v>#REF!</v>
      </c>
      <c r="I12" s="127" t="e">
        <f t="shared" si="0"/>
        <v>#REF!</v>
      </c>
      <c r="J12" s="127" t="e">
        <f>Gen!AT18</f>
        <v>#REF!</v>
      </c>
      <c r="K12" s="110">
        <f>'Water-Meter'!E17</f>
        <v>105</v>
      </c>
      <c r="L12" s="108" t="e">
        <f>#REF!</f>
        <v>#REF!</v>
      </c>
      <c r="M12" s="130" t="e">
        <f>#REF!</f>
        <v>#REF!</v>
      </c>
      <c r="N12" s="130" t="e">
        <f>#REF!</f>
        <v>#REF!</v>
      </c>
      <c r="O12" s="130" t="e">
        <f>#REF!</f>
        <v>#REF!</v>
      </c>
      <c r="P12" s="131" t="e">
        <f t="shared" si="1"/>
        <v>#REF!</v>
      </c>
      <c r="Q12" s="10" t="e">
        <f>I12*Q2</f>
        <v>#REF!</v>
      </c>
      <c r="R12" s="117" t="e">
        <f t="shared" si="3"/>
        <v>#REF!</v>
      </c>
      <c r="S12" s="134" t="e">
        <f t="shared" si="4"/>
        <v>#REF!</v>
      </c>
      <c r="T12" s="117">
        <f t="shared" si="5"/>
        <v>6.7613636363636367</v>
      </c>
      <c r="U12" s="178" t="e">
        <f t="shared" si="6"/>
        <v>#REF!</v>
      </c>
      <c r="V12" s="48" t="e">
        <f t="shared" si="7"/>
        <v>#REF!</v>
      </c>
      <c r="W12" s="180" t="e">
        <f>SUM(V12/E12)/T2</f>
        <v>#REF!</v>
      </c>
      <c r="X12">
        <f t="shared" si="9"/>
        <v>1584</v>
      </c>
      <c r="Y12" s="135">
        <v>106</v>
      </c>
      <c r="Z12" s="120" t="e">
        <f t="shared" si="8"/>
        <v>#REF!</v>
      </c>
    </row>
    <row r="13" spans="1:27" x14ac:dyDescent="0.2">
      <c r="A13" s="93">
        <f>SUM(Gen!A19)</f>
        <v>43443</v>
      </c>
      <c r="B13" s="123">
        <v>0</v>
      </c>
      <c r="C13" s="129">
        <f>SUM(Gen!B19)</f>
        <v>0.46750000000000003</v>
      </c>
      <c r="D13" s="125">
        <f t="shared" si="2"/>
        <v>35.997500000000002</v>
      </c>
      <c r="E13" s="115"/>
      <c r="F13" s="111">
        <f>Gen!T19</f>
        <v>4909</v>
      </c>
      <c r="G13" s="127">
        <f>Gen!S19</f>
        <v>2043.56</v>
      </c>
      <c r="H13" s="127" t="e">
        <f>Gen!#REF!</f>
        <v>#REF!</v>
      </c>
      <c r="I13" s="127" t="e">
        <f t="shared" si="0"/>
        <v>#REF!</v>
      </c>
      <c r="J13" s="127" t="e">
        <f>Gen!AT19</f>
        <v>#REF!</v>
      </c>
      <c r="K13" s="110">
        <f>'Water-Meter'!E18</f>
        <v>111</v>
      </c>
      <c r="L13" s="108" t="e">
        <f>#REF!</f>
        <v>#REF!</v>
      </c>
      <c r="M13" s="130" t="e">
        <f>#REF!</f>
        <v>#REF!</v>
      </c>
      <c r="N13" s="130" t="e">
        <f>#REF!</f>
        <v>#REF!</v>
      </c>
      <c r="O13" s="130" t="e">
        <f>#REF!</f>
        <v>#REF!</v>
      </c>
      <c r="P13" s="131" t="e">
        <f t="shared" si="1"/>
        <v>#REF!</v>
      </c>
      <c r="Q13" s="10" t="e">
        <f>I13*Q2</f>
        <v>#REF!</v>
      </c>
      <c r="R13" s="117" t="e">
        <f t="shared" si="3"/>
        <v>#REF!</v>
      </c>
      <c r="S13" s="134" t="e">
        <f t="shared" si="4"/>
        <v>#REF!</v>
      </c>
      <c r="T13" s="117">
        <f t="shared" si="5"/>
        <v>7.1477272727272725</v>
      </c>
      <c r="U13" s="178" t="e">
        <f t="shared" si="6"/>
        <v>#REF!</v>
      </c>
      <c r="V13" s="48" t="e">
        <f t="shared" si="7"/>
        <v>#REF!</v>
      </c>
      <c r="W13" s="180" t="e">
        <f>SUM(V13/E13)/T2</f>
        <v>#REF!</v>
      </c>
      <c r="X13">
        <f t="shared" si="9"/>
        <v>1584</v>
      </c>
      <c r="Y13" s="135">
        <v>106</v>
      </c>
      <c r="Z13" s="120" t="e">
        <f t="shared" si="8"/>
        <v>#REF!</v>
      </c>
    </row>
    <row r="14" spans="1:27" x14ac:dyDescent="0.2">
      <c r="A14" s="93">
        <f>SUM(Gen!A20)</f>
        <v>43444</v>
      </c>
      <c r="B14" s="123">
        <v>0</v>
      </c>
      <c r="C14" s="129">
        <f>SUM(Gen!B20)</f>
        <v>0.55840000000000001</v>
      </c>
      <c r="D14" s="125">
        <f t="shared" si="2"/>
        <v>42.9968</v>
      </c>
      <c r="E14" s="115"/>
      <c r="F14" s="111">
        <f>Gen!T20</f>
        <v>5316</v>
      </c>
      <c r="G14" s="127">
        <f>Gen!S20</f>
        <v>2103.23</v>
      </c>
      <c r="H14" s="127" t="e">
        <f>Gen!#REF!</f>
        <v>#REF!</v>
      </c>
      <c r="I14" s="127" t="e">
        <f t="shared" si="0"/>
        <v>#REF!</v>
      </c>
      <c r="J14" s="127" t="e">
        <f>Gen!AT20</f>
        <v>#REF!</v>
      </c>
      <c r="K14" s="110">
        <f>'Water-Meter'!E19</f>
        <v>100</v>
      </c>
      <c r="L14" s="108" t="e">
        <f>#REF!</f>
        <v>#REF!</v>
      </c>
      <c r="M14" s="130" t="e">
        <f>#REF!</f>
        <v>#REF!</v>
      </c>
      <c r="N14" s="130" t="e">
        <f>#REF!</f>
        <v>#REF!</v>
      </c>
      <c r="O14" s="130" t="e">
        <f>#REF!</f>
        <v>#REF!</v>
      </c>
      <c r="P14" s="131" t="e">
        <f t="shared" si="1"/>
        <v>#REF!</v>
      </c>
      <c r="Q14" s="10" t="e">
        <f>I14*Q2</f>
        <v>#REF!</v>
      </c>
      <c r="R14" s="117" t="e">
        <f t="shared" si="3"/>
        <v>#REF!</v>
      </c>
      <c r="S14" s="134" t="e">
        <f t="shared" si="4"/>
        <v>#REF!</v>
      </c>
      <c r="T14" s="117">
        <f t="shared" si="5"/>
        <v>6.4393939393939394</v>
      </c>
      <c r="U14" s="178" t="e">
        <f t="shared" si="6"/>
        <v>#REF!</v>
      </c>
      <c r="V14" s="48" t="e">
        <f t="shared" si="7"/>
        <v>#REF!</v>
      </c>
      <c r="W14" s="180" t="e">
        <f>SUM(V14/E14)/T2</f>
        <v>#REF!</v>
      </c>
      <c r="X14">
        <f t="shared" si="9"/>
        <v>1584</v>
      </c>
      <c r="Y14" s="135">
        <v>106</v>
      </c>
      <c r="Z14" s="120" t="e">
        <f t="shared" si="8"/>
        <v>#REF!</v>
      </c>
    </row>
    <row r="15" spans="1:27" x14ac:dyDescent="0.2">
      <c r="A15" s="93">
        <f>SUM(Gen!A21)</f>
        <v>43445</v>
      </c>
      <c r="B15" s="123">
        <v>0</v>
      </c>
      <c r="C15" s="129">
        <f>SUM(Gen!B21)</f>
        <v>0.57140000000000002</v>
      </c>
      <c r="D15" s="125">
        <f t="shared" si="2"/>
        <v>43.997799999999998</v>
      </c>
      <c r="E15" s="115"/>
      <c r="F15" s="111">
        <f>Gen!T21</f>
        <v>4922</v>
      </c>
      <c r="G15" s="127">
        <f>Gen!S21</f>
        <v>2044.33</v>
      </c>
      <c r="H15" s="127" t="e">
        <f>Gen!#REF!</f>
        <v>#REF!</v>
      </c>
      <c r="I15" s="127" t="e">
        <f t="shared" si="0"/>
        <v>#REF!</v>
      </c>
      <c r="J15" s="127" t="e">
        <f>Gen!AT21</f>
        <v>#REF!</v>
      </c>
      <c r="K15" s="110">
        <f>'Water-Meter'!E20</f>
        <v>87</v>
      </c>
      <c r="L15" s="108" t="e">
        <f>#REF!</f>
        <v>#REF!</v>
      </c>
      <c r="M15" s="130" t="e">
        <f>#REF!</f>
        <v>#REF!</v>
      </c>
      <c r="N15" s="130" t="e">
        <f>#REF!</f>
        <v>#REF!</v>
      </c>
      <c r="O15" s="130" t="e">
        <f>#REF!</f>
        <v>#REF!</v>
      </c>
      <c r="P15" s="131" t="e">
        <f t="shared" si="1"/>
        <v>#REF!</v>
      </c>
      <c r="Q15" s="10" t="e">
        <f>I15*Q2</f>
        <v>#REF!</v>
      </c>
      <c r="R15" s="117" t="e">
        <f t="shared" si="3"/>
        <v>#REF!</v>
      </c>
      <c r="S15" s="134" t="e">
        <f t="shared" si="4"/>
        <v>#REF!</v>
      </c>
      <c r="T15" s="117">
        <f t="shared" si="5"/>
        <v>5.6022727272727275</v>
      </c>
      <c r="U15" s="178" t="e">
        <f t="shared" si="6"/>
        <v>#REF!</v>
      </c>
      <c r="V15" s="48" t="e">
        <f t="shared" si="7"/>
        <v>#REF!</v>
      </c>
      <c r="W15" s="180" t="e">
        <f>SUM(V15/E15)/T2</f>
        <v>#REF!</v>
      </c>
      <c r="X15">
        <f t="shared" si="9"/>
        <v>1584</v>
      </c>
      <c r="Y15" s="135">
        <v>106</v>
      </c>
      <c r="Z15" s="120" t="e">
        <f t="shared" si="8"/>
        <v>#REF!</v>
      </c>
    </row>
    <row r="16" spans="1:27" x14ac:dyDescent="0.2">
      <c r="A16" s="93">
        <f>SUM(Gen!A22)</f>
        <v>43446</v>
      </c>
      <c r="B16" s="123">
        <v>0</v>
      </c>
      <c r="C16" s="129">
        <f>SUM(Gen!B22)</f>
        <v>0.23380000000000001</v>
      </c>
      <c r="D16" s="125">
        <f t="shared" si="2"/>
        <v>18.002600000000001</v>
      </c>
      <c r="E16" s="115"/>
      <c r="F16" s="111">
        <f>Gen!T22</f>
        <v>4870</v>
      </c>
      <c r="G16" s="127">
        <f>Gen!S22</f>
        <v>1917.2399999999998</v>
      </c>
      <c r="H16" s="127" t="e">
        <f>Gen!#REF!</f>
        <v>#REF!</v>
      </c>
      <c r="I16" s="127" t="e">
        <f t="shared" si="0"/>
        <v>#REF!</v>
      </c>
      <c r="J16" s="127" t="e">
        <f>Gen!AT22</f>
        <v>#REF!</v>
      </c>
      <c r="K16" s="110">
        <f>'Water-Meter'!E21</f>
        <v>105</v>
      </c>
      <c r="L16" s="108" t="e">
        <f>#REF!</f>
        <v>#REF!</v>
      </c>
      <c r="M16" s="130" t="e">
        <f>#REF!</f>
        <v>#REF!</v>
      </c>
      <c r="N16" s="130" t="e">
        <f>#REF!</f>
        <v>#REF!</v>
      </c>
      <c r="O16" s="130" t="e">
        <f>#REF!</f>
        <v>#REF!</v>
      </c>
      <c r="P16" s="131" t="e">
        <f t="shared" si="1"/>
        <v>#REF!</v>
      </c>
      <c r="Q16" s="10" t="e">
        <f>I16*Q2</f>
        <v>#REF!</v>
      </c>
      <c r="R16" s="117" t="e">
        <f t="shared" si="3"/>
        <v>#REF!</v>
      </c>
      <c r="S16" s="134" t="e">
        <f t="shared" si="4"/>
        <v>#REF!</v>
      </c>
      <c r="T16" s="117">
        <f t="shared" si="5"/>
        <v>6.7613636363636367</v>
      </c>
      <c r="U16" s="178" t="e">
        <f t="shared" si="6"/>
        <v>#REF!</v>
      </c>
      <c r="V16" s="48" t="e">
        <f t="shared" si="7"/>
        <v>#REF!</v>
      </c>
      <c r="W16" s="180" t="e">
        <f>SUM(V16/E16)/T2</f>
        <v>#REF!</v>
      </c>
      <c r="X16">
        <f t="shared" si="9"/>
        <v>1584</v>
      </c>
      <c r="Y16" s="135">
        <v>106</v>
      </c>
      <c r="Z16" s="120" t="e">
        <f t="shared" si="8"/>
        <v>#REF!</v>
      </c>
    </row>
    <row r="17" spans="1:26" x14ac:dyDescent="0.2">
      <c r="A17" s="93">
        <f>SUM(Gen!A23)</f>
        <v>43447</v>
      </c>
      <c r="B17" s="123">
        <v>0</v>
      </c>
      <c r="C17" s="129">
        <f>SUM(Gen!B23)</f>
        <v>0.2727</v>
      </c>
      <c r="D17" s="125">
        <f t="shared" si="2"/>
        <v>20.997900000000001</v>
      </c>
      <c r="E17" s="115"/>
      <c r="F17" s="111">
        <f>Gen!T23</f>
        <v>4660</v>
      </c>
      <c r="G17" s="127">
        <f>Gen!S23</f>
        <v>1891.5800000000002</v>
      </c>
      <c r="H17" s="127" t="e">
        <f>Gen!#REF!</f>
        <v>#REF!</v>
      </c>
      <c r="I17" s="127" t="e">
        <f t="shared" si="0"/>
        <v>#REF!</v>
      </c>
      <c r="J17" s="127" t="e">
        <f>Gen!AT23</f>
        <v>#REF!</v>
      </c>
      <c r="K17" s="110">
        <f>'Water-Meter'!E22</f>
        <v>109</v>
      </c>
      <c r="L17" s="108" t="e">
        <f>#REF!</f>
        <v>#REF!</v>
      </c>
      <c r="M17" s="130" t="e">
        <f>#REF!</f>
        <v>#REF!</v>
      </c>
      <c r="N17" s="130" t="e">
        <f>#REF!</f>
        <v>#REF!</v>
      </c>
      <c r="O17" s="130" t="e">
        <f>#REF!</f>
        <v>#REF!</v>
      </c>
      <c r="P17" s="131" t="e">
        <f t="shared" si="1"/>
        <v>#REF!</v>
      </c>
      <c r="Q17" s="10" t="e">
        <f>I17*Q2</f>
        <v>#REF!</v>
      </c>
      <c r="R17" s="117" t="e">
        <f t="shared" si="3"/>
        <v>#REF!</v>
      </c>
      <c r="S17" s="134" t="e">
        <f t="shared" si="4"/>
        <v>#REF!</v>
      </c>
      <c r="T17" s="117">
        <f t="shared" si="5"/>
        <v>7.0189393939393936</v>
      </c>
      <c r="U17" s="178" t="e">
        <f t="shared" si="6"/>
        <v>#REF!</v>
      </c>
      <c r="V17" s="48" t="e">
        <f t="shared" si="7"/>
        <v>#REF!</v>
      </c>
      <c r="W17" s="180" t="e">
        <f>SUM(V17/E17)/T2</f>
        <v>#REF!</v>
      </c>
      <c r="X17">
        <f t="shared" si="9"/>
        <v>1584</v>
      </c>
      <c r="Y17" s="135">
        <v>106</v>
      </c>
      <c r="Z17" s="120" t="e">
        <f t="shared" si="8"/>
        <v>#REF!</v>
      </c>
    </row>
    <row r="18" spans="1:26" x14ac:dyDescent="0.2">
      <c r="A18" s="93">
        <f>SUM(Gen!A24)</f>
        <v>43448</v>
      </c>
      <c r="B18" s="123">
        <v>0</v>
      </c>
      <c r="C18" s="129">
        <f>SUM(Gen!B24)</f>
        <v>0.25950000000000001</v>
      </c>
      <c r="D18" s="125">
        <f t="shared" si="2"/>
        <v>19.9815</v>
      </c>
      <c r="E18" s="115"/>
      <c r="F18" s="111">
        <f>Gen!T24</f>
        <v>4748</v>
      </c>
      <c r="G18" s="127">
        <f>Gen!S24</f>
        <v>1992.44</v>
      </c>
      <c r="H18" s="127">
        <f>Gen!AJ27</f>
        <v>581.30999999999995</v>
      </c>
      <c r="I18" s="127">
        <f t="shared" si="0"/>
        <v>2573.75</v>
      </c>
      <c r="J18" s="127" t="e">
        <f>Gen!AT24</f>
        <v>#REF!</v>
      </c>
      <c r="K18" s="110">
        <v>0</v>
      </c>
      <c r="L18" s="108" t="e">
        <f>#REF!</f>
        <v>#REF!</v>
      </c>
      <c r="M18" s="130" t="e">
        <f>#REF!</f>
        <v>#REF!</v>
      </c>
      <c r="N18" s="130" t="e">
        <f>#REF!</f>
        <v>#REF!</v>
      </c>
      <c r="O18" s="130" t="e">
        <f>#REF!</f>
        <v>#REF!</v>
      </c>
      <c r="P18" s="131" t="e">
        <f t="shared" si="1"/>
        <v>#REF!</v>
      </c>
      <c r="Q18" s="10">
        <f>I18*Q2</f>
        <v>5687601.4375</v>
      </c>
      <c r="R18" s="117">
        <f t="shared" si="3"/>
        <v>179.69909532163211</v>
      </c>
      <c r="S18" s="134" t="e">
        <f t="shared" si="4"/>
        <v>#DIV/0!</v>
      </c>
      <c r="T18" s="117">
        <f t="shared" si="5"/>
        <v>0</v>
      </c>
      <c r="U18" s="178" t="e">
        <f t="shared" si="6"/>
        <v>#REF!</v>
      </c>
      <c r="V18" s="48" t="e">
        <f t="shared" si="7"/>
        <v>#REF!</v>
      </c>
      <c r="W18" s="180" t="e">
        <f>SUM(V18/E18)/T2</f>
        <v>#REF!</v>
      </c>
      <c r="X18">
        <f t="shared" si="9"/>
        <v>1584</v>
      </c>
      <c r="Y18" s="135">
        <v>106</v>
      </c>
      <c r="Z18" s="120" t="e">
        <f t="shared" si="8"/>
        <v>#DIV/0!</v>
      </c>
    </row>
    <row r="19" spans="1:26" x14ac:dyDescent="0.2">
      <c r="A19" s="93">
        <f>SUM(Gen!A25)</f>
        <v>43449</v>
      </c>
      <c r="B19" s="123">
        <v>0</v>
      </c>
      <c r="C19" s="129">
        <f>SUM(Gen!B25)</f>
        <v>0.12989999999999999</v>
      </c>
      <c r="D19" s="125">
        <f t="shared" si="2"/>
        <v>10.002299999999998</v>
      </c>
      <c r="E19" s="115"/>
      <c r="F19" s="111">
        <f>Gen!T25</f>
        <v>4724</v>
      </c>
      <c r="G19" s="127">
        <f>Gen!S25</f>
        <v>1937.98</v>
      </c>
      <c r="H19" s="127">
        <f>Gen!AJ28</f>
        <v>185.71</v>
      </c>
      <c r="I19" s="127">
        <f t="shared" si="0"/>
        <v>2123.69</v>
      </c>
      <c r="J19" s="127" t="e">
        <f>Gen!AT25</f>
        <v>#REF!</v>
      </c>
      <c r="K19" s="110">
        <f>'Water-Meter'!E24</f>
        <v>110</v>
      </c>
      <c r="L19" s="108" t="e">
        <f>#REF!</f>
        <v>#REF!</v>
      </c>
      <c r="M19" s="130" t="e">
        <f>#REF!</f>
        <v>#REF!</v>
      </c>
      <c r="N19" s="130" t="e">
        <f>#REF!</f>
        <v>#REF!</v>
      </c>
      <c r="O19" s="130" t="e">
        <f>#REF!</f>
        <v>#REF!</v>
      </c>
      <c r="P19" s="131" t="e">
        <f t="shared" si="1"/>
        <v>#REF!</v>
      </c>
      <c r="Q19" s="10">
        <f>I19*Q2</f>
        <v>4693036.3465</v>
      </c>
      <c r="R19" s="117">
        <f t="shared" si="3"/>
        <v>296.20941896116426</v>
      </c>
      <c r="S19" s="134" t="e">
        <f t="shared" si="4"/>
        <v>#DIV/0!</v>
      </c>
      <c r="T19" s="117">
        <f t="shared" si="5"/>
        <v>7.083333333333333</v>
      </c>
      <c r="U19" s="178" t="e">
        <f t="shared" si="6"/>
        <v>#REF!</v>
      </c>
      <c r="V19" s="48" t="e">
        <f t="shared" si="7"/>
        <v>#REF!</v>
      </c>
      <c r="W19" s="117" t="e">
        <f>SUM(V19/E19)/T2</f>
        <v>#REF!</v>
      </c>
      <c r="X19">
        <f t="shared" si="9"/>
        <v>1584</v>
      </c>
      <c r="Y19" s="135">
        <v>106</v>
      </c>
      <c r="Z19" s="120" t="e">
        <f t="shared" si="8"/>
        <v>#DIV/0!</v>
      </c>
    </row>
    <row r="20" spans="1:26" x14ac:dyDescent="0.2">
      <c r="A20" s="93">
        <f>SUM(Gen!A26)</f>
        <v>43450</v>
      </c>
      <c r="B20" s="123">
        <v>0</v>
      </c>
      <c r="C20" s="129">
        <f>SUM(Gen!B26)</f>
        <v>0.25969999999999999</v>
      </c>
      <c r="D20" s="125">
        <f t="shared" si="2"/>
        <v>19.9969</v>
      </c>
      <c r="E20" s="115"/>
      <c r="F20" s="111">
        <f>Gen!T26</f>
        <v>5005</v>
      </c>
      <c r="G20" s="127">
        <f>Gen!S26</f>
        <v>2042.1299999999999</v>
      </c>
      <c r="H20" s="127">
        <f>Gen!AJ29</f>
        <v>118</v>
      </c>
      <c r="I20" s="127">
        <f t="shared" si="0"/>
        <v>2160.13</v>
      </c>
      <c r="J20" s="127" t="e">
        <f>Gen!AT26</f>
        <v>#REF!</v>
      </c>
      <c r="K20" s="110">
        <f>'Water-Meter'!E25</f>
        <v>123</v>
      </c>
      <c r="L20" s="108" t="e">
        <f>#REF!</f>
        <v>#REF!</v>
      </c>
      <c r="M20" s="130" t="e">
        <f>#REF!</f>
        <v>#REF!</v>
      </c>
      <c r="N20" s="130" t="e">
        <f>#REF!</f>
        <v>#REF!</v>
      </c>
      <c r="O20" s="130" t="e">
        <f>#REF!</f>
        <v>#REF!</v>
      </c>
      <c r="P20" s="131" t="e">
        <f t="shared" si="1"/>
        <v>#REF!</v>
      </c>
      <c r="Q20" s="10">
        <f>I20*Q2</f>
        <v>4773563.2805000003</v>
      </c>
      <c r="R20" s="117">
        <f t="shared" si="3"/>
        <v>150.70401822951752</v>
      </c>
      <c r="S20" s="134" t="e">
        <f t="shared" si="4"/>
        <v>#DIV/0!</v>
      </c>
      <c r="T20" s="117">
        <f t="shared" si="5"/>
        <v>7.9204545454545459</v>
      </c>
      <c r="U20" s="178" t="e">
        <f t="shared" si="6"/>
        <v>#REF!</v>
      </c>
      <c r="V20" s="48" t="e">
        <f t="shared" si="7"/>
        <v>#REF!</v>
      </c>
      <c r="W20" s="117" t="e">
        <f>SUM(V20/E20)/T2</f>
        <v>#REF!</v>
      </c>
      <c r="X20">
        <f t="shared" si="9"/>
        <v>1584</v>
      </c>
      <c r="Y20" s="135">
        <v>106</v>
      </c>
      <c r="Z20" s="120" t="e">
        <f t="shared" si="8"/>
        <v>#DIV/0!</v>
      </c>
    </row>
    <row r="21" spans="1:26" x14ac:dyDescent="0.2">
      <c r="A21" s="93">
        <f>SUM(Gen!A27)</f>
        <v>43451</v>
      </c>
      <c r="B21" s="123">
        <v>0</v>
      </c>
      <c r="C21" s="129">
        <f>SUM(Gen!B27)</f>
        <v>0.29870000000000002</v>
      </c>
      <c r="D21" s="125">
        <f t="shared" si="2"/>
        <v>22.9999</v>
      </c>
      <c r="E21" s="115"/>
      <c r="F21" s="111">
        <f>Gen!T27</f>
        <v>5332</v>
      </c>
      <c r="G21" s="127">
        <f>Gen!S27</f>
        <v>2099.06</v>
      </c>
      <c r="H21" s="127">
        <f>Gen!AJ30</f>
        <v>690.09</v>
      </c>
      <c r="I21" s="127">
        <f t="shared" si="0"/>
        <v>2789.15</v>
      </c>
      <c r="J21" s="127" t="e">
        <f>Gen!AT27</f>
        <v>#REF!</v>
      </c>
      <c r="K21" s="110">
        <f>'Water-Meter'!E26</f>
        <v>130</v>
      </c>
      <c r="L21" s="108" t="e">
        <f>#REF!</f>
        <v>#REF!</v>
      </c>
      <c r="M21" s="130" t="e">
        <f>#REF!</f>
        <v>#REF!</v>
      </c>
      <c r="N21" s="130" t="e">
        <f>#REF!</f>
        <v>#REF!</v>
      </c>
      <c r="O21" s="130" t="e">
        <f>#REF!</f>
        <v>#REF!</v>
      </c>
      <c r="P21" s="131" t="e">
        <f t="shared" si="1"/>
        <v>#REF!</v>
      </c>
      <c r="Q21" s="10">
        <f>I21*Q2</f>
        <v>6163603.1275000004</v>
      </c>
      <c r="R21" s="117">
        <f t="shared" si="3"/>
        <v>169.1817612508504</v>
      </c>
      <c r="S21" s="134" t="e">
        <f t="shared" si="4"/>
        <v>#DIV/0!</v>
      </c>
      <c r="T21" s="117">
        <f t="shared" si="5"/>
        <v>8.3712121212121211</v>
      </c>
      <c r="U21" s="178" t="e">
        <f t="shared" si="6"/>
        <v>#REF!</v>
      </c>
      <c r="V21" s="48" t="e">
        <f t="shared" si="7"/>
        <v>#REF!</v>
      </c>
      <c r="W21" s="117" t="e">
        <f>SUM(V21/E21)/T2</f>
        <v>#REF!</v>
      </c>
      <c r="X21">
        <f t="shared" si="9"/>
        <v>1584</v>
      </c>
      <c r="Y21" s="135">
        <v>106</v>
      </c>
      <c r="Z21" s="120" t="e">
        <f t="shared" si="8"/>
        <v>#DIV/0!</v>
      </c>
    </row>
    <row r="22" spans="1:26" x14ac:dyDescent="0.2">
      <c r="A22" s="93">
        <f>SUM(Gen!A28)</f>
        <v>43452</v>
      </c>
      <c r="B22" s="123">
        <v>0</v>
      </c>
      <c r="C22" s="129">
        <f>SUM(Gen!B28)</f>
        <v>0.50649999999999995</v>
      </c>
      <c r="D22" s="125">
        <f t="shared" si="2"/>
        <v>39.000499999999995</v>
      </c>
      <c r="E22" s="115"/>
      <c r="F22" s="111">
        <f>Gen!T28</f>
        <v>5890</v>
      </c>
      <c r="G22" s="127">
        <f>Gen!S28</f>
        <v>2371.98</v>
      </c>
      <c r="H22" s="127" t="e">
        <f>Gen!#REF!</f>
        <v>#REF!</v>
      </c>
      <c r="I22" s="127" t="e">
        <f t="shared" si="0"/>
        <v>#REF!</v>
      </c>
      <c r="J22" s="127" t="e">
        <f>Gen!AT28</f>
        <v>#REF!</v>
      </c>
      <c r="K22" s="110">
        <f>'Water-Meter'!E27</f>
        <v>130</v>
      </c>
      <c r="L22" s="108" t="e">
        <f>#REF!</f>
        <v>#REF!</v>
      </c>
      <c r="M22" s="130" t="e">
        <f>#REF!</f>
        <v>#REF!</v>
      </c>
      <c r="N22" s="130" t="e">
        <f>#REF!</f>
        <v>#REF!</v>
      </c>
      <c r="O22" s="130" t="e">
        <f>#REF!</f>
        <v>#REF!</v>
      </c>
      <c r="P22" s="131" t="e">
        <f t="shared" si="1"/>
        <v>#REF!</v>
      </c>
      <c r="Q22" s="10" t="e">
        <f>I22*Q2</f>
        <v>#REF!</v>
      </c>
      <c r="R22" s="117" t="e">
        <f t="shared" si="3"/>
        <v>#REF!</v>
      </c>
      <c r="S22" s="134" t="e">
        <f t="shared" si="4"/>
        <v>#REF!</v>
      </c>
      <c r="T22" s="117">
        <f t="shared" si="5"/>
        <v>8.3712121212121211</v>
      </c>
      <c r="U22" s="178" t="e">
        <f t="shared" si="6"/>
        <v>#REF!</v>
      </c>
      <c r="V22" s="48" t="e">
        <f t="shared" si="7"/>
        <v>#REF!</v>
      </c>
      <c r="W22" s="117" t="e">
        <f>SUM(V22/E22)/T2</f>
        <v>#REF!</v>
      </c>
      <c r="X22">
        <f t="shared" si="9"/>
        <v>1584</v>
      </c>
      <c r="Y22" s="135">
        <v>106</v>
      </c>
      <c r="Z22" s="120" t="e">
        <f t="shared" si="8"/>
        <v>#REF!</v>
      </c>
    </row>
    <row r="23" spans="1:26" x14ac:dyDescent="0.2">
      <c r="A23" s="93">
        <f>SUM(Gen!A29)</f>
        <v>43453</v>
      </c>
      <c r="B23" s="123">
        <v>0</v>
      </c>
      <c r="C23" s="129">
        <f>SUM(Gen!B29)</f>
        <v>0.44159999999999999</v>
      </c>
      <c r="D23" s="125">
        <f t="shared" si="2"/>
        <v>34.0032</v>
      </c>
      <c r="E23" s="115"/>
      <c r="F23" s="111">
        <f>Gen!T29</f>
        <v>5737</v>
      </c>
      <c r="G23" s="127">
        <f>Gen!S29</f>
        <v>2258.75</v>
      </c>
      <c r="H23" s="127" t="e">
        <f>Gen!#REF!</f>
        <v>#REF!</v>
      </c>
      <c r="I23" s="127" t="e">
        <f t="shared" si="0"/>
        <v>#REF!</v>
      </c>
      <c r="J23" s="127" t="e">
        <f>Gen!AT29</f>
        <v>#REF!</v>
      </c>
      <c r="K23" s="110">
        <f>'Water-Meter'!E28</f>
        <v>131</v>
      </c>
      <c r="L23" s="108" t="e">
        <f>#REF!</f>
        <v>#REF!</v>
      </c>
      <c r="M23" s="130" t="e">
        <f>#REF!</f>
        <v>#REF!</v>
      </c>
      <c r="N23" s="130" t="e">
        <f>#REF!</f>
        <v>#REF!</v>
      </c>
      <c r="O23" s="130" t="e">
        <f>#REF!</f>
        <v>#REF!</v>
      </c>
      <c r="P23" s="131" t="e">
        <f t="shared" si="1"/>
        <v>#REF!</v>
      </c>
      <c r="Q23" s="10" t="e">
        <f>I23*Q2</f>
        <v>#REF!</v>
      </c>
      <c r="R23" s="117" t="e">
        <f t="shared" si="3"/>
        <v>#REF!</v>
      </c>
      <c r="S23" s="134" t="e">
        <f t="shared" si="4"/>
        <v>#REF!</v>
      </c>
      <c r="T23" s="117">
        <f t="shared" si="5"/>
        <v>8.4356060606060606</v>
      </c>
      <c r="U23" s="178" t="e">
        <f t="shared" si="6"/>
        <v>#REF!</v>
      </c>
      <c r="V23" s="48" t="e">
        <f t="shared" si="7"/>
        <v>#REF!</v>
      </c>
      <c r="W23" s="117" t="e">
        <f>SUM(V23/E23)/T2</f>
        <v>#REF!</v>
      </c>
      <c r="X23">
        <f t="shared" si="9"/>
        <v>1584</v>
      </c>
      <c r="Y23" s="135">
        <v>106</v>
      </c>
      <c r="Z23" s="120" t="e">
        <f t="shared" si="8"/>
        <v>#REF!</v>
      </c>
    </row>
    <row r="24" spans="1:26" x14ac:dyDescent="0.2">
      <c r="A24" s="93">
        <f>SUM(Gen!A30)</f>
        <v>43454</v>
      </c>
      <c r="B24" s="123">
        <v>0</v>
      </c>
      <c r="C24" s="129">
        <f>SUM(Gen!B30)</f>
        <v>0.40260000000000001</v>
      </c>
      <c r="D24" s="125">
        <f t="shared" si="2"/>
        <v>31.0002</v>
      </c>
      <c r="E24" s="115"/>
      <c r="F24" s="111">
        <f>Gen!T30</f>
        <v>5582</v>
      </c>
      <c r="G24" s="127">
        <f>Gen!S30</f>
        <v>2355.33</v>
      </c>
      <c r="H24" s="127" t="e">
        <f>Gen!#REF!</f>
        <v>#REF!</v>
      </c>
      <c r="I24" s="127" t="e">
        <f t="shared" si="0"/>
        <v>#REF!</v>
      </c>
      <c r="J24" s="127" t="e">
        <f>Gen!AT30</f>
        <v>#REF!</v>
      </c>
      <c r="K24" s="110">
        <f>'Water-Meter'!E29</f>
        <v>112</v>
      </c>
      <c r="L24" s="108" t="e">
        <f>#REF!</f>
        <v>#REF!</v>
      </c>
      <c r="M24" s="130" t="e">
        <f>#REF!</f>
        <v>#REF!</v>
      </c>
      <c r="N24" s="130" t="e">
        <f>#REF!</f>
        <v>#REF!</v>
      </c>
      <c r="O24" s="130" t="e">
        <f>#REF!</f>
        <v>#REF!</v>
      </c>
      <c r="P24" s="131" t="e">
        <f t="shared" si="1"/>
        <v>#REF!</v>
      </c>
      <c r="Q24" s="10" t="e">
        <f>I24*Q2</f>
        <v>#REF!</v>
      </c>
      <c r="R24" s="117" t="e">
        <f t="shared" si="3"/>
        <v>#REF!</v>
      </c>
      <c r="S24" s="134" t="e">
        <f t="shared" si="4"/>
        <v>#REF!</v>
      </c>
      <c r="T24" s="117">
        <f t="shared" si="5"/>
        <v>7.2121212121212119</v>
      </c>
      <c r="U24" s="178" t="e">
        <f t="shared" si="6"/>
        <v>#REF!</v>
      </c>
      <c r="V24" s="48" t="e">
        <f t="shared" si="7"/>
        <v>#REF!</v>
      </c>
      <c r="W24" s="117" t="e">
        <f>SUM(V24/E24)/T2</f>
        <v>#REF!</v>
      </c>
      <c r="X24">
        <f t="shared" si="9"/>
        <v>1584</v>
      </c>
      <c r="Y24" s="135">
        <v>106</v>
      </c>
      <c r="Z24" s="120" t="e">
        <f t="shared" si="8"/>
        <v>#REF!</v>
      </c>
    </row>
    <row r="25" spans="1:26" x14ac:dyDescent="0.2">
      <c r="A25" s="93">
        <f>SUM(Gen!A31)</f>
        <v>43455</v>
      </c>
      <c r="B25" s="123">
        <v>0</v>
      </c>
      <c r="C25" s="129">
        <f>SUM(Gen!B31)</f>
        <v>0.49349999999999999</v>
      </c>
      <c r="D25" s="125">
        <f t="shared" si="2"/>
        <v>37.999499999999998</v>
      </c>
      <c r="E25" s="115"/>
      <c r="F25" s="111">
        <f>Gen!T31</f>
        <v>5599</v>
      </c>
      <c r="G25" s="127">
        <f>Gen!S31</f>
        <v>2159.4</v>
      </c>
      <c r="H25" s="127">
        <f>Gen!AJ31</f>
        <v>544.38</v>
      </c>
      <c r="I25" s="127">
        <f t="shared" si="0"/>
        <v>2703.78</v>
      </c>
      <c r="J25" s="127" t="e">
        <f>Gen!AT31</f>
        <v>#REF!</v>
      </c>
      <c r="K25" s="110">
        <f>'Water-Meter'!E30</f>
        <v>147</v>
      </c>
      <c r="L25" s="108" t="e">
        <f>#REF!</f>
        <v>#REF!</v>
      </c>
      <c r="M25" s="130" t="e">
        <f>#REF!</f>
        <v>#REF!</v>
      </c>
      <c r="N25" s="130" t="e">
        <f>#REF!</f>
        <v>#REF!</v>
      </c>
      <c r="O25" s="130" t="e">
        <f>#REF!</f>
        <v>#REF!</v>
      </c>
      <c r="P25" s="131" t="e">
        <f t="shared" si="1"/>
        <v>#REF!</v>
      </c>
      <c r="Q25" s="10">
        <f>I25*Q2</f>
        <v>5974948.233</v>
      </c>
      <c r="R25" s="117">
        <f t="shared" si="3"/>
        <v>99.266129249308307</v>
      </c>
      <c r="S25" s="134" t="e">
        <f t="shared" si="4"/>
        <v>#DIV/0!</v>
      </c>
      <c r="T25" s="117">
        <f t="shared" si="5"/>
        <v>9.4659090909090917</v>
      </c>
      <c r="U25" s="178" t="e">
        <f t="shared" si="6"/>
        <v>#REF!</v>
      </c>
      <c r="V25" s="48" t="e">
        <f t="shared" si="7"/>
        <v>#REF!</v>
      </c>
      <c r="W25" s="117" t="e">
        <f>SUM(V25/E25)/T2</f>
        <v>#REF!</v>
      </c>
      <c r="X25">
        <f t="shared" si="9"/>
        <v>1584</v>
      </c>
      <c r="Y25" s="135">
        <v>106</v>
      </c>
      <c r="Z25" s="120" t="e">
        <f t="shared" si="8"/>
        <v>#DIV/0!</v>
      </c>
    </row>
    <row r="26" spans="1:26" x14ac:dyDescent="0.2">
      <c r="A26" s="93">
        <f>SUM(Gen!A32)</f>
        <v>43456</v>
      </c>
      <c r="B26" s="123">
        <v>0</v>
      </c>
      <c r="C26" s="129">
        <f>SUM(Gen!B32)</f>
        <v>0.49349999999999999</v>
      </c>
      <c r="D26" s="125">
        <f t="shared" si="2"/>
        <v>37.999499999999998</v>
      </c>
      <c r="E26" s="115"/>
      <c r="F26" s="111">
        <f>Gen!T32</f>
        <v>5928</v>
      </c>
      <c r="G26" s="127">
        <f>Gen!S32</f>
        <v>2501.02</v>
      </c>
      <c r="H26" s="127">
        <f>Gen!AJ32</f>
        <v>322.73</v>
      </c>
      <c r="I26" s="127">
        <f t="shared" si="0"/>
        <v>2823.75</v>
      </c>
      <c r="J26" s="127" t="e">
        <f>Gen!AT32</f>
        <v>#REF!</v>
      </c>
      <c r="K26" s="110">
        <f>'Water-Meter'!E31</f>
        <v>167</v>
      </c>
      <c r="L26" s="108" t="e">
        <f>#REF!</f>
        <v>#REF!</v>
      </c>
      <c r="M26" s="130" t="e">
        <f>#REF!</f>
        <v>#REF!</v>
      </c>
      <c r="N26" s="130" t="e">
        <f>#REF!</f>
        <v>#REF!</v>
      </c>
      <c r="O26" s="130" t="e">
        <f>#REF!</f>
        <v>#REF!</v>
      </c>
      <c r="P26" s="131" t="e">
        <f t="shared" si="1"/>
        <v>#REF!</v>
      </c>
      <c r="Q26" s="10">
        <f>I26*Q2</f>
        <v>6240063.9375</v>
      </c>
      <c r="R26" s="117">
        <f t="shared" si="3"/>
        <v>103.670687876874</v>
      </c>
      <c r="S26" s="134" t="e">
        <f t="shared" si="4"/>
        <v>#DIV/0!</v>
      </c>
      <c r="T26" s="117">
        <f t="shared" si="5"/>
        <v>10.753787878787879</v>
      </c>
      <c r="U26" s="178" t="e">
        <f t="shared" si="6"/>
        <v>#REF!</v>
      </c>
      <c r="V26" s="48" t="e">
        <f t="shared" si="7"/>
        <v>#REF!</v>
      </c>
      <c r="W26" s="117" t="e">
        <f>SUM(V26/E26)/T2</f>
        <v>#REF!</v>
      </c>
      <c r="X26">
        <f t="shared" si="9"/>
        <v>1584</v>
      </c>
      <c r="Y26" s="135">
        <v>106</v>
      </c>
      <c r="Z26" s="120" t="e">
        <f t="shared" si="8"/>
        <v>#DIV/0!</v>
      </c>
    </row>
    <row r="27" spans="1:26" x14ac:dyDescent="0.2">
      <c r="A27" s="93">
        <f>SUM(Gen!A33)</f>
        <v>43457</v>
      </c>
      <c r="B27" s="123">
        <v>0</v>
      </c>
      <c r="C27" s="129">
        <f>SUM(Gen!B33)</f>
        <v>0.4456</v>
      </c>
      <c r="D27" s="125">
        <f t="shared" si="2"/>
        <v>34.311199999999999</v>
      </c>
      <c r="E27" s="115"/>
      <c r="F27" s="111">
        <f>Gen!T33</f>
        <v>5850</v>
      </c>
      <c r="G27" s="127">
        <f>Gen!S33</f>
        <v>2375.4699999999998</v>
      </c>
      <c r="H27" s="127">
        <f>Gen!AJ33</f>
        <v>93.91</v>
      </c>
      <c r="I27" s="127">
        <f t="shared" si="0"/>
        <v>2469.3799999999997</v>
      </c>
      <c r="J27" s="127" t="e">
        <f>Gen!AT33</f>
        <v>#REF!</v>
      </c>
      <c r="K27" s="110">
        <f>'Water-Meter'!E32</f>
        <v>159</v>
      </c>
      <c r="L27" s="108" t="e">
        <f>#REF!</f>
        <v>#REF!</v>
      </c>
      <c r="M27" s="130" t="e">
        <f>#REF!</f>
        <v>#REF!</v>
      </c>
      <c r="N27" s="130" t="e">
        <f>#REF!</f>
        <v>#REF!</v>
      </c>
      <c r="O27" s="130" t="e">
        <f>#REF!</f>
        <v>#REF!</v>
      </c>
      <c r="P27" s="131" t="e">
        <f t="shared" si="1"/>
        <v>#REF!</v>
      </c>
      <c r="Q27" s="10">
        <f>I27*Q2</f>
        <v>5456959.3929999992</v>
      </c>
      <c r="R27" s="117">
        <f t="shared" si="3"/>
        <v>100.40599343198238</v>
      </c>
      <c r="S27" s="134" t="e">
        <f t="shared" si="4"/>
        <v>#DIV/0!</v>
      </c>
      <c r="T27" s="117">
        <f t="shared" si="5"/>
        <v>10.238636363636363</v>
      </c>
      <c r="U27" s="178" t="e">
        <f t="shared" si="6"/>
        <v>#REF!</v>
      </c>
      <c r="V27" s="48" t="e">
        <f t="shared" si="7"/>
        <v>#REF!</v>
      </c>
      <c r="W27" s="117" t="e">
        <f>SUM(V27/E27)/T2</f>
        <v>#REF!</v>
      </c>
      <c r="X27">
        <f t="shared" si="9"/>
        <v>1584</v>
      </c>
      <c r="Y27" s="135">
        <v>106</v>
      </c>
      <c r="Z27" s="120" t="e">
        <f t="shared" si="8"/>
        <v>#DIV/0!</v>
      </c>
    </row>
    <row r="28" spans="1:26" x14ac:dyDescent="0.2">
      <c r="A28" s="93">
        <f>SUM(Gen!A34)</f>
        <v>43458</v>
      </c>
      <c r="B28" s="123">
        <v>0</v>
      </c>
      <c r="C28" s="129">
        <f>SUM(Gen!B34)</f>
        <v>0.50649999999999995</v>
      </c>
      <c r="D28" s="125">
        <f t="shared" si="2"/>
        <v>39.000499999999995</v>
      </c>
      <c r="E28" s="115"/>
      <c r="F28" s="111">
        <f>Gen!T34</f>
        <v>6147</v>
      </c>
      <c r="G28" s="127">
        <f>Gen!S34</f>
        <v>2708.2799999999997</v>
      </c>
      <c r="H28" s="127">
        <f>Gen!AJ34</f>
        <v>786.27</v>
      </c>
      <c r="I28" s="127">
        <f t="shared" si="0"/>
        <v>3494.5499999999997</v>
      </c>
      <c r="J28" s="127" t="e">
        <f>Gen!AT34</f>
        <v>#REF!</v>
      </c>
      <c r="K28" s="110">
        <f>'Water-Meter'!E33</f>
        <v>164</v>
      </c>
      <c r="L28" s="108" t="e">
        <f>#REF!</f>
        <v>#REF!</v>
      </c>
      <c r="M28" s="130" t="e">
        <f>#REF!</f>
        <v>#REF!</v>
      </c>
      <c r="N28" s="130" t="e">
        <f>#REF!</f>
        <v>#REF!</v>
      </c>
      <c r="O28" s="130" t="e">
        <f>#REF!</f>
        <v>#REF!</v>
      </c>
      <c r="P28" s="131" t="e">
        <f t="shared" si="1"/>
        <v>#REF!</v>
      </c>
      <c r="Q28" s="10">
        <f>I28*Q2</f>
        <v>7722431.317499999</v>
      </c>
      <c r="R28" s="117">
        <f t="shared" si="3"/>
        <v>125.00537932594493</v>
      </c>
      <c r="S28" s="134" t="e">
        <f t="shared" si="4"/>
        <v>#DIV/0!</v>
      </c>
      <c r="T28" s="117">
        <f t="shared" si="5"/>
        <v>10.560606060606061</v>
      </c>
      <c r="U28" s="178" t="e">
        <f t="shared" si="6"/>
        <v>#REF!</v>
      </c>
      <c r="V28" s="48" t="e">
        <f t="shared" si="7"/>
        <v>#REF!</v>
      </c>
      <c r="W28" s="117" t="e">
        <f>SUM(V28/E28)/T2</f>
        <v>#REF!</v>
      </c>
      <c r="X28">
        <f t="shared" si="9"/>
        <v>1584</v>
      </c>
      <c r="Y28" s="135">
        <v>106</v>
      </c>
      <c r="Z28" s="120" t="e">
        <f t="shared" si="8"/>
        <v>#DIV/0!</v>
      </c>
    </row>
    <row r="29" spans="1:26" x14ac:dyDescent="0.2">
      <c r="A29" s="93">
        <f>SUM(Gen!A35)</f>
        <v>43459</v>
      </c>
      <c r="B29" s="123">
        <v>0</v>
      </c>
      <c r="C29" s="129">
        <f>SUM(Gen!B35)</f>
        <v>0.94810000000000005</v>
      </c>
      <c r="D29" s="125">
        <f t="shared" si="2"/>
        <v>73.003700000000009</v>
      </c>
      <c r="E29" s="115"/>
      <c r="F29" s="111">
        <f>Gen!T35</f>
        <v>6478</v>
      </c>
      <c r="G29" s="127">
        <f>Gen!S35</f>
        <v>2810.4</v>
      </c>
      <c r="H29" s="127">
        <f>Gen!AJ35</f>
        <v>174.44</v>
      </c>
      <c r="I29" s="127">
        <f t="shared" si="0"/>
        <v>2984.84</v>
      </c>
      <c r="J29" s="127" t="e">
        <f>Gen!AT35</f>
        <v>#REF!</v>
      </c>
      <c r="K29" s="110">
        <f>'Water-Meter'!E34</f>
        <v>173</v>
      </c>
      <c r="L29" s="108" t="e">
        <f>#REF!</f>
        <v>#REF!</v>
      </c>
      <c r="M29" s="130" t="e">
        <f>#REF!</f>
        <v>#REF!</v>
      </c>
      <c r="N29" s="130" t="e">
        <f>#REF!</f>
        <v>#REF!</v>
      </c>
      <c r="O29" s="130" t="e">
        <f>#REF!</f>
        <v>#REF!</v>
      </c>
      <c r="P29" s="131" t="e">
        <f t="shared" si="1"/>
        <v>#REF!</v>
      </c>
      <c r="Q29" s="10">
        <f>I29*Q2</f>
        <v>6596048.6739999996</v>
      </c>
      <c r="R29" s="117">
        <f t="shared" si="3"/>
        <v>57.040562912246465</v>
      </c>
      <c r="S29" s="134" t="e">
        <f t="shared" si="4"/>
        <v>#DIV/0!</v>
      </c>
      <c r="T29" s="117">
        <f t="shared" si="5"/>
        <v>11.140151515151516</v>
      </c>
      <c r="U29" s="178" t="e">
        <f t="shared" si="6"/>
        <v>#REF!</v>
      </c>
      <c r="V29" s="48" t="e">
        <f t="shared" si="7"/>
        <v>#REF!</v>
      </c>
      <c r="W29" s="117" t="e">
        <f>SUM(V29/E29)/T2</f>
        <v>#REF!</v>
      </c>
      <c r="X29">
        <f t="shared" si="9"/>
        <v>1584</v>
      </c>
      <c r="Y29" s="135">
        <v>106</v>
      </c>
      <c r="Z29" s="120" t="e">
        <f t="shared" si="8"/>
        <v>#DIV/0!</v>
      </c>
    </row>
    <row r="30" spans="1:26" x14ac:dyDescent="0.2">
      <c r="A30" s="93">
        <f>SUM(Gen!A36)</f>
        <v>43460</v>
      </c>
      <c r="B30" s="123">
        <v>0</v>
      </c>
      <c r="C30" s="129">
        <f>SUM(Gen!B36)</f>
        <v>0.90910000000000002</v>
      </c>
      <c r="D30" s="125">
        <f t="shared" si="2"/>
        <v>70.000699999999995</v>
      </c>
      <c r="E30" s="115"/>
      <c r="F30" s="111">
        <f>Gen!T36</f>
        <v>6636</v>
      </c>
      <c r="G30" s="127">
        <f>Gen!S36</f>
        <v>2865.4999999999995</v>
      </c>
      <c r="H30" s="127">
        <f>Gen!AJ36</f>
        <v>356.08</v>
      </c>
      <c r="I30" s="127">
        <f t="shared" si="0"/>
        <v>3221.5799999999995</v>
      </c>
      <c r="J30" s="127" t="e">
        <f>Gen!AT36</f>
        <v>#REF!</v>
      </c>
      <c r="K30" s="110">
        <f>'Water-Meter'!E35</f>
        <v>156</v>
      </c>
      <c r="L30" s="108" t="e">
        <f>#REF!</f>
        <v>#REF!</v>
      </c>
      <c r="M30" s="130" t="e">
        <f>#REF!</f>
        <v>#REF!</v>
      </c>
      <c r="N30" s="130" t="e">
        <f>#REF!</f>
        <v>#REF!</v>
      </c>
      <c r="O30" s="130" t="e">
        <f>#REF!</f>
        <v>#REF!</v>
      </c>
      <c r="P30" s="131" t="e">
        <f t="shared" si="1"/>
        <v>#REF!</v>
      </c>
      <c r="Q30" s="10">
        <f>I30*Q2</f>
        <v>7119208.5629999982</v>
      </c>
      <c r="R30" s="117">
        <f t="shared" si="3"/>
        <v>64.205784376138908</v>
      </c>
      <c r="S30" s="134" t="e">
        <f t="shared" si="4"/>
        <v>#DIV/0!</v>
      </c>
      <c r="T30" s="117">
        <f t="shared" si="5"/>
        <v>10.045454545454545</v>
      </c>
      <c r="U30" s="178" t="e">
        <f t="shared" si="6"/>
        <v>#REF!</v>
      </c>
      <c r="V30" s="48" t="e">
        <f t="shared" si="7"/>
        <v>#REF!</v>
      </c>
      <c r="W30" s="117" t="e">
        <f>SUM(V30/E30)/T2</f>
        <v>#REF!</v>
      </c>
      <c r="X30">
        <f t="shared" si="9"/>
        <v>1584</v>
      </c>
      <c r="Y30" s="135">
        <v>106</v>
      </c>
      <c r="Z30" s="120" t="e">
        <f t="shared" si="8"/>
        <v>#DIV/0!</v>
      </c>
    </row>
    <row r="31" spans="1:26" x14ac:dyDescent="0.2">
      <c r="A31" s="93">
        <f>SUM(Gen!A37)</f>
        <v>43461</v>
      </c>
      <c r="B31" s="123">
        <v>0</v>
      </c>
      <c r="C31" s="129">
        <f>SUM(Gen!B37)</f>
        <v>0.76619999999999999</v>
      </c>
      <c r="D31" s="125">
        <f t="shared" si="2"/>
        <v>58.997399999999999</v>
      </c>
      <c r="E31" s="115"/>
      <c r="F31" s="111">
        <f>Gen!T37</f>
        <v>6583</v>
      </c>
      <c r="G31" s="127">
        <f>Gen!S37</f>
        <v>2635.34</v>
      </c>
      <c r="H31" s="127">
        <f>Gen!AJ37</f>
        <v>203.69</v>
      </c>
      <c r="I31" s="127">
        <f t="shared" si="0"/>
        <v>2839.03</v>
      </c>
      <c r="J31" s="127" t="e">
        <f>Gen!AT37</f>
        <v>#REF!</v>
      </c>
      <c r="K31" s="110">
        <f>'Water-Meter'!E36</f>
        <v>120</v>
      </c>
      <c r="L31" s="108" t="e">
        <f>#REF!</f>
        <v>#REF!</v>
      </c>
      <c r="M31" s="130" t="e">
        <f>#REF!</f>
        <v>#REF!</v>
      </c>
      <c r="N31" s="130" t="e">
        <f>#REF!</f>
        <v>#REF!</v>
      </c>
      <c r="O31" s="130" t="e">
        <f>#REF!</f>
        <v>#REF!</v>
      </c>
      <c r="P31" s="131" t="e">
        <f t="shared" si="1"/>
        <v>#REF!</v>
      </c>
      <c r="Q31" s="10">
        <f>I31*Q2</f>
        <v>6273830.4455000004</v>
      </c>
      <c r="R31" s="117">
        <f t="shared" si="3"/>
        <v>67.134340562063116</v>
      </c>
      <c r="S31" s="134" t="e">
        <f t="shared" si="4"/>
        <v>#DIV/0!</v>
      </c>
      <c r="T31" s="117">
        <f t="shared" si="5"/>
        <v>7.7272727272727275</v>
      </c>
      <c r="U31" s="178" t="e">
        <f t="shared" si="6"/>
        <v>#REF!</v>
      </c>
      <c r="V31" s="48" t="e">
        <f t="shared" si="7"/>
        <v>#REF!</v>
      </c>
      <c r="W31" s="117" t="e">
        <f>SUM(V31/E31)/T2</f>
        <v>#REF!</v>
      </c>
      <c r="X31">
        <f t="shared" si="9"/>
        <v>1584</v>
      </c>
      <c r="Y31" s="135">
        <v>106</v>
      </c>
      <c r="Z31" s="120" t="e">
        <f t="shared" si="8"/>
        <v>#DIV/0!</v>
      </c>
    </row>
    <row r="32" spans="1:26" x14ac:dyDescent="0.2">
      <c r="A32" s="93">
        <f>SUM(Gen!A38)</f>
        <v>43462</v>
      </c>
      <c r="B32" s="123">
        <v>0</v>
      </c>
      <c r="C32" s="129">
        <f>SUM(Gen!B38)</f>
        <v>0.7792</v>
      </c>
      <c r="D32" s="125">
        <f t="shared" si="2"/>
        <v>59.998400000000004</v>
      </c>
      <c r="E32" s="115"/>
      <c r="F32" s="111">
        <f>Gen!T38</f>
        <v>7094</v>
      </c>
      <c r="G32" s="127">
        <f>Gen!S38</f>
        <v>3043.34</v>
      </c>
      <c r="H32" s="127">
        <f>Gen!AJ38</f>
        <v>321.45</v>
      </c>
      <c r="I32" s="127">
        <f t="shared" si="0"/>
        <v>3364.79</v>
      </c>
      <c r="J32" s="127" t="e">
        <f>Gen!AT38</f>
        <v>#REF!</v>
      </c>
      <c r="K32" s="110">
        <f>'Water-Meter'!E37</f>
        <v>-176819</v>
      </c>
      <c r="L32" s="108" t="e">
        <f>#REF!</f>
        <v>#REF!</v>
      </c>
      <c r="M32" s="130" t="e">
        <f>#REF!</f>
        <v>#REF!</v>
      </c>
      <c r="N32" s="130" t="e">
        <f>#REF!</f>
        <v>#REF!</v>
      </c>
      <c r="O32" s="130" t="e">
        <f>#REF!</f>
        <v>#REF!</v>
      </c>
      <c r="P32" s="131" t="e">
        <f t="shared" si="1"/>
        <v>#REF!</v>
      </c>
      <c r="Q32" s="10">
        <f>I32*Q2</f>
        <v>7435681.1814999999</v>
      </c>
      <c r="R32" s="117">
        <f t="shared" si="3"/>
        <v>78.239472554916276</v>
      </c>
      <c r="S32" s="134" t="e">
        <f t="shared" si="4"/>
        <v>#DIV/0!</v>
      </c>
      <c r="T32" s="117">
        <f t="shared" si="5"/>
        <v>-11386.07196969697</v>
      </c>
      <c r="U32" s="178" t="e">
        <f t="shared" si="6"/>
        <v>#REF!</v>
      </c>
      <c r="V32" s="48" t="e">
        <f t="shared" si="7"/>
        <v>#REF!</v>
      </c>
      <c r="W32" s="117" t="e">
        <f>SUM(V32/E32)/T2</f>
        <v>#REF!</v>
      </c>
      <c r="X32">
        <f t="shared" si="9"/>
        <v>1584</v>
      </c>
      <c r="Y32" s="135">
        <v>106</v>
      </c>
      <c r="Z32" s="120" t="e">
        <f t="shared" si="8"/>
        <v>#DIV/0!</v>
      </c>
    </row>
    <row r="33" spans="1:26" x14ac:dyDescent="0.2">
      <c r="A33" s="93"/>
      <c r="B33" s="123">
        <v>0</v>
      </c>
      <c r="C33" s="129">
        <f>SUM(Gen!B39)</f>
        <v>0.92210000000000003</v>
      </c>
      <c r="D33" s="125">
        <f t="shared" si="2"/>
        <v>71.0017</v>
      </c>
      <c r="E33" s="115"/>
      <c r="F33" s="111">
        <f>Gen!T39</f>
        <v>7628</v>
      </c>
      <c r="G33" s="127">
        <f>Gen!S39</f>
        <v>2871.9799999999996</v>
      </c>
      <c r="H33" s="127">
        <f>Gen!AJ39</f>
        <v>247.04</v>
      </c>
      <c r="I33" s="127">
        <f t="shared" si="0"/>
        <v>3119.0199999999995</v>
      </c>
      <c r="J33" s="127" t="e">
        <f>Gen!AT39</f>
        <v>#REF!</v>
      </c>
      <c r="K33" s="110">
        <f>'Water-Meter'!E38</f>
        <v>3670</v>
      </c>
      <c r="L33" s="108" t="e">
        <f>#REF!</f>
        <v>#REF!</v>
      </c>
      <c r="M33" s="130" t="e">
        <f>#REF!</f>
        <v>#REF!</v>
      </c>
      <c r="N33" s="130" t="e">
        <f>#REF!</f>
        <v>#REF!</v>
      </c>
      <c r="O33" s="130" t="e">
        <f>#REF!</f>
        <v>#REF!</v>
      </c>
      <c r="P33" s="131" t="e">
        <f t="shared" si="1"/>
        <v>#REF!</v>
      </c>
      <c r="Q33" s="10">
        <f>I33*Q2</f>
        <v>6892566.3469999991</v>
      </c>
      <c r="R33" s="117">
        <f t="shared" si="3"/>
        <v>61.285400818685758</v>
      </c>
      <c r="S33" s="134" t="e">
        <f t="shared" si="4"/>
        <v>#DIV/0!</v>
      </c>
      <c r="T33" s="117">
        <f t="shared" si="5"/>
        <v>236.32575757575756</v>
      </c>
      <c r="U33" s="178" t="e">
        <f t="shared" si="6"/>
        <v>#REF!</v>
      </c>
      <c r="V33" s="48" t="e">
        <f t="shared" si="7"/>
        <v>#REF!</v>
      </c>
      <c r="W33" s="117" t="e">
        <f>SUM(V33/E33)/T2</f>
        <v>#REF!</v>
      </c>
      <c r="X33">
        <f t="shared" si="9"/>
        <v>1584</v>
      </c>
      <c r="Y33" s="135">
        <v>106</v>
      </c>
      <c r="Z33" s="120" t="e">
        <f t="shared" si="8"/>
        <v>#DIV/0!</v>
      </c>
    </row>
    <row r="34" spans="1:26" x14ac:dyDescent="0.2">
      <c r="A34" s="93"/>
      <c r="B34" s="123">
        <v>0</v>
      </c>
      <c r="C34" s="129">
        <f>SUM(Gen!B40)</f>
        <v>0.7792</v>
      </c>
      <c r="D34" s="125">
        <f t="shared" si="2"/>
        <v>59.998400000000004</v>
      </c>
      <c r="E34" s="115"/>
      <c r="F34" s="111">
        <f>Gen!T40</f>
        <v>7378</v>
      </c>
      <c r="G34" s="127">
        <f>Gen!S40</f>
        <v>3172.51</v>
      </c>
      <c r="H34" s="127">
        <f>Gen!AJ40</f>
        <v>120.12</v>
      </c>
      <c r="I34" s="127">
        <f t="shared" si="0"/>
        <v>3292.63</v>
      </c>
      <c r="J34" s="127" t="e">
        <f>Gen!AT40</f>
        <v>#REF!</v>
      </c>
      <c r="K34" s="110">
        <f>'Water-Meter'!E39</f>
        <v>0</v>
      </c>
      <c r="L34" s="108" t="e">
        <f>#REF!</f>
        <v>#REF!</v>
      </c>
      <c r="M34" s="130" t="e">
        <f>#REF!</f>
        <v>#REF!</v>
      </c>
      <c r="N34" s="130" t="e">
        <f>#REF!</f>
        <v>#REF!</v>
      </c>
      <c r="O34" s="130" t="e">
        <f>#REF!</f>
        <v>#REF!</v>
      </c>
      <c r="P34" s="131" t="e">
        <f t="shared" si="1"/>
        <v>#REF!</v>
      </c>
      <c r="Q34" s="10">
        <f>I34*Q2</f>
        <v>7276218.4055000003</v>
      </c>
      <c r="R34" s="117">
        <f t="shared" si="3"/>
        <v>76.561578737007054</v>
      </c>
      <c r="S34" s="134" t="e">
        <f t="shared" si="4"/>
        <v>#DIV/0!</v>
      </c>
      <c r="T34" s="117">
        <f t="shared" si="5"/>
        <v>0</v>
      </c>
      <c r="U34" s="178" t="e">
        <f t="shared" si="6"/>
        <v>#REF!</v>
      </c>
      <c r="V34" s="48" t="e">
        <f t="shared" si="7"/>
        <v>#REF!</v>
      </c>
      <c r="W34" s="117" t="e">
        <f>SUM(V34/E34)/T2</f>
        <v>#REF!</v>
      </c>
      <c r="X34">
        <f t="shared" si="9"/>
        <v>1584</v>
      </c>
      <c r="Y34" s="135">
        <v>106</v>
      </c>
      <c r="Z34" s="120" t="e">
        <f t="shared" si="8"/>
        <v>#DIV/0!</v>
      </c>
    </row>
    <row r="35" spans="1:26" x14ac:dyDescent="0.2">
      <c r="A35" s="93"/>
      <c r="B35" s="123">
        <v>0</v>
      </c>
      <c r="C35" s="129">
        <f>SUM(Gen!B41)</f>
        <v>0.84419999999999995</v>
      </c>
      <c r="D35" s="125">
        <f t="shared" si="2"/>
        <v>65.003399999999999</v>
      </c>
      <c r="E35" s="115"/>
      <c r="F35" s="111">
        <f>Gen!T41</f>
        <v>7255</v>
      </c>
      <c r="G35" s="127">
        <f>Gen!S41</f>
        <v>3058.7599999999998</v>
      </c>
      <c r="H35" s="127">
        <f>Gen!AJ41</f>
        <v>1284.1399999999999</v>
      </c>
      <c r="I35" s="127">
        <f t="shared" si="0"/>
        <v>4342.8999999999996</v>
      </c>
      <c r="J35" s="127" t="e">
        <f>Gen!AT41</f>
        <v>#REF!</v>
      </c>
      <c r="K35" s="110">
        <f>'Water-Meter'!E40</f>
        <v>0</v>
      </c>
      <c r="L35" s="108" t="e">
        <f>#REF!</f>
        <v>#REF!</v>
      </c>
      <c r="M35" s="130" t="e">
        <f>#REF!</f>
        <v>#REF!</v>
      </c>
      <c r="N35" s="130" t="e">
        <f>#REF!</f>
        <v>#REF!</v>
      </c>
      <c r="O35" s="130" t="e">
        <f>#REF!</f>
        <v>#REF!</v>
      </c>
      <c r="P35" s="131" t="e">
        <f t="shared" si="1"/>
        <v>#REF!</v>
      </c>
      <c r="Q35" s="10">
        <f>I35*Q2</f>
        <v>9597157.5649999995</v>
      </c>
      <c r="R35" s="117">
        <f t="shared" si="3"/>
        <v>93.207610587533225</v>
      </c>
      <c r="S35" s="134" t="e">
        <f t="shared" si="4"/>
        <v>#DIV/0!</v>
      </c>
      <c r="T35" s="117">
        <f t="shared" si="5"/>
        <v>0</v>
      </c>
      <c r="U35" s="178" t="e">
        <f t="shared" si="6"/>
        <v>#REF!</v>
      </c>
      <c r="V35" s="48" t="e">
        <f t="shared" si="7"/>
        <v>#REF!</v>
      </c>
      <c r="W35" s="117" t="e">
        <f>SUM(V35/E35)/T2</f>
        <v>#REF!</v>
      </c>
      <c r="X35">
        <f t="shared" si="9"/>
        <v>1584</v>
      </c>
      <c r="Y35" s="135">
        <v>106</v>
      </c>
      <c r="Z35" s="120" t="e">
        <f t="shared" si="8"/>
        <v>#DIV/0!</v>
      </c>
    </row>
    <row r="36" spans="1:26" ht="13.5" thickBot="1" x14ac:dyDescent="0.25">
      <c r="A36" s="94"/>
      <c r="B36" s="122"/>
      <c r="C36" s="112"/>
      <c r="D36" s="126"/>
      <c r="E36" s="16"/>
      <c r="F36" s="112"/>
      <c r="G36" s="128"/>
      <c r="H36" s="128"/>
      <c r="I36" s="128"/>
      <c r="J36" s="128"/>
      <c r="K36" s="16">
        <f>'Water-Meter'!E41</f>
        <v>0</v>
      </c>
      <c r="L36" s="109"/>
      <c r="M36" s="128"/>
      <c r="N36" s="128"/>
      <c r="O36" s="128"/>
      <c r="P36" s="128"/>
      <c r="Q36" s="10">
        <f>I36*2057.79</f>
        <v>0</v>
      </c>
      <c r="R36" s="116"/>
      <c r="S36" s="116"/>
      <c r="T36" s="177"/>
      <c r="U36" s="179"/>
      <c r="V36" s="48">
        <f t="shared" si="7"/>
        <v>0</v>
      </c>
      <c r="W36" s="177"/>
    </row>
    <row r="37" spans="1:26" x14ac:dyDescent="0.2">
      <c r="S37" s="120" t="e">
        <f>SUM(S5:S16)/Gen!A47</f>
        <v>#REF!</v>
      </c>
    </row>
    <row r="38" spans="1:26" x14ac:dyDescent="0.2">
      <c r="B38" s="124">
        <f>SUM(B5:B37)/Gen!A47</f>
        <v>0</v>
      </c>
      <c r="M38">
        <f>0.5*2057.79</f>
        <v>1028.895</v>
      </c>
    </row>
    <row r="39" spans="1:26" x14ac:dyDescent="0.2">
      <c r="B39" s="124">
        <f>SUM(B38*Gen!A47)</f>
        <v>0</v>
      </c>
      <c r="C39" s="124">
        <f>SUM(B39/250)</f>
        <v>0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112</v>
      </c>
      <c r="S39" s="120" t="e">
        <f>SUM(S37-Y35)</f>
        <v>#REF!</v>
      </c>
    </row>
    <row r="40" spans="1:26" x14ac:dyDescent="0.2">
      <c r="P40">
        <f>P39/K5</f>
        <v>1293.6000000000001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workbookViewId="0">
      <selection activeCell="F35" sqref="F35"/>
    </sheetView>
  </sheetViews>
  <sheetFormatPr defaultRowHeight="12.75" x14ac:dyDescent="0.2"/>
  <cols>
    <col min="1" max="1" width="10.42578125" customWidth="1"/>
    <col min="2" max="2" width="6.7109375" customWidth="1"/>
    <col min="3" max="3" width="9.42578125" customWidth="1"/>
    <col min="4" max="4" width="8.85546875" hidden="1" customWidth="1"/>
    <col min="5" max="5" width="11.140625" customWidth="1"/>
    <col min="6" max="6" width="9.85546875" customWidth="1"/>
    <col min="7" max="7" width="10.28515625" customWidth="1"/>
    <col min="8" max="8" width="11.85546875" style="10" customWidth="1"/>
    <col min="9" max="9" width="15" customWidth="1"/>
    <col min="10" max="10" width="9.5703125" hidden="1" customWidth="1"/>
    <col min="11" max="11" width="8.28515625" customWidth="1"/>
    <col min="12" max="12" width="7.7109375" customWidth="1"/>
    <col min="13" max="13" width="5.7109375" customWidth="1"/>
    <col min="14" max="14" width="5.85546875" customWidth="1"/>
    <col min="15" max="15" width="5.7109375" customWidth="1"/>
    <col min="16" max="16" width="7" customWidth="1"/>
    <col min="17" max="17" width="7.28515625" customWidth="1"/>
    <col min="18" max="19" width="6.140625" customWidth="1"/>
    <col min="20" max="20" width="5.5703125" customWidth="1"/>
  </cols>
  <sheetData>
    <row r="1" spans="1:21" ht="19.5" customHeight="1" x14ac:dyDescent="0.25">
      <c r="A1" s="994" t="s">
        <v>324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6"/>
      <c r="U1" s="50"/>
    </row>
    <row r="2" spans="1:21" ht="14.25" customHeight="1" x14ac:dyDescent="0.25">
      <c r="A2" s="742"/>
      <c r="B2" s="486"/>
      <c r="C2" s="997" t="s">
        <v>217</v>
      </c>
      <c r="D2" s="997"/>
      <c r="E2" s="997"/>
      <c r="F2" s="997"/>
      <c r="G2" s="997"/>
      <c r="H2" s="997"/>
      <c r="I2" s="997"/>
      <c r="J2" s="997"/>
      <c r="K2" s="997" t="s">
        <v>218</v>
      </c>
      <c r="L2" s="997"/>
      <c r="M2" s="997"/>
      <c r="N2" s="997"/>
      <c r="O2" s="997"/>
      <c r="P2" s="997"/>
      <c r="Q2" s="997"/>
      <c r="R2" s="1002" t="s">
        <v>230</v>
      </c>
      <c r="S2" s="1002"/>
      <c r="T2" s="1003"/>
    </row>
    <row r="3" spans="1:21" ht="21" customHeight="1" x14ac:dyDescent="0.25">
      <c r="A3" s="102"/>
      <c r="B3" s="998" t="s">
        <v>219</v>
      </c>
      <c r="C3" s="989" t="s">
        <v>227</v>
      </c>
      <c r="D3" s="709"/>
      <c r="E3" s="989" t="s">
        <v>281</v>
      </c>
      <c r="F3" s="989" t="s">
        <v>263</v>
      </c>
      <c r="G3" s="989" t="s">
        <v>126</v>
      </c>
      <c r="H3" s="989" t="s">
        <v>127</v>
      </c>
      <c r="I3" s="989" t="s">
        <v>262</v>
      </c>
      <c r="J3" s="989" t="s">
        <v>261</v>
      </c>
      <c r="K3" s="992" t="s">
        <v>216</v>
      </c>
      <c r="L3" s="992" t="s">
        <v>282</v>
      </c>
      <c r="M3" s="1000" t="s">
        <v>228</v>
      </c>
      <c r="N3" s="1000"/>
      <c r="O3" s="1000"/>
      <c r="P3" s="1000"/>
      <c r="Q3" s="992" t="s">
        <v>231</v>
      </c>
      <c r="R3" s="997" t="s">
        <v>247</v>
      </c>
      <c r="S3" s="997"/>
      <c r="T3" s="1001"/>
    </row>
    <row r="4" spans="1:21" ht="33" customHeight="1" thickBot="1" x14ac:dyDescent="0.3">
      <c r="A4" s="743" t="s">
        <v>8</v>
      </c>
      <c r="B4" s="999"/>
      <c r="C4" s="990"/>
      <c r="D4" s="744"/>
      <c r="E4" s="990"/>
      <c r="F4" s="991"/>
      <c r="G4" s="990"/>
      <c r="H4" s="990"/>
      <c r="I4" s="990"/>
      <c r="J4" s="990"/>
      <c r="K4" s="993"/>
      <c r="L4" s="993"/>
      <c r="M4" s="745">
        <v>1</v>
      </c>
      <c r="N4" s="745">
        <v>2</v>
      </c>
      <c r="O4" s="745">
        <v>3</v>
      </c>
      <c r="P4" s="746" t="s">
        <v>229</v>
      </c>
      <c r="Q4" s="993"/>
      <c r="R4" s="745" t="s">
        <v>107</v>
      </c>
      <c r="S4" s="745" t="s">
        <v>108</v>
      </c>
      <c r="T4" s="747" t="s">
        <v>109</v>
      </c>
    </row>
    <row r="5" spans="1:21" ht="13.5" x14ac:dyDescent="0.25">
      <c r="A5" s="733">
        <f>Gen!A11</f>
        <v>43435</v>
      </c>
      <c r="B5" s="735">
        <f>'Summery Report'!D5</f>
        <v>15</v>
      </c>
      <c r="C5" s="736">
        <f>Gen!S11</f>
        <v>1825.13</v>
      </c>
      <c r="D5" s="736"/>
      <c r="E5" s="736">
        <f>Gen!AJ11</f>
        <v>42.79</v>
      </c>
      <c r="F5" s="736">
        <f>E5+C5</f>
        <v>1867.92</v>
      </c>
      <c r="G5" s="737">
        <f>'Daily report Gen'!C6</f>
        <v>25400.01</v>
      </c>
      <c r="H5" s="738">
        <f>'Daily report Gen'!D6</f>
        <v>14205.48</v>
      </c>
      <c r="I5" s="736" t="e">
        <f>Gen!C11</f>
        <v>#REF!</v>
      </c>
      <c r="J5" s="739" t="e">
        <f>Gen!C11</f>
        <v>#REF!</v>
      </c>
      <c r="K5" s="740">
        <f>'Utility report'!N6</f>
        <v>99</v>
      </c>
      <c r="L5" s="740">
        <f>'Water-Meter'!AK6</f>
        <v>1560</v>
      </c>
      <c r="M5" s="736">
        <f>'Utility report'!O6</f>
        <v>2.2999999999999998</v>
      </c>
      <c r="N5" s="736">
        <f>'Utility report'!S6</f>
        <v>0</v>
      </c>
      <c r="O5" s="736">
        <f>'Utility report'!W6</f>
        <v>2.7</v>
      </c>
      <c r="P5" s="740">
        <f>'Utility report'!AC6</f>
        <v>75</v>
      </c>
      <c r="Q5" s="740">
        <f>'Utility report'!AF6</f>
        <v>65</v>
      </c>
      <c r="R5" s="740">
        <f>'Utility report'!AG6</f>
        <v>0</v>
      </c>
      <c r="S5" s="493">
        <f>'Utility report'!AH6</f>
        <v>0</v>
      </c>
      <c r="T5" s="741">
        <f>'Utility report'!AI6</f>
        <v>0</v>
      </c>
    </row>
    <row r="6" spans="1:21" ht="13.5" x14ac:dyDescent="0.25">
      <c r="A6" s="733">
        <f>Gen!A12</f>
        <v>43436</v>
      </c>
      <c r="B6" s="723">
        <f>'Summery Report'!D6</f>
        <v>13</v>
      </c>
      <c r="C6" s="489">
        <f>Gen!S12</f>
        <v>1835.19</v>
      </c>
      <c r="D6" s="489"/>
      <c r="E6" s="489">
        <f>Gen!AJ12</f>
        <v>90.600000000000009</v>
      </c>
      <c r="F6" s="489">
        <f t="shared" ref="F6:F35" si="0">E6+C6</f>
        <v>1925.79</v>
      </c>
      <c r="G6" s="583">
        <f>'Daily report Gen'!C7</f>
        <v>25400.01</v>
      </c>
      <c r="H6" s="490">
        <f>'Daily report Gen'!D7</f>
        <v>12351.86</v>
      </c>
      <c r="I6" s="489" t="e">
        <f>Gen!C12</f>
        <v>#REF!</v>
      </c>
      <c r="J6" s="491" t="e">
        <f>Gen!C12</f>
        <v>#REF!</v>
      </c>
      <c r="K6" s="492">
        <f>'Utility report'!N7</f>
        <v>100</v>
      </c>
      <c r="L6" s="492">
        <f>'Water-Meter'!AK7</f>
        <v>1560</v>
      </c>
      <c r="M6" s="489">
        <f>'Utility report'!O7</f>
        <v>2.2999999999999998</v>
      </c>
      <c r="N6" s="489">
        <f>'Utility report'!S7</f>
        <v>0</v>
      </c>
      <c r="O6" s="489">
        <f>'Utility report'!W7</f>
        <v>2.2000000000000002</v>
      </c>
      <c r="P6" s="492">
        <f>'Utility report'!AC7</f>
        <v>97</v>
      </c>
      <c r="Q6" s="492">
        <f>'Utility report'!AF7</f>
        <v>45</v>
      </c>
      <c r="R6" s="492">
        <f>'Utility report'!AG7</f>
        <v>2000</v>
      </c>
      <c r="S6" s="493">
        <f>'Utility report'!AH7</f>
        <v>1000</v>
      </c>
      <c r="T6" s="724">
        <f>'Utility report'!AI7</f>
        <v>882.35294117647061</v>
      </c>
      <c r="U6" s="465"/>
    </row>
    <row r="7" spans="1:21" ht="13.5" x14ac:dyDescent="0.25">
      <c r="A7" s="733">
        <f>Gen!A13</f>
        <v>43437</v>
      </c>
      <c r="B7" s="723">
        <f>'Summery Report'!D7</f>
        <v>13</v>
      </c>
      <c r="C7" s="489">
        <f>Gen!S13</f>
        <v>2768.05</v>
      </c>
      <c r="D7" s="489"/>
      <c r="E7" s="489">
        <f>Gen!AJ13</f>
        <v>108.37</v>
      </c>
      <c r="F7" s="489">
        <f t="shared" si="0"/>
        <v>2876.42</v>
      </c>
      <c r="G7" s="583">
        <f>'Daily report Gen'!C8</f>
        <v>25400.01</v>
      </c>
      <c r="H7" s="490">
        <f>'Daily report Gen'!D8</f>
        <v>10426.07</v>
      </c>
      <c r="I7" s="489" t="e">
        <f>Gen!C13</f>
        <v>#REF!</v>
      </c>
      <c r="J7" s="491" t="e">
        <f>Gen!C13</f>
        <v>#REF!</v>
      </c>
      <c r="K7" s="492">
        <f>'Utility report'!N8</f>
        <v>90</v>
      </c>
      <c r="L7" s="492">
        <f>'Water-Meter'!AK8</f>
        <v>1560</v>
      </c>
      <c r="M7" s="489">
        <f>'Utility report'!O8</f>
        <v>1.2</v>
      </c>
      <c r="N7" s="489">
        <f>'Utility report'!S8</f>
        <v>0</v>
      </c>
      <c r="O7" s="489">
        <f>'Utility report'!W8</f>
        <v>2.6</v>
      </c>
      <c r="P7" s="492">
        <f>'Utility report'!AC8</f>
        <v>77</v>
      </c>
      <c r="Q7" s="492">
        <f>'Utility report'!AF8</f>
        <v>47</v>
      </c>
      <c r="R7" s="492">
        <f>'Utility report'!AG8</f>
        <v>2000</v>
      </c>
      <c r="S7" s="722">
        <f>'Utility report'!AH8</f>
        <v>1000</v>
      </c>
      <c r="T7" s="724">
        <f>'Utility report'!AI8</f>
        <v>717.64705882352939</v>
      </c>
      <c r="U7" s="465"/>
    </row>
    <row r="8" spans="1:21" ht="13.5" x14ac:dyDescent="0.25">
      <c r="A8" s="733">
        <f>Gen!A14</f>
        <v>43438</v>
      </c>
      <c r="B8" s="723">
        <f>'Summery Report'!D8</f>
        <v>15</v>
      </c>
      <c r="C8" s="489">
        <f>Gen!S14</f>
        <v>1910.45</v>
      </c>
      <c r="D8" s="489"/>
      <c r="E8" s="489">
        <f>Gen!AJ14</f>
        <v>110.05</v>
      </c>
      <c r="F8" s="489">
        <f t="shared" si="0"/>
        <v>2020.5</v>
      </c>
      <c r="G8" s="583">
        <f>'Daily report Gen'!C9</f>
        <v>27000</v>
      </c>
      <c r="H8" s="490">
        <f>'Daily report Gen'!D9</f>
        <v>22962.66</v>
      </c>
      <c r="I8" s="489" t="e">
        <f>Gen!C14</f>
        <v>#REF!</v>
      </c>
      <c r="J8" s="491" t="e">
        <f>Gen!C14</f>
        <v>#REF!</v>
      </c>
      <c r="K8" s="492">
        <f>'Utility report'!N9</f>
        <v>87</v>
      </c>
      <c r="L8" s="492">
        <f>'Water-Meter'!AK9</f>
        <v>1560</v>
      </c>
      <c r="M8" s="489">
        <f>'Utility report'!O9</f>
        <v>1.2</v>
      </c>
      <c r="N8" s="489">
        <f>'Utility report'!S9</f>
        <v>0</v>
      </c>
      <c r="O8" s="489">
        <f>'Utility report'!W9</f>
        <v>2.6</v>
      </c>
      <c r="P8" s="492">
        <f>'Utility report'!AC9</f>
        <v>83</v>
      </c>
      <c r="Q8" s="492">
        <f>'Utility report'!AF9</f>
        <v>73</v>
      </c>
      <c r="R8" s="492">
        <f>'Utility report'!AG9</f>
        <v>2000</v>
      </c>
      <c r="S8" s="722">
        <f>'Utility report'!AH9</f>
        <v>1000</v>
      </c>
      <c r="T8" s="724">
        <f>'Utility report'!AI9</f>
        <v>611.76470588235293</v>
      </c>
      <c r="U8" s="465"/>
    </row>
    <row r="9" spans="1:21" ht="13.5" x14ac:dyDescent="0.25">
      <c r="A9" s="733">
        <f>Gen!A15</f>
        <v>43439</v>
      </c>
      <c r="B9" s="723">
        <f>'Summery Report'!D9</f>
        <v>12</v>
      </c>
      <c r="C9" s="489">
        <f>Gen!S15</f>
        <v>1785.28</v>
      </c>
      <c r="D9" s="489"/>
      <c r="E9" s="489">
        <f>Gen!AJ15</f>
        <v>0</v>
      </c>
      <c r="F9" s="489">
        <f t="shared" si="0"/>
        <v>1785.28</v>
      </c>
      <c r="G9" s="583">
        <f>'Daily report Gen'!C10</f>
        <v>27000</v>
      </c>
      <c r="H9" s="490">
        <f>'Daily report Gen'!D10</f>
        <v>20942.16</v>
      </c>
      <c r="I9" s="489" t="e">
        <f>Gen!C15</f>
        <v>#REF!</v>
      </c>
      <c r="J9" s="491" t="e">
        <f>Gen!C15</f>
        <v>#REF!</v>
      </c>
      <c r="K9" s="492">
        <f>'Utility report'!N10</f>
        <v>84</v>
      </c>
      <c r="L9" s="492">
        <f>'Water-Meter'!AK10</f>
        <v>1560</v>
      </c>
      <c r="M9" s="489">
        <f>'Utility report'!O10</f>
        <v>1.2</v>
      </c>
      <c r="N9" s="489">
        <f>'Utility report'!S10</f>
        <v>0</v>
      </c>
      <c r="O9" s="489">
        <f>'Utility report'!W10</f>
        <v>2.6</v>
      </c>
      <c r="P9" s="492">
        <f>'Utility report'!AC10</f>
        <v>65</v>
      </c>
      <c r="Q9" s="492">
        <f>'Utility report'!AF10</f>
        <v>53</v>
      </c>
      <c r="R9" s="492">
        <f>'Utility report'!AG10</f>
        <v>2000</v>
      </c>
      <c r="S9" s="722">
        <f>'Utility report'!AH10</f>
        <v>1000</v>
      </c>
      <c r="T9" s="724">
        <f>'Utility report'!AI10</f>
        <v>529.41176470588232</v>
      </c>
      <c r="U9" s="465"/>
    </row>
    <row r="10" spans="1:21" ht="13.5" x14ac:dyDescent="0.25">
      <c r="A10" s="733">
        <f>Gen!A16</f>
        <v>43440</v>
      </c>
      <c r="B10" s="723">
        <f>'Summery Report'!D10</f>
        <v>15</v>
      </c>
      <c r="C10" s="489">
        <f>Gen!S16</f>
        <v>1903.8600000000001</v>
      </c>
      <c r="D10" s="489"/>
      <c r="E10" s="489">
        <f>Gen!AJ16</f>
        <v>247.65</v>
      </c>
      <c r="F10" s="489">
        <f t="shared" si="0"/>
        <v>2151.5100000000002</v>
      </c>
      <c r="G10" s="583">
        <f>'Daily report Gen'!C11</f>
        <v>27000.01</v>
      </c>
      <c r="H10" s="490">
        <f>'Daily report Gen'!D11</f>
        <v>18791.650000000001</v>
      </c>
      <c r="I10" s="489" t="e">
        <f>Gen!C16</f>
        <v>#REF!</v>
      </c>
      <c r="J10" s="491" t="e">
        <f>Gen!C16</f>
        <v>#REF!</v>
      </c>
      <c r="K10" s="492">
        <f>'Utility report'!N11</f>
        <v>108</v>
      </c>
      <c r="L10" s="492">
        <f>'Water-Meter'!AK11</f>
        <v>1560</v>
      </c>
      <c r="M10" s="489">
        <f>'Utility report'!O11</f>
        <v>1.2</v>
      </c>
      <c r="N10" s="489">
        <f>'Utility report'!S11</f>
        <v>0</v>
      </c>
      <c r="O10" s="489">
        <f>'Utility report'!W11</f>
        <v>2.6</v>
      </c>
      <c r="P10" s="492">
        <f>'Utility report'!AC11</f>
        <v>45</v>
      </c>
      <c r="Q10" s="492">
        <f>'Utility report'!AF11</f>
        <v>57</v>
      </c>
      <c r="R10" s="492">
        <f>'Utility report'!AG11</f>
        <v>2000</v>
      </c>
      <c r="S10" s="722">
        <f>'Utility report'!AH11</f>
        <v>1000</v>
      </c>
      <c r="T10" s="724">
        <f>'Utility report'!AI11</f>
        <v>470.58823529411762</v>
      </c>
      <c r="U10" s="465"/>
    </row>
    <row r="11" spans="1:21" ht="13.5" x14ac:dyDescent="0.25">
      <c r="A11" s="733">
        <f>Gen!A17</f>
        <v>43441</v>
      </c>
      <c r="B11" s="723">
        <f>'Summery Report'!D11</f>
        <v>20</v>
      </c>
      <c r="C11" s="489">
        <f>Gen!S17</f>
        <v>2010.19</v>
      </c>
      <c r="D11" s="489"/>
      <c r="E11" s="489">
        <f>Gen!AJ17</f>
        <v>224.17000000000002</v>
      </c>
      <c r="F11" s="489">
        <f t="shared" si="0"/>
        <v>2234.36</v>
      </c>
      <c r="G11" s="583">
        <f>'Daily report Gen'!C12</f>
        <v>27000.01</v>
      </c>
      <c r="H11" s="490">
        <f>'Daily report Gen'!D12</f>
        <v>16558.29</v>
      </c>
      <c r="I11" s="489" t="e">
        <f>Gen!C17</f>
        <v>#REF!</v>
      </c>
      <c r="J11" s="491" t="e">
        <f>Gen!C17</f>
        <v>#REF!</v>
      </c>
      <c r="K11" s="492">
        <f>'Utility report'!N12</f>
        <v>93</v>
      </c>
      <c r="L11" s="492">
        <f>'Water-Meter'!AK12</f>
        <v>1560</v>
      </c>
      <c r="M11" s="489">
        <f>'Utility report'!O12</f>
        <v>0</v>
      </c>
      <c r="N11" s="489">
        <f>'Utility report'!S12</f>
        <v>0</v>
      </c>
      <c r="O11" s="489">
        <f>'Utility report'!W12</f>
        <v>2.6</v>
      </c>
      <c r="P11" s="492">
        <f>'Utility report'!AC12</f>
        <v>112</v>
      </c>
      <c r="Q11" s="492">
        <f>'Utility report'!AF12</f>
        <v>53</v>
      </c>
      <c r="R11" s="492">
        <f>'Utility report'!AG12</f>
        <v>2000</v>
      </c>
      <c r="S11" s="722">
        <f>'Utility report'!AH12</f>
        <v>1000</v>
      </c>
      <c r="T11" s="724">
        <f>'Utility report'!AI12</f>
        <v>423.52941176470586</v>
      </c>
      <c r="U11" s="465"/>
    </row>
    <row r="12" spans="1:21" ht="13.5" x14ac:dyDescent="0.25">
      <c r="A12" s="733">
        <f>Gen!A18</f>
        <v>43442</v>
      </c>
      <c r="B12" s="723">
        <f>'Summery Report'!D12</f>
        <v>23</v>
      </c>
      <c r="C12" s="489">
        <f>Gen!S18</f>
        <v>1923.46</v>
      </c>
      <c r="D12" s="489"/>
      <c r="E12" s="489">
        <f>Gen!AJ18</f>
        <v>114</v>
      </c>
      <c r="F12" s="489">
        <f t="shared" si="0"/>
        <v>2037.46</v>
      </c>
      <c r="G12" s="583">
        <f>'Daily report Gen'!C13</f>
        <v>27000.01</v>
      </c>
      <c r="H12" s="490">
        <f>'Daily report Gen'!D13</f>
        <v>14634.83</v>
      </c>
      <c r="I12" s="489" t="e">
        <f>Gen!C18</f>
        <v>#REF!</v>
      </c>
      <c r="J12" s="491" t="e">
        <f>Gen!C18</f>
        <v>#REF!</v>
      </c>
      <c r="K12" s="492">
        <f>'Utility report'!N13</f>
        <v>103</v>
      </c>
      <c r="L12" s="492">
        <f>'Water-Meter'!AK13</f>
        <v>5210</v>
      </c>
      <c r="M12" s="489">
        <f>'Utility report'!O13</f>
        <v>0</v>
      </c>
      <c r="N12" s="489">
        <f>'Utility report'!S13</f>
        <v>0</v>
      </c>
      <c r="O12" s="489">
        <f>'Utility report'!W13</f>
        <v>2.6</v>
      </c>
      <c r="P12" s="492">
        <f>'Utility report'!AC13</f>
        <v>20</v>
      </c>
      <c r="Q12" s="492">
        <f>'Utility report'!AF13</f>
        <v>53</v>
      </c>
      <c r="R12" s="492">
        <f>'Utility report'!AG13</f>
        <v>2000</v>
      </c>
      <c r="S12" s="722">
        <f>'Utility report'!AH13</f>
        <v>1000</v>
      </c>
      <c r="T12" s="724">
        <f>'Utility report'!AI13</f>
        <v>352.94117647058823</v>
      </c>
    </row>
    <row r="13" spans="1:21" ht="13.5" x14ac:dyDescent="0.25">
      <c r="A13" s="733">
        <f>Gen!A19</f>
        <v>43443</v>
      </c>
      <c r="B13" s="723">
        <f>'Summery Report'!D13</f>
        <v>37</v>
      </c>
      <c r="C13" s="489">
        <f>Gen!S19</f>
        <v>2043.56</v>
      </c>
      <c r="D13" s="489"/>
      <c r="E13" s="489">
        <f>Gen!AJ19</f>
        <v>534.55999999999995</v>
      </c>
      <c r="F13" s="489">
        <f t="shared" si="0"/>
        <v>2578.12</v>
      </c>
      <c r="G13" s="583">
        <f>'Daily report Gen'!C14</f>
        <v>27000.01</v>
      </c>
      <c r="H13" s="490">
        <f>'Daily report Gen'!D14</f>
        <v>12056.73</v>
      </c>
      <c r="I13" s="489" t="e">
        <f>Gen!C19</f>
        <v>#REF!</v>
      </c>
      <c r="J13" s="491" t="e">
        <f>Gen!C19</f>
        <v>#REF!</v>
      </c>
      <c r="K13" s="492">
        <f>'Utility report'!N14</f>
        <v>125</v>
      </c>
      <c r="L13" s="492">
        <f>'Water-Meter'!AK14</f>
        <v>5250</v>
      </c>
      <c r="M13" s="489">
        <f>'Utility report'!O14</f>
        <v>1.2</v>
      </c>
      <c r="N13" s="489">
        <f>'Utility report'!S14</f>
        <v>0</v>
      </c>
      <c r="O13" s="489">
        <f>'Utility report'!W14</f>
        <v>2.5</v>
      </c>
      <c r="P13" s="492">
        <f>'Utility report'!AC14</f>
        <v>38</v>
      </c>
      <c r="Q13" s="492">
        <f>'Utility report'!AF14</f>
        <v>59</v>
      </c>
      <c r="R13" s="492">
        <f>'Utility report'!AG14</f>
        <v>2000</v>
      </c>
      <c r="S13" s="722">
        <f>'Utility report'!AH14</f>
        <v>1000</v>
      </c>
      <c r="T13" s="724">
        <f>'Utility report'!AI14</f>
        <v>270.58823529411762</v>
      </c>
    </row>
    <row r="14" spans="1:21" ht="13.5" x14ac:dyDescent="0.25">
      <c r="A14" s="733">
        <f>Gen!A20</f>
        <v>43444</v>
      </c>
      <c r="B14" s="723">
        <f>'Summery Report'!D14</f>
        <v>44</v>
      </c>
      <c r="C14" s="489">
        <f>Gen!S20</f>
        <v>2103.23</v>
      </c>
      <c r="D14" s="489"/>
      <c r="E14" s="489">
        <f>Gen!AJ20</f>
        <v>438</v>
      </c>
      <c r="F14" s="489">
        <f t="shared" si="0"/>
        <v>2541.23</v>
      </c>
      <c r="G14" s="583">
        <f>'Daily report Gen'!C15</f>
        <v>27000.01</v>
      </c>
      <c r="H14" s="490">
        <f>'Daily report Gen'!D15</f>
        <v>21058.77</v>
      </c>
      <c r="I14" s="489" t="e">
        <f>Gen!C20</f>
        <v>#REF!</v>
      </c>
      <c r="J14" s="491" t="e">
        <f>Gen!C20</f>
        <v>#REF!</v>
      </c>
      <c r="K14" s="492">
        <f>'Utility report'!N15</f>
        <v>114</v>
      </c>
      <c r="L14" s="492">
        <f>'Water-Meter'!AK15</f>
        <v>5320</v>
      </c>
      <c r="M14" s="489">
        <f>'Utility report'!O15</f>
        <v>1.2</v>
      </c>
      <c r="N14" s="489">
        <f>'Utility report'!S15</f>
        <v>2.5</v>
      </c>
      <c r="O14" s="489">
        <f>'Utility report'!W15</f>
        <v>2.4</v>
      </c>
      <c r="P14" s="492">
        <f>'Utility report'!AC15</f>
        <v>95</v>
      </c>
      <c r="Q14" s="492">
        <f>'Utility report'!AF15</f>
        <v>120</v>
      </c>
      <c r="R14" s="492">
        <f>'Utility report'!AG15</f>
        <v>2000</v>
      </c>
      <c r="S14" s="722">
        <f>'Utility report'!AH15</f>
        <v>1000</v>
      </c>
      <c r="T14" s="724">
        <f>'Utility report'!AI15</f>
        <v>188.23529411764707</v>
      </c>
    </row>
    <row r="15" spans="1:21" ht="13.5" x14ac:dyDescent="0.25">
      <c r="A15" s="733">
        <f>Gen!A21</f>
        <v>43445</v>
      </c>
      <c r="B15" s="723">
        <f>'Summery Report'!D15</f>
        <v>45</v>
      </c>
      <c r="C15" s="489">
        <f>Gen!S21</f>
        <v>2044.33</v>
      </c>
      <c r="D15" s="489"/>
      <c r="E15" s="489">
        <f>Gen!AJ21</f>
        <v>222.32999999999998</v>
      </c>
      <c r="F15" s="489">
        <f t="shared" si="0"/>
        <v>2266.66</v>
      </c>
      <c r="G15" s="583">
        <f>'Daily report Gen'!C17</f>
        <v>27000.01</v>
      </c>
      <c r="H15" s="490">
        <f>'Daily report Gen'!D16</f>
        <v>19616.189999999999</v>
      </c>
      <c r="I15" s="489" t="e">
        <f>Gen!C21</f>
        <v>#REF!</v>
      </c>
      <c r="J15" s="491" t="e">
        <f>Gen!C21</f>
        <v>#REF!</v>
      </c>
      <c r="K15" s="492">
        <f>'Utility report'!N16</f>
        <v>114</v>
      </c>
      <c r="L15" s="492">
        <f>'Water-Meter'!AK16</f>
        <v>5364</v>
      </c>
      <c r="M15" s="489">
        <f>'Utility report'!O16</f>
        <v>1.2</v>
      </c>
      <c r="N15" s="489">
        <f>'Utility report'!S16</f>
        <v>2.5</v>
      </c>
      <c r="O15" s="489">
        <f>'Utility report'!W16</f>
        <v>2.4</v>
      </c>
      <c r="P15" s="492">
        <f>'Utility report'!AC16</f>
        <v>207</v>
      </c>
      <c r="Q15" s="492">
        <f>'Utility report'!AF16</f>
        <v>59</v>
      </c>
      <c r="R15" s="492">
        <f>'Utility report'!AG16</f>
        <v>2000</v>
      </c>
      <c r="S15" s="722">
        <f>'Utility report'!AH16</f>
        <v>1000</v>
      </c>
      <c r="T15" s="724">
        <f>'Utility report'!AI16</f>
        <v>105.88235294117646</v>
      </c>
    </row>
    <row r="16" spans="1:21" ht="13.5" x14ac:dyDescent="0.25">
      <c r="A16" s="733">
        <f>Gen!A22</f>
        <v>43446</v>
      </c>
      <c r="B16" s="723">
        <f>'Summery Report'!D16</f>
        <v>21</v>
      </c>
      <c r="C16" s="489">
        <f>Gen!S22</f>
        <v>1917.2399999999998</v>
      </c>
      <c r="D16" s="489"/>
      <c r="E16" s="489">
        <f>Gen!AJ22</f>
        <v>198.24</v>
      </c>
      <c r="F16" s="489">
        <f t="shared" si="0"/>
        <v>2115.4799999999996</v>
      </c>
      <c r="G16" s="583">
        <f>'Daily report Gen'!C18</f>
        <v>27000.01</v>
      </c>
      <c r="H16" s="490">
        <f>'Daily report Gen'!D17</f>
        <v>17349.53</v>
      </c>
      <c r="I16" s="489" t="e">
        <f>Gen!C22</f>
        <v>#REF!</v>
      </c>
      <c r="J16" s="491" t="e">
        <f>Gen!C22</f>
        <v>#REF!</v>
      </c>
      <c r="K16" s="492">
        <f>'Utility report'!N17</f>
        <v>105</v>
      </c>
      <c r="L16" s="492">
        <f>'Water-Meter'!AK17</f>
        <v>5394</v>
      </c>
      <c r="M16" s="489">
        <f>'Utility report'!O17</f>
        <v>1.2</v>
      </c>
      <c r="N16" s="489">
        <f>'Utility report'!S17</f>
        <v>2.5</v>
      </c>
      <c r="O16" s="489">
        <f>'Utility report'!W17</f>
        <v>2.4</v>
      </c>
      <c r="P16" s="492">
        <f>'Utility report'!AC17</f>
        <v>117</v>
      </c>
      <c r="Q16" s="492">
        <f>'Utility report'!AF17</f>
        <v>74</v>
      </c>
      <c r="R16" s="492">
        <f>'Utility report'!AG17</f>
        <v>2000</v>
      </c>
      <c r="S16" s="722">
        <f>'Utility report'!AH17</f>
        <v>1000</v>
      </c>
      <c r="T16" s="724">
        <f>'Utility report'!AI17</f>
        <v>23.529411764705884</v>
      </c>
    </row>
    <row r="17" spans="1:20" ht="13.5" x14ac:dyDescent="0.25">
      <c r="A17" s="733">
        <f>Gen!A23</f>
        <v>43447</v>
      </c>
      <c r="B17" s="723">
        <f>'Summery Report'!D17</f>
        <v>23</v>
      </c>
      <c r="C17" s="489">
        <f>Gen!S23</f>
        <v>1891.5800000000002</v>
      </c>
      <c r="D17" s="489"/>
      <c r="E17" s="489">
        <f>Gen!AJ23</f>
        <v>114.10000000000001</v>
      </c>
      <c r="F17" s="489">
        <f t="shared" si="0"/>
        <v>2005.68</v>
      </c>
      <c r="G17" s="583">
        <f>'Daily report Gen'!C19</f>
        <v>27000.01</v>
      </c>
      <c r="H17" s="490">
        <f>'Daily report Gen'!D18</f>
        <v>15234.05</v>
      </c>
      <c r="I17" s="489" t="e">
        <f>Gen!C23</f>
        <v>#REF!</v>
      </c>
      <c r="J17" s="491" t="e">
        <f>Gen!C23</f>
        <v>#REF!</v>
      </c>
      <c r="K17" s="492">
        <f>'Utility report'!N18</f>
        <v>111</v>
      </c>
      <c r="L17" s="492">
        <f>'Water-Meter'!AK18</f>
        <v>5545</v>
      </c>
      <c r="M17" s="489">
        <f>'Utility report'!O18</f>
        <v>1.2</v>
      </c>
      <c r="N17" s="489">
        <f>'Utility report'!S18</f>
        <v>2.5</v>
      </c>
      <c r="O17" s="489">
        <f>'Utility report'!W18</f>
        <v>2.4</v>
      </c>
      <c r="P17" s="492">
        <f>'Utility report'!AC18</f>
        <v>29</v>
      </c>
      <c r="Q17" s="492">
        <f>'Utility report'!AF18</f>
        <v>74</v>
      </c>
      <c r="R17" s="492">
        <f>'Utility report'!AG18</f>
        <v>2000</v>
      </c>
      <c r="S17" s="722">
        <f>'Utility report'!AH18</f>
        <v>917.64705882352939</v>
      </c>
      <c r="T17" s="724">
        <f>'Utility report'!AI18</f>
        <v>0</v>
      </c>
    </row>
    <row r="18" spans="1:20" ht="13.5" x14ac:dyDescent="0.25">
      <c r="A18" s="733">
        <f>Gen!A24</f>
        <v>43448</v>
      </c>
      <c r="B18" s="723">
        <f>'Summery Report'!D18</f>
        <v>21</v>
      </c>
      <c r="C18" s="489">
        <f>Gen!S24</f>
        <v>1992.44</v>
      </c>
      <c r="D18" s="489"/>
      <c r="E18" s="489">
        <f>Gen!AJ24</f>
        <v>315.52</v>
      </c>
      <c r="F18" s="489">
        <f t="shared" si="0"/>
        <v>2307.96</v>
      </c>
      <c r="G18" s="583">
        <f>'Daily report Gen'!C20</f>
        <v>12919.82</v>
      </c>
      <c r="H18" s="490">
        <f>'Daily report Gen'!D19</f>
        <v>14228.37</v>
      </c>
      <c r="I18" s="489" t="e">
        <f>Gen!C24</f>
        <v>#REF!</v>
      </c>
      <c r="J18" s="494" t="e">
        <f>Gen!C24</f>
        <v>#REF!</v>
      </c>
      <c r="K18" s="492">
        <f>'Utility report'!N19</f>
        <v>100</v>
      </c>
      <c r="L18" s="492">
        <f>'Water-Meter'!AK19</f>
        <v>5550</v>
      </c>
      <c r="M18" s="489">
        <f>'Utility report'!O19</f>
        <v>1.2</v>
      </c>
      <c r="N18" s="489">
        <f>'Utility report'!S19</f>
        <v>2.5</v>
      </c>
      <c r="O18" s="489">
        <f>'Utility report'!W19</f>
        <v>2.4</v>
      </c>
      <c r="P18" s="492">
        <f>'Utility report'!AC19</f>
        <v>51</v>
      </c>
      <c r="Q18" s="492">
        <f>'Utility report'!AF19</f>
        <v>56</v>
      </c>
      <c r="R18" s="492">
        <f>'Utility report'!AG19</f>
        <v>2000</v>
      </c>
      <c r="S18" s="722">
        <f>'Utility report'!AH19</f>
        <v>776.47058823529414</v>
      </c>
      <c r="T18" s="724">
        <f>'Utility report'!AI19</f>
        <v>0</v>
      </c>
    </row>
    <row r="19" spans="1:20" ht="13.5" x14ac:dyDescent="0.25">
      <c r="A19" s="733">
        <f>Gen!A25</f>
        <v>43449</v>
      </c>
      <c r="B19" s="723">
        <f>'Summery Report'!D19</f>
        <v>11</v>
      </c>
      <c r="C19" s="489">
        <f>Gen!S25</f>
        <v>1937.98</v>
      </c>
      <c r="D19" s="489"/>
      <c r="E19" s="489">
        <f>Gen!AJ25</f>
        <v>571.31999999999994</v>
      </c>
      <c r="F19" s="489">
        <f t="shared" si="0"/>
        <v>2509.3000000000002</v>
      </c>
      <c r="G19" s="583">
        <f>'Daily report Gen'!C21</f>
        <v>22410.52</v>
      </c>
      <c r="H19" s="490">
        <f>'Daily report Gen'!D20</f>
        <v>25000.6</v>
      </c>
      <c r="I19" s="489" t="e">
        <f>Gen!C25</f>
        <v>#REF!</v>
      </c>
      <c r="J19" s="494" t="e">
        <f>Gen!C25</f>
        <v>#REF!</v>
      </c>
      <c r="K19" s="492">
        <f>'Utility report'!N20</f>
        <v>87</v>
      </c>
      <c r="L19" s="492">
        <f>'Water-Meter'!AK20</f>
        <v>5550</v>
      </c>
      <c r="M19" s="489">
        <f>'Utility report'!O20</f>
        <v>1.2</v>
      </c>
      <c r="N19" s="489">
        <f>'Utility report'!S20</f>
        <v>2.5</v>
      </c>
      <c r="O19" s="489">
        <f>'Utility report'!W20</f>
        <v>2.4</v>
      </c>
      <c r="P19" s="492">
        <f>'Utility report'!AC20</f>
        <v>61</v>
      </c>
      <c r="Q19" s="492">
        <f>'Utility report'!AF20</f>
        <v>37</v>
      </c>
      <c r="R19" s="492">
        <f>'Utility report'!AG20</f>
        <v>2000</v>
      </c>
      <c r="S19" s="722">
        <f>'Utility report'!AH20</f>
        <v>705.88235294117646</v>
      </c>
      <c r="T19" s="724">
        <f>'Utility report'!AI20</f>
        <v>0</v>
      </c>
    </row>
    <row r="20" spans="1:20" ht="13.5" x14ac:dyDescent="0.25">
      <c r="A20" s="733">
        <f>Gen!A26</f>
        <v>43450</v>
      </c>
      <c r="B20" s="723">
        <f>'Summery Report'!D20</f>
        <v>21</v>
      </c>
      <c r="C20" s="489">
        <f>Gen!S26</f>
        <v>2042.1299999999999</v>
      </c>
      <c r="D20" s="489"/>
      <c r="E20" s="489">
        <f>Gen!AJ26</f>
        <v>335.74</v>
      </c>
      <c r="F20" s="489">
        <f t="shared" si="0"/>
        <v>2377.87</v>
      </c>
      <c r="G20" s="583">
        <f>'Daily report Gen'!C21</f>
        <v>22410.52</v>
      </c>
      <c r="H20" s="490">
        <f>'Daily report Gen'!D21</f>
        <v>25000.6</v>
      </c>
      <c r="I20" s="489" t="e">
        <f>Gen!C26</f>
        <v>#REF!</v>
      </c>
      <c r="J20" s="491" t="e">
        <f>Gen!C26</f>
        <v>#REF!</v>
      </c>
      <c r="K20" s="492">
        <f>'Utility report'!N21</f>
        <v>105</v>
      </c>
      <c r="L20" s="492">
        <f>'Water-Meter'!AK21</f>
        <v>5550</v>
      </c>
      <c r="M20" s="489">
        <f>'Utility report'!O21</f>
        <v>2.6</v>
      </c>
      <c r="N20" s="489">
        <f>'Utility report'!S21</f>
        <v>2.5</v>
      </c>
      <c r="O20" s="489">
        <f>'Utility report'!W21</f>
        <v>2.2999999999999998</v>
      </c>
      <c r="P20" s="492">
        <f>'Utility report'!AC21</f>
        <v>100</v>
      </c>
      <c r="Q20" s="492">
        <f>'Utility report'!AF21</f>
        <v>0</v>
      </c>
      <c r="R20" s="492">
        <f>'Utility report'!AG21</f>
        <v>2000</v>
      </c>
      <c r="S20" s="722">
        <f>'Utility report'!AH21</f>
        <v>658.82352941176475</v>
      </c>
      <c r="T20" s="724">
        <f>'Utility report'!AI21</f>
        <v>0</v>
      </c>
    </row>
    <row r="21" spans="1:20" ht="13.5" x14ac:dyDescent="0.25">
      <c r="A21" s="733">
        <f>Gen!A27</f>
        <v>43451</v>
      </c>
      <c r="B21" s="723">
        <f>'Summery Report'!D21</f>
        <v>24</v>
      </c>
      <c r="C21" s="489">
        <f>Gen!S27</f>
        <v>2099.06</v>
      </c>
      <c r="D21" s="489"/>
      <c r="E21" s="489">
        <f>Gen!AJ27</f>
        <v>581.30999999999995</v>
      </c>
      <c r="F21" s="489">
        <f t="shared" si="0"/>
        <v>2680.37</v>
      </c>
      <c r="G21" s="583">
        <f>'Daily report Gen'!C22</f>
        <v>20032.650000000001</v>
      </c>
      <c r="H21" s="490">
        <f>'Daily report Gen'!D22</f>
        <v>25000.6</v>
      </c>
      <c r="I21" s="489" t="e">
        <f>Gen!C27</f>
        <v>#REF!</v>
      </c>
      <c r="J21" s="491" t="e">
        <f>Gen!C27</f>
        <v>#REF!</v>
      </c>
      <c r="K21" s="492">
        <f>'Utility report'!N22</f>
        <v>109</v>
      </c>
      <c r="L21" s="492">
        <f>'Water-Meter'!AK22</f>
        <v>5862</v>
      </c>
      <c r="M21" s="489">
        <f>'Utility report'!O22</f>
        <v>2.6</v>
      </c>
      <c r="N21" s="489">
        <f>'Utility report'!S22</f>
        <v>2.5</v>
      </c>
      <c r="O21" s="489">
        <f>'Utility report'!W22</f>
        <v>2.2999999999999998</v>
      </c>
      <c r="P21" s="492">
        <f>'Utility report'!AC22</f>
        <v>105</v>
      </c>
      <c r="Q21" s="492">
        <f>'Utility report'!AF22</f>
        <v>49</v>
      </c>
      <c r="R21" s="492">
        <f>'Utility report'!AG22</f>
        <v>2000</v>
      </c>
      <c r="S21" s="722">
        <f>'Utility report'!AH22</f>
        <v>611.76470588235293</v>
      </c>
      <c r="T21" s="724">
        <f>'Utility report'!AI22</f>
        <v>0</v>
      </c>
    </row>
    <row r="22" spans="1:20" ht="13.5" x14ac:dyDescent="0.25">
      <c r="A22" s="733">
        <f>Gen!A28</f>
        <v>43452</v>
      </c>
      <c r="B22" s="723">
        <f>'Summery Report'!D22</f>
        <v>41</v>
      </c>
      <c r="C22" s="489">
        <f>Gen!S28</f>
        <v>2371.98</v>
      </c>
      <c r="D22" s="489"/>
      <c r="E22" s="489">
        <f>Gen!AJ28</f>
        <v>185.71</v>
      </c>
      <c r="F22" s="489">
        <f t="shared" si="0"/>
        <v>2557.69</v>
      </c>
      <c r="G22" s="583">
        <f>'Daily report Gen'!C23</f>
        <v>17352.28</v>
      </c>
      <c r="H22" s="490">
        <f>'Daily report Gen'!D23</f>
        <v>25000.6</v>
      </c>
      <c r="I22" s="489" t="e">
        <f>Gen!C28</f>
        <v>#REF!</v>
      </c>
      <c r="J22" s="491" t="e">
        <f>Gen!C28</f>
        <v>#REF!</v>
      </c>
      <c r="K22" s="492">
        <f>'Utility report'!N23</f>
        <v>114</v>
      </c>
      <c r="L22" s="492">
        <f>'Water-Meter'!AK23</f>
        <v>5941</v>
      </c>
      <c r="M22" s="489">
        <f>'Utility report'!O23</f>
        <v>2.6</v>
      </c>
      <c r="N22" s="489">
        <f>'Utility report'!S23</f>
        <v>2.5</v>
      </c>
      <c r="O22" s="489">
        <f>'Utility report'!W23</f>
        <v>2.2999999999999998</v>
      </c>
      <c r="P22" s="492">
        <f>'Utility report'!AC23</f>
        <v>104</v>
      </c>
      <c r="Q22" s="492">
        <f>'Utility report'!AF23</f>
        <v>48</v>
      </c>
      <c r="R22" s="492">
        <f>'Utility report'!AG23</f>
        <v>2000</v>
      </c>
      <c r="S22" s="722">
        <f>'Utility report'!AH23</f>
        <v>576.47058823529414</v>
      </c>
      <c r="T22" s="724">
        <f>'Utility report'!AI23</f>
        <v>0</v>
      </c>
    </row>
    <row r="23" spans="1:20" ht="13.5" x14ac:dyDescent="0.25">
      <c r="A23" s="733">
        <f>Gen!A29</f>
        <v>43453</v>
      </c>
      <c r="B23" s="723">
        <f>'Summery Report'!D23</f>
        <v>35</v>
      </c>
      <c r="C23" s="489">
        <f>Gen!S29</f>
        <v>2258.75</v>
      </c>
      <c r="D23" s="489"/>
      <c r="E23" s="489">
        <f>Gen!AJ29</f>
        <v>118</v>
      </c>
      <c r="F23" s="489">
        <f t="shared" si="0"/>
        <v>2376.75</v>
      </c>
      <c r="G23" s="583">
        <f>'Daily report Gen'!C24</f>
        <v>14794.59</v>
      </c>
      <c r="H23" s="490">
        <f>'Daily report Gen'!D24</f>
        <v>25000.6</v>
      </c>
      <c r="I23" s="489" t="e">
        <f>Gen!C29</f>
        <v>#REF!</v>
      </c>
      <c r="J23" s="491" t="e">
        <f>Gen!C29</f>
        <v>#REF!</v>
      </c>
      <c r="K23" s="492">
        <f>'Utility report'!N24</f>
        <v>110</v>
      </c>
      <c r="L23" s="492">
        <f>'Water-Meter'!AK24</f>
        <v>6019</v>
      </c>
      <c r="M23" s="489">
        <f>'Utility report'!O24</f>
        <v>2.6</v>
      </c>
      <c r="N23" s="489">
        <f>'Utility report'!S24</f>
        <v>2.5</v>
      </c>
      <c r="O23" s="489">
        <f>'Utility report'!W24</f>
        <v>2.2999999999999998</v>
      </c>
      <c r="P23" s="492">
        <f>'Utility report'!AC24</f>
        <v>60</v>
      </c>
      <c r="Q23" s="492">
        <f>'Utility report'!AF24</f>
        <v>108</v>
      </c>
      <c r="R23" s="492">
        <f>'Utility report'!AG24</f>
        <v>2000</v>
      </c>
      <c r="S23" s="722">
        <f>'Utility report'!AH24</f>
        <v>435.29411764705884</v>
      </c>
      <c r="T23" s="724">
        <f>'Utility report'!AI24</f>
        <v>0</v>
      </c>
    </row>
    <row r="24" spans="1:20" ht="13.5" x14ac:dyDescent="0.25">
      <c r="A24" s="733">
        <f>Gen!A30</f>
        <v>43454</v>
      </c>
      <c r="B24" s="723">
        <f>'Summery Report'!D24</f>
        <v>34</v>
      </c>
      <c r="C24" s="489">
        <f>Gen!S30</f>
        <v>2355.33</v>
      </c>
      <c r="D24" s="489"/>
      <c r="E24" s="489">
        <f>Gen!AJ30</f>
        <v>690.09</v>
      </c>
      <c r="F24" s="489">
        <f t="shared" si="0"/>
        <v>3045.42</v>
      </c>
      <c r="G24" s="583">
        <f>'Daily report Gen'!C25</f>
        <v>12417.84</v>
      </c>
      <c r="H24" s="490">
        <f>'Daily report Gen'!D25</f>
        <v>25000.6</v>
      </c>
      <c r="I24" s="489" t="e">
        <f>Gen!C30</f>
        <v>#REF!</v>
      </c>
      <c r="J24" s="491" t="e">
        <f>Gen!C30</f>
        <v>#REF!</v>
      </c>
      <c r="K24" s="492">
        <f>'Utility report'!N25</f>
        <v>123</v>
      </c>
      <c r="L24" s="492">
        <f>'Water-Meter'!AK25</f>
        <v>6105</v>
      </c>
      <c r="M24" s="489">
        <f>'Utility report'!O25</f>
        <v>2.6</v>
      </c>
      <c r="N24" s="489">
        <f>'Utility report'!S25</f>
        <v>2.5</v>
      </c>
      <c r="O24" s="489">
        <f>'Utility report'!W25</f>
        <v>2.2999999999999998</v>
      </c>
      <c r="P24" s="492">
        <f>'Utility report'!AC25</f>
        <v>23</v>
      </c>
      <c r="Q24" s="492">
        <f>'Utility report'!AF25</f>
        <v>81</v>
      </c>
      <c r="R24" s="492">
        <f>'Utility report'!AG25</f>
        <v>2000</v>
      </c>
      <c r="S24" s="722">
        <f>'Utility report'!AH25</f>
        <v>341.1764705882353</v>
      </c>
      <c r="T24" s="724">
        <f>'Utility report'!AI25</f>
        <v>0</v>
      </c>
    </row>
    <row r="25" spans="1:20" ht="13.5" x14ac:dyDescent="0.25">
      <c r="A25" s="733">
        <f>Gen!A31</f>
        <v>43455</v>
      </c>
      <c r="B25" s="723">
        <f>'Summery Report'!D25</f>
        <v>41</v>
      </c>
      <c r="C25" s="489">
        <f>Gen!S31</f>
        <v>2159.4</v>
      </c>
      <c r="D25" s="489"/>
      <c r="E25" s="489">
        <f>Gen!AJ31</f>
        <v>544.38</v>
      </c>
      <c r="F25" s="489">
        <f t="shared" si="0"/>
        <v>2703.78</v>
      </c>
      <c r="G25" s="583">
        <f>'Daily report Gen'!C26</f>
        <v>9372.42</v>
      </c>
      <c r="H25" s="490">
        <f>'Daily report Gen'!D26</f>
        <v>25000.6</v>
      </c>
      <c r="I25" s="489" t="e">
        <f>Gen!C31</f>
        <v>#REF!</v>
      </c>
      <c r="J25" s="491" t="e">
        <f>Gen!C31</f>
        <v>#REF!</v>
      </c>
      <c r="K25" s="492">
        <f>'Utility report'!N26</f>
        <v>130</v>
      </c>
      <c r="L25" s="492">
        <f>'Water-Meter'!AK26</f>
        <v>6194</v>
      </c>
      <c r="M25" s="489">
        <f>'Utility report'!O26</f>
        <v>2.5</v>
      </c>
      <c r="N25" s="489">
        <f>'Utility report'!S26</f>
        <v>2.5</v>
      </c>
      <c r="O25" s="489">
        <f>'Utility report'!W26</f>
        <v>2.8</v>
      </c>
      <c r="P25" s="492">
        <f>'Utility report'!AC26</f>
        <v>127</v>
      </c>
      <c r="Q25" s="492">
        <f>'Utility report'!AF26</f>
        <v>81</v>
      </c>
      <c r="R25" s="492">
        <f>'Utility report'!AG26</f>
        <v>2000</v>
      </c>
      <c r="S25" s="722">
        <f>'Utility report'!AH26</f>
        <v>235.29411764705881</v>
      </c>
      <c r="T25" s="724">
        <f>'Utility report'!AI26</f>
        <v>0</v>
      </c>
    </row>
    <row r="26" spans="1:20" ht="13.5" x14ac:dyDescent="0.25">
      <c r="A26" s="733">
        <f>Gen!A32</f>
        <v>43456</v>
      </c>
      <c r="B26" s="723">
        <f>'Summery Report'!D26</f>
        <v>41</v>
      </c>
      <c r="C26" s="489">
        <f>Gen!S32</f>
        <v>2501.02</v>
      </c>
      <c r="D26" s="489"/>
      <c r="E26" s="489">
        <f>Gen!AJ32</f>
        <v>322.73</v>
      </c>
      <c r="F26" s="489">
        <f t="shared" si="0"/>
        <v>2823.75</v>
      </c>
      <c r="G26" s="583">
        <f>'Daily report Gen'!C27</f>
        <v>6668.64</v>
      </c>
      <c r="H26" s="490">
        <f>'Daily report Gen'!D27</f>
        <v>25000.6</v>
      </c>
      <c r="I26" s="489" t="e">
        <f>Gen!C32</f>
        <v>#REF!</v>
      </c>
      <c r="J26" s="491" t="e">
        <f>Gen!C32</f>
        <v>#REF!</v>
      </c>
      <c r="K26" s="492">
        <f>'Utility report'!N27</f>
        <v>130</v>
      </c>
      <c r="L26" s="492">
        <f>'Water-Meter'!AK27</f>
        <v>6292</v>
      </c>
      <c r="M26" s="489">
        <f>'Utility report'!O27</f>
        <v>2.5</v>
      </c>
      <c r="N26" s="489">
        <f>'Utility report'!S27</f>
        <v>2.5</v>
      </c>
      <c r="O26" s="489">
        <f>'Utility report'!W27</f>
        <v>2.8</v>
      </c>
      <c r="P26" s="492">
        <f>'Utility report'!AC27</f>
        <v>35</v>
      </c>
      <c r="Q26" s="492">
        <f>'Utility report'!AF27</f>
        <v>85</v>
      </c>
      <c r="R26" s="492">
        <f>'Utility report'!AG27</f>
        <v>2000</v>
      </c>
      <c r="S26" s="722">
        <f>'Utility report'!AH27</f>
        <v>176.47058823529412</v>
      </c>
      <c r="T26" s="724">
        <f>'Utility report'!AI27</f>
        <v>0</v>
      </c>
    </row>
    <row r="27" spans="1:20" ht="13.5" x14ac:dyDescent="0.25">
      <c r="A27" s="733">
        <f>Gen!A33</f>
        <v>43457</v>
      </c>
      <c r="B27" s="723">
        <f>'Summery Report'!D27</f>
        <v>35</v>
      </c>
      <c r="C27" s="489">
        <f>Gen!S33</f>
        <v>2375.4699999999998</v>
      </c>
      <c r="D27" s="489"/>
      <c r="E27" s="489">
        <f>Gen!AJ33</f>
        <v>93.91</v>
      </c>
      <c r="F27" s="489">
        <f t="shared" si="0"/>
        <v>2469.3799999999997</v>
      </c>
      <c r="G27" s="583">
        <f>'Daily report Gen'!C28</f>
        <v>23468.639999999999</v>
      </c>
      <c r="H27" s="490">
        <f>'Daily report Gen'!D28</f>
        <v>22176.85</v>
      </c>
      <c r="I27" s="489" t="e">
        <f>Gen!C33</f>
        <v>#REF!</v>
      </c>
      <c r="J27" s="491" t="e">
        <f>Gen!C33</f>
        <v>#REF!</v>
      </c>
      <c r="K27" s="492">
        <f>'Utility report'!N28</f>
        <v>131</v>
      </c>
      <c r="L27" s="492">
        <f>'Water-Meter'!AK28</f>
        <v>6407</v>
      </c>
      <c r="M27" s="489">
        <f>'Utility report'!O28</f>
        <v>0</v>
      </c>
      <c r="N27" s="489">
        <f>'Utility report'!S28</f>
        <v>0</v>
      </c>
      <c r="O27" s="489">
        <f>'Utility report'!W28</f>
        <v>2.4</v>
      </c>
      <c r="P27" s="492">
        <f>'Utility report'!AC28</f>
        <v>30</v>
      </c>
      <c r="Q27" s="492">
        <f>'Utility report'!AF28</f>
        <v>75</v>
      </c>
      <c r="R27" s="492">
        <f>'Utility report'!AG28</f>
        <v>2000</v>
      </c>
      <c r="S27" s="722">
        <f>'Utility report'!AH28</f>
        <v>129.41176470588235</v>
      </c>
      <c r="T27" s="724">
        <f>'Utility report'!AI28</f>
        <v>0</v>
      </c>
    </row>
    <row r="28" spans="1:20" ht="13.5" x14ac:dyDescent="0.25">
      <c r="A28" s="733">
        <f>Gen!A34</f>
        <v>43458</v>
      </c>
      <c r="B28" s="723">
        <f>'Summery Report'!D28</f>
        <v>40</v>
      </c>
      <c r="C28" s="489">
        <f>Gen!S34</f>
        <v>2708.2799999999997</v>
      </c>
      <c r="D28" s="489"/>
      <c r="E28" s="489">
        <f>Gen!AJ34</f>
        <v>786.27</v>
      </c>
      <c r="F28" s="489">
        <f t="shared" si="0"/>
        <v>3494.5499999999997</v>
      </c>
      <c r="G28" s="583">
        <f>'Daily report Gen'!C29</f>
        <v>23468.639999999999</v>
      </c>
      <c r="H28" s="490">
        <f>'Daily report Gen'!D29</f>
        <v>19707.47</v>
      </c>
      <c r="I28" s="489" t="e">
        <f>Gen!C34</f>
        <v>#REF!</v>
      </c>
      <c r="J28" s="491" t="e">
        <f>Gen!C34</f>
        <v>#REF!</v>
      </c>
      <c r="K28" s="492">
        <f>'Utility report'!N29</f>
        <v>112</v>
      </c>
      <c r="L28" s="492">
        <f>'Water-Meter'!AK29</f>
        <v>6526</v>
      </c>
      <c r="M28" s="489">
        <f>'Utility report'!O29</f>
        <v>0</v>
      </c>
      <c r="N28" s="489">
        <f>'Utility report'!S29</f>
        <v>0</v>
      </c>
      <c r="O28" s="489">
        <f>'Utility report'!W29</f>
        <v>0</v>
      </c>
      <c r="P28" s="492">
        <f>'Utility report'!AC29</f>
        <v>0</v>
      </c>
      <c r="Q28" s="492">
        <f>'Utility report'!AF29</f>
        <v>77</v>
      </c>
      <c r="R28" s="492">
        <f>'Utility report'!AG29</f>
        <v>2000</v>
      </c>
      <c r="S28" s="722">
        <f>'Utility report'!AH29</f>
        <v>82.352941176470594</v>
      </c>
      <c r="T28" s="724">
        <f>'Utility report'!AI29</f>
        <v>0</v>
      </c>
    </row>
    <row r="29" spans="1:20" ht="13.5" x14ac:dyDescent="0.25">
      <c r="A29" s="733">
        <f>Gen!A35</f>
        <v>43459</v>
      </c>
      <c r="B29" s="723">
        <f>'Summery Report'!D29</f>
        <v>73</v>
      </c>
      <c r="C29" s="489">
        <f>Gen!S35</f>
        <v>2810.4</v>
      </c>
      <c r="D29" s="489"/>
      <c r="E29" s="489">
        <f>Gen!AJ35</f>
        <v>174.44</v>
      </c>
      <c r="F29" s="489">
        <f t="shared" si="0"/>
        <v>2984.84</v>
      </c>
      <c r="G29" s="583">
        <f>'Daily report Gen'!C30</f>
        <v>23468.639999999999</v>
      </c>
      <c r="H29" s="490">
        <f>'Daily report Gen'!D30</f>
        <v>16212.97</v>
      </c>
      <c r="I29" s="489" t="e">
        <f>Gen!C35</f>
        <v>#REF!</v>
      </c>
      <c r="J29" s="491" t="e">
        <f>Gen!C35</f>
        <v>#REF!</v>
      </c>
      <c r="K29" s="492">
        <f>'Utility report'!N30</f>
        <v>147</v>
      </c>
      <c r="L29" s="492">
        <f>'Water-Meter'!AK30</f>
        <v>6526</v>
      </c>
      <c r="M29" s="489">
        <f>'Utility report'!O30</f>
        <v>0</v>
      </c>
      <c r="N29" s="489">
        <f>'Utility report'!S30</f>
        <v>0</v>
      </c>
      <c r="O29" s="489">
        <f>'Utility report'!W30</f>
        <v>2.2999999999999998</v>
      </c>
      <c r="P29" s="492">
        <f>'Utility report'!AC30</f>
        <v>21</v>
      </c>
      <c r="Q29" s="492">
        <f>'Utility report'!AF30</f>
        <v>73</v>
      </c>
      <c r="R29" s="492">
        <f>'Utility report'!AG30</f>
        <v>2000</v>
      </c>
      <c r="S29" s="722">
        <f>'Utility report'!AH30</f>
        <v>47.058823529411768</v>
      </c>
      <c r="T29" s="724">
        <f>'Utility report'!AI30</f>
        <v>0</v>
      </c>
    </row>
    <row r="30" spans="1:20" ht="13.5" x14ac:dyDescent="0.25">
      <c r="A30" s="733">
        <f>Gen!A36</f>
        <v>43460</v>
      </c>
      <c r="B30" s="723">
        <f>'Summery Report'!D30</f>
        <v>70</v>
      </c>
      <c r="C30" s="489">
        <f>Gen!S36</f>
        <v>2865.4999999999995</v>
      </c>
      <c r="D30" s="489"/>
      <c r="E30" s="489">
        <f>Gen!AJ36</f>
        <v>356.08</v>
      </c>
      <c r="F30" s="489">
        <f t="shared" si="0"/>
        <v>3221.5799999999995</v>
      </c>
      <c r="G30" s="583">
        <f>'Daily report Gen'!C31</f>
        <v>23468.639999999999</v>
      </c>
      <c r="H30" s="490">
        <f>'Daily report Gen'!D31</f>
        <v>13228.37</v>
      </c>
      <c r="I30" s="489" t="e">
        <f>Gen!C36</f>
        <v>#REF!</v>
      </c>
      <c r="J30" s="491" t="e">
        <f>Gen!C36</f>
        <v>#REF!</v>
      </c>
      <c r="K30" s="492">
        <f>'Utility report'!N31</f>
        <v>167</v>
      </c>
      <c r="L30" s="492">
        <f>'Water-Meter'!AK31</f>
        <v>6536</v>
      </c>
      <c r="M30" s="489">
        <f>'Utility report'!O31</f>
        <v>0</v>
      </c>
      <c r="N30" s="489">
        <f>'Utility report'!S31</f>
        <v>0</v>
      </c>
      <c r="O30" s="489">
        <f>'Utility report'!W31</f>
        <v>0</v>
      </c>
      <c r="P30" s="492">
        <f>'Utility report'!AC31</f>
        <v>0</v>
      </c>
      <c r="Q30" s="492">
        <f>'Utility report'!AF31</f>
        <v>74</v>
      </c>
      <c r="R30" s="492">
        <f>'Utility report'!AG31</f>
        <v>2000</v>
      </c>
      <c r="S30" s="722" t="e">
        <f>'Utility report'!AH31</f>
        <v>#VALUE!</v>
      </c>
      <c r="T30" s="724">
        <f>'Utility report'!AI31</f>
        <v>0</v>
      </c>
    </row>
    <row r="31" spans="1:20" ht="13.5" x14ac:dyDescent="0.25">
      <c r="A31" s="733">
        <f>Gen!A37</f>
        <v>43461</v>
      </c>
      <c r="B31" s="723">
        <f>'Summery Report'!D31</f>
        <v>60</v>
      </c>
      <c r="C31" s="489">
        <f>Gen!S37</f>
        <v>2635.34</v>
      </c>
      <c r="D31" s="489"/>
      <c r="E31" s="489">
        <f>Gen!AJ37</f>
        <v>203.69</v>
      </c>
      <c r="F31" s="489">
        <f t="shared" si="0"/>
        <v>2839.03</v>
      </c>
      <c r="G31" s="583">
        <f>'Daily report Gen'!C32</f>
        <v>23468.639999999999</v>
      </c>
      <c r="H31" s="490">
        <f>'Daily report Gen'!D32</f>
        <v>10006.549999999999</v>
      </c>
      <c r="I31" s="489" t="e">
        <f>Gen!C37</f>
        <v>#REF!</v>
      </c>
      <c r="J31" s="491" t="e">
        <f>Gen!C37</f>
        <v>#REF!</v>
      </c>
      <c r="K31" s="492">
        <f>'Utility report'!N32</f>
        <v>159</v>
      </c>
      <c r="L31" s="492">
        <f>'Water-Meter'!AK32</f>
        <v>6536</v>
      </c>
      <c r="M31" s="489">
        <f>'Utility report'!O32</f>
        <v>0</v>
      </c>
      <c r="N31" s="489">
        <f>'Utility report'!S32</f>
        <v>0</v>
      </c>
      <c r="O31" s="489">
        <f>'Utility report'!W32</f>
        <v>0</v>
      </c>
      <c r="P31" s="492">
        <f>'Utility report'!AC32</f>
        <v>6</v>
      </c>
      <c r="Q31" s="492">
        <f>'Utility report'!AF32</f>
        <v>74</v>
      </c>
      <c r="R31" s="492">
        <f>'Utility report'!AG32</f>
        <v>2000</v>
      </c>
      <c r="S31" s="722">
        <f>'Utility report'!AH32</f>
        <v>0</v>
      </c>
      <c r="T31" s="724">
        <f>'Utility report'!AI32</f>
        <v>0</v>
      </c>
    </row>
    <row r="32" spans="1:20" ht="13.5" x14ac:dyDescent="0.25">
      <c r="A32" s="733">
        <f>Gen!A38</f>
        <v>43462</v>
      </c>
      <c r="B32" s="723">
        <f>'Summery Report'!D32</f>
        <v>62</v>
      </c>
      <c r="C32" s="489">
        <f>Gen!S38</f>
        <v>3043.34</v>
      </c>
      <c r="D32" s="489"/>
      <c r="E32" s="489">
        <f>Gen!AJ38</f>
        <v>321.45</v>
      </c>
      <c r="F32" s="489">
        <f t="shared" si="0"/>
        <v>3364.79</v>
      </c>
      <c r="G32" s="583">
        <f>'Daily report Gen'!C33</f>
        <v>23468.639999999999</v>
      </c>
      <c r="H32" s="490">
        <f>'Daily report Gen'!D33</f>
        <v>19167.52</v>
      </c>
      <c r="I32" s="489" t="e">
        <f>Gen!C38</f>
        <v>#REF!</v>
      </c>
      <c r="J32" s="491" t="e">
        <f>Gen!C38</f>
        <v>#REF!</v>
      </c>
      <c r="K32" s="492">
        <f>'Utility report'!N33</f>
        <v>164</v>
      </c>
      <c r="L32" s="492">
        <f>'Water-Meter'!AK33</f>
        <v>6536</v>
      </c>
      <c r="M32" s="489">
        <f>'Utility report'!O33</f>
        <v>0</v>
      </c>
      <c r="N32" s="489">
        <f>'Utility report'!S33</f>
        <v>0</v>
      </c>
      <c r="O32" s="489">
        <f>'Utility report'!W33</f>
        <v>2.9</v>
      </c>
      <c r="P32" s="492">
        <f>'Utility report'!AC33</f>
        <v>11</v>
      </c>
      <c r="Q32" s="492">
        <f>'Utility report'!AF33</f>
        <v>72</v>
      </c>
      <c r="R32" s="492">
        <f>'Utility report'!AG33</f>
        <v>1952.9411764705883</v>
      </c>
      <c r="S32" s="722">
        <f>'Utility report'!AH33</f>
        <v>0</v>
      </c>
      <c r="T32" s="724">
        <f>'Utility report'!AI33</f>
        <v>0</v>
      </c>
    </row>
    <row r="33" spans="1:20" ht="13.5" x14ac:dyDescent="0.25">
      <c r="A33" s="733">
        <f>Gen!A39</f>
        <v>43463</v>
      </c>
      <c r="B33" s="723">
        <f>'Summery Report'!D33</f>
        <v>73</v>
      </c>
      <c r="C33" s="489">
        <f>Gen!S39</f>
        <v>2871.9799999999996</v>
      </c>
      <c r="D33" s="489"/>
      <c r="E33" s="489">
        <f>Gen!AJ39</f>
        <v>247.04</v>
      </c>
      <c r="F33" s="489">
        <f t="shared" si="0"/>
        <v>3119.0199999999995</v>
      </c>
      <c r="G33" s="583">
        <f>'Daily report Gen'!C34</f>
        <v>23468.639999999999</v>
      </c>
      <c r="H33" s="490">
        <f>'Daily report Gen'!D34</f>
        <v>15802.73</v>
      </c>
      <c r="I33" s="489" t="e">
        <f>Gen!C39</f>
        <v>#REF!</v>
      </c>
      <c r="J33" s="491" t="e">
        <f>Gen!C39</f>
        <v>#REF!</v>
      </c>
      <c r="K33" s="492">
        <f>'Utility report'!N34</f>
        <v>173</v>
      </c>
      <c r="L33" s="492">
        <f>'Water-Meter'!AK34</f>
        <v>6536</v>
      </c>
      <c r="M33" s="489">
        <f>'Utility report'!O34</f>
        <v>0</v>
      </c>
      <c r="N33" s="489">
        <f>'Utility report'!S34</f>
        <v>0</v>
      </c>
      <c r="O33" s="489">
        <f>'Utility report'!W34</f>
        <v>3</v>
      </c>
      <c r="P33" s="492">
        <f>'Utility report'!AC34</f>
        <v>22</v>
      </c>
      <c r="Q33" s="492">
        <f>'Utility report'!AF34</f>
        <v>70</v>
      </c>
      <c r="R33" s="492">
        <f>'Utility report'!AG34</f>
        <v>1882.3529411764705</v>
      </c>
      <c r="S33" s="722">
        <f>'Utility report'!AH34</f>
        <v>0</v>
      </c>
      <c r="T33" s="724">
        <f>'Utility report'!AI34</f>
        <v>0</v>
      </c>
    </row>
    <row r="34" spans="1:20" ht="13.5" x14ac:dyDescent="0.25">
      <c r="A34" s="733">
        <f>Gen!A40</f>
        <v>43464</v>
      </c>
      <c r="B34" s="723">
        <f>'Summery Report'!D34</f>
        <v>61</v>
      </c>
      <c r="C34" s="489">
        <f>Gen!S40</f>
        <v>3172.51</v>
      </c>
      <c r="D34" s="489"/>
      <c r="E34" s="489">
        <f>Gen!AJ40</f>
        <v>120.12</v>
      </c>
      <c r="F34" s="489">
        <f t="shared" si="0"/>
        <v>3292.63</v>
      </c>
      <c r="G34" s="583">
        <f>'Daily report Gen'!C35</f>
        <v>23468.639999999999</v>
      </c>
      <c r="H34" s="490">
        <f>'Daily report Gen'!D35</f>
        <v>12683.71</v>
      </c>
      <c r="I34" s="489" t="e">
        <f>Gen!C40</f>
        <v>#REF!</v>
      </c>
      <c r="J34" s="491" t="e">
        <f>Gen!C40</f>
        <v>#REF!</v>
      </c>
      <c r="K34" s="492">
        <f>'Utility report'!N35</f>
        <v>156</v>
      </c>
      <c r="L34" s="492">
        <f>'Water-Meter'!AK35</f>
        <v>6536</v>
      </c>
      <c r="M34" s="489">
        <f>'Utility report'!O35</f>
        <v>0</v>
      </c>
      <c r="N34" s="489">
        <f>'Utility report'!S35</f>
        <v>0</v>
      </c>
      <c r="O34" s="489">
        <f>'Utility report'!W35</f>
        <v>0</v>
      </c>
      <c r="P34" s="492">
        <f>'Utility report'!AC35</f>
        <v>75</v>
      </c>
      <c r="Q34" s="492">
        <f>'Utility report'!AF35</f>
        <v>71</v>
      </c>
      <c r="R34" s="492">
        <f>'Utility report'!AG35</f>
        <v>1858.8235294117646</v>
      </c>
      <c r="S34" s="722">
        <f>'Utility report'!AH35</f>
        <v>0</v>
      </c>
      <c r="T34" s="724">
        <f>'Utility report'!AI35</f>
        <v>0</v>
      </c>
    </row>
    <row r="35" spans="1:20" ht="13.5" x14ac:dyDescent="0.25">
      <c r="A35" s="733">
        <f>Gen!A41</f>
        <v>43465</v>
      </c>
      <c r="B35" s="723">
        <f>'Summery Report'!D35</f>
        <v>66</v>
      </c>
      <c r="C35" s="489">
        <f>Gen!S41</f>
        <v>3058.7599999999998</v>
      </c>
      <c r="D35" s="489"/>
      <c r="E35" s="489">
        <f>Gen!AJ41</f>
        <v>1284.1399999999999</v>
      </c>
      <c r="F35" s="489">
        <f t="shared" si="0"/>
        <v>4342.8999999999996</v>
      </c>
      <c r="G35" s="583">
        <f>'Daily report Gen'!C36</f>
        <v>23468.639999999999</v>
      </c>
      <c r="H35" s="490">
        <f>'Daily report Gen'!D36</f>
        <v>21391.08</v>
      </c>
      <c r="I35" s="489" t="e">
        <f>Gen!C41</f>
        <v>#REF!</v>
      </c>
      <c r="J35" s="491" t="e">
        <f>Gen!C41</f>
        <v>#REF!</v>
      </c>
      <c r="K35" s="492">
        <f>'Utility report'!N36</f>
        <v>120</v>
      </c>
      <c r="L35" s="492">
        <f>'Water-Meter'!AK36</f>
        <v>6536</v>
      </c>
      <c r="M35" s="489">
        <f>'Utility report'!O36</f>
        <v>0</v>
      </c>
      <c r="N35" s="489">
        <f>'Utility report'!S36</f>
        <v>0</v>
      </c>
      <c r="O35" s="489">
        <f>'Utility report'!W36</f>
        <v>0</v>
      </c>
      <c r="P35" s="492">
        <f>'Utility report'!AC36</f>
        <v>-98310</v>
      </c>
      <c r="Q35" s="492">
        <f>'Utility report'!AF36</f>
        <v>-180052</v>
      </c>
      <c r="R35" s="492">
        <f>'Utility report'!AG36</f>
        <v>1788.2352941176471</v>
      </c>
      <c r="S35" s="722">
        <f>'Utility report'!AH36</f>
        <v>0</v>
      </c>
      <c r="T35" s="724">
        <f>'Utility report'!AI36</f>
        <v>0</v>
      </c>
    </row>
    <row r="36" spans="1:20" ht="14.25" thickBot="1" x14ac:dyDescent="0.3">
      <c r="A36" s="734">
        <f>Gen!A42</f>
        <v>0</v>
      </c>
      <c r="B36" s="725">
        <f>'Summery Report'!D36</f>
        <v>55</v>
      </c>
      <c r="C36" s="726">
        <f>Gen!S42</f>
        <v>0</v>
      </c>
      <c r="D36" s="726"/>
      <c r="E36" s="726">
        <f>Gen!AJ42</f>
        <v>0</v>
      </c>
      <c r="F36" s="726">
        <f t="shared" ref="F36" si="1">E36+C36</f>
        <v>0</v>
      </c>
      <c r="G36" s="727">
        <f>'Daily report Gen'!C37</f>
        <v>23468.639999999999</v>
      </c>
      <c r="H36" s="728">
        <f>'Daily report Gen'!D37</f>
        <v>17046.13</v>
      </c>
      <c r="I36" s="726" t="e">
        <f>Gen!C42</f>
        <v>#REF!</v>
      </c>
      <c r="J36" s="729" t="e">
        <f>Gen!C42</f>
        <v>#REF!</v>
      </c>
      <c r="K36" s="730">
        <f>'Utility report'!N37</f>
        <v>-176819</v>
      </c>
      <c r="L36" s="730">
        <f>'Water-Meter'!AK37</f>
        <v>6536</v>
      </c>
      <c r="M36" s="726">
        <f>'Utility report'!O37</f>
        <v>0</v>
      </c>
      <c r="N36" s="726">
        <f>'Utility report'!S37</f>
        <v>0</v>
      </c>
      <c r="O36" s="726">
        <f>'Utility report'!W37</f>
        <v>0</v>
      </c>
      <c r="P36" s="730">
        <f>'Utility report'!AC37</f>
        <v>0</v>
      </c>
      <c r="Q36" s="730">
        <f>'Utility report'!AF37</f>
        <v>0</v>
      </c>
      <c r="R36" s="730">
        <f>'Utility report'!AG37</f>
        <v>0</v>
      </c>
      <c r="S36" s="731">
        <f>'Utility report'!AH37</f>
        <v>0</v>
      </c>
      <c r="T36" s="732">
        <f>'Utility report'!AI37</f>
        <v>0</v>
      </c>
    </row>
    <row r="37" spans="1:20" x14ac:dyDescent="0.2">
      <c r="E37" s="50"/>
      <c r="F37" s="50"/>
      <c r="G37" s="50"/>
      <c r="H37" s="50"/>
      <c r="I37" s="50"/>
    </row>
    <row r="38" spans="1:20" x14ac:dyDescent="0.2">
      <c r="E38" s="50"/>
      <c r="F38" s="50"/>
      <c r="G38" s="50"/>
      <c r="H38" s="50"/>
      <c r="I38" s="50"/>
    </row>
    <row r="39" spans="1:20" x14ac:dyDescent="0.2">
      <c r="E39" s="50"/>
      <c r="F39" s="50"/>
      <c r="G39" s="50"/>
      <c r="H39" s="50"/>
      <c r="I39" s="50"/>
    </row>
    <row r="40" spans="1:20" x14ac:dyDescent="0.2">
      <c r="E40" s="50"/>
      <c r="F40" s="50"/>
      <c r="G40" s="50"/>
      <c r="H40" s="50"/>
      <c r="I40" s="50"/>
    </row>
    <row r="41" spans="1:20" x14ac:dyDescent="0.2">
      <c r="E41" s="50"/>
      <c r="F41" s="50"/>
      <c r="G41" s="50"/>
      <c r="H41" s="50"/>
      <c r="I41" s="50"/>
    </row>
    <row r="42" spans="1:20" x14ac:dyDescent="0.2">
      <c r="E42" s="50"/>
      <c r="F42" s="50"/>
      <c r="G42" s="50"/>
      <c r="H42" s="50"/>
      <c r="I42" s="50"/>
    </row>
    <row r="43" spans="1:20" x14ac:dyDescent="0.2">
      <c r="E43" s="50"/>
      <c r="F43" s="50"/>
      <c r="G43" s="50"/>
      <c r="H43" s="50"/>
      <c r="I43" s="50"/>
    </row>
    <row r="44" spans="1:20" x14ac:dyDescent="0.2">
      <c r="E44" s="50"/>
      <c r="F44" s="50"/>
      <c r="G44" s="50"/>
      <c r="H44" s="50"/>
      <c r="I44" s="50"/>
    </row>
    <row r="45" spans="1:20" x14ac:dyDescent="0.2">
      <c r="E45" s="50"/>
      <c r="F45" s="50"/>
      <c r="G45" s="50"/>
      <c r="H45" s="50"/>
      <c r="I45" s="50"/>
    </row>
    <row r="46" spans="1:20" x14ac:dyDescent="0.2">
      <c r="E46" s="50"/>
      <c r="F46" s="50"/>
      <c r="G46" s="50"/>
      <c r="H46" s="50"/>
      <c r="I46" s="50"/>
    </row>
    <row r="47" spans="1:20" x14ac:dyDescent="0.2">
      <c r="E47" s="50"/>
      <c r="F47" s="50"/>
      <c r="G47" s="50"/>
      <c r="H47" s="50"/>
      <c r="I47" s="50"/>
    </row>
    <row r="48" spans="1:20" x14ac:dyDescent="0.2">
      <c r="E48" s="50"/>
      <c r="F48" s="50"/>
      <c r="G48" s="50"/>
      <c r="H48" s="50"/>
      <c r="I48" s="50"/>
    </row>
    <row r="49" spans="5:9" x14ac:dyDescent="0.2">
      <c r="E49" s="50"/>
      <c r="F49" s="50"/>
      <c r="G49" s="50"/>
      <c r="H49" s="50"/>
      <c r="I49" s="50"/>
    </row>
    <row r="50" spans="5:9" x14ac:dyDescent="0.2">
      <c r="E50" s="50"/>
      <c r="F50" s="50"/>
      <c r="G50" s="50"/>
      <c r="H50" s="50"/>
      <c r="I50" s="50"/>
    </row>
    <row r="51" spans="5:9" x14ac:dyDescent="0.2">
      <c r="E51" s="50"/>
      <c r="F51" s="50"/>
      <c r="G51" s="50"/>
      <c r="H51" s="50"/>
      <c r="I51" s="50"/>
    </row>
    <row r="52" spans="5:9" x14ac:dyDescent="0.2">
      <c r="E52" s="50"/>
      <c r="F52" s="50"/>
      <c r="G52" s="50"/>
      <c r="H52" s="50"/>
      <c r="I52" s="50"/>
    </row>
    <row r="53" spans="5:9" x14ac:dyDescent="0.2">
      <c r="E53" s="50"/>
      <c r="F53" s="50"/>
      <c r="G53" s="50"/>
      <c r="H53" s="50"/>
      <c r="I53" s="50"/>
    </row>
    <row r="54" spans="5:9" x14ac:dyDescent="0.2">
      <c r="E54" s="50"/>
      <c r="F54" s="50"/>
      <c r="G54" s="50"/>
      <c r="H54" s="50"/>
      <c r="I54" s="50"/>
    </row>
    <row r="55" spans="5:9" x14ac:dyDescent="0.2">
      <c r="E55" s="50"/>
      <c r="F55" s="50"/>
      <c r="G55" s="50"/>
      <c r="H55" s="50"/>
      <c r="I55" s="50"/>
    </row>
    <row r="56" spans="5:9" x14ac:dyDescent="0.2">
      <c r="E56" s="50"/>
      <c r="F56" s="50"/>
      <c r="G56" s="50"/>
      <c r="H56" s="50"/>
      <c r="I56" s="50"/>
    </row>
    <row r="57" spans="5:9" x14ac:dyDescent="0.2">
      <c r="E57" s="50"/>
      <c r="F57" s="50"/>
      <c r="G57" s="50"/>
      <c r="H57" s="50"/>
      <c r="I57" s="50"/>
    </row>
    <row r="58" spans="5:9" x14ac:dyDescent="0.2">
      <c r="E58" s="50"/>
      <c r="F58" s="50"/>
      <c r="G58" s="50"/>
      <c r="H58" s="50"/>
      <c r="I58" s="50"/>
    </row>
    <row r="59" spans="5:9" x14ac:dyDescent="0.2">
      <c r="E59" s="50"/>
      <c r="F59" s="50"/>
      <c r="G59" s="50"/>
      <c r="H59" s="50"/>
      <c r="I59" s="50"/>
    </row>
    <row r="60" spans="5:9" x14ac:dyDescent="0.2">
      <c r="E60" s="50"/>
      <c r="F60" s="50"/>
      <c r="G60" s="50"/>
      <c r="H60" s="50"/>
      <c r="I60" s="50"/>
    </row>
    <row r="61" spans="5:9" x14ac:dyDescent="0.2">
      <c r="E61" s="50"/>
      <c r="F61" s="50"/>
      <c r="G61" s="50"/>
      <c r="H61" s="50"/>
      <c r="I61" s="50"/>
    </row>
    <row r="62" spans="5:9" x14ac:dyDescent="0.2">
      <c r="E62" s="50"/>
      <c r="F62" s="50"/>
      <c r="G62" s="50"/>
      <c r="H62" s="50"/>
      <c r="I62" s="50"/>
    </row>
    <row r="63" spans="5:9" x14ac:dyDescent="0.2">
      <c r="E63" s="50"/>
      <c r="F63" s="50"/>
      <c r="G63" s="50"/>
      <c r="H63" s="50"/>
      <c r="I63" s="50"/>
    </row>
    <row r="64" spans="5:9" x14ac:dyDescent="0.2">
      <c r="E64" s="50"/>
      <c r="F64" s="50"/>
      <c r="G64" s="50"/>
      <c r="H64" s="50"/>
      <c r="I64" s="50"/>
    </row>
    <row r="65" spans="5:9" x14ac:dyDescent="0.2">
      <c r="E65" s="50"/>
      <c r="F65" s="50"/>
      <c r="G65" s="50"/>
      <c r="H65" s="50"/>
      <c r="I65" s="50"/>
    </row>
    <row r="66" spans="5:9" x14ac:dyDescent="0.2">
      <c r="E66" s="50"/>
      <c r="F66" s="50"/>
      <c r="G66" s="50"/>
      <c r="H66" s="50"/>
      <c r="I66" s="50"/>
    </row>
    <row r="67" spans="5:9" x14ac:dyDescent="0.2">
      <c r="E67" s="50"/>
      <c r="F67" s="50"/>
      <c r="G67" s="50"/>
      <c r="H67" s="50"/>
      <c r="I67" s="50"/>
    </row>
    <row r="68" spans="5:9" x14ac:dyDescent="0.2">
      <c r="E68" s="50"/>
      <c r="F68" s="50"/>
      <c r="G68" s="50"/>
      <c r="H68" s="50"/>
      <c r="I68" s="50"/>
    </row>
    <row r="69" spans="5:9" x14ac:dyDescent="0.2">
      <c r="E69" s="50"/>
      <c r="F69" s="50"/>
      <c r="G69" s="50"/>
      <c r="H69" s="50"/>
      <c r="I69" s="50"/>
    </row>
    <row r="70" spans="5:9" x14ac:dyDescent="0.2">
      <c r="E70" s="50"/>
      <c r="F70" s="50"/>
      <c r="G70" s="50"/>
      <c r="H70" s="50"/>
      <c r="I70" s="50"/>
    </row>
    <row r="71" spans="5:9" x14ac:dyDescent="0.2">
      <c r="E71" s="50"/>
      <c r="F71" s="50"/>
      <c r="G71" s="50"/>
      <c r="H71" s="50"/>
      <c r="I71" s="50"/>
    </row>
    <row r="72" spans="5:9" x14ac:dyDescent="0.2">
      <c r="E72" s="50"/>
      <c r="F72" s="50"/>
      <c r="G72" s="50"/>
      <c r="H72" s="50"/>
      <c r="I72" s="50"/>
    </row>
    <row r="73" spans="5:9" x14ac:dyDescent="0.2">
      <c r="E73" s="50"/>
      <c r="F73" s="50"/>
      <c r="G73" s="50"/>
      <c r="H73" s="50"/>
      <c r="I73" s="50"/>
    </row>
    <row r="74" spans="5:9" x14ac:dyDescent="0.2">
      <c r="E74" s="50"/>
      <c r="F74" s="50"/>
      <c r="G74" s="50"/>
      <c r="H74" s="50"/>
      <c r="I74" s="50"/>
    </row>
    <row r="75" spans="5:9" x14ac:dyDescent="0.2">
      <c r="E75" s="50"/>
      <c r="F75" s="50"/>
      <c r="G75" s="50"/>
      <c r="H75" s="50"/>
      <c r="I75" s="50"/>
    </row>
    <row r="76" spans="5:9" x14ac:dyDescent="0.2">
      <c r="E76" s="50"/>
      <c r="F76" s="50"/>
      <c r="G76" s="50"/>
      <c r="H76" s="50"/>
      <c r="I76" s="50"/>
    </row>
    <row r="77" spans="5:9" x14ac:dyDescent="0.2">
      <c r="E77" s="50"/>
      <c r="F77" s="50"/>
      <c r="G77" s="50"/>
      <c r="H77" s="50"/>
      <c r="I77" s="50"/>
    </row>
    <row r="78" spans="5:9" x14ac:dyDescent="0.2">
      <c r="E78" s="50"/>
      <c r="F78" s="50"/>
      <c r="G78" s="50"/>
      <c r="H78" s="50"/>
      <c r="I78" s="50"/>
    </row>
    <row r="79" spans="5:9" x14ac:dyDescent="0.2">
      <c r="E79" s="50"/>
      <c r="F79" s="50"/>
      <c r="G79" s="50"/>
      <c r="H79" s="50"/>
      <c r="I79" s="50"/>
    </row>
    <row r="80" spans="5:9" x14ac:dyDescent="0.2">
      <c r="E80" s="50"/>
      <c r="F80" s="50"/>
      <c r="G80" s="50"/>
      <c r="H80" s="50"/>
      <c r="I80" s="50"/>
    </row>
    <row r="81" spans="5:9" x14ac:dyDescent="0.2">
      <c r="E81" s="50"/>
      <c r="F81" s="50"/>
      <c r="G81" s="50"/>
      <c r="H81" s="50"/>
      <c r="I81" s="50"/>
    </row>
    <row r="82" spans="5:9" x14ac:dyDescent="0.2">
      <c r="E82" s="50"/>
      <c r="F82" s="50"/>
      <c r="G82" s="50"/>
      <c r="H82" s="50"/>
      <c r="I82" s="50"/>
    </row>
    <row r="83" spans="5:9" x14ac:dyDescent="0.2">
      <c r="E83" s="50"/>
      <c r="F83" s="50"/>
      <c r="G83" s="50"/>
      <c r="H83" s="50"/>
      <c r="I83" s="50"/>
    </row>
    <row r="84" spans="5:9" x14ac:dyDescent="0.2">
      <c r="E84" s="50"/>
      <c r="F84" s="50"/>
      <c r="G84" s="50"/>
      <c r="H84" s="50"/>
      <c r="I84" s="50"/>
    </row>
    <row r="85" spans="5:9" x14ac:dyDescent="0.2">
      <c r="E85" s="50"/>
      <c r="F85" s="50"/>
      <c r="G85" s="50"/>
      <c r="H85" s="50"/>
      <c r="I85" s="50"/>
    </row>
    <row r="86" spans="5:9" x14ac:dyDescent="0.2">
      <c r="E86" s="50"/>
      <c r="F86" s="50"/>
      <c r="G86" s="50"/>
      <c r="H86" s="50"/>
      <c r="I86" s="50"/>
    </row>
    <row r="87" spans="5:9" x14ac:dyDescent="0.2">
      <c r="E87" s="50"/>
      <c r="F87" s="50"/>
    </row>
  </sheetData>
  <mergeCells count="17">
    <mergeCell ref="I3:I4"/>
    <mergeCell ref="G3:G4"/>
    <mergeCell ref="H3:H4"/>
    <mergeCell ref="F3:F4"/>
    <mergeCell ref="L3:L4"/>
    <mergeCell ref="A1:T1"/>
    <mergeCell ref="C2:J2"/>
    <mergeCell ref="K2:Q2"/>
    <mergeCell ref="B3:B4"/>
    <mergeCell ref="C3:C4"/>
    <mergeCell ref="E3:E4"/>
    <mergeCell ref="J3:J4"/>
    <mergeCell ref="K3:K4"/>
    <mergeCell ref="M3:P3"/>
    <mergeCell ref="Q3:Q4"/>
    <mergeCell ref="R3:T3"/>
    <mergeCell ref="R2:T2"/>
  </mergeCells>
  <conditionalFormatting sqref="J5:J36">
    <cfRule type="cellIs" dxfId="0" priority="1" operator="lessThan">
      <formula>18001</formula>
    </cfRule>
  </conditionalFormatting>
  <pageMargins left="0.17" right="0.17" top="0.75" bottom="0.46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76"/>
  <sheetViews>
    <sheetView topLeftCell="A40" workbookViewId="0">
      <selection activeCell="N55" sqref="N55:N56"/>
    </sheetView>
  </sheetViews>
  <sheetFormatPr defaultRowHeight="12.75" x14ac:dyDescent="0.2"/>
  <cols>
    <col min="1" max="1" width="9.710937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1004" t="s">
        <v>226</v>
      </c>
      <c r="B1" s="1005"/>
      <c r="C1" s="1005"/>
      <c r="D1" s="1005"/>
      <c r="E1" s="1005"/>
      <c r="F1" s="1005"/>
      <c r="G1" s="1006"/>
    </row>
    <row r="2" spans="1:7" ht="13.5" thickBot="1" x14ac:dyDescent="0.25">
      <c r="A2" s="547"/>
      <c r="B2" s="1007" t="s">
        <v>221</v>
      </c>
      <c r="C2" s="1008"/>
      <c r="D2" s="1009"/>
      <c r="E2" s="1007" t="s">
        <v>222</v>
      </c>
      <c r="F2" s="1008"/>
      <c r="G2" s="1009"/>
    </row>
    <row r="3" spans="1:7" ht="40.5" customHeight="1" x14ac:dyDescent="0.2">
      <c r="A3" s="589" t="s">
        <v>8</v>
      </c>
      <c r="B3" s="590" t="s">
        <v>223</v>
      </c>
      <c r="C3" s="590" t="s">
        <v>224</v>
      </c>
      <c r="D3" s="590" t="s">
        <v>225</v>
      </c>
      <c r="E3" s="590" t="s">
        <v>223</v>
      </c>
      <c r="F3" s="590" t="s">
        <v>224</v>
      </c>
      <c r="G3" s="591" t="s">
        <v>225</v>
      </c>
    </row>
    <row r="4" spans="1:7" x14ac:dyDescent="0.2">
      <c r="A4" s="549">
        <v>42095</v>
      </c>
      <c r="B4" s="592">
        <v>0</v>
      </c>
      <c r="C4" s="428">
        <v>193</v>
      </c>
      <c r="D4" s="593">
        <f>C4-B4</f>
        <v>193</v>
      </c>
      <c r="E4" s="594">
        <v>0</v>
      </c>
      <c r="F4" s="548">
        <v>0</v>
      </c>
      <c r="G4" s="474">
        <f>F4-E4</f>
        <v>0</v>
      </c>
    </row>
    <row r="5" spans="1:7" ht="12" customHeight="1" x14ac:dyDescent="0.2">
      <c r="A5" s="549">
        <v>42125</v>
      </c>
      <c r="B5" s="592">
        <f>C4</f>
        <v>193</v>
      </c>
      <c r="C5" s="433">
        <v>1158</v>
      </c>
      <c r="D5" s="593">
        <f t="shared" ref="D5:D61" si="0">C5-B5</f>
        <v>965</v>
      </c>
      <c r="E5" s="594">
        <v>145572</v>
      </c>
      <c r="F5" s="548">
        <v>145572</v>
      </c>
      <c r="G5" s="474">
        <f t="shared" ref="G5:G61" si="1">F5-E5</f>
        <v>0</v>
      </c>
    </row>
    <row r="6" spans="1:7" x14ac:dyDescent="0.2">
      <c r="A6" s="549">
        <v>42156</v>
      </c>
      <c r="B6" s="592">
        <f t="shared" ref="B6:B61" si="2">C5</f>
        <v>1158</v>
      </c>
      <c r="C6" s="433">
        <v>2084</v>
      </c>
      <c r="D6" s="593">
        <f t="shared" si="0"/>
        <v>926</v>
      </c>
      <c r="E6" s="594">
        <f>F5</f>
        <v>145572</v>
      </c>
      <c r="F6" s="548">
        <v>147984</v>
      </c>
      <c r="G6" s="474">
        <f t="shared" si="1"/>
        <v>2412</v>
      </c>
    </row>
    <row r="7" spans="1:7" x14ac:dyDescent="0.2">
      <c r="A7" s="549">
        <v>42186</v>
      </c>
      <c r="B7" s="592">
        <f t="shared" si="2"/>
        <v>2084</v>
      </c>
      <c r="C7" s="433">
        <v>3073</v>
      </c>
      <c r="D7" s="593">
        <f t="shared" si="0"/>
        <v>989</v>
      </c>
      <c r="E7" s="594">
        <f>F6</f>
        <v>147984</v>
      </c>
      <c r="F7" s="495">
        <v>150507</v>
      </c>
      <c r="G7" s="474">
        <f t="shared" si="1"/>
        <v>2523</v>
      </c>
    </row>
    <row r="8" spans="1:7" x14ac:dyDescent="0.2">
      <c r="A8" s="549">
        <v>42217</v>
      </c>
      <c r="B8" s="592">
        <f t="shared" si="2"/>
        <v>3073</v>
      </c>
      <c r="C8" s="433">
        <v>4063</v>
      </c>
      <c r="D8" s="593">
        <f t="shared" si="0"/>
        <v>990</v>
      </c>
      <c r="E8" s="594">
        <f t="shared" ref="E8:E61" si="3">F7</f>
        <v>150507</v>
      </c>
      <c r="F8" s="495">
        <v>152986</v>
      </c>
      <c r="G8" s="474">
        <f t="shared" si="1"/>
        <v>2479</v>
      </c>
    </row>
    <row r="9" spans="1:7" x14ac:dyDescent="0.2">
      <c r="A9" s="549">
        <v>42248</v>
      </c>
      <c r="B9" s="592">
        <f t="shared" si="2"/>
        <v>4063</v>
      </c>
      <c r="C9" s="433">
        <v>5058</v>
      </c>
      <c r="D9" s="593">
        <f t="shared" si="0"/>
        <v>995</v>
      </c>
      <c r="E9" s="594">
        <f t="shared" si="3"/>
        <v>152986</v>
      </c>
      <c r="F9" s="495">
        <v>155468</v>
      </c>
      <c r="G9" s="474">
        <f t="shared" si="1"/>
        <v>2482</v>
      </c>
    </row>
    <row r="10" spans="1:7" x14ac:dyDescent="0.2">
      <c r="A10" s="549">
        <v>42278</v>
      </c>
      <c r="B10" s="592">
        <f t="shared" si="2"/>
        <v>5058</v>
      </c>
      <c r="C10" s="433">
        <v>6049</v>
      </c>
      <c r="D10" s="593">
        <f t="shared" si="0"/>
        <v>991</v>
      </c>
      <c r="E10" s="594">
        <f t="shared" si="3"/>
        <v>155468</v>
      </c>
      <c r="F10" s="495">
        <v>157962</v>
      </c>
      <c r="G10" s="474">
        <f t="shared" si="1"/>
        <v>2494</v>
      </c>
    </row>
    <row r="11" spans="1:7" x14ac:dyDescent="0.2">
      <c r="A11" s="549">
        <v>42309</v>
      </c>
      <c r="B11" s="592">
        <f t="shared" si="2"/>
        <v>6049</v>
      </c>
      <c r="C11" s="433">
        <v>7028</v>
      </c>
      <c r="D11" s="593">
        <f t="shared" si="0"/>
        <v>979</v>
      </c>
      <c r="E11" s="594">
        <f t="shared" si="3"/>
        <v>157962</v>
      </c>
      <c r="F11" s="495">
        <v>160323</v>
      </c>
      <c r="G11" s="474">
        <f t="shared" si="1"/>
        <v>2361</v>
      </c>
    </row>
    <row r="12" spans="1:7" x14ac:dyDescent="0.2">
      <c r="A12" s="549">
        <v>42339</v>
      </c>
      <c r="B12" s="592">
        <f t="shared" si="2"/>
        <v>7028</v>
      </c>
      <c r="C12" s="433">
        <v>7985</v>
      </c>
      <c r="D12" s="593">
        <f t="shared" si="0"/>
        <v>957</v>
      </c>
      <c r="E12" s="594">
        <f t="shared" si="3"/>
        <v>160323</v>
      </c>
      <c r="F12" s="495">
        <v>162813</v>
      </c>
      <c r="G12" s="474">
        <f t="shared" si="1"/>
        <v>2490</v>
      </c>
    </row>
    <row r="13" spans="1:7" x14ac:dyDescent="0.2">
      <c r="A13" s="549">
        <v>42370</v>
      </c>
      <c r="B13" s="592">
        <f t="shared" si="2"/>
        <v>7985</v>
      </c>
      <c r="C13" s="433">
        <v>8952</v>
      </c>
      <c r="D13" s="593">
        <f t="shared" si="0"/>
        <v>967</v>
      </c>
      <c r="E13" s="594">
        <f t="shared" si="3"/>
        <v>162813</v>
      </c>
      <c r="F13" s="495">
        <v>165317</v>
      </c>
      <c r="G13" s="474">
        <f t="shared" si="1"/>
        <v>2504</v>
      </c>
    </row>
    <row r="14" spans="1:7" x14ac:dyDescent="0.2">
      <c r="A14" s="549">
        <v>42401</v>
      </c>
      <c r="B14" s="592">
        <f t="shared" si="2"/>
        <v>8952</v>
      </c>
      <c r="C14" s="433">
        <v>9898</v>
      </c>
      <c r="D14" s="593">
        <f t="shared" si="0"/>
        <v>946</v>
      </c>
      <c r="E14" s="594">
        <f t="shared" si="3"/>
        <v>165317</v>
      </c>
      <c r="F14" s="495">
        <v>167679</v>
      </c>
      <c r="G14" s="474">
        <f t="shared" si="1"/>
        <v>2362</v>
      </c>
    </row>
    <row r="15" spans="1:7" x14ac:dyDescent="0.2">
      <c r="A15" s="549">
        <v>42430</v>
      </c>
      <c r="B15" s="592">
        <f t="shared" si="2"/>
        <v>9898</v>
      </c>
      <c r="C15" s="433">
        <v>10637</v>
      </c>
      <c r="D15" s="593">
        <f t="shared" si="0"/>
        <v>739</v>
      </c>
      <c r="E15" s="594">
        <f t="shared" si="3"/>
        <v>167679</v>
      </c>
      <c r="F15" s="495">
        <v>170134</v>
      </c>
      <c r="G15" s="474">
        <f t="shared" si="1"/>
        <v>2455</v>
      </c>
    </row>
    <row r="16" spans="1:7" x14ac:dyDescent="0.2">
      <c r="A16" s="549">
        <v>42461</v>
      </c>
      <c r="B16" s="592">
        <f t="shared" si="2"/>
        <v>10637</v>
      </c>
      <c r="C16" s="433">
        <v>11352</v>
      </c>
      <c r="D16" s="593">
        <f t="shared" si="0"/>
        <v>715</v>
      </c>
      <c r="E16" s="594">
        <f t="shared" si="3"/>
        <v>170134</v>
      </c>
      <c r="F16" s="495">
        <v>172562</v>
      </c>
      <c r="G16" s="474">
        <f t="shared" si="1"/>
        <v>2428</v>
      </c>
    </row>
    <row r="17" spans="1:7" x14ac:dyDescent="0.2">
      <c r="A17" s="549">
        <v>42491</v>
      </c>
      <c r="B17" s="592">
        <f t="shared" si="2"/>
        <v>11352</v>
      </c>
      <c r="C17" s="433">
        <v>12426</v>
      </c>
      <c r="D17" s="593">
        <f t="shared" si="0"/>
        <v>1074</v>
      </c>
      <c r="E17" s="594">
        <f t="shared" si="3"/>
        <v>172562</v>
      </c>
      <c r="F17" s="495">
        <v>175041</v>
      </c>
      <c r="G17" s="474">
        <f t="shared" si="1"/>
        <v>2479</v>
      </c>
    </row>
    <row r="18" spans="1:7" x14ac:dyDescent="0.2">
      <c r="A18" s="549">
        <v>42522</v>
      </c>
      <c r="B18" s="592">
        <f t="shared" si="2"/>
        <v>12426</v>
      </c>
      <c r="C18" s="433">
        <v>14111</v>
      </c>
      <c r="D18" s="593">
        <f t="shared" si="0"/>
        <v>1685</v>
      </c>
      <c r="E18" s="594">
        <f t="shared" si="3"/>
        <v>175041</v>
      </c>
      <c r="F18" s="495">
        <v>177300</v>
      </c>
      <c r="G18" s="474">
        <f t="shared" si="1"/>
        <v>2259</v>
      </c>
    </row>
    <row r="19" spans="1:7" x14ac:dyDescent="0.2">
      <c r="A19" s="549">
        <v>42552</v>
      </c>
      <c r="B19" s="592">
        <f t="shared" si="2"/>
        <v>14111</v>
      </c>
      <c r="C19" s="433">
        <v>15790</v>
      </c>
      <c r="D19" s="593">
        <f t="shared" si="0"/>
        <v>1679</v>
      </c>
      <c r="E19" s="594">
        <f t="shared" si="3"/>
        <v>177300</v>
      </c>
      <c r="F19" s="495">
        <v>179548</v>
      </c>
      <c r="G19" s="474">
        <f t="shared" si="1"/>
        <v>2248</v>
      </c>
    </row>
    <row r="20" spans="1:7" x14ac:dyDescent="0.2">
      <c r="A20" s="549">
        <v>42583</v>
      </c>
      <c r="B20" s="592">
        <f t="shared" si="2"/>
        <v>15790</v>
      </c>
      <c r="C20" s="433">
        <v>17450</v>
      </c>
      <c r="D20" s="593">
        <f t="shared" si="0"/>
        <v>1660</v>
      </c>
      <c r="E20" s="594">
        <f t="shared" si="3"/>
        <v>179548</v>
      </c>
      <c r="F20" s="495">
        <v>181842</v>
      </c>
      <c r="G20" s="474">
        <f t="shared" si="1"/>
        <v>2294</v>
      </c>
    </row>
    <row r="21" spans="1:7" x14ac:dyDescent="0.2">
      <c r="A21" s="549">
        <v>42614</v>
      </c>
      <c r="B21" s="592">
        <f t="shared" si="2"/>
        <v>17450</v>
      </c>
      <c r="C21" s="433">
        <v>19133</v>
      </c>
      <c r="D21" s="593">
        <f t="shared" si="0"/>
        <v>1683</v>
      </c>
      <c r="E21" s="594">
        <f t="shared" si="3"/>
        <v>181842</v>
      </c>
      <c r="F21" s="495">
        <v>184095</v>
      </c>
      <c r="G21" s="474">
        <f t="shared" si="1"/>
        <v>2253</v>
      </c>
    </row>
    <row r="22" spans="1:7" x14ac:dyDescent="0.2">
      <c r="A22" s="549">
        <v>42644</v>
      </c>
      <c r="B22" s="592">
        <f t="shared" si="2"/>
        <v>19133</v>
      </c>
      <c r="C22" s="433">
        <v>20804</v>
      </c>
      <c r="D22" s="593">
        <f t="shared" si="0"/>
        <v>1671</v>
      </c>
      <c r="E22" s="594">
        <f t="shared" si="3"/>
        <v>184095</v>
      </c>
      <c r="F22" s="495">
        <v>186344</v>
      </c>
      <c r="G22" s="474">
        <f t="shared" si="1"/>
        <v>2249</v>
      </c>
    </row>
    <row r="23" spans="1:7" x14ac:dyDescent="0.2">
      <c r="A23" s="549">
        <v>42675</v>
      </c>
      <c r="B23" s="592">
        <f t="shared" si="2"/>
        <v>20804</v>
      </c>
      <c r="C23" s="433">
        <v>22489</v>
      </c>
      <c r="D23" s="593">
        <f t="shared" si="0"/>
        <v>1685</v>
      </c>
      <c r="E23" s="594">
        <f t="shared" si="3"/>
        <v>186344</v>
      </c>
      <c r="F23" s="495">
        <v>188595</v>
      </c>
      <c r="G23" s="474">
        <f t="shared" si="1"/>
        <v>2251</v>
      </c>
    </row>
    <row r="24" spans="1:7" x14ac:dyDescent="0.2">
      <c r="A24" s="549">
        <v>42705</v>
      </c>
      <c r="B24" s="592">
        <f t="shared" si="2"/>
        <v>22489</v>
      </c>
      <c r="C24" s="433">
        <v>24085</v>
      </c>
      <c r="D24" s="593">
        <f t="shared" si="0"/>
        <v>1596</v>
      </c>
      <c r="E24" s="594">
        <f t="shared" si="3"/>
        <v>188595</v>
      </c>
      <c r="F24" s="495">
        <v>190896</v>
      </c>
      <c r="G24" s="474">
        <f t="shared" si="1"/>
        <v>2301</v>
      </c>
    </row>
    <row r="25" spans="1:7" x14ac:dyDescent="0.2">
      <c r="A25" s="549">
        <v>42736</v>
      </c>
      <c r="B25" s="592">
        <f t="shared" si="2"/>
        <v>24085</v>
      </c>
      <c r="C25" s="433">
        <v>25775</v>
      </c>
      <c r="D25" s="593">
        <f t="shared" si="0"/>
        <v>1690</v>
      </c>
      <c r="E25" s="594">
        <f t="shared" si="3"/>
        <v>190896</v>
      </c>
      <c r="F25" s="495">
        <v>193152</v>
      </c>
      <c r="G25" s="474">
        <f t="shared" si="1"/>
        <v>2256</v>
      </c>
    </row>
    <row r="26" spans="1:7" x14ac:dyDescent="0.2">
      <c r="A26" s="549">
        <v>42767</v>
      </c>
      <c r="B26" s="592">
        <f t="shared" si="2"/>
        <v>25775</v>
      </c>
      <c r="C26" s="433">
        <v>27592</v>
      </c>
      <c r="D26" s="593">
        <f t="shared" si="0"/>
        <v>1817</v>
      </c>
      <c r="E26" s="594">
        <f t="shared" si="3"/>
        <v>193152</v>
      </c>
      <c r="F26" s="495">
        <v>195378</v>
      </c>
      <c r="G26" s="474">
        <f t="shared" si="1"/>
        <v>2226</v>
      </c>
    </row>
    <row r="27" spans="1:7" x14ac:dyDescent="0.2">
      <c r="A27" s="549">
        <v>42795</v>
      </c>
      <c r="B27" s="592">
        <f t="shared" si="2"/>
        <v>27592</v>
      </c>
      <c r="C27" s="495">
        <v>29398</v>
      </c>
      <c r="D27" s="593">
        <f t="shared" si="0"/>
        <v>1806</v>
      </c>
      <c r="E27" s="594">
        <f t="shared" si="3"/>
        <v>195378</v>
      </c>
      <c r="F27" s="495">
        <v>197503</v>
      </c>
      <c r="G27" s="474">
        <f t="shared" si="1"/>
        <v>2125</v>
      </c>
    </row>
    <row r="28" spans="1:7" x14ac:dyDescent="0.2">
      <c r="A28" s="549">
        <v>42826</v>
      </c>
      <c r="B28" s="592">
        <f t="shared" si="2"/>
        <v>29398</v>
      </c>
      <c r="C28" s="433">
        <v>31148</v>
      </c>
      <c r="D28" s="593">
        <f t="shared" si="0"/>
        <v>1750</v>
      </c>
      <c r="E28" s="594">
        <f t="shared" si="3"/>
        <v>197503</v>
      </c>
      <c r="F28" s="495">
        <v>199571</v>
      </c>
      <c r="G28" s="474">
        <f t="shared" si="1"/>
        <v>2068</v>
      </c>
    </row>
    <row r="29" spans="1:7" x14ac:dyDescent="0.2">
      <c r="A29" s="549">
        <v>42856</v>
      </c>
      <c r="B29" s="592">
        <f t="shared" si="2"/>
        <v>31148</v>
      </c>
      <c r="C29" s="433">
        <v>32896</v>
      </c>
      <c r="D29" s="593">
        <f t="shared" si="0"/>
        <v>1748</v>
      </c>
      <c r="E29" s="594">
        <f t="shared" si="3"/>
        <v>199571</v>
      </c>
      <c r="F29" s="495">
        <v>201766</v>
      </c>
      <c r="G29" s="474">
        <f t="shared" si="1"/>
        <v>2195</v>
      </c>
    </row>
    <row r="30" spans="1:7" x14ac:dyDescent="0.2">
      <c r="A30" s="549">
        <v>42887</v>
      </c>
      <c r="B30" s="592">
        <f t="shared" si="2"/>
        <v>32896</v>
      </c>
      <c r="C30" s="433">
        <v>34620</v>
      </c>
      <c r="D30" s="593">
        <f t="shared" si="0"/>
        <v>1724</v>
      </c>
      <c r="E30" s="594">
        <f t="shared" si="3"/>
        <v>201766</v>
      </c>
      <c r="F30" s="495">
        <v>203951</v>
      </c>
      <c r="G30" s="474">
        <f t="shared" si="1"/>
        <v>2185</v>
      </c>
    </row>
    <row r="31" spans="1:7" x14ac:dyDescent="0.2">
      <c r="A31" s="549">
        <v>42917</v>
      </c>
      <c r="B31" s="592">
        <f t="shared" si="2"/>
        <v>34620</v>
      </c>
      <c r="C31" s="433">
        <v>36384</v>
      </c>
      <c r="D31" s="593">
        <f t="shared" si="0"/>
        <v>1764</v>
      </c>
      <c r="E31" s="594">
        <f t="shared" si="3"/>
        <v>203951</v>
      </c>
      <c r="F31" s="495">
        <v>206045</v>
      </c>
      <c r="G31" s="474">
        <f t="shared" si="1"/>
        <v>2094</v>
      </c>
    </row>
    <row r="32" spans="1:7" x14ac:dyDescent="0.2">
      <c r="A32" s="549">
        <v>42948</v>
      </c>
      <c r="B32" s="592">
        <f t="shared" si="2"/>
        <v>36384</v>
      </c>
      <c r="C32" s="433">
        <v>38320</v>
      </c>
      <c r="D32" s="593">
        <f t="shared" si="0"/>
        <v>1936</v>
      </c>
      <c r="E32" s="594">
        <f t="shared" si="3"/>
        <v>206045</v>
      </c>
      <c r="F32" s="495">
        <v>208289</v>
      </c>
      <c r="G32" s="474">
        <f t="shared" si="1"/>
        <v>2244</v>
      </c>
    </row>
    <row r="33" spans="1:7" x14ac:dyDescent="0.2">
      <c r="A33" s="549">
        <v>42979</v>
      </c>
      <c r="B33" s="592">
        <f t="shared" si="2"/>
        <v>38320</v>
      </c>
      <c r="C33" s="433">
        <v>40226</v>
      </c>
      <c r="D33" s="593">
        <f t="shared" si="0"/>
        <v>1906</v>
      </c>
      <c r="E33" s="594">
        <f t="shared" si="3"/>
        <v>208289</v>
      </c>
      <c r="F33" s="495">
        <v>210468</v>
      </c>
      <c r="G33" s="474">
        <f t="shared" si="1"/>
        <v>2179</v>
      </c>
    </row>
    <row r="34" spans="1:7" x14ac:dyDescent="0.2">
      <c r="A34" s="549">
        <v>43009</v>
      </c>
      <c r="B34" s="592">
        <f t="shared" si="2"/>
        <v>40226</v>
      </c>
      <c r="C34" s="433">
        <v>41900</v>
      </c>
      <c r="D34" s="593">
        <f t="shared" si="0"/>
        <v>1674</v>
      </c>
      <c r="E34" s="594">
        <f t="shared" si="3"/>
        <v>210468</v>
      </c>
      <c r="F34" s="495">
        <v>212474</v>
      </c>
      <c r="G34" s="474">
        <f t="shared" si="1"/>
        <v>2006</v>
      </c>
    </row>
    <row r="35" spans="1:7" x14ac:dyDescent="0.2">
      <c r="A35" s="549">
        <v>43040</v>
      </c>
      <c r="B35" s="592">
        <f t="shared" si="2"/>
        <v>41900</v>
      </c>
      <c r="C35" s="433">
        <v>43712</v>
      </c>
      <c r="D35" s="593">
        <f t="shared" si="0"/>
        <v>1812</v>
      </c>
      <c r="E35" s="594">
        <f t="shared" si="3"/>
        <v>212474</v>
      </c>
      <c r="F35" s="495">
        <v>214566</v>
      </c>
      <c r="G35" s="474">
        <f t="shared" si="1"/>
        <v>2092</v>
      </c>
    </row>
    <row r="36" spans="1:7" x14ac:dyDescent="0.2">
      <c r="A36" s="549">
        <v>43070</v>
      </c>
      <c r="B36" s="592">
        <f t="shared" si="2"/>
        <v>43712</v>
      </c>
      <c r="C36" s="433">
        <v>46071</v>
      </c>
      <c r="D36" s="593">
        <f t="shared" si="0"/>
        <v>2359</v>
      </c>
      <c r="E36" s="594">
        <f t="shared" si="3"/>
        <v>214566</v>
      </c>
      <c r="F36" s="495">
        <v>216654</v>
      </c>
      <c r="G36" s="474">
        <f t="shared" si="1"/>
        <v>2088</v>
      </c>
    </row>
    <row r="37" spans="1:7" x14ac:dyDescent="0.2">
      <c r="A37" s="549">
        <v>43101</v>
      </c>
      <c r="B37" s="592">
        <f t="shared" si="2"/>
        <v>46071</v>
      </c>
      <c r="C37" s="433">
        <v>48188</v>
      </c>
      <c r="D37" s="593">
        <f t="shared" si="0"/>
        <v>2117</v>
      </c>
      <c r="E37" s="594">
        <f t="shared" si="3"/>
        <v>216654</v>
      </c>
      <c r="F37" s="495">
        <v>218779</v>
      </c>
      <c r="G37" s="474">
        <f t="shared" si="1"/>
        <v>2125</v>
      </c>
    </row>
    <row r="38" spans="1:7" x14ac:dyDescent="0.2">
      <c r="A38" s="549">
        <v>43132</v>
      </c>
      <c r="B38" s="592">
        <f t="shared" si="2"/>
        <v>48188</v>
      </c>
      <c r="C38" s="433">
        <v>50066</v>
      </c>
      <c r="D38" s="593">
        <f t="shared" si="0"/>
        <v>1878</v>
      </c>
      <c r="E38" s="594">
        <f t="shared" si="3"/>
        <v>218779</v>
      </c>
      <c r="F38" s="495">
        <v>220744</v>
      </c>
      <c r="G38" s="474">
        <f t="shared" si="1"/>
        <v>1965</v>
      </c>
    </row>
    <row r="39" spans="1:7" x14ac:dyDescent="0.2">
      <c r="A39" s="549">
        <v>43160</v>
      </c>
      <c r="B39" s="592">
        <f t="shared" si="2"/>
        <v>50066</v>
      </c>
      <c r="C39" s="433">
        <v>51916</v>
      </c>
      <c r="D39" s="593">
        <f t="shared" si="0"/>
        <v>1850</v>
      </c>
      <c r="E39" s="594">
        <f t="shared" si="3"/>
        <v>220744</v>
      </c>
      <c r="F39" s="495">
        <v>222873</v>
      </c>
      <c r="G39" s="474">
        <f t="shared" si="1"/>
        <v>2129</v>
      </c>
    </row>
    <row r="40" spans="1:7" x14ac:dyDescent="0.2">
      <c r="A40" s="549">
        <v>43191</v>
      </c>
      <c r="B40" s="592">
        <f t="shared" si="2"/>
        <v>51916</v>
      </c>
      <c r="C40" s="433">
        <v>53641</v>
      </c>
      <c r="D40" s="593">
        <f t="shared" si="0"/>
        <v>1725</v>
      </c>
      <c r="E40" s="594">
        <f t="shared" si="3"/>
        <v>222873</v>
      </c>
      <c r="F40" s="495">
        <v>224922</v>
      </c>
      <c r="G40" s="474">
        <f t="shared" si="1"/>
        <v>2049</v>
      </c>
    </row>
    <row r="41" spans="1:7" x14ac:dyDescent="0.2">
      <c r="A41" s="549">
        <v>43221</v>
      </c>
      <c r="B41" s="592">
        <f t="shared" si="2"/>
        <v>53641</v>
      </c>
      <c r="C41" s="433">
        <v>55409</v>
      </c>
      <c r="D41" s="593">
        <f t="shared" si="0"/>
        <v>1768</v>
      </c>
      <c r="E41" s="594">
        <f t="shared" si="3"/>
        <v>224922</v>
      </c>
      <c r="F41" s="495">
        <v>227063</v>
      </c>
      <c r="G41" s="474">
        <f t="shared" si="1"/>
        <v>2141</v>
      </c>
    </row>
    <row r="42" spans="1:7" x14ac:dyDescent="0.2">
      <c r="A42" s="549">
        <v>43252</v>
      </c>
      <c r="B42" s="592">
        <f t="shared" si="2"/>
        <v>55409</v>
      </c>
      <c r="C42" s="433">
        <v>57396</v>
      </c>
      <c r="D42" s="593">
        <f t="shared" si="0"/>
        <v>1987</v>
      </c>
      <c r="E42" s="594">
        <f t="shared" si="3"/>
        <v>227063</v>
      </c>
      <c r="F42" s="495">
        <v>229163</v>
      </c>
      <c r="G42" s="474">
        <f t="shared" si="1"/>
        <v>2100</v>
      </c>
    </row>
    <row r="43" spans="1:7" x14ac:dyDescent="0.2">
      <c r="A43" s="549">
        <v>43282</v>
      </c>
      <c r="B43" s="592">
        <f t="shared" si="2"/>
        <v>57396</v>
      </c>
      <c r="C43" s="433">
        <v>59391</v>
      </c>
      <c r="D43" s="593">
        <f t="shared" si="0"/>
        <v>1995</v>
      </c>
      <c r="E43" s="594">
        <f t="shared" si="3"/>
        <v>229163</v>
      </c>
      <c r="F43" s="495">
        <v>231359</v>
      </c>
      <c r="G43" s="474">
        <f t="shared" si="1"/>
        <v>2196</v>
      </c>
    </row>
    <row r="44" spans="1:7" x14ac:dyDescent="0.2">
      <c r="A44" s="549">
        <v>43313</v>
      </c>
      <c r="B44" s="592">
        <f t="shared" si="2"/>
        <v>59391</v>
      </c>
      <c r="C44" s="433">
        <v>61427</v>
      </c>
      <c r="D44" s="593">
        <f t="shared" si="0"/>
        <v>2036</v>
      </c>
      <c r="E44" s="594">
        <f t="shared" si="3"/>
        <v>231359</v>
      </c>
      <c r="F44" s="495">
        <v>233548</v>
      </c>
      <c r="G44" s="474">
        <f t="shared" si="1"/>
        <v>2189</v>
      </c>
    </row>
    <row r="45" spans="1:7" x14ac:dyDescent="0.2">
      <c r="A45" s="549">
        <v>43344</v>
      </c>
      <c r="B45" s="592">
        <f t="shared" si="2"/>
        <v>61427</v>
      </c>
      <c r="C45" s="433">
        <v>63464</v>
      </c>
      <c r="D45" s="593">
        <f t="shared" si="0"/>
        <v>2037</v>
      </c>
      <c r="E45" s="594">
        <f t="shared" si="3"/>
        <v>233548</v>
      </c>
      <c r="F45" s="495">
        <v>235653</v>
      </c>
      <c r="G45" s="474">
        <f t="shared" si="1"/>
        <v>2105</v>
      </c>
    </row>
    <row r="46" spans="1:7" x14ac:dyDescent="0.2">
      <c r="A46" s="549">
        <v>43374</v>
      </c>
      <c r="B46" s="592">
        <f t="shared" si="2"/>
        <v>63464</v>
      </c>
      <c r="C46" s="433">
        <v>65577</v>
      </c>
      <c r="D46" s="593">
        <f t="shared" si="0"/>
        <v>2113</v>
      </c>
      <c r="E46" s="594">
        <f t="shared" si="3"/>
        <v>235653</v>
      </c>
      <c r="F46" s="495">
        <v>237802</v>
      </c>
      <c r="G46" s="474">
        <f t="shared" si="1"/>
        <v>2149</v>
      </c>
    </row>
    <row r="47" spans="1:7" x14ac:dyDescent="0.2">
      <c r="A47" s="549">
        <v>43405</v>
      </c>
      <c r="B47" s="592">
        <f t="shared" si="2"/>
        <v>65577</v>
      </c>
      <c r="C47" s="433">
        <v>67714</v>
      </c>
      <c r="D47" s="593">
        <f t="shared" si="0"/>
        <v>2137</v>
      </c>
      <c r="E47" s="594">
        <f t="shared" si="3"/>
        <v>237802</v>
      </c>
      <c r="F47" s="495">
        <v>239883</v>
      </c>
      <c r="G47" s="474">
        <f t="shared" si="1"/>
        <v>2081</v>
      </c>
    </row>
    <row r="48" spans="1:7" x14ac:dyDescent="0.2">
      <c r="A48" s="549">
        <v>43435</v>
      </c>
      <c r="B48" s="592">
        <f t="shared" si="2"/>
        <v>67714</v>
      </c>
      <c r="C48" s="433">
        <v>69886</v>
      </c>
      <c r="D48" s="593">
        <f t="shared" si="0"/>
        <v>2172</v>
      </c>
      <c r="E48" s="594">
        <f t="shared" si="3"/>
        <v>239883</v>
      </c>
      <c r="F48" s="495">
        <v>242023</v>
      </c>
      <c r="G48" s="474">
        <f t="shared" si="1"/>
        <v>2140</v>
      </c>
    </row>
    <row r="49" spans="1:7" x14ac:dyDescent="0.2">
      <c r="A49" s="549">
        <v>43466</v>
      </c>
      <c r="B49" s="592">
        <f t="shared" si="2"/>
        <v>69886</v>
      </c>
      <c r="C49" s="433"/>
      <c r="D49" s="593">
        <f t="shared" si="0"/>
        <v>-69886</v>
      </c>
      <c r="E49" s="594">
        <f t="shared" si="3"/>
        <v>242023</v>
      </c>
      <c r="F49" s="495"/>
      <c r="G49" s="474">
        <f t="shared" si="1"/>
        <v>-242023</v>
      </c>
    </row>
    <row r="50" spans="1:7" x14ac:dyDescent="0.2">
      <c r="A50" s="549">
        <v>43497</v>
      </c>
      <c r="B50" s="592">
        <f t="shared" si="2"/>
        <v>0</v>
      </c>
      <c r="C50" s="433"/>
      <c r="D50" s="593">
        <f t="shared" si="0"/>
        <v>0</v>
      </c>
      <c r="E50" s="594">
        <f t="shared" si="3"/>
        <v>0</v>
      </c>
      <c r="F50" s="495"/>
      <c r="G50" s="474">
        <f t="shared" si="1"/>
        <v>0</v>
      </c>
    </row>
    <row r="51" spans="1:7" x14ac:dyDescent="0.2">
      <c r="A51" s="549">
        <v>43525</v>
      </c>
      <c r="B51" s="592">
        <f t="shared" si="2"/>
        <v>0</v>
      </c>
      <c r="C51" s="433"/>
      <c r="D51" s="593">
        <f t="shared" si="0"/>
        <v>0</v>
      </c>
      <c r="E51" s="594">
        <f t="shared" si="3"/>
        <v>0</v>
      </c>
      <c r="F51" s="495"/>
      <c r="G51" s="474">
        <f t="shared" si="1"/>
        <v>0</v>
      </c>
    </row>
    <row r="52" spans="1:7" x14ac:dyDescent="0.2">
      <c r="A52" s="549">
        <v>43556</v>
      </c>
      <c r="B52" s="592">
        <f t="shared" si="2"/>
        <v>0</v>
      </c>
      <c r="C52" s="433"/>
      <c r="D52" s="593">
        <f t="shared" si="0"/>
        <v>0</v>
      </c>
      <c r="E52" s="594">
        <f t="shared" si="3"/>
        <v>0</v>
      </c>
      <c r="F52" s="495"/>
      <c r="G52" s="474">
        <f t="shared" si="1"/>
        <v>0</v>
      </c>
    </row>
    <row r="53" spans="1:7" x14ac:dyDescent="0.2">
      <c r="A53" s="549">
        <v>43586</v>
      </c>
      <c r="B53" s="592">
        <f t="shared" si="2"/>
        <v>0</v>
      </c>
      <c r="C53" s="433"/>
      <c r="D53" s="593">
        <f t="shared" si="0"/>
        <v>0</v>
      </c>
      <c r="E53" s="594">
        <f t="shared" si="3"/>
        <v>0</v>
      </c>
      <c r="F53" s="495"/>
      <c r="G53" s="474">
        <f t="shared" si="1"/>
        <v>0</v>
      </c>
    </row>
    <row r="54" spans="1:7" x14ac:dyDescent="0.2">
      <c r="A54" s="549">
        <v>43617</v>
      </c>
      <c r="B54" s="592">
        <f t="shared" si="2"/>
        <v>0</v>
      </c>
      <c r="C54" s="433"/>
      <c r="D54" s="593">
        <f t="shared" si="0"/>
        <v>0</v>
      </c>
      <c r="E54" s="594">
        <f t="shared" si="3"/>
        <v>0</v>
      </c>
      <c r="F54" s="495"/>
      <c r="G54" s="474">
        <f t="shared" si="1"/>
        <v>0</v>
      </c>
    </row>
    <row r="55" spans="1:7" x14ac:dyDescent="0.2">
      <c r="A55" s="549">
        <v>43647</v>
      </c>
      <c r="B55" s="592">
        <f t="shared" si="2"/>
        <v>0</v>
      </c>
      <c r="C55" s="10"/>
      <c r="D55" s="593">
        <f t="shared" si="0"/>
        <v>0</v>
      </c>
      <c r="E55" s="594">
        <f t="shared" si="3"/>
        <v>0</v>
      </c>
      <c r="F55" s="10"/>
      <c r="G55" s="474">
        <f t="shared" si="1"/>
        <v>0</v>
      </c>
    </row>
    <row r="56" spans="1:7" x14ac:dyDescent="0.2">
      <c r="A56" s="549">
        <v>43678</v>
      </c>
      <c r="B56" s="592">
        <f t="shared" si="2"/>
        <v>0</v>
      </c>
      <c r="C56" s="10"/>
      <c r="D56" s="593">
        <f t="shared" si="0"/>
        <v>0</v>
      </c>
      <c r="E56" s="594">
        <f t="shared" si="3"/>
        <v>0</v>
      </c>
      <c r="F56" s="10"/>
      <c r="G56" s="474">
        <f t="shared" si="1"/>
        <v>0</v>
      </c>
    </row>
    <row r="57" spans="1:7" x14ac:dyDescent="0.2">
      <c r="A57" s="549">
        <v>43709</v>
      </c>
      <c r="B57" s="592">
        <f t="shared" si="2"/>
        <v>0</v>
      </c>
      <c r="C57" s="10"/>
      <c r="D57" s="593">
        <f t="shared" si="0"/>
        <v>0</v>
      </c>
      <c r="E57" s="594">
        <f t="shared" si="3"/>
        <v>0</v>
      </c>
      <c r="F57" s="10"/>
      <c r="G57" s="474">
        <f t="shared" si="1"/>
        <v>0</v>
      </c>
    </row>
    <row r="58" spans="1:7" x14ac:dyDescent="0.2">
      <c r="A58" s="549">
        <v>43739</v>
      </c>
      <c r="B58" s="592">
        <f t="shared" si="2"/>
        <v>0</v>
      </c>
      <c r="C58" s="10"/>
      <c r="D58" s="593">
        <f t="shared" si="0"/>
        <v>0</v>
      </c>
      <c r="E58" s="594">
        <f t="shared" si="3"/>
        <v>0</v>
      </c>
      <c r="F58" s="10"/>
      <c r="G58" s="474">
        <f t="shared" si="1"/>
        <v>0</v>
      </c>
    </row>
    <row r="59" spans="1:7" x14ac:dyDescent="0.2">
      <c r="A59" s="549">
        <v>43770</v>
      </c>
      <c r="B59" s="592">
        <f t="shared" si="2"/>
        <v>0</v>
      </c>
      <c r="C59" s="10"/>
      <c r="D59" s="593">
        <f t="shared" si="0"/>
        <v>0</v>
      </c>
      <c r="E59" s="594">
        <f t="shared" si="3"/>
        <v>0</v>
      </c>
      <c r="F59" s="10"/>
      <c r="G59" s="474">
        <f t="shared" si="1"/>
        <v>0</v>
      </c>
    </row>
    <row r="60" spans="1:7" x14ac:dyDescent="0.2">
      <c r="A60" s="549">
        <v>43800</v>
      </c>
      <c r="B60" s="592">
        <f t="shared" si="2"/>
        <v>0</v>
      </c>
      <c r="C60" s="10"/>
      <c r="D60" s="593">
        <f t="shared" si="0"/>
        <v>0</v>
      </c>
      <c r="E60" s="594">
        <f t="shared" si="3"/>
        <v>0</v>
      </c>
      <c r="F60" s="10"/>
      <c r="G60" s="474">
        <f t="shared" si="1"/>
        <v>0</v>
      </c>
    </row>
    <row r="61" spans="1:7" ht="13.5" thickBot="1" x14ac:dyDescent="0.25">
      <c r="A61" s="550">
        <v>43831</v>
      </c>
      <c r="B61" s="595">
        <f t="shared" si="2"/>
        <v>0</v>
      </c>
      <c r="C61" s="16"/>
      <c r="D61" s="596">
        <f t="shared" si="0"/>
        <v>0</v>
      </c>
      <c r="E61" s="597">
        <f t="shared" si="3"/>
        <v>0</v>
      </c>
      <c r="F61" s="16"/>
      <c r="G61" s="551">
        <f t="shared" si="1"/>
        <v>0</v>
      </c>
    </row>
    <row r="63" spans="1:7" ht="13.5" thickBot="1" x14ac:dyDescent="0.25"/>
    <row r="64" spans="1:7" x14ac:dyDescent="0.2">
      <c r="B64" s="922"/>
      <c r="C64" s="924"/>
      <c r="E64" s="922"/>
      <c r="F64" s="924"/>
    </row>
    <row r="65" spans="2:8" x14ac:dyDescent="0.2">
      <c r="B65" s="925"/>
      <c r="C65" s="927"/>
      <c r="E65" s="925"/>
      <c r="F65" s="927"/>
    </row>
    <row r="66" spans="2:8" x14ac:dyDescent="0.2">
      <c r="B66" s="925"/>
      <c r="C66" s="927"/>
      <c r="E66" s="925"/>
      <c r="F66" s="927"/>
    </row>
    <row r="67" spans="2:8" x14ac:dyDescent="0.2">
      <c r="B67" s="925"/>
      <c r="C67" s="927"/>
      <c r="E67" s="925"/>
      <c r="F67" s="927"/>
    </row>
    <row r="68" spans="2:8" x14ac:dyDescent="0.2">
      <c r="B68" s="925"/>
      <c r="C68" s="927"/>
      <c r="E68" s="925"/>
      <c r="F68" s="927"/>
    </row>
    <row r="69" spans="2:8" x14ac:dyDescent="0.2">
      <c r="B69" s="925"/>
      <c r="C69" s="927"/>
      <c r="E69" s="925"/>
      <c r="F69" s="927"/>
    </row>
    <row r="70" spans="2:8" x14ac:dyDescent="0.2">
      <c r="B70" s="925"/>
      <c r="C70" s="927"/>
      <c r="E70" s="925"/>
      <c r="F70" s="927"/>
    </row>
    <row r="71" spans="2:8" x14ac:dyDescent="0.2">
      <c r="B71" s="925"/>
      <c r="C71" s="927"/>
      <c r="E71" s="925"/>
      <c r="F71" s="927"/>
    </row>
    <row r="72" spans="2:8" x14ac:dyDescent="0.2">
      <c r="B72" s="925"/>
      <c r="C72" s="927"/>
      <c r="E72" s="925"/>
      <c r="F72" s="927"/>
    </row>
    <row r="73" spans="2:8" x14ac:dyDescent="0.2">
      <c r="B73" s="925"/>
      <c r="C73" s="927"/>
      <c r="E73" s="925"/>
      <c r="F73" s="927"/>
    </row>
    <row r="74" spans="2:8" ht="13.5" thickBot="1" x14ac:dyDescent="0.25">
      <c r="B74" s="942"/>
      <c r="C74" s="944"/>
      <c r="E74" s="942"/>
      <c r="F74" s="944"/>
    </row>
    <row r="75" spans="2:8" ht="13.5" thickBot="1" x14ac:dyDescent="0.25"/>
    <row r="76" spans="2:8" ht="13.5" thickBot="1" x14ac:dyDescent="0.25">
      <c r="B76" s="430" t="s">
        <v>424</v>
      </c>
      <c r="C76" s="307"/>
      <c r="D76" s="292"/>
      <c r="E76" s="50"/>
      <c r="F76" s="430" t="s">
        <v>425</v>
      </c>
      <c r="G76" s="291"/>
      <c r="H76" s="307"/>
    </row>
  </sheetData>
  <mergeCells count="5">
    <mergeCell ref="A1:G1"/>
    <mergeCell ref="B2:D2"/>
    <mergeCell ref="E2:G2"/>
    <mergeCell ref="B64:C74"/>
    <mergeCell ref="E64:F74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C7" sqref="C7"/>
    </sheetView>
  </sheetViews>
  <sheetFormatPr defaultRowHeight="12.75" x14ac:dyDescent="0.2"/>
  <cols>
    <col min="1" max="1" width="10" customWidth="1"/>
    <col min="2" max="2" width="16.28515625" customWidth="1"/>
    <col min="3" max="3" width="15.28515625" bestFit="1" customWidth="1"/>
    <col min="4" max="4" width="16.5703125" bestFit="1" customWidth="1"/>
  </cols>
  <sheetData>
    <row r="1" spans="1:7" ht="13.5" thickBot="1" x14ac:dyDescent="0.25">
      <c r="A1" s="1010" t="s">
        <v>242</v>
      </c>
      <c r="B1" s="1010"/>
      <c r="C1" s="1010"/>
      <c r="D1" s="1010"/>
    </row>
    <row r="2" spans="1:7" x14ac:dyDescent="0.2">
      <c r="A2" s="453" t="s">
        <v>124</v>
      </c>
      <c r="B2" s="454" t="s">
        <v>243</v>
      </c>
      <c r="C2" s="454" t="s">
        <v>244</v>
      </c>
      <c r="D2" s="455" t="s">
        <v>245</v>
      </c>
    </row>
    <row r="3" spans="1:7" x14ac:dyDescent="0.2">
      <c r="A3" s="446">
        <v>42522</v>
      </c>
      <c r="B3" s="445"/>
      <c r="C3" s="10"/>
      <c r="D3" s="447">
        <f>C3-B3</f>
        <v>0</v>
      </c>
    </row>
    <row r="4" spans="1:7" x14ac:dyDescent="0.2">
      <c r="A4" s="446">
        <v>42523</v>
      </c>
      <c r="B4" s="445"/>
      <c r="C4" s="10"/>
      <c r="D4" s="447">
        <f t="shared" ref="D4:D34" si="0">C4-B4</f>
        <v>0</v>
      </c>
    </row>
    <row r="5" spans="1:7" x14ac:dyDescent="0.2">
      <c r="A5" s="446">
        <v>42524</v>
      </c>
      <c r="B5" s="445"/>
      <c r="C5" s="10"/>
      <c r="D5" s="447">
        <f t="shared" si="0"/>
        <v>0</v>
      </c>
    </row>
    <row r="6" spans="1:7" x14ac:dyDescent="0.2">
      <c r="A6" s="446">
        <v>42525</v>
      </c>
      <c r="B6" s="445"/>
      <c r="C6" s="10"/>
      <c r="D6" s="447">
        <f t="shared" si="0"/>
        <v>0</v>
      </c>
    </row>
    <row r="7" spans="1:7" x14ac:dyDescent="0.2">
      <c r="A7" s="446">
        <v>42526</v>
      </c>
      <c r="B7" s="445"/>
      <c r="C7" s="10"/>
      <c r="D7" s="447">
        <f t="shared" si="0"/>
        <v>0</v>
      </c>
      <c r="G7" s="224"/>
    </row>
    <row r="8" spans="1:7" x14ac:dyDescent="0.2">
      <c r="A8" s="446">
        <v>42527</v>
      </c>
      <c r="B8" s="445"/>
      <c r="C8" s="10"/>
      <c r="D8" s="447">
        <f t="shared" si="0"/>
        <v>0</v>
      </c>
    </row>
    <row r="9" spans="1:7" x14ac:dyDescent="0.2">
      <c r="A9" s="446">
        <v>42528</v>
      </c>
      <c r="B9" s="445"/>
      <c r="C9" s="10"/>
      <c r="D9" s="447">
        <f t="shared" si="0"/>
        <v>0</v>
      </c>
    </row>
    <row r="10" spans="1:7" x14ac:dyDescent="0.2">
      <c r="A10" s="446">
        <v>42529</v>
      </c>
      <c r="B10" s="445"/>
      <c r="C10" s="10"/>
      <c r="D10" s="447">
        <f t="shared" si="0"/>
        <v>0</v>
      </c>
    </row>
    <row r="11" spans="1:7" x14ac:dyDescent="0.2">
      <c r="A11" s="446">
        <v>42530</v>
      </c>
      <c r="B11" s="445">
        <f t="shared" ref="B11:B33" si="1">C10</f>
        <v>0</v>
      </c>
      <c r="C11" s="10"/>
      <c r="D11" s="447">
        <f t="shared" si="0"/>
        <v>0</v>
      </c>
    </row>
    <row r="12" spans="1:7" x14ac:dyDescent="0.2">
      <c r="A12" s="446">
        <v>42531</v>
      </c>
      <c r="B12" s="445">
        <f t="shared" si="1"/>
        <v>0</v>
      </c>
      <c r="C12" s="10"/>
      <c r="D12" s="447">
        <f t="shared" si="0"/>
        <v>0</v>
      </c>
    </row>
    <row r="13" spans="1:7" x14ac:dyDescent="0.2">
      <c r="A13" s="446">
        <v>42532</v>
      </c>
      <c r="B13" s="445">
        <f t="shared" si="1"/>
        <v>0</v>
      </c>
      <c r="C13" s="10"/>
      <c r="D13" s="447">
        <f t="shared" si="0"/>
        <v>0</v>
      </c>
    </row>
    <row r="14" spans="1:7" x14ac:dyDescent="0.2">
      <c r="A14" s="446">
        <v>42533</v>
      </c>
      <c r="B14" s="445">
        <f t="shared" si="1"/>
        <v>0</v>
      </c>
      <c r="C14" s="10"/>
      <c r="D14" s="447">
        <f t="shared" si="0"/>
        <v>0</v>
      </c>
    </row>
    <row r="15" spans="1:7" x14ac:dyDescent="0.2">
      <c r="A15" s="446">
        <v>42534</v>
      </c>
      <c r="B15" s="445">
        <f t="shared" si="1"/>
        <v>0</v>
      </c>
      <c r="C15" s="10"/>
      <c r="D15" s="447">
        <f t="shared" si="0"/>
        <v>0</v>
      </c>
    </row>
    <row r="16" spans="1:7" x14ac:dyDescent="0.2">
      <c r="A16" s="446">
        <v>42535</v>
      </c>
      <c r="B16" s="445">
        <f t="shared" si="1"/>
        <v>0</v>
      </c>
      <c r="C16" s="10"/>
      <c r="D16" s="447">
        <f t="shared" si="0"/>
        <v>0</v>
      </c>
    </row>
    <row r="17" spans="1:4" x14ac:dyDescent="0.2">
      <c r="A17" s="446">
        <v>42536</v>
      </c>
      <c r="B17" s="445">
        <f t="shared" si="1"/>
        <v>0</v>
      </c>
      <c r="C17" s="10"/>
      <c r="D17" s="447">
        <f t="shared" si="0"/>
        <v>0</v>
      </c>
    </row>
    <row r="18" spans="1:4" x14ac:dyDescent="0.2">
      <c r="A18" s="446">
        <v>42537</v>
      </c>
      <c r="B18" s="445">
        <f t="shared" si="1"/>
        <v>0</v>
      </c>
      <c r="C18" s="10"/>
      <c r="D18" s="447">
        <f t="shared" si="0"/>
        <v>0</v>
      </c>
    </row>
    <row r="19" spans="1:4" x14ac:dyDescent="0.2">
      <c r="A19" s="446">
        <v>42538</v>
      </c>
      <c r="B19" s="445">
        <f t="shared" si="1"/>
        <v>0</v>
      </c>
      <c r="C19" s="10"/>
      <c r="D19" s="447">
        <f t="shared" si="0"/>
        <v>0</v>
      </c>
    </row>
    <row r="20" spans="1:4" x14ac:dyDescent="0.2">
      <c r="A20" s="446">
        <v>42539</v>
      </c>
      <c r="B20" s="445">
        <f t="shared" si="1"/>
        <v>0</v>
      </c>
      <c r="C20" s="10"/>
      <c r="D20" s="447">
        <f t="shared" si="0"/>
        <v>0</v>
      </c>
    </row>
    <row r="21" spans="1:4" x14ac:dyDescent="0.2">
      <c r="A21" s="446">
        <v>42540</v>
      </c>
      <c r="B21" s="445">
        <f t="shared" si="1"/>
        <v>0</v>
      </c>
      <c r="C21" s="10"/>
      <c r="D21" s="447">
        <f t="shared" si="0"/>
        <v>0</v>
      </c>
    </row>
    <row r="22" spans="1:4" x14ac:dyDescent="0.2">
      <c r="A22" s="446">
        <v>42541</v>
      </c>
      <c r="B22" s="445">
        <f t="shared" si="1"/>
        <v>0</v>
      </c>
      <c r="C22" s="10"/>
      <c r="D22" s="447">
        <f t="shared" si="0"/>
        <v>0</v>
      </c>
    </row>
    <row r="23" spans="1:4" x14ac:dyDescent="0.2">
      <c r="A23" s="446">
        <v>42542</v>
      </c>
      <c r="B23" s="445">
        <f t="shared" si="1"/>
        <v>0</v>
      </c>
      <c r="C23" s="10"/>
      <c r="D23" s="447">
        <f t="shared" si="0"/>
        <v>0</v>
      </c>
    </row>
    <row r="24" spans="1:4" x14ac:dyDescent="0.2">
      <c r="A24" s="446">
        <v>42543</v>
      </c>
      <c r="B24" s="445">
        <f t="shared" si="1"/>
        <v>0</v>
      </c>
      <c r="C24" s="10"/>
      <c r="D24" s="447">
        <f t="shared" si="0"/>
        <v>0</v>
      </c>
    </row>
    <row r="25" spans="1:4" x14ac:dyDescent="0.2">
      <c r="A25" s="446">
        <v>42544</v>
      </c>
      <c r="B25" s="445">
        <f t="shared" si="1"/>
        <v>0</v>
      </c>
      <c r="C25" s="10"/>
      <c r="D25" s="447">
        <f t="shared" si="0"/>
        <v>0</v>
      </c>
    </row>
    <row r="26" spans="1:4" x14ac:dyDescent="0.2">
      <c r="A26" s="446">
        <v>42545</v>
      </c>
      <c r="B26" s="445">
        <f t="shared" si="1"/>
        <v>0</v>
      </c>
      <c r="C26" s="10"/>
      <c r="D26" s="447">
        <f t="shared" si="0"/>
        <v>0</v>
      </c>
    </row>
    <row r="27" spans="1:4" x14ac:dyDescent="0.2">
      <c r="A27" s="446">
        <v>42546</v>
      </c>
      <c r="B27" s="445">
        <f t="shared" si="1"/>
        <v>0</v>
      </c>
      <c r="C27" s="10"/>
      <c r="D27" s="447">
        <f t="shared" si="0"/>
        <v>0</v>
      </c>
    </row>
    <row r="28" spans="1:4" x14ac:dyDescent="0.2">
      <c r="A28" s="446">
        <v>42547</v>
      </c>
      <c r="B28" s="445">
        <f t="shared" si="1"/>
        <v>0</v>
      </c>
      <c r="C28" s="10"/>
      <c r="D28" s="447">
        <f t="shared" si="0"/>
        <v>0</v>
      </c>
    </row>
    <row r="29" spans="1:4" x14ac:dyDescent="0.2">
      <c r="A29" s="446">
        <v>42548</v>
      </c>
      <c r="B29" s="445">
        <f t="shared" si="1"/>
        <v>0</v>
      </c>
      <c r="C29" s="10"/>
      <c r="D29" s="447">
        <f t="shared" si="0"/>
        <v>0</v>
      </c>
    </row>
    <row r="30" spans="1:4" x14ac:dyDescent="0.2">
      <c r="A30" s="446">
        <v>42549</v>
      </c>
      <c r="B30" s="445">
        <f t="shared" si="1"/>
        <v>0</v>
      </c>
      <c r="C30" s="10"/>
      <c r="D30" s="447">
        <f t="shared" si="0"/>
        <v>0</v>
      </c>
    </row>
    <row r="31" spans="1:4" x14ac:dyDescent="0.2">
      <c r="A31" s="446">
        <v>42550</v>
      </c>
      <c r="B31" s="445">
        <f t="shared" si="1"/>
        <v>0</v>
      </c>
      <c r="C31" s="10"/>
      <c r="D31" s="447">
        <f t="shared" si="0"/>
        <v>0</v>
      </c>
    </row>
    <row r="32" spans="1:4" x14ac:dyDescent="0.2">
      <c r="A32" s="446">
        <v>42551</v>
      </c>
      <c r="B32" s="445">
        <f t="shared" si="1"/>
        <v>0</v>
      </c>
      <c r="C32" s="10"/>
      <c r="D32" s="447">
        <f t="shared" si="0"/>
        <v>0</v>
      </c>
    </row>
    <row r="33" spans="1:4" x14ac:dyDescent="0.2">
      <c r="A33" s="446"/>
      <c r="B33" s="445">
        <f t="shared" si="1"/>
        <v>0</v>
      </c>
      <c r="C33" s="10"/>
      <c r="D33" s="447">
        <f t="shared" si="0"/>
        <v>0</v>
      </c>
    </row>
    <row r="34" spans="1:4" x14ac:dyDescent="0.2">
      <c r="A34" s="102"/>
      <c r="B34" s="445"/>
      <c r="C34" s="10"/>
      <c r="D34" s="447">
        <f t="shared" si="0"/>
        <v>0</v>
      </c>
    </row>
    <row r="35" spans="1:4" x14ac:dyDescent="0.2">
      <c r="A35" s="448"/>
      <c r="B35" s="50"/>
      <c r="C35" s="50"/>
      <c r="D35" s="449"/>
    </row>
    <row r="36" spans="1:4" ht="15" x14ac:dyDescent="0.2">
      <c r="A36" s="1011" t="s">
        <v>246</v>
      </c>
      <c r="B36" s="1012"/>
      <c r="C36" s="1012"/>
      <c r="D36" s="1013"/>
    </row>
    <row r="37" spans="1:4" ht="13.5" thickBot="1" x14ac:dyDescent="0.25">
      <c r="A37" s="450"/>
      <c r="B37" s="451"/>
      <c r="C37" s="451"/>
      <c r="D37" s="452"/>
    </row>
  </sheetData>
  <mergeCells count="2">
    <mergeCell ref="A1:D1"/>
    <mergeCell ref="A36:D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L70"/>
  <sheetViews>
    <sheetView topLeftCell="A37" workbookViewId="0">
      <selection activeCell="G72" sqref="G72"/>
    </sheetView>
  </sheetViews>
  <sheetFormatPr defaultRowHeight="12.75" x14ac:dyDescent="0.2"/>
  <cols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1004" t="s">
        <v>299</v>
      </c>
      <c r="B1" s="1005"/>
      <c r="C1" s="1005"/>
      <c r="D1" s="1005"/>
      <c r="G1" s="501"/>
      <c r="H1" s="502" t="s">
        <v>300</v>
      </c>
      <c r="I1" s="502"/>
      <c r="J1" s="501"/>
      <c r="K1" s="501"/>
    </row>
    <row r="2" spans="1:12" ht="39" thickBot="1" x14ac:dyDescent="0.25">
      <c r="A2" s="468" t="s">
        <v>8</v>
      </c>
      <c r="B2" s="469" t="s">
        <v>223</v>
      </c>
      <c r="C2" s="470" t="s">
        <v>224</v>
      </c>
      <c r="D2" s="471" t="s">
        <v>257</v>
      </c>
      <c r="E2" s="471" t="s">
        <v>305</v>
      </c>
      <c r="F2" s="500" t="s">
        <v>283</v>
      </c>
      <c r="G2" s="503" t="s">
        <v>301</v>
      </c>
      <c r="H2" s="503" t="s">
        <v>302</v>
      </c>
      <c r="I2" s="528" t="s">
        <v>303</v>
      </c>
      <c r="J2" s="503" t="s">
        <v>304</v>
      </c>
      <c r="K2" s="503" t="s">
        <v>283</v>
      </c>
      <c r="L2" s="528" t="s">
        <v>258</v>
      </c>
    </row>
    <row r="3" spans="1:12" x14ac:dyDescent="0.2">
      <c r="A3" s="472">
        <v>42430</v>
      </c>
      <c r="B3" s="631">
        <v>5000778</v>
      </c>
      <c r="C3" s="632">
        <v>5057715</v>
      </c>
      <c r="D3" s="633">
        <f>C3-B3</f>
        <v>56937</v>
      </c>
      <c r="E3" s="634"/>
      <c r="F3" s="578"/>
      <c r="G3" s="504">
        <f>H3</f>
        <v>0</v>
      </c>
      <c r="H3" s="10"/>
      <c r="I3" s="490">
        <f>H3-G3</f>
        <v>0</v>
      </c>
      <c r="J3" s="10"/>
      <c r="K3" s="505">
        <f>I3-J3</f>
        <v>0</v>
      </c>
      <c r="L3" s="579"/>
    </row>
    <row r="4" spans="1:12" x14ac:dyDescent="0.2">
      <c r="A4" s="429">
        <v>42461</v>
      </c>
      <c r="B4" s="580">
        <f>C3</f>
        <v>5057715</v>
      </c>
      <c r="C4" s="433">
        <v>5111496</v>
      </c>
      <c r="D4" s="474">
        <f t="shared" ref="D4:D54" si="0">C4-B4</f>
        <v>53781</v>
      </c>
      <c r="E4" s="634"/>
      <c r="F4" s="578"/>
      <c r="G4" s="504">
        <f>H3</f>
        <v>0</v>
      </c>
      <c r="H4" s="10"/>
      <c r="I4" s="490">
        <f t="shared" ref="I4:I54" si="1">H4-G4</f>
        <v>0</v>
      </c>
      <c r="J4" s="10"/>
      <c r="K4" s="505">
        <f t="shared" ref="K4:K54" si="2">I4-J4</f>
        <v>0</v>
      </c>
      <c r="L4" s="579"/>
    </row>
    <row r="5" spans="1:12" x14ac:dyDescent="0.2">
      <c r="A5" s="429">
        <v>42491</v>
      </c>
      <c r="B5" s="580">
        <f t="shared" ref="B5:B54" si="3">C4</f>
        <v>5111496</v>
      </c>
      <c r="C5" s="433">
        <v>5169409</v>
      </c>
      <c r="D5" s="474">
        <f t="shared" si="0"/>
        <v>57913</v>
      </c>
      <c r="E5" s="634"/>
      <c r="F5" s="578"/>
      <c r="G5" s="504">
        <f t="shared" ref="G5:G54" si="4">H4</f>
        <v>0</v>
      </c>
      <c r="H5" s="10"/>
      <c r="I5" s="490">
        <f t="shared" si="1"/>
        <v>0</v>
      </c>
      <c r="J5" s="10"/>
      <c r="K5" s="505">
        <f t="shared" si="2"/>
        <v>0</v>
      </c>
      <c r="L5" s="579"/>
    </row>
    <row r="6" spans="1:12" x14ac:dyDescent="0.2">
      <c r="A6" s="429">
        <v>42522</v>
      </c>
      <c r="B6" s="580">
        <f t="shared" si="3"/>
        <v>5169409</v>
      </c>
      <c r="C6" s="433">
        <v>5232162</v>
      </c>
      <c r="D6" s="474">
        <f t="shared" si="0"/>
        <v>62753</v>
      </c>
      <c r="E6" s="634"/>
      <c r="F6" s="578"/>
      <c r="G6" s="504">
        <f t="shared" si="4"/>
        <v>0</v>
      </c>
      <c r="H6" s="10"/>
      <c r="I6" s="490">
        <f t="shared" si="1"/>
        <v>0</v>
      </c>
      <c r="J6" s="10"/>
      <c r="K6" s="505">
        <f t="shared" si="2"/>
        <v>0</v>
      </c>
      <c r="L6" s="579"/>
    </row>
    <row r="7" spans="1:12" x14ac:dyDescent="0.2">
      <c r="A7" s="429">
        <v>42552</v>
      </c>
      <c r="B7" s="580">
        <f t="shared" si="3"/>
        <v>5232162</v>
      </c>
      <c r="C7" s="433">
        <v>5310037</v>
      </c>
      <c r="D7" s="474">
        <f t="shared" si="0"/>
        <v>77875</v>
      </c>
      <c r="E7" s="634"/>
      <c r="F7" s="578"/>
      <c r="G7" s="504">
        <f t="shared" si="4"/>
        <v>0</v>
      </c>
      <c r="H7" s="10"/>
      <c r="I7" s="490">
        <f t="shared" si="1"/>
        <v>0</v>
      </c>
      <c r="J7" s="10"/>
      <c r="K7" s="505">
        <f t="shared" si="2"/>
        <v>0</v>
      </c>
      <c r="L7" s="579"/>
    </row>
    <row r="8" spans="1:12" x14ac:dyDescent="0.2">
      <c r="A8" s="429">
        <v>42583</v>
      </c>
      <c r="B8" s="580">
        <f t="shared" si="3"/>
        <v>5310037</v>
      </c>
      <c r="C8" s="433">
        <v>5382821</v>
      </c>
      <c r="D8" s="474">
        <f t="shared" si="0"/>
        <v>72784</v>
      </c>
      <c r="E8" s="634">
        <f>[3]Gen!AR45</f>
        <v>72766</v>
      </c>
      <c r="F8" s="578">
        <f t="shared" ref="F8:F54" si="5">D8-E8</f>
        <v>18</v>
      </c>
      <c r="G8" s="504">
        <f t="shared" si="4"/>
        <v>0</v>
      </c>
      <c r="H8" s="10"/>
      <c r="I8" s="490">
        <f t="shared" si="1"/>
        <v>0</v>
      </c>
      <c r="J8" s="10"/>
      <c r="K8" s="505">
        <f t="shared" si="2"/>
        <v>0</v>
      </c>
      <c r="L8" s="579"/>
    </row>
    <row r="9" spans="1:12" x14ac:dyDescent="0.2">
      <c r="A9" s="429">
        <v>42614</v>
      </c>
      <c r="B9" s="580">
        <f t="shared" si="3"/>
        <v>5382821</v>
      </c>
      <c r="C9" s="433">
        <v>5446740</v>
      </c>
      <c r="D9" s="474">
        <f t="shared" si="0"/>
        <v>63919</v>
      </c>
      <c r="E9" s="634">
        <f>[4]Gen!AR45</f>
        <v>64036.499999999993</v>
      </c>
      <c r="F9" s="578">
        <f t="shared" si="5"/>
        <v>-117.49999999999272</v>
      </c>
      <c r="G9" s="504">
        <f t="shared" si="4"/>
        <v>0</v>
      </c>
      <c r="H9" s="10"/>
      <c r="I9" s="490">
        <f t="shared" si="1"/>
        <v>0</v>
      </c>
      <c r="J9" s="10"/>
      <c r="K9" s="505">
        <f t="shared" si="2"/>
        <v>0</v>
      </c>
      <c r="L9" s="579"/>
    </row>
    <row r="10" spans="1:12" x14ac:dyDescent="0.2">
      <c r="A10" s="429">
        <v>42644</v>
      </c>
      <c r="B10" s="580">
        <f t="shared" si="3"/>
        <v>5446740</v>
      </c>
      <c r="C10" s="433">
        <v>5521440</v>
      </c>
      <c r="D10" s="474">
        <f t="shared" si="0"/>
        <v>74700</v>
      </c>
      <c r="E10" s="635">
        <v>76057.09</v>
      </c>
      <c r="F10" s="578">
        <f t="shared" si="5"/>
        <v>-1357.0899999999965</v>
      </c>
      <c r="G10" s="504">
        <f t="shared" si="4"/>
        <v>0</v>
      </c>
      <c r="H10" s="10"/>
      <c r="I10" s="490">
        <f t="shared" si="1"/>
        <v>0</v>
      </c>
      <c r="J10" s="10"/>
      <c r="K10" s="505">
        <f t="shared" si="2"/>
        <v>0</v>
      </c>
      <c r="L10" s="579"/>
    </row>
    <row r="11" spans="1:12" x14ac:dyDescent="0.2">
      <c r="A11" s="429">
        <v>42675</v>
      </c>
      <c r="B11" s="580">
        <f t="shared" si="3"/>
        <v>5521440</v>
      </c>
      <c r="C11" s="433">
        <v>5594926</v>
      </c>
      <c r="D11" s="474">
        <f t="shared" si="0"/>
        <v>73486</v>
      </c>
      <c r="E11" s="635">
        <v>73462.489999999991</v>
      </c>
      <c r="F11" s="578">
        <f t="shared" si="5"/>
        <v>23.510000000009313</v>
      </c>
      <c r="G11" s="504">
        <f t="shared" si="4"/>
        <v>0</v>
      </c>
      <c r="H11" s="10"/>
      <c r="I11" s="490">
        <f t="shared" si="1"/>
        <v>0</v>
      </c>
      <c r="J11" s="10"/>
      <c r="K11" s="505">
        <f t="shared" si="2"/>
        <v>0</v>
      </c>
      <c r="L11" s="579"/>
    </row>
    <row r="12" spans="1:12" x14ac:dyDescent="0.2">
      <c r="A12" s="429">
        <v>42705</v>
      </c>
      <c r="B12" s="580">
        <f t="shared" si="3"/>
        <v>5594926</v>
      </c>
      <c r="C12" s="433">
        <v>5670348</v>
      </c>
      <c r="D12" s="474">
        <f t="shared" si="0"/>
        <v>75422</v>
      </c>
      <c r="E12" s="634">
        <v>75421.2</v>
      </c>
      <c r="F12" s="578">
        <f t="shared" si="5"/>
        <v>0.80000000000291038</v>
      </c>
      <c r="G12" s="504">
        <f t="shared" si="4"/>
        <v>0</v>
      </c>
      <c r="H12" s="10"/>
      <c r="I12" s="490">
        <f t="shared" si="1"/>
        <v>0</v>
      </c>
      <c r="J12" s="10"/>
      <c r="K12" s="505">
        <f t="shared" si="2"/>
        <v>0</v>
      </c>
      <c r="L12" s="579"/>
    </row>
    <row r="13" spans="1:12" x14ac:dyDescent="0.2">
      <c r="A13" s="429">
        <v>42736</v>
      </c>
      <c r="B13" s="580">
        <f t="shared" si="3"/>
        <v>5670348</v>
      </c>
      <c r="C13" s="433">
        <v>5735627</v>
      </c>
      <c r="D13" s="474">
        <f t="shared" si="0"/>
        <v>65279</v>
      </c>
      <c r="E13" s="634">
        <v>65276.07</v>
      </c>
      <c r="F13" s="578">
        <f t="shared" si="5"/>
        <v>2.930000000000291</v>
      </c>
      <c r="G13" s="504">
        <f t="shared" si="4"/>
        <v>0</v>
      </c>
      <c r="H13" s="10"/>
      <c r="I13" s="490">
        <f t="shared" si="1"/>
        <v>0</v>
      </c>
      <c r="J13" s="10"/>
      <c r="K13" s="505">
        <f t="shared" si="2"/>
        <v>0</v>
      </c>
      <c r="L13" s="579"/>
    </row>
    <row r="14" spans="1:12" x14ac:dyDescent="0.2">
      <c r="A14" s="429">
        <v>42767</v>
      </c>
      <c r="B14" s="580">
        <f t="shared" si="3"/>
        <v>5735627</v>
      </c>
      <c r="C14" s="433">
        <v>5797781</v>
      </c>
      <c r="D14" s="474">
        <f t="shared" si="0"/>
        <v>62154</v>
      </c>
      <c r="E14" s="634">
        <v>62154.9</v>
      </c>
      <c r="F14" s="578">
        <f t="shared" si="5"/>
        <v>-0.90000000000145519</v>
      </c>
      <c r="G14" s="504">
        <f t="shared" si="4"/>
        <v>0</v>
      </c>
      <c r="H14" s="10"/>
      <c r="I14" s="490">
        <f t="shared" si="1"/>
        <v>0</v>
      </c>
      <c r="J14" s="10"/>
      <c r="K14" s="505">
        <f t="shared" si="2"/>
        <v>0</v>
      </c>
      <c r="L14" s="579"/>
    </row>
    <row r="15" spans="1:12" x14ac:dyDescent="0.2">
      <c r="A15" s="429">
        <v>42795</v>
      </c>
      <c r="B15" s="580">
        <f t="shared" si="3"/>
        <v>5797781</v>
      </c>
      <c r="C15" s="433">
        <v>5864602</v>
      </c>
      <c r="D15" s="474">
        <f t="shared" si="0"/>
        <v>66821</v>
      </c>
      <c r="E15" s="636">
        <v>66820.89</v>
      </c>
      <c r="F15" s="578">
        <f t="shared" si="5"/>
        <v>0.11000000000058208</v>
      </c>
      <c r="G15" s="504">
        <f t="shared" si="4"/>
        <v>0</v>
      </c>
      <c r="H15" s="10"/>
      <c r="I15" s="490">
        <f t="shared" si="1"/>
        <v>0</v>
      </c>
      <c r="J15" s="10"/>
      <c r="K15" s="505">
        <f t="shared" si="2"/>
        <v>0</v>
      </c>
      <c r="L15" s="579"/>
    </row>
    <row r="16" spans="1:12" x14ac:dyDescent="0.2">
      <c r="A16" s="429">
        <v>42826</v>
      </c>
      <c r="B16" s="580">
        <f t="shared" si="3"/>
        <v>5864602</v>
      </c>
      <c r="C16" s="495">
        <v>5927895</v>
      </c>
      <c r="D16" s="474">
        <f t="shared" si="0"/>
        <v>63293</v>
      </c>
      <c r="E16" s="634">
        <v>63292.38</v>
      </c>
      <c r="F16" s="578">
        <f t="shared" si="5"/>
        <v>0.62000000000261934</v>
      </c>
      <c r="G16" s="504">
        <f t="shared" si="4"/>
        <v>0</v>
      </c>
      <c r="H16" s="10"/>
      <c r="I16" s="490">
        <f t="shared" si="1"/>
        <v>0</v>
      </c>
      <c r="J16" s="10"/>
      <c r="K16" s="505">
        <f t="shared" si="2"/>
        <v>0</v>
      </c>
      <c r="L16" s="579"/>
    </row>
    <row r="17" spans="1:12" x14ac:dyDescent="0.2">
      <c r="A17" s="429">
        <v>42856</v>
      </c>
      <c r="B17" s="580">
        <f t="shared" si="3"/>
        <v>5927895</v>
      </c>
      <c r="C17" s="433">
        <v>5995212</v>
      </c>
      <c r="D17" s="474">
        <f t="shared" si="0"/>
        <v>67317</v>
      </c>
      <c r="E17" s="634">
        <v>67313.47</v>
      </c>
      <c r="F17" s="578">
        <f t="shared" si="5"/>
        <v>3.5299999999988358</v>
      </c>
      <c r="G17" s="504">
        <f t="shared" si="4"/>
        <v>0</v>
      </c>
      <c r="H17" s="10"/>
      <c r="I17" s="490">
        <f t="shared" si="1"/>
        <v>0</v>
      </c>
      <c r="J17" s="10"/>
      <c r="K17" s="505">
        <f t="shared" si="2"/>
        <v>0</v>
      </c>
      <c r="L17" s="579"/>
    </row>
    <row r="18" spans="1:12" x14ac:dyDescent="0.2">
      <c r="A18" s="429">
        <v>42887</v>
      </c>
      <c r="B18" s="580">
        <f t="shared" si="3"/>
        <v>5995212</v>
      </c>
      <c r="C18" s="433">
        <v>6065754</v>
      </c>
      <c r="D18" s="474">
        <f t="shared" si="0"/>
        <v>70542</v>
      </c>
      <c r="E18" s="634">
        <v>70542.600000000006</v>
      </c>
      <c r="F18" s="578">
        <f t="shared" si="5"/>
        <v>-0.60000000000582077</v>
      </c>
      <c r="G18" s="504">
        <f t="shared" si="4"/>
        <v>0</v>
      </c>
      <c r="H18" s="10"/>
      <c r="I18" s="490">
        <f t="shared" si="1"/>
        <v>0</v>
      </c>
      <c r="J18" s="433"/>
      <c r="K18" s="505">
        <f t="shared" si="2"/>
        <v>0</v>
      </c>
      <c r="L18" s="579"/>
    </row>
    <row r="19" spans="1:12" x14ac:dyDescent="0.2">
      <c r="A19" s="429">
        <v>42917</v>
      </c>
      <c r="B19" s="580">
        <f t="shared" si="3"/>
        <v>6065754</v>
      </c>
      <c r="C19" s="433">
        <v>6141089</v>
      </c>
      <c r="D19" s="474">
        <f t="shared" si="0"/>
        <v>75335</v>
      </c>
      <c r="E19" s="634">
        <v>75335</v>
      </c>
      <c r="F19" s="581">
        <f t="shared" si="5"/>
        <v>0</v>
      </c>
      <c r="G19" s="504">
        <v>2442</v>
      </c>
      <c r="H19" s="433">
        <v>15003</v>
      </c>
      <c r="I19" s="490">
        <f t="shared" si="1"/>
        <v>12561</v>
      </c>
      <c r="J19" s="433"/>
      <c r="K19" s="505">
        <f t="shared" si="2"/>
        <v>12561</v>
      </c>
      <c r="L19" s="579"/>
    </row>
    <row r="20" spans="1:12" x14ac:dyDescent="0.2">
      <c r="A20" s="429">
        <v>42948</v>
      </c>
      <c r="B20" s="580">
        <f t="shared" si="3"/>
        <v>6141089</v>
      </c>
      <c r="C20" s="433">
        <v>6212470</v>
      </c>
      <c r="D20" s="474">
        <f t="shared" si="0"/>
        <v>71381</v>
      </c>
      <c r="E20" s="634">
        <v>71379.899999999994</v>
      </c>
      <c r="F20" s="581">
        <f t="shared" si="5"/>
        <v>1.1000000000058208</v>
      </c>
      <c r="G20" s="504">
        <f t="shared" si="4"/>
        <v>15003</v>
      </c>
      <c r="H20" s="433">
        <v>25033</v>
      </c>
      <c r="I20" s="490">
        <f t="shared" si="1"/>
        <v>10030</v>
      </c>
      <c r="J20" s="433">
        <v>10029.74</v>
      </c>
      <c r="K20" s="505">
        <f t="shared" si="2"/>
        <v>0.26000000000021828</v>
      </c>
      <c r="L20" s="579">
        <f>I20+D20</f>
        <v>81411</v>
      </c>
    </row>
    <row r="21" spans="1:12" x14ac:dyDescent="0.2">
      <c r="A21" s="429">
        <v>42979</v>
      </c>
      <c r="B21" s="580">
        <f t="shared" si="3"/>
        <v>6212470</v>
      </c>
      <c r="C21" s="495">
        <v>6276921</v>
      </c>
      <c r="D21" s="474">
        <f t="shared" si="0"/>
        <v>64451</v>
      </c>
      <c r="E21" s="637">
        <v>64450.62</v>
      </c>
      <c r="F21" s="581">
        <f t="shared" si="5"/>
        <v>0.37999999999738066</v>
      </c>
      <c r="G21" s="504">
        <f t="shared" si="4"/>
        <v>25033</v>
      </c>
      <c r="H21" s="495">
        <v>32815</v>
      </c>
      <c r="I21" s="490">
        <f t="shared" si="1"/>
        <v>7782</v>
      </c>
      <c r="J21" s="495">
        <v>7781.72</v>
      </c>
      <c r="K21" s="505">
        <f t="shared" si="2"/>
        <v>0.27999999999974534</v>
      </c>
      <c r="L21" s="579">
        <f t="shared" ref="L21:L54" si="6">I21+D21</f>
        <v>72233</v>
      </c>
    </row>
    <row r="22" spans="1:12" x14ac:dyDescent="0.2">
      <c r="A22" s="429">
        <v>43009</v>
      </c>
      <c r="B22" s="580">
        <f t="shared" si="3"/>
        <v>6276921</v>
      </c>
      <c r="C22" s="495">
        <v>6352831</v>
      </c>
      <c r="D22" s="474">
        <f t="shared" si="0"/>
        <v>75910</v>
      </c>
      <c r="E22" s="637">
        <v>75906.789999999994</v>
      </c>
      <c r="F22" s="581">
        <f t="shared" si="5"/>
        <v>3.2100000000064028</v>
      </c>
      <c r="G22" s="504">
        <f t="shared" si="4"/>
        <v>32815</v>
      </c>
      <c r="H22" s="495">
        <v>39587</v>
      </c>
      <c r="I22" s="490">
        <f t="shared" si="1"/>
        <v>6772</v>
      </c>
      <c r="J22" s="495">
        <v>6772.04</v>
      </c>
      <c r="K22" s="505">
        <f t="shared" si="2"/>
        <v>-3.999999999996362E-2</v>
      </c>
      <c r="L22" s="579">
        <f t="shared" si="6"/>
        <v>82682</v>
      </c>
    </row>
    <row r="23" spans="1:12" x14ac:dyDescent="0.2">
      <c r="A23" s="429">
        <v>43040</v>
      </c>
      <c r="B23" s="580">
        <f t="shared" si="3"/>
        <v>6352831</v>
      </c>
      <c r="C23" s="495">
        <v>6410003</v>
      </c>
      <c r="D23" s="474">
        <f t="shared" si="0"/>
        <v>57172</v>
      </c>
      <c r="E23" s="637">
        <v>57171.51</v>
      </c>
      <c r="F23" s="581">
        <f t="shared" si="5"/>
        <v>0.48999999999796273</v>
      </c>
      <c r="G23" s="504">
        <f t="shared" si="4"/>
        <v>39587</v>
      </c>
      <c r="H23" s="495">
        <v>45717</v>
      </c>
      <c r="I23" s="490">
        <f t="shared" si="1"/>
        <v>6130</v>
      </c>
      <c r="J23" s="495">
        <v>6129.55</v>
      </c>
      <c r="K23" s="505">
        <f t="shared" si="2"/>
        <v>0.4499999999998181</v>
      </c>
      <c r="L23" s="579">
        <f t="shared" si="6"/>
        <v>63302</v>
      </c>
    </row>
    <row r="24" spans="1:12" x14ac:dyDescent="0.2">
      <c r="A24" s="429">
        <v>43070</v>
      </c>
      <c r="B24" s="580">
        <f t="shared" si="3"/>
        <v>6410003</v>
      </c>
      <c r="C24" s="433">
        <v>6476953</v>
      </c>
      <c r="D24" s="474">
        <f t="shared" si="0"/>
        <v>66950</v>
      </c>
      <c r="E24" s="634">
        <v>66951.14</v>
      </c>
      <c r="F24" s="581">
        <f t="shared" si="5"/>
        <v>-1.1399999999994179</v>
      </c>
      <c r="G24" s="504">
        <f t="shared" si="4"/>
        <v>45717</v>
      </c>
      <c r="H24" s="433">
        <v>52890</v>
      </c>
      <c r="I24" s="490">
        <f t="shared" si="1"/>
        <v>7173</v>
      </c>
      <c r="J24" s="433">
        <v>7173.94</v>
      </c>
      <c r="K24" s="505">
        <f t="shared" si="2"/>
        <v>-0.93999999999959982</v>
      </c>
      <c r="L24" s="579">
        <f t="shared" si="6"/>
        <v>74123</v>
      </c>
    </row>
    <row r="25" spans="1:12" x14ac:dyDescent="0.2">
      <c r="A25" s="429">
        <v>43101</v>
      </c>
      <c r="B25" s="580">
        <f t="shared" si="3"/>
        <v>6476953</v>
      </c>
      <c r="C25" s="433">
        <v>6542879</v>
      </c>
      <c r="D25" s="474">
        <f t="shared" si="0"/>
        <v>65926</v>
      </c>
      <c r="E25" s="634">
        <v>65927.77</v>
      </c>
      <c r="F25" s="581">
        <f t="shared" si="5"/>
        <v>-1.7700000000040745</v>
      </c>
      <c r="G25" s="504">
        <f t="shared" si="4"/>
        <v>52890</v>
      </c>
      <c r="H25" s="433">
        <v>59763</v>
      </c>
      <c r="I25" s="490">
        <f t="shared" si="1"/>
        <v>6873</v>
      </c>
      <c r="J25" s="433">
        <v>6874.87</v>
      </c>
      <c r="K25" s="505">
        <f t="shared" si="2"/>
        <v>-1.8699999999998909</v>
      </c>
      <c r="L25" s="579">
        <f t="shared" si="6"/>
        <v>72799</v>
      </c>
    </row>
    <row r="26" spans="1:12" x14ac:dyDescent="0.2">
      <c r="A26" s="429">
        <v>43132</v>
      </c>
      <c r="B26" s="580">
        <f t="shared" si="3"/>
        <v>6542879</v>
      </c>
      <c r="C26" s="433">
        <v>6604433</v>
      </c>
      <c r="D26" s="474">
        <f t="shared" si="0"/>
        <v>61554</v>
      </c>
      <c r="E26" s="638">
        <v>61553.03</v>
      </c>
      <c r="F26" s="581">
        <f t="shared" si="5"/>
        <v>0.97000000000116415</v>
      </c>
      <c r="G26" s="504">
        <f t="shared" si="4"/>
        <v>59763</v>
      </c>
      <c r="H26" s="433">
        <v>66652</v>
      </c>
      <c r="I26" s="490">
        <f t="shared" si="1"/>
        <v>6889</v>
      </c>
      <c r="J26" s="433">
        <v>6890.89</v>
      </c>
      <c r="K26" s="505">
        <f t="shared" si="2"/>
        <v>-1.8900000000003274</v>
      </c>
      <c r="L26" s="579">
        <f t="shared" si="6"/>
        <v>68443</v>
      </c>
    </row>
    <row r="27" spans="1:12" x14ac:dyDescent="0.2">
      <c r="A27" s="429">
        <v>43160</v>
      </c>
      <c r="B27" s="580">
        <f t="shared" si="3"/>
        <v>6604433</v>
      </c>
      <c r="C27" s="495">
        <v>6660226</v>
      </c>
      <c r="D27" s="474">
        <f t="shared" si="0"/>
        <v>55793</v>
      </c>
      <c r="E27" s="637">
        <v>55792.75</v>
      </c>
      <c r="F27" s="581">
        <f t="shared" si="5"/>
        <v>0.25</v>
      </c>
      <c r="G27" s="504">
        <f t="shared" si="4"/>
        <v>66652</v>
      </c>
      <c r="H27" s="495">
        <v>77607</v>
      </c>
      <c r="I27" s="490">
        <f t="shared" si="1"/>
        <v>10955</v>
      </c>
      <c r="J27" s="495">
        <v>10955.45</v>
      </c>
      <c r="K27" s="505">
        <f t="shared" si="2"/>
        <v>-0.4500000000007276</v>
      </c>
      <c r="L27" s="579">
        <f t="shared" si="6"/>
        <v>66748</v>
      </c>
    </row>
    <row r="28" spans="1:12" x14ac:dyDescent="0.2">
      <c r="A28" s="429">
        <v>43191</v>
      </c>
      <c r="B28" s="580">
        <f t="shared" si="3"/>
        <v>6660226</v>
      </c>
      <c r="C28" s="433">
        <v>6714539</v>
      </c>
      <c r="D28" s="474">
        <f t="shared" si="0"/>
        <v>54313</v>
      </c>
      <c r="E28" s="637">
        <v>54312.28</v>
      </c>
      <c r="F28" s="581">
        <f t="shared" si="5"/>
        <v>0.72000000000116415</v>
      </c>
      <c r="G28" s="504">
        <f t="shared" si="4"/>
        <v>77607</v>
      </c>
      <c r="H28" s="433">
        <v>82271</v>
      </c>
      <c r="I28" s="490">
        <f t="shared" si="1"/>
        <v>4664</v>
      </c>
      <c r="J28" s="495">
        <v>4665.22</v>
      </c>
      <c r="K28" s="505">
        <f t="shared" si="2"/>
        <v>-1.2200000000002547</v>
      </c>
      <c r="L28" s="579">
        <f t="shared" si="6"/>
        <v>58977</v>
      </c>
    </row>
    <row r="29" spans="1:12" x14ac:dyDescent="0.2">
      <c r="A29" s="473">
        <v>43221</v>
      </c>
      <c r="B29" s="582">
        <f t="shared" si="3"/>
        <v>6714539</v>
      </c>
      <c r="C29" s="710">
        <v>6774547</v>
      </c>
      <c r="D29" s="639">
        <f t="shared" si="0"/>
        <v>60008</v>
      </c>
      <c r="E29" s="634">
        <v>60007.47</v>
      </c>
      <c r="F29" s="581">
        <f t="shared" si="5"/>
        <v>0.52999999999883585</v>
      </c>
      <c r="G29" s="504">
        <f t="shared" si="4"/>
        <v>82271</v>
      </c>
      <c r="H29" s="433">
        <v>88664</v>
      </c>
      <c r="I29" s="490">
        <f t="shared" si="1"/>
        <v>6393</v>
      </c>
      <c r="J29" s="433">
        <v>6392.14</v>
      </c>
      <c r="K29" s="505">
        <f t="shared" si="2"/>
        <v>0.85999999999967258</v>
      </c>
      <c r="L29" s="579">
        <f t="shared" si="6"/>
        <v>66401</v>
      </c>
    </row>
    <row r="30" spans="1:12" x14ac:dyDescent="0.2">
      <c r="A30" s="429">
        <v>43252</v>
      </c>
      <c r="B30" s="582">
        <f t="shared" si="3"/>
        <v>6774547</v>
      </c>
      <c r="C30" s="433">
        <v>6845214</v>
      </c>
      <c r="D30" s="639">
        <f t="shared" si="0"/>
        <v>70667</v>
      </c>
      <c r="E30" s="634">
        <v>70666.289999999994</v>
      </c>
      <c r="F30" s="581">
        <f t="shared" si="5"/>
        <v>0.71000000000640284</v>
      </c>
      <c r="G30" s="504">
        <f t="shared" si="4"/>
        <v>88664</v>
      </c>
      <c r="H30" s="433">
        <v>99683</v>
      </c>
      <c r="I30" s="490">
        <f t="shared" si="1"/>
        <v>11019</v>
      </c>
      <c r="J30" s="495">
        <v>11020.51</v>
      </c>
      <c r="K30" s="505">
        <f t="shared" si="2"/>
        <v>-1.5100000000002183</v>
      </c>
      <c r="L30" s="579">
        <f t="shared" si="6"/>
        <v>81686</v>
      </c>
    </row>
    <row r="31" spans="1:12" x14ac:dyDescent="0.2">
      <c r="A31" s="429">
        <v>43282</v>
      </c>
      <c r="B31" s="582">
        <f t="shared" si="3"/>
        <v>6845214</v>
      </c>
      <c r="C31" s="495">
        <v>6921964</v>
      </c>
      <c r="D31" s="639">
        <f t="shared" si="0"/>
        <v>76750</v>
      </c>
      <c r="E31" s="637">
        <v>76750.25</v>
      </c>
      <c r="F31" s="581">
        <f t="shared" si="5"/>
        <v>-0.25</v>
      </c>
      <c r="G31" s="504">
        <f t="shared" si="4"/>
        <v>99683</v>
      </c>
      <c r="H31" s="495">
        <v>107936</v>
      </c>
      <c r="I31" s="490">
        <f t="shared" si="1"/>
        <v>8253</v>
      </c>
      <c r="J31" s="495">
        <v>8252.24</v>
      </c>
      <c r="K31" s="505">
        <f t="shared" si="2"/>
        <v>0.76000000000021828</v>
      </c>
      <c r="L31" s="579">
        <f t="shared" si="6"/>
        <v>85003</v>
      </c>
    </row>
    <row r="32" spans="1:12" x14ac:dyDescent="0.2">
      <c r="A32" s="429">
        <v>43313</v>
      </c>
      <c r="B32" s="582">
        <f t="shared" si="3"/>
        <v>6921964</v>
      </c>
      <c r="C32" s="495">
        <v>7001142</v>
      </c>
      <c r="D32" s="639">
        <f t="shared" si="0"/>
        <v>79178</v>
      </c>
      <c r="E32" s="637">
        <v>79179.56</v>
      </c>
      <c r="F32" s="581">
        <f t="shared" si="5"/>
        <v>-1.5599999999976717</v>
      </c>
      <c r="G32" s="504">
        <f t="shared" si="4"/>
        <v>107936</v>
      </c>
      <c r="H32" s="495">
        <v>116730</v>
      </c>
      <c r="I32" s="490">
        <f t="shared" si="1"/>
        <v>8794</v>
      </c>
      <c r="J32" s="495">
        <v>8793.1200000000008</v>
      </c>
      <c r="K32" s="505">
        <f t="shared" si="2"/>
        <v>0.87999999999919964</v>
      </c>
      <c r="L32" s="579">
        <f t="shared" si="6"/>
        <v>87972</v>
      </c>
    </row>
    <row r="33" spans="1:12" x14ac:dyDescent="0.2">
      <c r="A33" s="429">
        <v>43344</v>
      </c>
      <c r="B33" s="582">
        <f t="shared" si="3"/>
        <v>7001142</v>
      </c>
      <c r="C33" s="495">
        <v>7074217</v>
      </c>
      <c r="D33" s="639">
        <f t="shared" si="0"/>
        <v>73075</v>
      </c>
      <c r="E33" s="637">
        <v>73076.960000000006</v>
      </c>
      <c r="F33" s="581">
        <f t="shared" si="5"/>
        <v>-1.9600000000064028</v>
      </c>
      <c r="G33" s="504">
        <f t="shared" si="4"/>
        <v>116730</v>
      </c>
      <c r="H33" s="495">
        <v>127346</v>
      </c>
      <c r="I33" s="490">
        <f t="shared" si="1"/>
        <v>10616</v>
      </c>
      <c r="J33" s="495">
        <v>10615.37</v>
      </c>
      <c r="K33" s="505">
        <f t="shared" si="2"/>
        <v>0.62999999999919964</v>
      </c>
      <c r="L33" s="579">
        <f t="shared" si="6"/>
        <v>83691</v>
      </c>
    </row>
    <row r="34" spans="1:12" x14ac:dyDescent="0.2">
      <c r="A34" s="429">
        <v>43374</v>
      </c>
      <c r="B34" s="582">
        <f t="shared" si="3"/>
        <v>7074217</v>
      </c>
      <c r="C34" s="433">
        <v>7154506</v>
      </c>
      <c r="D34" s="639">
        <f t="shared" si="0"/>
        <v>80289</v>
      </c>
      <c r="E34" s="634">
        <v>80287.839999999997</v>
      </c>
      <c r="F34" s="581">
        <f t="shared" si="5"/>
        <v>1.1600000000034925</v>
      </c>
      <c r="G34" s="504">
        <f t="shared" si="4"/>
        <v>127346</v>
      </c>
      <c r="H34" s="433">
        <v>134840</v>
      </c>
      <c r="I34" s="490">
        <f t="shared" si="1"/>
        <v>7494</v>
      </c>
      <c r="J34" s="433">
        <v>7493.99</v>
      </c>
      <c r="K34" s="505">
        <f t="shared" si="2"/>
        <v>1.0000000000218279E-2</v>
      </c>
      <c r="L34" s="579">
        <f t="shared" si="6"/>
        <v>87783</v>
      </c>
    </row>
    <row r="35" spans="1:12" x14ac:dyDescent="0.2">
      <c r="A35" s="429">
        <v>43405</v>
      </c>
      <c r="B35" s="582">
        <f t="shared" si="3"/>
        <v>7154506</v>
      </c>
      <c r="C35" s="433">
        <v>7225359</v>
      </c>
      <c r="D35" s="639">
        <f t="shared" si="0"/>
        <v>70853</v>
      </c>
      <c r="E35" s="634">
        <v>70852.88</v>
      </c>
      <c r="F35" s="581">
        <f t="shared" si="5"/>
        <v>0.11999999999534339</v>
      </c>
      <c r="G35" s="504">
        <f t="shared" si="4"/>
        <v>134840</v>
      </c>
      <c r="H35" s="433">
        <v>145302</v>
      </c>
      <c r="I35" s="490">
        <f t="shared" si="1"/>
        <v>10462</v>
      </c>
      <c r="J35" s="433">
        <v>10462.700000000001</v>
      </c>
      <c r="K35" s="505">
        <f t="shared" si="2"/>
        <v>-0.7000000000007276</v>
      </c>
      <c r="L35" s="579">
        <f t="shared" si="6"/>
        <v>81315</v>
      </c>
    </row>
    <row r="36" spans="1:12" x14ac:dyDescent="0.2">
      <c r="A36" s="429">
        <v>43435</v>
      </c>
      <c r="B36" s="582">
        <f t="shared" si="3"/>
        <v>7225359</v>
      </c>
      <c r="C36" s="433">
        <v>7296581</v>
      </c>
      <c r="D36" s="639">
        <f t="shared" si="0"/>
        <v>71222</v>
      </c>
      <c r="E36" s="634">
        <v>71221.22</v>
      </c>
      <c r="F36" s="581">
        <f t="shared" si="5"/>
        <v>0.77999999999883585</v>
      </c>
      <c r="G36" s="504">
        <f t="shared" si="4"/>
        <v>145302</v>
      </c>
      <c r="H36" s="433">
        <v>154999</v>
      </c>
      <c r="I36" s="490">
        <f t="shared" si="1"/>
        <v>9697</v>
      </c>
      <c r="J36" s="433">
        <v>9696.7999999999993</v>
      </c>
      <c r="K36" s="505">
        <f t="shared" si="2"/>
        <v>0.2000000000007276</v>
      </c>
      <c r="L36" s="579">
        <f t="shared" si="6"/>
        <v>80919</v>
      </c>
    </row>
    <row r="37" spans="1:12" x14ac:dyDescent="0.2">
      <c r="A37" s="429">
        <v>43466</v>
      </c>
      <c r="B37" s="582">
        <f t="shared" si="3"/>
        <v>7296581</v>
      </c>
      <c r="C37" s="433"/>
      <c r="D37" s="639">
        <f t="shared" si="0"/>
        <v>-7296581</v>
      </c>
      <c r="E37" s="634"/>
      <c r="F37" s="581">
        <f t="shared" si="5"/>
        <v>-7296581</v>
      </c>
      <c r="G37" s="504">
        <f t="shared" si="4"/>
        <v>154999</v>
      </c>
      <c r="H37" s="433"/>
      <c r="I37" s="490">
        <f t="shared" si="1"/>
        <v>-154999</v>
      </c>
      <c r="J37" s="433"/>
      <c r="K37" s="505">
        <f t="shared" si="2"/>
        <v>-154999</v>
      </c>
      <c r="L37" s="579">
        <f t="shared" si="6"/>
        <v>-7451580</v>
      </c>
    </row>
    <row r="38" spans="1:12" x14ac:dyDescent="0.2">
      <c r="A38" s="429">
        <v>43497</v>
      </c>
      <c r="B38" s="582">
        <f t="shared" si="3"/>
        <v>0</v>
      </c>
      <c r="C38" s="433"/>
      <c r="D38" s="639">
        <f t="shared" si="0"/>
        <v>0</v>
      </c>
      <c r="E38" s="634"/>
      <c r="F38" s="581">
        <f t="shared" si="5"/>
        <v>0</v>
      </c>
      <c r="G38" s="504">
        <f t="shared" si="4"/>
        <v>0</v>
      </c>
      <c r="H38" s="433"/>
      <c r="I38" s="490">
        <f t="shared" si="1"/>
        <v>0</v>
      </c>
      <c r="J38" s="433"/>
      <c r="K38" s="505">
        <f t="shared" si="2"/>
        <v>0</v>
      </c>
      <c r="L38" s="579">
        <f t="shared" si="6"/>
        <v>0</v>
      </c>
    </row>
    <row r="39" spans="1:12" x14ac:dyDescent="0.2">
      <c r="A39" s="429">
        <v>43525</v>
      </c>
      <c r="B39" s="582">
        <f t="shared" si="3"/>
        <v>0</v>
      </c>
      <c r="C39" s="433"/>
      <c r="D39" s="639">
        <f t="shared" si="0"/>
        <v>0</v>
      </c>
      <c r="E39" s="634"/>
      <c r="F39" s="581">
        <f t="shared" si="5"/>
        <v>0</v>
      </c>
      <c r="G39" s="504">
        <f t="shared" si="4"/>
        <v>0</v>
      </c>
      <c r="H39" s="433"/>
      <c r="I39" s="490">
        <f t="shared" si="1"/>
        <v>0</v>
      </c>
      <c r="J39" s="433"/>
      <c r="K39" s="505">
        <f t="shared" si="2"/>
        <v>0</v>
      </c>
      <c r="L39" s="579">
        <f t="shared" si="6"/>
        <v>0</v>
      </c>
    </row>
    <row r="40" spans="1:12" x14ac:dyDescent="0.2">
      <c r="A40" s="429">
        <v>43556</v>
      </c>
      <c r="B40" s="582">
        <f t="shared" si="3"/>
        <v>0</v>
      </c>
      <c r="C40" s="433"/>
      <c r="D40" s="639">
        <f t="shared" si="0"/>
        <v>0</v>
      </c>
      <c r="E40" s="634"/>
      <c r="F40" s="581">
        <f t="shared" si="5"/>
        <v>0</v>
      </c>
      <c r="G40" s="504">
        <f t="shared" si="4"/>
        <v>0</v>
      </c>
      <c r="H40" s="433"/>
      <c r="I40" s="490">
        <f t="shared" si="1"/>
        <v>0</v>
      </c>
      <c r="J40" s="433"/>
      <c r="K40" s="505">
        <f t="shared" si="2"/>
        <v>0</v>
      </c>
      <c r="L40" s="579">
        <f t="shared" si="6"/>
        <v>0</v>
      </c>
    </row>
    <row r="41" spans="1:12" x14ac:dyDescent="0.2">
      <c r="A41" s="429">
        <v>43586</v>
      </c>
      <c r="B41" s="582">
        <f t="shared" si="3"/>
        <v>0</v>
      </c>
      <c r="C41" s="433"/>
      <c r="D41" s="639">
        <f t="shared" si="0"/>
        <v>0</v>
      </c>
      <c r="E41" s="47"/>
      <c r="F41" s="581">
        <f t="shared" si="5"/>
        <v>0</v>
      </c>
      <c r="G41" s="504">
        <f t="shared" si="4"/>
        <v>0</v>
      </c>
      <c r="H41" s="433"/>
      <c r="I41" s="490">
        <f t="shared" si="1"/>
        <v>0</v>
      </c>
      <c r="J41" s="433"/>
      <c r="K41" s="505">
        <f t="shared" si="2"/>
        <v>0</v>
      </c>
      <c r="L41" s="579">
        <f t="shared" si="6"/>
        <v>0</v>
      </c>
    </row>
    <row r="42" spans="1:12" x14ac:dyDescent="0.2">
      <c r="A42" s="429">
        <v>43617</v>
      </c>
      <c r="B42" s="580">
        <f t="shared" si="3"/>
        <v>0</v>
      </c>
      <c r="C42" s="707"/>
      <c r="D42" s="474">
        <f t="shared" si="0"/>
        <v>0</v>
      </c>
      <c r="E42" s="47"/>
      <c r="F42" s="581">
        <f t="shared" si="5"/>
        <v>0</v>
      </c>
      <c r="G42" s="504">
        <f t="shared" si="4"/>
        <v>0</v>
      </c>
      <c r="H42" s="433"/>
      <c r="I42" s="490">
        <f t="shared" si="1"/>
        <v>0</v>
      </c>
      <c r="J42" s="433"/>
      <c r="K42" s="505">
        <f t="shared" si="2"/>
        <v>0</v>
      </c>
      <c r="L42" s="579">
        <f t="shared" si="6"/>
        <v>0</v>
      </c>
    </row>
    <row r="43" spans="1:12" x14ac:dyDescent="0.2">
      <c r="A43" s="429">
        <v>43647</v>
      </c>
      <c r="B43" s="580">
        <f t="shared" si="3"/>
        <v>0</v>
      </c>
      <c r="C43" s="707"/>
      <c r="D43" s="474">
        <f t="shared" si="0"/>
        <v>0</v>
      </c>
      <c r="E43" s="47"/>
      <c r="F43" s="581">
        <f t="shared" si="5"/>
        <v>0</v>
      </c>
      <c r="G43" s="504">
        <f t="shared" si="4"/>
        <v>0</v>
      </c>
      <c r="H43" s="433"/>
      <c r="I43" s="490">
        <f t="shared" si="1"/>
        <v>0</v>
      </c>
      <c r="J43" s="433"/>
      <c r="K43" s="505">
        <f t="shared" si="2"/>
        <v>0</v>
      </c>
      <c r="L43" s="579">
        <f t="shared" si="6"/>
        <v>0</v>
      </c>
    </row>
    <row r="44" spans="1:12" x14ac:dyDescent="0.2">
      <c r="A44" s="429">
        <v>43678</v>
      </c>
      <c r="B44" s="580">
        <f t="shared" si="3"/>
        <v>0</v>
      </c>
      <c r="C44" s="707"/>
      <c r="D44" s="474">
        <f t="shared" si="0"/>
        <v>0</v>
      </c>
      <c r="E44" s="47"/>
      <c r="F44" s="581">
        <f t="shared" si="5"/>
        <v>0</v>
      </c>
      <c r="G44" s="504">
        <f t="shared" si="4"/>
        <v>0</v>
      </c>
      <c r="H44" s="433"/>
      <c r="I44" s="490">
        <f t="shared" si="1"/>
        <v>0</v>
      </c>
      <c r="J44" s="433"/>
      <c r="K44" s="505">
        <f t="shared" si="2"/>
        <v>0</v>
      </c>
      <c r="L44" s="579">
        <f t="shared" si="6"/>
        <v>0</v>
      </c>
    </row>
    <row r="45" spans="1:12" x14ac:dyDescent="0.2">
      <c r="A45" s="429">
        <v>43709</v>
      </c>
      <c r="B45" s="580">
        <f t="shared" si="3"/>
        <v>0</v>
      </c>
      <c r="C45" s="707"/>
      <c r="D45" s="474">
        <f t="shared" si="0"/>
        <v>0</v>
      </c>
      <c r="E45" s="47"/>
      <c r="F45" s="581">
        <f t="shared" si="5"/>
        <v>0</v>
      </c>
      <c r="G45" s="504">
        <f t="shared" si="4"/>
        <v>0</v>
      </c>
      <c r="H45" s="433"/>
      <c r="I45" s="490">
        <f t="shared" si="1"/>
        <v>0</v>
      </c>
      <c r="J45" s="433"/>
      <c r="K45" s="505">
        <f t="shared" si="2"/>
        <v>0</v>
      </c>
      <c r="L45" s="579">
        <f t="shared" si="6"/>
        <v>0</v>
      </c>
    </row>
    <row r="46" spans="1:12" x14ac:dyDescent="0.2">
      <c r="A46" s="429">
        <v>43739</v>
      </c>
      <c r="B46" s="580">
        <f t="shared" si="3"/>
        <v>0</v>
      </c>
      <c r="C46" s="707"/>
      <c r="D46" s="474">
        <f t="shared" si="0"/>
        <v>0</v>
      </c>
      <c r="E46" s="47"/>
      <c r="F46" s="581">
        <f t="shared" si="5"/>
        <v>0</v>
      </c>
      <c r="G46" s="504">
        <f t="shared" si="4"/>
        <v>0</v>
      </c>
      <c r="H46" s="433"/>
      <c r="I46" s="490">
        <f t="shared" si="1"/>
        <v>0</v>
      </c>
      <c r="J46" s="433"/>
      <c r="K46" s="505">
        <f t="shared" si="2"/>
        <v>0</v>
      </c>
      <c r="L46" s="579">
        <f t="shared" si="6"/>
        <v>0</v>
      </c>
    </row>
    <row r="47" spans="1:12" x14ac:dyDescent="0.2">
      <c r="A47" s="429">
        <v>43770</v>
      </c>
      <c r="B47" s="580">
        <f t="shared" si="3"/>
        <v>0</v>
      </c>
      <c r="C47" s="707"/>
      <c r="D47" s="474">
        <f t="shared" si="0"/>
        <v>0</v>
      </c>
      <c r="E47" s="47"/>
      <c r="F47" s="581">
        <f t="shared" si="5"/>
        <v>0</v>
      </c>
      <c r="G47" s="504">
        <f t="shared" si="4"/>
        <v>0</v>
      </c>
      <c r="H47" s="433"/>
      <c r="I47" s="490">
        <f t="shared" si="1"/>
        <v>0</v>
      </c>
      <c r="J47" s="433"/>
      <c r="K47" s="505">
        <f t="shared" si="2"/>
        <v>0</v>
      </c>
      <c r="L47" s="579">
        <f t="shared" si="6"/>
        <v>0</v>
      </c>
    </row>
    <row r="48" spans="1:12" x14ac:dyDescent="0.2">
      <c r="A48" s="429">
        <v>43800</v>
      </c>
      <c r="B48" s="580">
        <f t="shared" si="3"/>
        <v>0</v>
      </c>
      <c r="C48" s="707"/>
      <c r="D48" s="474">
        <f t="shared" si="0"/>
        <v>0</v>
      </c>
      <c r="E48" s="47"/>
      <c r="F48" s="581">
        <f t="shared" si="5"/>
        <v>0</v>
      </c>
      <c r="G48" s="504">
        <f t="shared" si="4"/>
        <v>0</v>
      </c>
      <c r="H48" s="433"/>
      <c r="I48" s="490">
        <f t="shared" si="1"/>
        <v>0</v>
      </c>
      <c r="J48" s="433"/>
      <c r="K48" s="505">
        <f t="shared" si="2"/>
        <v>0</v>
      </c>
      <c r="L48" s="579">
        <f t="shared" si="6"/>
        <v>0</v>
      </c>
    </row>
    <row r="49" spans="1:12" x14ac:dyDescent="0.2">
      <c r="A49" s="429">
        <v>43831</v>
      </c>
      <c r="B49" s="580">
        <f t="shared" si="3"/>
        <v>0</v>
      </c>
      <c r="C49" s="707"/>
      <c r="D49" s="474">
        <f t="shared" si="0"/>
        <v>0</v>
      </c>
      <c r="E49" s="47"/>
      <c r="F49" s="581">
        <f t="shared" si="5"/>
        <v>0</v>
      </c>
      <c r="G49" s="504">
        <f t="shared" si="4"/>
        <v>0</v>
      </c>
      <c r="H49" s="433"/>
      <c r="I49" s="490">
        <f t="shared" si="1"/>
        <v>0</v>
      </c>
      <c r="J49" s="433"/>
      <c r="K49" s="505">
        <f t="shared" si="2"/>
        <v>0</v>
      </c>
      <c r="L49" s="579">
        <f t="shared" si="6"/>
        <v>0</v>
      </c>
    </row>
    <row r="50" spans="1:12" x14ac:dyDescent="0.2">
      <c r="A50" s="429">
        <v>43862</v>
      </c>
      <c r="B50" s="580">
        <f t="shared" si="3"/>
        <v>0</v>
      </c>
      <c r="C50" s="707"/>
      <c r="D50" s="474">
        <f t="shared" si="0"/>
        <v>0</v>
      </c>
      <c r="E50" s="47"/>
      <c r="F50" s="581">
        <f t="shared" si="5"/>
        <v>0</v>
      </c>
      <c r="G50" s="504">
        <f t="shared" si="4"/>
        <v>0</v>
      </c>
      <c r="H50" s="433"/>
      <c r="I50" s="490">
        <f t="shared" si="1"/>
        <v>0</v>
      </c>
      <c r="J50" s="433"/>
      <c r="K50" s="505">
        <f t="shared" si="2"/>
        <v>0</v>
      </c>
      <c r="L50" s="579">
        <f t="shared" si="6"/>
        <v>0</v>
      </c>
    </row>
    <row r="51" spans="1:12" x14ac:dyDescent="0.2">
      <c r="A51" s="429">
        <v>43891</v>
      </c>
      <c r="B51" s="580">
        <f t="shared" si="3"/>
        <v>0</v>
      </c>
      <c r="C51" s="707"/>
      <c r="D51" s="474">
        <f t="shared" si="0"/>
        <v>0</v>
      </c>
      <c r="E51" s="47"/>
      <c r="F51" s="581">
        <f t="shared" si="5"/>
        <v>0</v>
      </c>
      <c r="G51" s="504">
        <f t="shared" si="4"/>
        <v>0</v>
      </c>
      <c r="H51" s="433"/>
      <c r="I51" s="490">
        <f t="shared" si="1"/>
        <v>0</v>
      </c>
      <c r="J51" s="433"/>
      <c r="K51" s="505">
        <f t="shared" si="2"/>
        <v>0</v>
      </c>
      <c r="L51" s="579">
        <f t="shared" si="6"/>
        <v>0</v>
      </c>
    </row>
    <row r="52" spans="1:12" x14ac:dyDescent="0.2">
      <c r="A52" s="429">
        <v>43922</v>
      </c>
      <c r="B52" s="580">
        <f t="shared" si="3"/>
        <v>0</v>
      </c>
      <c r="C52" s="707"/>
      <c r="D52" s="474">
        <f t="shared" si="0"/>
        <v>0</v>
      </c>
      <c r="E52" s="47"/>
      <c r="F52" s="581">
        <f t="shared" si="5"/>
        <v>0</v>
      </c>
      <c r="G52" s="504">
        <f t="shared" si="4"/>
        <v>0</v>
      </c>
      <c r="H52" s="433"/>
      <c r="I52" s="490">
        <f t="shared" si="1"/>
        <v>0</v>
      </c>
      <c r="J52" s="433"/>
      <c r="K52" s="505">
        <f t="shared" si="2"/>
        <v>0</v>
      </c>
      <c r="L52" s="579">
        <f t="shared" si="6"/>
        <v>0</v>
      </c>
    </row>
    <row r="53" spans="1:12" x14ac:dyDescent="0.2">
      <c r="A53" s="429">
        <v>43586</v>
      </c>
      <c r="B53" s="580">
        <f t="shared" si="3"/>
        <v>0</v>
      </c>
      <c r="C53" s="707"/>
      <c r="D53" s="474">
        <f t="shared" si="0"/>
        <v>0</v>
      </c>
      <c r="E53" s="47"/>
      <c r="F53" s="581">
        <f t="shared" si="5"/>
        <v>0</v>
      </c>
      <c r="G53" s="504">
        <f t="shared" si="4"/>
        <v>0</v>
      </c>
      <c r="H53" s="433"/>
      <c r="I53" s="490">
        <f t="shared" si="1"/>
        <v>0</v>
      </c>
      <c r="J53" s="433"/>
      <c r="K53" s="505">
        <f t="shared" si="2"/>
        <v>0</v>
      </c>
      <c r="L53" s="579">
        <f t="shared" si="6"/>
        <v>0</v>
      </c>
    </row>
    <row r="54" spans="1:12" ht="13.5" thickBot="1" x14ac:dyDescent="0.25">
      <c r="A54" s="429">
        <v>43983</v>
      </c>
      <c r="B54" s="640">
        <f t="shared" si="3"/>
        <v>0</v>
      </c>
      <c r="C54" s="708"/>
      <c r="D54" s="551">
        <f t="shared" si="0"/>
        <v>0</v>
      </c>
      <c r="E54" s="47"/>
      <c r="F54" s="581">
        <f t="shared" si="5"/>
        <v>0</v>
      </c>
      <c r="G54" s="504">
        <f t="shared" si="4"/>
        <v>0</v>
      </c>
      <c r="H54" s="433"/>
      <c r="I54" s="490">
        <f t="shared" si="1"/>
        <v>0</v>
      </c>
      <c r="J54" s="433"/>
      <c r="K54" s="505">
        <f t="shared" si="2"/>
        <v>0</v>
      </c>
      <c r="L54" s="579">
        <f t="shared" si="6"/>
        <v>0</v>
      </c>
    </row>
    <row r="55" spans="1:12" ht="13.5" thickBot="1" x14ac:dyDescent="0.25"/>
    <row r="56" spans="1:12" x14ac:dyDescent="0.2">
      <c r="C56" s="35"/>
      <c r="D56" s="819"/>
      <c r="I56" s="922"/>
      <c r="J56" s="924"/>
    </row>
    <row r="57" spans="1:12" x14ac:dyDescent="0.2">
      <c r="C57" s="925"/>
      <c r="D57" s="927"/>
      <c r="I57" s="925"/>
      <c r="J57" s="927"/>
    </row>
    <row r="58" spans="1:12" x14ac:dyDescent="0.2">
      <c r="C58" s="925"/>
      <c r="D58" s="927"/>
      <c r="I58" s="925"/>
      <c r="J58" s="927"/>
    </row>
    <row r="59" spans="1:12" x14ac:dyDescent="0.2">
      <c r="C59" s="925"/>
      <c r="D59" s="927"/>
      <c r="I59" s="925"/>
      <c r="J59" s="927"/>
    </row>
    <row r="60" spans="1:12" x14ac:dyDescent="0.2">
      <c r="C60" s="925"/>
      <c r="D60" s="927"/>
      <c r="I60" s="925"/>
      <c r="J60" s="927"/>
    </row>
    <row r="61" spans="1:12" x14ac:dyDescent="0.2">
      <c r="C61" s="925"/>
      <c r="D61" s="927"/>
      <c r="I61" s="925"/>
      <c r="J61" s="927"/>
    </row>
    <row r="62" spans="1:12" x14ac:dyDescent="0.2">
      <c r="C62" s="925"/>
      <c r="D62" s="927"/>
      <c r="I62" s="925"/>
      <c r="J62" s="927"/>
    </row>
    <row r="63" spans="1:12" x14ac:dyDescent="0.2">
      <c r="C63" s="925"/>
      <c r="D63" s="927"/>
      <c r="I63" s="925"/>
      <c r="J63" s="927"/>
    </row>
    <row r="64" spans="1:12" x14ac:dyDescent="0.2">
      <c r="C64" s="925"/>
      <c r="D64" s="927"/>
      <c r="I64" s="925"/>
      <c r="J64" s="927"/>
    </row>
    <row r="65" spans="3:10" x14ac:dyDescent="0.2">
      <c r="C65" s="925"/>
      <c r="D65" s="927"/>
      <c r="I65" s="925"/>
      <c r="J65" s="927"/>
    </row>
    <row r="66" spans="3:10" x14ac:dyDescent="0.2">
      <c r="C66" s="925"/>
      <c r="D66" s="927"/>
      <c r="I66" s="925"/>
      <c r="J66" s="927"/>
    </row>
    <row r="67" spans="3:10" ht="13.5" thickBot="1" x14ac:dyDescent="0.25">
      <c r="C67" s="942"/>
      <c r="D67" s="944"/>
      <c r="I67" s="448"/>
      <c r="J67" s="449"/>
    </row>
    <row r="68" spans="3:10" ht="13.5" thickBot="1" x14ac:dyDescent="0.25">
      <c r="I68" s="450"/>
      <c r="J68" s="452"/>
    </row>
    <row r="69" spans="3:10" ht="13.5" thickBot="1" x14ac:dyDescent="0.25">
      <c r="C69" s="430" t="s">
        <v>422</v>
      </c>
      <c r="D69" s="307"/>
    </row>
    <row r="70" spans="3:10" ht="13.5" thickBot="1" x14ac:dyDescent="0.25">
      <c r="I70" s="430" t="s">
        <v>423</v>
      </c>
      <c r="J70" s="307"/>
    </row>
  </sheetData>
  <mergeCells count="3">
    <mergeCell ref="A1:D1"/>
    <mergeCell ref="C57:D67"/>
    <mergeCell ref="I56:J66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workbookViewId="0">
      <selection activeCell="E24" sqref="E24"/>
    </sheetView>
  </sheetViews>
  <sheetFormatPr defaultRowHeight="12.75" x14ac:dyDescent="0.2"/>
  <cols>
    <col min="2" max="3" width="14" bestFit="1" customWidth="1"/>
    <col min="4" max="4" width="14.5703125" customWidth="1"/>
  </cols>
  <sheetData>
    <row r="2" spans="1:4" x14ac:dyDescent="0.2">
      <c r="A2" t="s">
        <v>136</v>
      </c>
      <c r="B2" t="s">
        <v>312</v>
      </c>
      <c r="C2" t="s">
        <v>313</v>
      </c>
      <c r="D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Utility summery</vt:lpstr>
      <vt:lpstr>Utility report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WTL-Softner</vt:lpstr>
      <vt:lpstr>Sheet1</vt:lpstr>
      <vt:lpstr>PRINT</vt:lpstr>
      <vt:lpstr>VODACOM AND AIRTEL</vt:lpstr>
      <vt:lpstr>SABASABA GENERATOR </vt:lpstr>
      <vt:lpstr>FUEL METER READING</vt:lpstr>
      <vt:lpstr>fuel meter 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2017-09-05T16:07:04Z</cp:lastPrinted>
  <dcterms:created xsi:type="dcterms:W3CDTF">2009-01-25T09:02:38Z</dcterms:created>
  <dcterms:modified xsi:type="dcterms:W3CDTF">2019-12-02T12:13:57Z</dcterms:modified>
</cp:coreProperties>
</file>