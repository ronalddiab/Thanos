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5862" documentId="8_{5B502D95-7A37-4D5A-8B6B-374537CC2F26}" xr6:coauthVersionLast="47" xr6:coauthVersionMax="47" xr10:uidLastSave="{C64A16CB-D486-4161-88A8-BE5ADA089FAC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6" i="2" l="1"/>
  <c r="V27" i="2"/>
  <c r="N27" i="2"/>
  <c r="N28" i="2"/>
  <c r="M27" i="2"/>
  <c r="M28" i="2"/>
  <c r="L27" i="2"/>
  <c r="L28" i="2"/>
  <c r="F27" i="2"/>
  <c r="F28" i="2"/>
  <c r="K27" i="6"/>
  <c r="I27" i="6"/>
  <c r="G27" i="6"/>
  <c r="E27" i="6"/>
  <c r="C27" i="6"/>
  <c r="K26" i="6"/>
  <c r="I26" i="6"/>
  <c r="G26" i="6"/>
  <c r="E26" i="6"/>
  <c r="C26" i="6"/>
  <c r="V24" i="2"/>
  <c r="V25" i="2"/>
  <c r="N25" i="2"/>
  <c r="N26" i="2"/>
  <c r="M25" i="2"/>
  <c r="M26" i="2"/>
  <c r="L25" i="2"/>
  <c r="L26" i="2"/>
  <c r="F25" i="2"/>
  <c r="F26" i="2"/>
  <c r="K25" i="6"/>
  <c r="I25" i="6"/>
  <c r="G25" i="6"/>
  <c r="E25" i="6"/>
  <c r="C25" i="6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N23" i="2"/>
  <c r="M23" i="2"/>
  <c r="L23" i="2"/>
  <c r="F23" i="2"/>
  <c r="K22" i="6"/>
  <c r="I22" i="6"/>
  <c r="G22" i="6"/>
  <c r="E22" i="6"/>
  <c r="C22" i="6"/>
  <c r="V21" i="2"/>
  <c r="N22" i="2"/>
  <c r="M22" i="2"/>
  <c r="L22" i="2"/>
  <c r="F22" i="2"/>
  <c r="K21" i="6"/>
  <c r="I21" i="6"/>
  <c r="G21" i="6"/>
  <c r="E21" i="6"/>
  <c r="C21" i="6"/>
  <c r="V16" i="2"/>
  <c r="V17" i="2"/>
  <c r="V18" i="2"/>
  <c r="V19" i="2"/>
  <c r="V20" i="2"/>
  <c r="N17" i="2"/>
  <c r="N18" i="2"/>
  <c r="N19" i="2"/>
  <c r="N20" i="2"/>
  <c r="N21" i="2"/>
  <c r="M17" i="2"/>
  <c r="M18" i="2"/>
  <c r="M19" i="2"/>
  <c r="M20" i="2"/>
  <c r="M21" i="2"/>
  <c r="L17" i="2"/>
  <c r="L18" i="2"/>
  <c r="L19" i="2"/>
  <c r="L20" i="2"/>
  <c r="L21" i="2"/>
  <c r="F17" i="2"/>
  <c r="F18" i="2"/>
  <c r="F19" i="2"/>
  <c r="F20" i="2"/>
  <c r="F21" i="2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V11" i="2"/>
  <c r="V12" i="2"/>
  <c r="V13" i="2"/>
  <c r="V14" i="2"/>
  <c r="V15" i="2"/>
  <c r="V10" i="2"/>
  <c r="N16" i="2"/>
  <c r="M16" i="2"/>
  <c r="L16" i="2"/>
  <c r="F16" i="2"/>
  <c r="K15" i="6"/>
  <c r="I15" i="6"/>
  <c r="G15" i="6"/>
  <c r="E15" i="6"/>
  <c r="C15" i="6"/>
  <c r="C11" i="6"/>
  <c r="C12" i="6"/>
  <c r="C13" i="6"/>
  <c r="C14" i="6"/>
  <c r="C10" i="6"/>
  <c r="N11" i="2"/>
  <c r="N12" i="2"/>
  <c r="N13" i="2"/>
  <c r="N14" i="2"/>
  <c r="N15" i="2"/>
  <c r="M11" i="2"/>
  <c r="M12" i="2"/>
  <c r="M13" i="2"/>
  <c r="M14" i="2"/>
  <c r="M15" i="2"/>
  <c r="L11" i="2"/>
  <c r="L12" i="2"/>
  <c r="L13" i="2"/>
  <c r="L14" i="2"/>
  <c r="L15" i="2"/>
  <c r="K11" i="6"/>
  <c r="K12" i="6"/>
  <c r="K13" i="6"/>
  <c r="K14" i="6"/>
  <c r="K10" i="6"/>
  <c r="I11" i="6"/>
  <c r="I12" i="6"/>
  <c r="I13" i="6"/>
  <c r="I14" i="6"/>
  <c r="I10" i="6"/>
  <c r="G11" i="6"/>
  <c r="G12" i="6"/>
  <c r="G13" i="6"/>
  <c r="G14" i="6"/>
  <c r="G10" i="6"/>
  <c r="E11" i="6"/>
  <c r="E12" i="6"/>
  <c r="E13" i="6"/>
  <c r="E14" i="6"/>
  <c r="E10" i="6"/>
  <c r="F11" i="2"/>
  <c r="F12" i="2"/>
  <c r="F13" i="2"/>
  <c r="F14" i="2"/>
  <c r="F15" i="2"/>
  <c r="N10" i="2"/>
  <c r="M10" i="2"/>
  <c r="L10" i="2"/>
  <c r="F10" i="2"/>
  <c r="G4" i="4"/>
  <c r="E4" i="4"/>
  <c r="C4" i="4"/>
  <c r="X39" i="2"/>
  <c r="X40" i="2"/>
  <c r="O39" i="2"/>
  <c r="H39" i="2"/>
  <c r="X38" i="2"/>
  <c r="X37" i="2"/>
  <c r="X35" i="2"/>
  <c r="X36" i="2"/>
  <c r="X34" i="2"/>
  <c r="X33" i="2"/>
  <c r="X30" i="2"/>
  <c r="X29" i="2"/>
  <c r="X28" i="2"/>
  <c r="X26" i="2"/>
  <c r="X27" i="2"/>
  <c r="X25" i="2"/>
  <c r="X23" i="2"/>
  <c r="X24" i="2"/>
  <c r="X21" i="2"/>
  <c r="X18" i="2"/>
  <c r="X19" i="2"/>
  <c r="X20" i="2"/>
  <c r="X17" i="2"/>
  <c r="X16" i="2"/>
  <c r="X14" i="2"/>
  <c r="X15" i="2"/>
  <c r="X12" i="2"/>
  <c r="X13" i="2"/>
  <c r="X11" i="2"/>
  <c r="P35" i="4"/>
  <c r="P36" i="4"/>
  <c r="P37" i="4"/>
  <c r="P38" i="4"/>
  <c r="P39" i="4"/>
  <c r="P40" i="4"/>
  <c r="X10" i="2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5" i="22"/>
  <c r="G16" i="22"/>
  <c r="G17" i="22"/>
  <c r="G18" i="22"/>
  <c r="G19" i="22"/>
  <c r="G20" i="22"/>
  <c r="G21" i="22"/>
  <c r="G22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16" i="4" l="1"/>
  <c r="V22" i="2"/>
  <c r="C31" i="4"/>
  <c r="G31" i="4"/>
  <c r="E31" i="4"/>
  <c r="X31" i="2"/>
  <c r="X32" i="2"/>
  <c r="E31" i="21"/>
  <c r="E31" i="22" s="1"/>
  <c r="Q40" i="2"/>
  <c r="O40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X22" i="2" l="1"/>
  <c r="G14" i="22"/>
  <c r="G24" i="22"/>
  <c r="G23" i="22"/>
  <c r="I31" i="22"/>
  <c r="H40" i="2"/>
  <c r="F41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<sst xmlns="http://schemas.openxmlformats.org/spreadsheetml/2006/main" count="482" uniqueCount="186">
  <si>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</si>
  <si>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</si>
  <si>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</si>
  <si>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</si>
  <si>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</si>
  <si>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</si>
  <si>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</si>
  <si>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</si>
  <si>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</si>
  <si>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</si>
  <si>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</si>
  <si>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</si>
  <si>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</si>
  <si>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</si>
  <si>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</si>
  <si>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</si>
  <si>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</si>
  <si>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</si>
  <si>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</si>
  <si>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</si>
  <si>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</si>
  <si>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</si>
  <si>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</si>
  <si>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</si>
  <si>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</si>
  <si>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</si>
  <si>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</si>
  <si>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</si>
  <si>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</si>
  <si>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</si>
  <si>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</si>
  <si>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</si>
  <si>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</si>
  <si>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</si>
  <si>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</si>
  <si>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</si>
  <si>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</si>
  <si>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</si>
  <si>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</si>
  <si>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</si>
  <si>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</si>
  <si>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</si>
  <si>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</si>
  <si>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</si>
  <si>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</si>
  <si>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</si>
  <si>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</si>
  <si>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</si>
  <si>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</si>
  <si>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</si>
  <si>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</si>
  <si>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</si>
  <si>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</si>
  <si>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</si>
  <si>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</si>
  <si>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</si>
  <si>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</si>
  <si>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</si>
  <si>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</si>
  <si>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</si>
  <si>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</si>
  <si>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</si>
  <si>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</si>
  <si>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</si>
  <si>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</si>
  <si>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</si>
  <si>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</si>
  <si>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</si>
  <si>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</si>
  <si>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</si>
  <si>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</si>
  <si>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</si>
  <si>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</si>
  <si>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</si>
  <si>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</si>
  <si>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</si>
  <si>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</si>
  <si>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</si>
  <si>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</si>
  <si>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</si>
  <si>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</si>
  <si>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</si>
  <si>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</si>
  <si>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</si>
  <si>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</si>
  <si>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</si>
  <si>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</si>
  <si>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</si>
  <si>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</si>
  <si>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</si>
  <si>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</si>
  <si>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</si>
  <si>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</si>
  <si>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</si>
  <si>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</si>
  <si>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</si>
  <si>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</si>
  <si>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</si>
  <si>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</si>
  <si>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</si>
  <si>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</si>
  <si>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</si>
  <si>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</si>
  <si>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</si>
  <si>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</si>
  <si>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</si>
  <si>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</si>
  <si>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</si>
  <si>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</si>
  <si>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</si>
  <si>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</si>
  <si>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</si>
  <si>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</si>
  <si>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</si>
  <si>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</si>
  <si>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</si>
  <si>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</si>
  <si>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</si>
  <si>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</si>
  <si>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</si>
  <si>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</si>
  <si>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</si>
  <si>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</si>
  <si>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</si>
  <si>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</si>
  <si>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</si>
  <si>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</si>
  <si>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</si>
  <si>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</si>
  <si>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</si>
  <si>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</si>
  <si>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</si>
  <si>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OCT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</si>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</sst>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120.29999999998836</c:v>
                </c:pt>
                <c:pt idx="1">
                  <c:v>139</c:v>
                </c:pt>
                <c:pt idx="2">
                  <c:v>134</c:v>
                </c:pt>
                <c:pt idx="3">
                  <c:v>136.5</c:v>
                </c:pt>
                <c:pt idx="4">
                  <c:v>143.29999999998836</c:v>
                </c:pt>
                <c:pt idx="5">
                  <c:v>146.60000000000582</c:v>
                </c:pt>
                <c:pt idx="6">
                  <c:v>149.60000000000582</c:v>
                </c:pt>
                <c:pt idx="7">
                  <c:v>131</c:v>
                </c:pt>
                <c:pt idx="8">
                  <c:v>124</c:v>
                </c:pt>
                <c:pt idx="9">
                  <c:v>126</c:v>
                </c:pt>
                <c:pt idx="10">
                  <c:v>123</c:v>
                </c:pt>
                <c:pt idx="11">
                  <c:v>153.5</c:v>
                </c:pt>
                <c:pt idx="12">
                  <c:v>132.20000000001164</c:v>
                </c:pt>
                <c:pt idx="13">
                  <c:v>131.29999999998836</c:v>
                </c:pt>
                <c:pt idx="14">
                  <c:v>147</c:v>
                </c:pt>
                <c:pt idx="15">
                  <c:v>145</c:v>
                </c:pt>
                <c:pt idx="16">
                  <c:v>136</c:v>
                </c:pt>
                <c:pt idx="17">
                  <c:v>132</c:v>
                </c:pt>
                <c:pt idx="18">
                  <c:v>200.39999999999418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4593</c:v>
                </c:pt>
                <c:pt idx="1">
                  <c:v>6635</c:v>
                </c:pt>
                <c:pt idx="2">
                  <c:v>5388</c:v>
                </c:pt>
                <c:pt idx="3">
                  <c:v>5796</c:v>
                </c:pt>
                <c:pt idx="4">
                  <c:v>6203</c:v>
                </c:pt>
                <c:pt idx="5">
                  <c:v>6296</c:v>
                </c:pt>
                <c:pt idx="6">
                  <c:v>5474</c:v>
                </c:pt>
                <c:pt idx="7">
                  <c:v>4716</c:v>
                </c:pt>
                <c:pt idx="8">
                  <c:v>5068</c:v>
                </c:pt>
                <c:pt idx="9">
                  <c:v>5107</c:v>
                </c:pt>
                <c:pt idx="10">
                  <c:v>5060</c:v>
                </c:pt>
                <c:pt idx="11">
                  <c:v>5580</c:v>
                </c:pt>
                <c:pt idx="12">
                  <c:v>5981</c:v>
                </c:pt>
                <c:pt idx="13">
                  <c:v>5036</c:v>
                </c:pt>
                <c:pt idx="14">
                  <c:v>5214</c:v>
                </c:pt>
                <c:pt idx="15">
                  <c:v>5383</c:v>
                </c:pt>
                <c:pt idx="16">
                  <c:v>4798</c:v>
                </c:pt>
                <c:pt idx="17">
                  <c:v>4978</c:v>
                </c:pt>
                <c:pt idx="18">
                  <c:v>5641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8275</c:v>
                </c:pt>
                <c:pt idx="1">
                  <c:v>8358</c:v>
                </c:pt>
                <c:pt idx="2">
                  <c:v>7402</c:v>
                </c:pt>
                <c:pt idx="3">
                  <c:v>9135</c:v>
                </c:pt>
                <c:pt idx="4">
                  <c:v>9572</c:v>
                </c:pt>
                <c:pt idx="5">
                  <c:v>9428</c:v>
                </c:pt>
                <c:pt idx="6">
                  <c:v>8584</c:v>
                </c:pt>
                <c:pt idx="7">
                  <c:v>7698</c:v>
                </c:pt>
                <c:pt idx="8">
                  <c:v>7813</c:v>
                </c:pt>
                <c:pt idx="9">
                  <c:v>7968</c:v>
                </c:pt>
                <c:pt idx="10">
                  <c:v>7583</c:v>
                </c:pt>
                <c:pt idx="11">
                  <c:v>7563</c:v>
                </c:pt>
                <c:pt idx="12">
                  <c:v>8066</c:v>
                </c:pt>
                <c:pt idx="13">
                  <c:v>8284</c:v>
                </c:pt>
                <c:pt idx="14">
                  <c:v>7779</c:v>
                </c:pt>
                <c:pt idx="15">
                  <c:v>9128</c:v>
                </c:pt>
                <c:pt idx="16">
                  <c:v>8052</c:v>
                </c:pt>
                <c:pt idx="17">
                  <c:v>8111</c:v>
                </c:pt>
                <c:pt idx="18">
                  <c:v>8154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3636</c:v>
                </c:pt>
                <c:pt idx="1">
                  <c:v>4373</c:v>
                </c:pt>
                <c:pt idx="2">
                  <c:v>3620</c:v>
                </c:pt>
                <c:pt idx="3">
                  <c:v>4513</c:v>
                </c:pt>
                <c:pt idx="4">
                  <c:v>4642</c:v>
                </c:pt>
                <c:pt idx="5">
                  <c:v>4548</c:v>
                </c:pt>
                <c:pt idx="6">
                  <c:v>4089</c:v>
                </c:pt>
                <c:pt idx="7">
                  <c:v>3581</c:v>
                </c:pt>
                <c:pt idx="8">
                  <c:v>3803</c:v>
                </c:pt>
                <c:pt idx="9">
                  <c:v>3706</c:v>
                </c:pt>
                <c:pt idx="10">
                  <c:v>3316</c:v>
                </c:pt>
                <c:pt idx="11">
                  <c:v>3668</c:v>
                </c:pt>
                <c:pt idx="12">
                  <c:v>4022</c:v>
                </c:pt>
                <c:pt idx="13">
                  <c:v>4067</c:v>
                </c:pt>
                <c:pt idx="14">
                  <c:v>4100</c:v>
                </c:pt>
                <c:pt idx="15">
                  <c:v>4759</c:v>
                </c:pt>
                <c:pt idx="16">
                  <c:v>3815</c:v>
                </c:pt>
                <c:pt idx="17">
                  <c:v>4245</c:v>
                </c:pt>
                <c:pt idx="18">
                  <c:v>4006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479.98815000000002</c:v>
                </c:pt>
                <c:pt idx="1">
                  <c:v>447.98894000000001</c:v>
                </c:pt>
                <c:pt idx="2">
                  <c:v>383.99052</c:v>
                </c:pt>
                <c:pt idx="3">
                  <c:v>384.71640000000002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415.98973000000001</c:v>
                </c:pt>
                <c:pt idx="7">
                  <c:v>351.99131</c:v>
                </c:pt>
                <c:pt idx="8">
                  <c:v>351.99131</c:v>
                </c:pt>
                <c:pt idx="9">
                  <c:v>415.98973000000001</c:v>
                </c:pt>
                <c:pt idx="10">
                  <c:v>223.99447000000001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447.98894000000001</c:v>
                </c:pt>
                <c:pt idx="14">
                  <c:v>383.99052</c:v>
                </c:pt>
                <c:pt idx="15">
                  <c:v>287.99288999999999</c:v>
                </c:pt>
                <c:pt idx="16">
                  <c:v>255.99368000000001</c:v>
                </c:pt>
                <c:pt idx="17">
                  <c:v>511.98736000000002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11"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10</v>
      </c>
      <c r="D2" s="141">
        <v>2022</v>
      </c>
      <c r="E2" s="137">
        <f>submetering!E2+submetering!F2+submetering!G2</f>
        <v>16504</v>
      </c>
      <c r="F2" s="134">
        <v>1.05</v>
      </c>
      <c r="G2" s="134">
        <f>'Consommation mensuel énergie'!V10</f>
        <v>479.98815000000002</v>
      </c>
      <c r="H2" s="134">
        <v>12.74</v>
      </c>
      <c r="I2" s="134">
        <f>'Consommation mensuel énergie'!F10</f>
        <v>120.29999999998836</v>
      </c>
      <c r="J2" s="134">
        <v>11.4</v>
      </c>
      <c r="K2" s="137">
        <f>'Consommation mensuel énergie'!D10</f>
        <v>136</v>
      </c>
      <c r="L2" s="137">
        <f>'Consommation mensuel énergie'!E10</f>
        <v>210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submetering!E3+submetering!F3+submetering!G3</f>
        <v>19635</v>
      </c>
      <c r="F3" s="134">
        <v>1.05</v>
      </c>
      <c r="G3" s="134">
        <f>'Consommation mensuel énergie'!V11</f>
        <v>447.98894000000001</v>
      </c>
      <c r="H3" s="134">
        <v>12.74</v>
      </c>
      <c r="I3" s="134">
        <f>'Consommation mensuel énergie'!F11</f>
        <v>139</v>
      </c>
      <c r="J3" s="134">
        <v>11.4</v>
      </c>
      <c r="K3" s="137">
        <f>'Consommation mensuel énergie'!D11</f>
        <v>154</v>
      </c>
      <c r="L3" s="137">
        <f>'Consommation mensuel énergie'!E11</f>
        <v>221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submetering!E4+submetering!F4+submetering!G4</f>
        <v>16410</v>
      </c>
      <c r="F4" s="134">
        <v>1.05</v>
      </c>
      <c r="G4" s="134">
        <f>'Consommation mensuel énergie'!V12</f>
        <v>383.99052</v>
      </c>
      <c r="H4" s="134">
        <v>12.74</v>
      </c>
      <c r="I4" s="134">
        <f>'Consommation mensuel énergie'!F12</f>
        <v>134</v>
      </c>
      <c r="J4" s="134">
        <v>11.4</v>
      </c>
      <c r="K4" s="137">
        <f>'Consommation mensuel énergie'!D12</f>
        <v>147</v>
      </c>
      <c r="L4" s="137">
        <f>'Consommation mensuel énergie'!E12</f>
        <v>178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submetering!E5+submetering!F5+submetering!G5</f>
        <v>19444</v>
      </c>
      <c r="F5" s="134">
        <v>1.05</v>
      </c>
      <c r="G5" s="134">
        <f>'Consommation mensuel énergie'!V13</f>
        <v>384.71640000000002</v>
      </c>
      <c r="H5" s="134">
        <v>12.74</v>
      </c>
      <c r="I5" s="134">
        <f>'Consommation mensuel énergie'!F13</f>
        <v>136.5</v>
      </c>
      <c r="J5" s="134">
        <v>11.4</v>
      </c>
      <c r="K5" s="137">
        <f>'Consommation mensuel énergie'!D13</f>
        <v>146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submetering!E6+submetering!F6+submetering!G6</f>
        <v>20417</v>
      </c>
      <c r="F6" s="134">
        <v>1.05</v>
      </c>
      <c r="G6" s="134">
        <f>'Consommation mensuel énergie'!V14</f>
        <v>383.99052</v>
      </c>
      <c r="H6" s="134">
        <v>12.74</v>
      </c>
      <c r="I6" s="134">
        <f>'Consommation mensuel énergie'!F14</f>
        <v>143.29999999998836</v>
      </c>
      <c r="J6" s="134">
        <v>11.4</v>
      </c>
      <c r="K6" s="137">
        <f>'Consommation mensuel énergie'!D14</f>
        <v>133</v>
      </c>
      <c r="L6" s="137">
        <f>'Consommation mensuel énergie'!E14</f>
        <v>185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submetering!E7+submetering!F7+submetering!G7</f>
        <v>20272</v>
      </c>
      <c r="F7" s="134">
        <v>1.05</v>
      </c>
      <c r="G7" s="134">
        <f>'Consommation mensuel énergie'!V15</f>
        <v>255.99368000000001</v>
      </c>
      <c r="H7" s="134">
        <v>12.74</v>
      </c>
      <c r="I7" s="134">
        <f>'Consommation mensuel énergie'!F15</f>
        <v>146.60000000000582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submetering!E8+submetering!F8+submetering!G8</f>
        <v>18147</v>
      </c>
      <c r="F8" s="134">
        <v>1.05</v>
      </c>
      <c r="G8" s="134">
        <f>'Consommation mensuel énergie'!V16</f>
        <v>415.98973000000001</v>
      </c>
      <c r="H8" s="134">
        <v>12.74</v>
      </c>
      <c r="I8" s="134">
        <f>'Consommation mensuel énergie'!F16</f>
        <v>149.60000000000582</v>
      </c>
      <c r="J8" s="134">
        <v>11.4</v>
      </c>
      <c r="K8" s="137">
        <f>'Consommation mensuel énergie'!D16</f>
        <v>103</v>
      </c>
      <c r="L8" s="137">
        <f>'Consommation mensuel énergie'!E16</f>
        <v>178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submetering!E9+submetering!F9+submetering!G9</f>
        <v>15995</v>
      </c>
      <c r="F9" s="134">
        <v>1.05</v>
      </c>
      <c r="G9" s="134">
        <f>'Consommation mensuel énergie'!V17</f>
        <v>351.99131</v>
      </c>
      <c r="H9" s="134">
        <v>12.74</v>
      </c>
      <c r="I9" s="134">
        <f>'Consommation mensuel énergie'!F17</f>
        <v>131</v>
      </c>
      <c r="J9" s="134">
        <v>11.4</v>
      </c>
      <c r="K9" s="137">
        <f>'Consommation mensuel énergie'!D17</f>
        <v>113</v>
      </c>
      <c r="L9" s="137">
        <f>'Consommation mensuel énergie'!E17</f>
        <v>199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submetering!E10+submetering!F10+submetering!G10</f>
        <v>16684</v>
      </c>
      <c r="F10" s="134">
        <v>1.05</v>
      </c>
      <c r="G10" s="134">
        <f>'Consommation mensuel énergie'!V18</f>
        <v>351.99131</v>
      </c>
      <c r="H10" s="134">
        <v>12.74</v>
      </c>
      <c r="I10" s="134">
        <f>'Consommation mensuel énergie'!F18</f>
        <v>124</v>
      </c>
      <c r="J10" s="134">
        <v>11.4</v>
      </c>
      <c r="K10" s="137">
        <f>'Consommation mensuel énergie'!D18</f>
        <v>105</v>
      </c>
      <c r="L10" s="137">
        <f>'Consommation mensuel énergie'!E18</f>
        <v>184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submetering!E11+submetering!F11+submetering!G11</f>
        <v>16781</v>
      </c>
      <c r="F11" s="134">
        <v>1.05</v>
      </c>
      <c r="G11" s="134">
        <f>'Consommation mensuel énergie'!V19</f>
        <v>415.98973000000001</v>
      </c>
      <c r="H11" s="134">
        <v>12.74</v>
      </c>
      <c r="I11" s="134">
        <f>'Consommation mensuel énergie'!F19</f>
        <v>126</v>
      </c>
      <c r="J11" s="134">
        <v>11.4</v>
      </c>
      <c r="K11" s="137">
        <f>'Consommation mensuel énergie'!D19</f>
        <v>131</v>
      </c>
      <c r="L11" s="137">
        <f>'Consommation mensuel énergie'!E19</f>
        <v>208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submetering!E12+submetering!F12+submetering!G12</f>
        <v>15959</v>
      </c>
      <c r="F12" s="134">
        <v>1.05</v>
      </c>
      <c r="G12" s="134">
        <f>'Consommation mensuel énergie'!V20</f>
        <v>223.99447000000001</v>
      </c>
      <c r="H12" s="134">
        <v>12.74</v>
      </c>
      <c r="I12" s="134">
        <f>'Consommation mensuel énergie'!F20</f>
        <v>123</v>
      </c>
      <c r="J12" s="134">
        <v>11.4</v>
      </c>
      <c r="K12" s="137">
        <f>'Consommation mensuel énergie'!D20</f>
        <v>130</v>
      </c>
      <c r="L12" s="137">
        <f>'Consommation mensuel énergie'!E20</f>
        <v>189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submetering!E13+submetering!F13+submetering!G13</f>
        <v>16811</v>
      </c>
      <c r="F13" s="134">
        <v>1.05</v>
      </c>
      <c r="G13" s="134">
        <f>'Consommation mensuel énergie'!V21</f>
        <v>223.99447000000001</v>
      </c>
      <c r="H13" s="134">
        <v>12.74</v>
      </c>
      <c r="I13" s="134">
        <f>'Consommation mensuel énergie'!F21</f>
        <v>153.5</v>
      </c>
      <c r="J13" s="134">
        <v>11.4</v>
      </c>
      <c r="K13" s="137">
        <f>'Consommation mensuel énergie'!D21</f>
        <v>143</v>
      </c>
      <c r="L13" s="137">
        <f>'Consommation mensuel énergie'!E21</f>
        <v>210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submetering!E14+submetering!F14+submetering!G14</f>
        <v>18069</v>
      </c>
      <c r="F14" s="134">
        <v>1.05</v>
      </c>
      <c r="G14" s="134">
        <f>'Consommation mensuel énergie'!V22</f>
        <v>255.99368000000001</v>
      </c>
      <c r="H14" s="134">
        <v>12.74</v>
      </c>
      <c r="I14" s="134">
        <f>'Consommation mensuel énergie'!F22</f>
        <v>132.20000000001164</v>
      </c>
      <c r="J14" s="134">
        <v>11.4</v>
      </c>
      <c r="K14" s="137">
        <f>'Consommation mensuel énergie'!D22</f>
        <v>122</v>
      </c>
      <c r="L14" s="137">
        <f>'Consommation mensuel énergie'!E22</f>
        <v>174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submetering!E15+submetering!F15+submetering!G15</f>
        <v>17387</v>
      </c>
      <c r="F15" s="134">
        <v>1.05</v>
      </c>
      <c r="G15" s="134">
        <f>'Consommation mensuel énergie'!V23</f>
        <v>447.98894000000001</v>
      </c>
      <c r="H15" s="134">
        <v>12.74</v>
      </c>
      <c r="I15" s="134">
        <f>'Consommation mensuel énergie'!F23</f>
        <v>131.29999999998836</v>
      </c>
      <c r="J15" s="134">
        <v>11.4</v>
      </c>
      <c r="K15" s="137">
        <f>'Consommation mensuel énergie'!D23</f>
        <v>129</v>
      </c>
      <c r="L15" s="137">
        <f>'Consommation mensuel énergie'!E23</f>
        <v>212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submetering!E16+submetering!F16+submetering!G16</f>
        <v>17093</v>
      </c>
      <c r="F16" s="134">
        <v>1.05</v>
      </c>
      <c r="G16" s="134">
        <f>'Consommation mensuel énergie'!V24</f>
        <v>383.99052</v>
      </c>
      <c r="H16" s="134">
        <v>12.74</v>
      </c>
      <c r="I16" s="134">
        <f>'Consommation mensuel énergie'!F24</f>
        <v>147</v>
      </c>
      <c r="J16" s="134">
        <v>11.4</v>
      </c>
      <c r="K16" s="137">
        <f>'Consommation mensuel énergie'!D24</f>
        <v>125</v>
      </c>
      <c r="L16" s="137">
        <f>'Consommation mensuel énergie'!E24</f>
        <v>222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submetering!E17+submetering!F17+submetering!G17</f>
        <v>19270</v>
      </c>
      <c r="F17" s="134">
        <v>1.05</v>
      </c>
      <c r="G17" s="134">
        <f>'Consommation mensuel énergie'!V25</f>
        <v>287.99288999999999</v>
      </c>
      <c r="H17" s="134">
        <v>12.74</v>
      </c>
      <c r="I17" s="134">
        <f>'Consommation mensuel énergie'!F25</f>
        <v>145</v>
      </c>
      <c r="J17" s="134">
        <v>11.4</v>
      </c>
      <c r="K17" s="137">
        <f>'Consommation mensuel énergie'!D25</f>
        <v>113</v>
      </c>
      <c r="L17" s="137">
        <f>'Consommation mensuel énergie'!E25</f>
        <v>192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submetering!E18+submetering!F18+submetering!G18</f>
        <v>16665</v>
      </c>
      <c r="F18" s="134">
        <v>1.05</v>
      </c>
      <c r="G18" s="134">
        <f>'Consommation mensuel énergie'!V26</f>
        <v>255.99368000000001</v>
      </c>
      <c r="H18" s="134">
        <v>12.74</v>
      </c>
      <c r="I18" s="134">
        <f>'Consommation mensuel énergie'!F26</f>
        <v>136</v>
      </c>
      <c r="J18" s="134">
        <v>11.4</v>
      </c>
      <c r="K18" s="137">
        <f>'Consommation mensuel énergie'!D26</f>
        <v>153</v>
      </c>
      <c r="L18" s="137">
        <f>'Consommation mensuel énergie'!E26</f>
        <v>239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submetering!E19+submetering!F19+submetering!G19</f>
        <v>17334</v>
      </c>
      <c r="F19" s="134">
        <v>1.05</v>
      </c>
      <c r="G19" s="134">
        <f>'Consommation mensuel énergie'!V27</f>
        <v>511.98736000000002</v>
      </c>
      <c r="H19" s="134">
        <v>12.74</v>
      </c>
      <c r="I19" s="134">
        <f>'Consommation mensuel énergie'!F27</f>
        <v>132</v>
      </c>
      <c r="J19" s="134">
        <v>11.4</v>
      </c>
      <c r="K19" s="137">
        <f>'Consommation mensuel énergie'!D27</f>
        <v>158</v>
      </c>
      <c r="L19" s="137">
        <f>'Consommation mensuel énergie'!E27</f>
        <v>235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submetering!E20+submetering!F20+submetering!G20</f>
        <v>17801</v>
      </c>
      <c r="F20" s="134">
        <v>1.05</v>
      </c>
      <c r="G20" s="134">
        <f>'Consommation mensuel énergie'!V28</f>
        <v>0</v>
      </c>
      <c r="H20" s="134">
        <v>12.74</v>
      </c>
      <c r="I20" s="134">
        <f>'Consommation mensuel énergie'!F28</f>
        <v>200.39999999999418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12.74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12.74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12.74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12.74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12.74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12.74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10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12.74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12.74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12.74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12.74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énergie'!V40</f>
        <v>0</v>
      </c>
      <c r="H31" s="134">
        <v>12.74</v>
      </c>
      <c r="I31" s="134">
        <f>'Consommation mensuel énergie'!F40</f>
        <v>0</v>
      </c>
      <c r="J31" s="134">
        <v>11.4</v>
      </c>
      <c r="K31" s="137">
        <f>'Consommation mensuel énergie'!D40</f>
        <v>0</v>
      </c>
      <c r="L31" s="137">
        <f>'Consommation mensuel énergie'!E40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opLeftCell="A10" workbookViewId="0">
      <selection activeCell="C2" sqref="C2:C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10</v>
      </c>
      <c r="D2" s="141">
        <v>2022</v>
      </c>
      <c r="E2" s="137">
        <f>'Consommation mensuel énergie'!L10</f>
        <v>4593</v>
      </c>
      <c r="F2" s="137">
        <f>'Consommation mensuel énergie'!M10</f>
        <v>8275</v>
      </c>
      <c r="G2" s="137">
        <f>'Consommation mensuel énergie'!N10</f>
        <v>3636</v>
      </c>
      <c r="H2" s="137">
        <f>'Consommation mensuel énergie'!D10</f>
        <v>136</v>
      </c>
      <c r="I2" s="137">
        <f>'Consommation mensuel énergie'!E10</f>
        <v>210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'Consommation mensuel énergie'!L11</f>
        <v>6635</v>
      </c>
      <c r="F3" s="137">
        <f>'Consommation mensuel énergie'!M11</f>
        <v>8358</v>
      </c>
      <c r="G3" s="137">
        <f>'Consommation mensuel énergie'!N14</f>
        <v>4642</v>
      </c>
      <c r="H3" s="137">
        <f>'Consommation mensuel énergie'!D11</f>
        <v>154</v>
      </c>
      <c r="I3" s="137">
        <f>'Consommation mensuel énergie'!E11</f>
        <v>221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'Consommation mensuel énergie'!L12</f>
        <v>5388</v>
      </c>
      <c r="F4" s="137">
        <f>'Consommation mensuel énergie'!M12</f>
        <v>7402</v>
      </c>
      <c r="G4" s="137">
        <f>'Consommation mensuel énergie'!N12</f>
        <v>3620</v>
      </c>
      <c r="H4" s="137">
        <f>'Consommation mensuel énergie'!D12</f>
        <v>147</v>
      </c>
      <c r="I4" s="137">
        <f>'Consommation mensuel énergie'!E12</f>
        <v>178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'Consommation mensuel énergie'!L13</f>
        <v>5796</v>
      </c>
      <c r="F5" s="137">
        <f>'Consommation mensuel énergie'!M13</f>
        <v>9135</v>
      </c>
      <c r="G5" s="137">
        <f>'Consommation mensuel énergie'!N13</f>
        <v>4513</v>
      </c>
      <c r="H5" s="137">
        <f>'Consommation mensuel énergie'!D13</f>
        <v>146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'Consommation mensuel énergie'!L14</f>
        <v>6203</v>
      </c>
      <c r="F6" s="137">
        <f>'Consommation mensuel énergie'!M14</f>
        <v>9572</v>
      </c>
      <c r="G6" s="137">
        <f>'Consommation mensuel énergie'!N14</f>
        <v>4642</v>
      </c>
      <c r="H6" s="137">
        <f>'Consommation mensuel énergie'!D14</f>
        <v>133</v>
      </c>
      <c r="I6" s="137">
        <f>'Consommation mensuel énergie'!E14</f>
        <v>185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'Consommation mensuel énergie'!L15</f>
        <v>6296</v>
      </c>
      <c r="F7" s="137">
        <f>'Consommation mensuel énergie'!M15</f>
        <v>9428</v>
      </c>
      <c r="G7" s="137">
        <f>'Consommation mensuel énergie'!N15</f>
        <v>4548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'Consommation mensuel énergie'!L16</f>
        <v>5474</v>
      </c>
      <c r="F8" s="137">
        <f>'Consommation mensuel énergie'!M16</f>
        <v>8584</v>
      </c>
      <c r="G8" s="137">
        <f>'Consommation mensuel énergie'!N16</f>
        <v>4089</v>
      </c>
      <c r="H8" s="137">
        <f>'Consommation mensuel énergie'!D16</f>
        <v>103</v>
      </c>
      <c r="I8" s="137">
        <f>'Consommation mensuel énergie'!E16</f>
        <v>178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'Consommation mensuel énergie'!L17</f>
        <v>4716</v>
      </c>
      <c r="F9" s="137">
        <f>'Consommation mensuel énergie'!M17</f>
        <v>7698</v>
      </c>
      <c r="G9" s="137">
        <f>'Consommation mensuel énergie'!N17</f>
        <v>3581</v>
      </c>
      <c r="H9" s="137">
        <f>'Consommation mensuel énergie'!D17</f>
        <v>113</v>
      </c>
      <c r="I9" s="137">
        <f>'Consommation mensuel énergie'!E17</f>
        <v>199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'Consommation mensuel énergie'!L18</f>
        <v>5068</v>
      </c>
      <c r="F10" s="137">
        <f>'Consommation mensuel énergie'!M18</f>
        <v>7813</v>
      </c>
      <c r="G10" s="137">
        <f>'Consommation mensuel énergie'!N18</f>
        <v>3803</v>
      </c>
      <c r="H10" s="137">
        <f>'Consommation mensuel énergie'!D18</f>
        <v>105</v>
      </c>
      <c r="I10" s="137">
        <f>'Consommation mensuel énergie'!E18</f>
        <v>184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'Consommation mensuel énergie'!L19</f>
        <v>5107</v>
      </c>
      <c r="F11" s="137">
        <f>'Consommation mensuel énergie'!M19</f>
        <v>7968</v>
      </c>
      <c r="G11" s="137">
        <f>'Consommation mensuel énergie'!N19</f>
        <v>3706</v>
      </c>
      <c r="H11" s="137">
        <f>'Consommation mensuel énergie'!D19</f>
        <v>131</v>
      </c>
      <c r="I11" s="137">
        <f>'Consommation mensuel énergie'!E19</f>
        <v>208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'Consommation mensuel énergie'!L20</f>
        <v>5060</v>
      </c>
      <c r="F12" s="137">
        <f>'Consommation mensuel énergie'!M20</f>
        <v>7583</v>
      </c>
      <c r="G12" s="137">
        <f>'Consommation mensuel énergie'!N20</f>
        <v>3316</v>
      </c>
      <c r="H12" s="137">
        <f>'Consommation mensuel énergie'!D20</f>
        <v>130</v>
      </c>
      <c r="I12" s="137">
        <f>'Consommation mensuel énergie'!E20</f>
        <v>189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'Consommation mensuel énergie'!L21</f>
        <v>5580</v>
      </c>
      <c r="F13" s="137">
        <f>'Consommation mensuel énergie'!M21</f>
        <v>7563</v>
      </c>
      <c r="G13" s="137">
        <f>'Consommation mensuel énergie'!N21</f>
        <v>3668</v>
      </c>
      <c r="H13" s="137">
        <f>'Consommation mensuel énergie'!D21</f>
        <v>143</v>
      </c>
      <c r="I13" s="137">
        <f>'Consommation mensuel énergie'!E21</f>
        <v>210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'Consommation mensuel énergie'!L22</f>
        <v>5981</v>
      </c>
      <c r="F14" s="137">
        <f>'Consommation mensuel énergie'!M22</f>
        <v>8066</v>
      </c>
      <c r="G14" s="137">
        <f>'Consommation mensuel énergie'!N22</f>
        <v>4022</v>
      </c>
      <c r="H14" s="137">
        <f>'Consommation mensuel énergie'!D22</f>
        <v>122</v>
      </c>
      <c r="I14" s="137">
        <f>'Consommation mensuel énergie'!E22</f>
        <v>174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'Consommation mensuel énergie'!L23</f>
        <v>5036</v>
      </c>
      <c r="F15" s="137">
        <f>'Consommation mensuel énergie'!M23</f>
        <v>8284</v>
      </c>
      <c r="G15" s="137">
        <f>'Consommation mensuel énergie'!N23</f>
        <v>4067</v>
      </c>
      <c r="H15" s="137">
        <f>'Consommation mensuel énergie'!D23</f>
        <v>129</v>
      </c>
      <c r="I15" s="137">
        <f>'Consommation mensuel énergie'!E23</f>
        <v>212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'Consommation mensuel énergie'!L24</f>
        <v>5214</v>
      </c>
      <c r="F16" s="137">
        <f>'Consommation mensuel énergie'!M24</f>
        <v>7779</v>
      </c>
      <c r="G16" s="137">
        <f>'Consommation mensuel énergie'!N24</f>
        <v>4100</v>
      </c>
      <c r="H16" s="137">
        <f>'Consommation mensuel énergie'!D24</f>
        <v>125</v>
      </c>
      <c r="I16" s="137">
        <f>'Consommation mensuel énergie'!E24</f>
        <v>222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'Consommation mensuel énergie'!L25</f>
        <v>5383</v>
      </c>
      <c r="F17" s="137">
        <f>'Consommation mensuel énergie'!M25</f>
        <v>9128</v>
      </c>
      <c r="G17" s="137">
        <f>'Consommation mensuel énergie'!N25</f>
        <v>4759</v>
      </c>
      <c r="H17" s="137">
        <f>'Consommation mensuel énergie'!D25</f>
        <v>113</v>
      </c>
      <c r="I17" s="137">
        <f>'Consommation mensuel énergie'!E25</f>
        <v>192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'Consommation mensuel énergie'!L26</f>
        <v>4798</v>
      </c>
      <c r="F18" s="137">
        <f>'Consommation mensuel énergie'!M26</f>
        <v>8052</v>
      </c>
      <c r="G18" s="137">
        <f>'Consommation mensuel énergie'!N26</f>
        <v>3815</v>
      </c>
      <c r="H18" s="137">
        <f>'Consommation mensuel énergie'!D26</f>
        <v>153</v>
      </c>
      <c r="I18" s="137">
        <f>'Consommation mensuel énergie'!E26</f>
        <v>239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'Consommation mensuel énergie'!L27</f>
        <v>4978</v>
      </c>
      <c r="F19" s="137">
        <f>'Consommation mensuel énergie'!M27</f>
        <v>8111</v>
      </c>
      <c r="G19" s="137">
        <f>'Consommation mensuel énergie'!N27</f>
        <v>4245</v>
      </c>
      <c r="H19" s="137">
        <f>'Consommation mensuel énergie'!D27</f>
        <v>158</v>
      </c>
      <c r="I19" s="137">
        <f>'Consommation mensuel énergie'!E27</f>
        <v>235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'Consommation mensuel énergie'!L28</f>
        <v>5641</v>
      </c>
      <c r="F20" s="137">
        <f>'Consommation mensuel énergie'!M28</f>
        <v>8154</v>
      </c>
      <c r="G20" s="137">
        <f>'Consommation mensuel énergie'!N28</f>
        <v>4006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10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'Consommation mensuel énergie'!L40</f>
        <v>0</v>
      </c>
      <c r="F31" s="137">
        <f>'Consommation mensuel énergie'!M40</f>
        <v>0</v>
      </c>
      <c r="G31" s="137">
        <f>'Consommation mensuel énergie'!N40</f>
        <v>0</v>
      </c>
      <c r="H31" s="137">
        <f>'Consommation mensuel énergie'!D40</f>
        <v>0</v>
      </c>
      <c r="I31" s="137">
        <f>'Consommation mensuel énergie'!E40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0" activePane="bottomRight" state="frozen"/>
      <selection pane="bottomRight" activeCell="E28" sqref="E2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44835</v>
      </c>
      <c r="C10" s="7"/>
      <c r="D10" s="143">
        <v>136</v>
      </c>
      <c r="E10" s="143">
        <v>210</v>
      </c>
      <c r="F10" s="13">
        <f>'Suivi EAU-ELEC'!E9</f>
        <v>120.29999999998836</v>
      </c>
      <c r="G10" s="11"/>
      <c r="H10" s="168">
        <f>F10*8.79</f>
        <v>1057.4369999998976</v>
      </c>
      <c r="I10" s="169"/>
      <c r="J10" s="169"/>
      <c r="K10" s="60">
        <v>42278</v>
      </c>
      <c r="L10" s="90">
        <f>'Suivi EAU-ELEC'!G9</f>
        <v>4593</v>
      </c>
      <c r="M10" s="91">
        <f>'Suivi EAU-ELEC'!I9</f>
        <v>8275</v>
      </c>
      <c r="N10" s="91">
        <f>'Suivi EAU-ELEC'!K9</f>
        <v>3636</v>
      </c>
      <c r="O10" s="91">
        <f>L10+M10+N10</f>
        <v>16504</v>
      </c>
      <c r="P10" s="11"/>
      <c r="Q10" s="34">
        <f>L10*0.6985+M10*0.9514+N10*1.3304</f>
        <v>15918.3799</v>
      </c>
      <c r="R10" s="11"/>
      <c r="S10" s="28"/>
      <c r="T10" s="11"/>
      <c r="U10" s="28"/>
      <c r="V10" s="146">
        <f>'Suvi Gaz'!O4</f>
        <v>479.98815000000002</v>
      </c>
      <c r="W10" s="11"/>
      <c r="X10" s="34">
        <f>V10*12.74</f>
        <v>6115.0490310000005</v>
      </c>
    </row>
    <row r="11" spans="1:24" ht="32.25" customHeight="1">
      <c r="A11" s="2"/>
      <c r="B11" s="6">
        <v>44836</v>
      </c>
      <c r="C11" s="7"/>
      <c r="D11" s="143">
        <v>154</v>
      </c>
      <c r="E11" s="143">
        <v>221</v>
      </c>
      <c r="F11" s="13">
        <f>'Suivi EAU-ELEC'!E10</f>
        <v>139</v>
      </c>
      <c r="G11" s="11"/>
      <c r="H11" s="168">
        <f t="shared" ref="H11:H21" si="0">F11*8.79</f>
        <v>1221.81</v>
      </c>
      <c r="I11" s="169"/>
      <c r="J11" s="169"/>
      <c r="K11" s="60">
        <v>42279</v>
      </c>
      <c r="L11" s="90">
        <f>'Suivi EAU-ELEC'!G10</f>
        <v>6635</v>
      </c>
      <c r="M11" s="91">
        <f>'Suivi EAU-ELEC'!I10</f>
        <v>8358</v>
      </c>
      <c r="N11" s="91">
        <f>'Suivi EAU-ELEC'!K10</f>
        <v>4373</v>
      </c>
      <c r="O11" s="91">
        <f>L11+M11+N11</f>
        <v>19366</v>
      </c>
      <c r="P11" s="11"/>
      <c r="Q11" s="34">
        <f>L11*0.6985+M11*0.9514+N14*1.3304</f>
        <v>18762.065499999997</v>
      </c>
      <c r="R11" s="11"/>
      <c r="S11" s="28"/>
      <c r="T11" s="11"/>
      <c r="U11" s="28"/>
      <c r="V11" s="146">
        <f>'Suvi Gaz'!O5</f>
        <v>447.98894000000001</v>
      </c>
      <c r="W11" s="11"/>
      <c r="X11" s="34">
        <f t="shared" ref="X11:X40" si="1">V11*12.74</f>
        <v>5707.3790956000003</v>
      </c>
    </row>
    <row r="12" spans="1:24" ht="32.25" customHeight="1">
      <c r="A12" s="2"/>
      <c r="B12" s="6">
        <v>44837</v>
      </c>
      <c r="C12" s="7"/>
      <c r="D12" s="143">
        <v>147</v>
      </c>
      <c r="E12" s="143">
        <v>178</v>
      </c>
      <c r="F12" s="13">
        <f>'Suivi EAU-ELEC'!E11</f>
        <v>134</v>
      </c>
      <c r="G12" s="11"/>
      <c r="H12" s="168">
        <f t="shared" si="0"/>
        <v>1177.8599999999999</v>
      </c>
      <c r="I12" s="169"/>
      <c r="J12" s="169"/>
      <c r="K12" s="60">
        <v>42280</v>
      </c>
      <c r="L12" s="90">
        <f>'Suivi EAU-ELEC'!G11</f>
        <v>5388</v>
      </c>
      <c r="M12" s="91">
        <f>'Suivi EAU-ELEC'!I11</f>
        <v>7402</v>
      </c>
      <c r="N12" s="91">
        <f>'Suivi EAU-ELEC'!K11</f>
        <v>3620</v>
      </c>
      <c r="O12" s="91">
        <f>L12+M12+N12</f>
        <v>16410</v>
      </c>
      <c r="P12" s="11"/>
      <c r="Q12" s="34">
        <f>L12*0.6985+M12*0.9514+N12*1.3304</f>
        <v>15621.828799999999</v>
      </c>
      <c r="R12" s="11"/>
      <c r="S12" s="28"/>
      <c r="T12" s="11"/>
      <c r="U12" s="28"/>
      <c r="V12" s="146">
        <f>'Suvi Gaz'!O6</f>
        <v>383.99052</v>
      </c>
      <c r="W12" s="11"/>
      <c r="X12" s="34">
        <f t="shared" si="1"/>
        <v>4892.0392247999998</v>
      </c>
    </row>
    <row r="13" spans="1:24" ht="32.25" customHeight="1">
      <c r="A13" s="2"/>
      <c r="B13" s="6">
        <v>44838</v>
      </c>
      <c r="C13" s="7"/>
      <c r="D13" s="143">
        <v>146</v>
      </c>
      <c r="E13" s="143">
        <v>188</v>
      </c>
      <c r="F13" s="13">
        <f>'Suivi EAU-ELEC'!E12</f>
        <v>136.5</v>
      </c>
      <c r="G13" s="11"/>
      <c r="H13" s="168">
        <f t="shared" si="0"/>
        <v>1199.8349999999998</v>
      </c>
      <c r="I13" s="169"/>
      <c r="J13" s="169"/>
      <c r="K13" s="60">
        <v>42281</v>
      </c>
      <c r="L13" s="90">
        <f>'Suivi EAU-ELEC'!G12</f>
        <v>5796</v>
      </c>
      <c r="M13" s="91">
        <f>'Suivi EAU-ELEC'!I12</f>
        <v>9135</v>
      </c>
      <c r="N13" s="91">
        <f>'Suivi EAU-ELEC'!K12</f>
        <v>4513</v>
      </c>
      <c r="O13" s="91">
        <f t="shared" ref="O13:O36" si="2">L13+M13+N13</f>
        <v>19444</v>
      </c>
      <c r="P13" s="11"/>
      <c r="Q13" s="34">
        <f t="shared" ref="Q13:Q36" si="3">L13*0.6985+M13*0.9514+N13*1.3304</f>
        <v>18743.640200000002</v>
      </c>
      <c r="R13" s="11"/>
      <c r="S13" s="28"/>
      <c r="T13" s="11"/>
      <c r="U13" s="28"/>
      <c r="V13" s="146">
        <f>'Suvi Gaz'!O7</f>
        <v>384.71640000000002</v>
      </c>
      <c r="W13" s="11"/>
      <c r="X13" s="34">
        <f t="shared" si="1"/>
        <v>4901.2869360000004</v>
      </c>
    </row>
    <row r="14" spans="1:24" ht="32.25" customHeight="1">
      <c r="A14" s="2"/>
      <c r="B14" s="6">
        <v>44839</v>
      </c>
      <c r="C14" s="7"/>
      <c r="D14" s="143">
        <v>133</v>
      </c>
      <c r="E14" s="143">
        <v>185</v>
      </c>
      <c r="F14" s="13">
        <f>'Suivi EAU-ELEC'!E13</f>
        <v>143.29999999998836</v>
      </c>
      <c r="G14" s="12"/>
      <c r="H14" s="168">
        <f t="shared" si="0"/>
        <v>1259.6069999998977</v>
      </c>
      <c r="I14" s="169"/>
      <c r="J14" s="169"/>
      <c r="K14" s="60">
        <v>42282</v>
      </c>
      <c r="L14" s="90">
        <f>'Suivi EAU-ELEC'!G13</f>
        <v>6203</v>
      </c>
      <c r="M14" s="91">
        <f>'Suivi EAU-ELEC'!I13</f>
        <v>9572</v>
      </c>
      <c r="N14" s="91">
        <f>'Suivi EAU-ELEC'!K13</f>
        <v>4642</v>
      </c>
      <c r="O14" s="91">
        <f t="shared" si="2"/>
        <v>20417</v>
      </c>
      <c r="P14" s="12"/>
      <c r="Q14" s="34">
        <f t="shared" si="3"/>
        <v>19615.313099999999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4892.0392247999998</v>
      </c>
    </row>
    <row r="15" spans="1:24" ht="32.25" customHeight="1">
      <c r="A15" s="5"/>
      <c r="B15" s="6">
        <v>44840</v>
      </c>
      <c r="C15" s="7"/>
      <c r="D15" s="143">
        <v>125</v>
      </c>
      <c r="E15" s="143">
        <v>183</v>
      </c>
      <c r="F15" s="13">
        <f>'Suivi EAU-ELEC'!E14</f>
        <v>146.60000000000582</v>
      </c>
      <c r="G15" s="11"/>
      <c r="H15" s="168">
        <f t="shared" si="0"/>
        <v>1288.614000000051</v>
      </c>
      <c r="I15" s="169"/>
      <c r="J15" s="169"/>
      <c r="K15" s="60">
        <v>42283</v>
      </c>
      <c r="L15" s="90">
        <f>'Suivi EAU-ELEC'!G14</f>
        <v>6296</v>
      </c>
      <c r="M15" s="91">
        <f>'Suivi EAU-ELEC'!I14</f>
        <v>9428</v>
      </c>
      <c r="N15" s="91">
        <f>'Suivi EAU-ELEC'!K14</f>
        <v>4548</v>
      </c>
      <c r="O15" s="91">
        <f t="shared" si="2"/>
        <v>20272</v>
      </c>
      <c r="P15" s="12"/>
      <c r="Q15" s="34">
        <f>L15*0.6985+M15*0.9514+N15*1.3304</f>
        <v>19418.214399999997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3261.3594832000003</v>
      </c>
    </row>
    <row r="16" spans="1:24" ht="32.25" customHeight="1">
      <c r="A16" s="5"/>
      <c r="B16" s="6">
        <v>44841</v>
      </c>
      <c r="C16" s="7"/>
      <c r="D16" s="143">
        <v>103</v>
      </c>
      <c r="E16" s="143">
        <v>178</v>
      </c>
      <c r="F16" s="13">
        <f>'Suivi EAU-ELEC'!E15</f>
        <v>149.60000000000582</v>
      </c>
      <c r="G16" s="11"/>
      <c r="H16" s="168">
        <f t="shared" si="0"/>
        <v>1314.9840000000511</v>
      </c>
      <c r="I16" s="169"/>
      <c r="J16" s="169"/>
      <c r="K16" s="60">
        <v>42284</v>
      </c>
      <c r="L16" s="90">
        <f>'Suivi EAU-ELEC'!G15</f>
        <v>5474</v>
      </c>
      <c r="M16" s="91">
        <f>'Suivi EAU-ELEC'!I15</f>
        <v>8584</v>
      </c>
      <c r="N16" s="91">
        <f>'Suivi EAU-ELEC'!K15</f>
        <v>4089</v>
      </c>
      <c r="O16" s="91">
        <f t="shared" si="2"/>
        <v>18147</v>
      </c>
      <c r="P16" s="11"/>
      <c r="Q16" s="34">
        <f t="shared" si="3"/>
        <v>17430.412199999999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1"/>
        <v>5299.7091602</v>
      </c>
    </row>
    <row r="17" spans="1:24" s="5" customFormat="1" ht="32.25" customHeight="1">
      <c r="A17" s="2"/>
      <c r="B17" s="6">
        <v>44842</v>
      </c>
      <c r="C17" s="7"/>
      <c r="D17" s="143">
        <v>113</v>
      </c>
      <c r="E17" s="143">
        <v>199</v>
      </c>
      <c r="F17" s="13">
        <f>'Suivi EAU-ELEC'!E16</f>
        <v>131</v>
      </c>
      <c r="G17" s="11"/>
      <c r="H17" s="168">
        <f t="shared" si="0"/>
        <v>1151.4899999999998</v>
      </c>
      <c r="I17" s="169"/>
      <c r="J17" s="169"/>
      <c r="K17" s="60">
        <v>42285</v>
      </c>
      <c r="L17" s="90">
        <f>'Suivi EAU-ELEC'!G16</f>
        <v>4716</v>
      </c>
      <c r="M17" s="91">
        <f>'Suivi EAU-ELEC'!I16</f>
        <v>7698</v>
      </c>
      <c r="N17" s="91">
        <f>'Suivi EAU-ELEC'!K16</f>
        <v>3581</v>
      </c>
      <c r="O17" s="91">
        <f t="shared" si="2"/>
        <v>15995</v>
      </c>
      <c r="P17" s="12"/>
      <c r="Q17" s="34">
        <f t="shared" si="3"/>
        <v>15382.1656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1"/>
        <v>4484.3692893999996</v>
      </c>
    </row>
    <row r="18" spans="1:24" ht="32.25" customHeight="1">
      <c r="A18" s="2"/>
      <c r="B18" s="6">
        <v>44843</v>
      </c>
      <c r="C18" s="7"/>
      <c r="D18" s="143">
        <v>105</v>
      </c>
      <c r="E18" s="143">
        <v>184</v>
      </c>
      <c r="F18" s="13">
        <f>'Suivi EAU-ELEC'!E17</f>
        <v>124</v>
      </c>
      <c r="G18" s="11"/>
      <c r="H18" s="168">
        <f t="shared" si="0"/>
        <v>1089.9599999999998</v>
      </c>
      <c r="I18" s="169"/>
      <c r="J18" s="169"/>
      <c r="K18" s="60">
        <v>42286</v>
      </c>
      <c r="L18" s="90">
        <f>'Suivi EAU-ELEC'!G17</f>
        <v>5068</v>
      </c>
      <c r="M18" s="91">
        <f>'Suivi EAU-ELEC'!I17</f>
        <v>7813</v>
      </c>
      <c r="N18" s="91">
        <f>'Suivi EAU-ELEC'!K17</f>
        <v>3803</v>
      </c>
      <c r="O18" s="91">
        <f t="shared" si="2"/>
        <v>16684</v>
      </c>
      <c r="P18" s="12"/>
      <c r="Q18" s="34">
        <f t="shared" si="3"/>
        <v>16032.797399999999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1"/>
        <v>4484.3692893999996</v>
      </c>
    </row>
    <row r="19" spans="1:24" ht="32.25" customHeight="1">
      <c r="A19" s="2"/>
      <c r="B19" s="6">
        <v>44844</v>
      </c>
      <c r="C19" s="7"/>
      <c r="D19" s="143">
        <v>131</v>
      </c>
      <c r="E19" s="143">
        <v>208</v>
      </c>
      <c r="F19" s="13">
        <f>'Suivi EAU-ELEC'!E18</f>
        <v>126</v>
      </c>
      <c r="G19" s="12"/>
      <c r="H19" s="168">
        <f t="shared" si="0"/>
        <v>1107.54</v>
      </c>
      <c r="I19" s="169"/>
      <c r="J19" s="169"/>
      <c r="K19" s="60">
        <v>42287</v>
      </c>
      <c r="L19" s="90">
        <f>'Suivi EAU-ELEC'!G18</f>
        <v>5107</v>
      </c>
      <c r="M19" s="91">
        <f>'Suivi EAU-ELEC'!I18</f>
        <v>7968</v>
      </c>
      <c r="N19" s="91">
        <f>'Suivi EAU-ELEC'!K18</f>
        <v>3706</v>
      </c>
      <c r="O19" s="91">
        <f t="shared" si="2"/>
        <v>16781</v>
      </c>
      <c r="P19" s="12"/>
      <c r="Q19" s="34">
        <f t="shared" si="3"/>
        <v>16078.457100000001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1"/>
        <v>5299.7091602</v>
      </c>
    </row>
    <row r="20" spans="1:24" ht="32.25" customHeight="1">
      <c r="A20" s="2"/>
      <c r="B20" s="6">
        <v>44845</v>
      </c>
      <c r="C20" s="7"/>
      <c r="D20" s="143">
        <v>130</v>
      </c>
      <c r="E20" s="143">
        <v>189</v>
      </c>
      <c r="F20" s="13">
        <f>'Suivi EAU-ELEC'!E19</f>
        <v>123</v>
      </c>
      <c r="G20" s="12"/>
      <c r="H20" s="168">
        <f t="shared" si="0"/>
        <v>1081.1699999999998</v>
      </c>
      <c r="I20" s="169"/>
      <c r="J20" s="169"/>
      <c r="K20" s="60">
        <v>42288</v>
      </c>
      <c r="L20" s="90">
        <f>'Suivi EAU-ELEC'!G19</f>
        <v>5060</v>
      </c>
      <c r="M20" s="91">
        <f>'Suivi EAU-ELEC'!I19</f>
        <v>7583</v>
      </c>
      <c r="N20" s="91">
        <f>'Suivi EAU-ELEC'!K19</f>
        <v>3316</v>
      </c>
      <c r="O20" s="91">
        <f t="shared" si="2"/>
        <v>15959</v>
      </c>
      <c r="P20" s="12"/>
      <c r="Q20" s="34">
        <f t="shared" si="3"/>
        <v>15160.482599999999</v>
      </c>
      <c r="R20" s="12"/>
      <c r="S20" s="28"/>
      <c r="T20" s="12"/>
      <c r="U20" s="28"/>
      <c r="V20" s="146">
        <f>'Suvi Gaz'!O14</f>
        <v>223.99447000000001</v>
      </c>
      <c r="W20" s="11"/>
      <c r="X20" s="34">
        <f t="shared" si="1"/>
        <v>2853.6895478000001</v>
      </c>
    </row>
    <row r="21" spans="1:24" ht="32.25" customHeight="1">
      <c r="A21" s="2"/>
      <c r="B21" s="6">
        <v>44846</v>
      </c>
      <c r="C21" s="7"/>
      <c r="D21" s="143">
        <v>143</v>
      </c>
      <c r="E21" s="143">
        <v>210</v>
      </c>
      <c r="F21" s="13">
        <f>'Suivi EAU-ELEC'!E20</f>
        <v>153.5</v>
      </c>
      <c r="G21" s="12"/>
      <c r="H21" s="168">
        <f t="shared" si="0"/>
        <v>1349.2649999999999</v>
      </c>
      <c r="I21" s="169"/>
      <c r="J21" s="169"/>
      <c r="K21" s="60">
        <v>42289</v>
      </c>
      <c r="L21" s="90">
        <f>'Suivi EAU-ELEC'!G20</f>
        <v>5580</v>
      </c>
      <c r="M21" s="91">
        <f>'Suivi EAU-ELEC'!I20</f>
        <v>7563</v>
      </c>
      <c r="N21" s="91">
        <f>'Suivi EAU-ELEC'!K20</f>
        <v>3668</v>
      </c>
      <c r="O21" s="91">
        <f>L21+M21+N21</f>
        <v>16811</v>
      </c>
      <c r="P21" s="12"/>
      <c r="Q21" s="34">
        <f t="shared" si="3"/>
        <v>15972.975400000001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1"/>
        <v>2853.6895478000001</v>
      </c>
    </row>
    <row r="22" spans="1:24" ht="32.25" customHeight="1">
      <c r="A22" s="2"/>
      <c r="B22" s="6">
        <v>44847</v>
      </c>
      <c r="C22" s="7"/>
      <c r="D22" s="143">
        <v>122</v>
      </c>
      <c r="E22" s="143">
        <v>174</v>
      </c>
      <c r="F22" s="13">
        <f>'Suivi EAU-ELEC'!E21</f>
        <v>132.20000000001164</v>
      </c>
      <c r="G22" s="12"/>
      <c r="H22" s="168">
        <f t="shared" ref="H22:H35" si="4">F22*8.79</f>
        <v>1162.0380000001023</v>
      </c>
      <c r="I22" s="169"/>
      <c r="J22" s="169"/>
      <c r="K22" s="60">
        <v>42290</v>
      </c>
      <c r="L22" s="90">
        <f>'Suivi EAU-ELEC'!G21</f>
        <v>5981</v>
      </c>
      <c r="M22" s="91">
        <f>'Suivi EAU-ELEC'!I21</f>
        <v>8066</v>
      </c>
      <c r="N22" s="91">
        <f>'Suivi EAU-ELEC'!K21</f>
        <v>4022</v>
      </c>
      <c r="O22" s="91">
        <f t="shared" si="2"/>
        <v>18069</v>
      </c>
      <c r="P22" s="12"/>
      <c r="Q22" s="34">
        <f t="shared" si="3"/>
        <v>17202.5897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1"/>
        <v>3261.3594832000003</v>
      </c>
    </row>
    <row r="23" spans="1:24" ht="32.25" customHeight="1">
      <c r="A23" s="2"/>
      <c r="B23" s="6">
        <v>44848</v>
      </c>
      <c r="C23" s="7"/>
      <c r="D23" s="143">
        <v>129</v>
      </c>
      <c r="E23" s="143">
        <v>212</v>
      </c>
      <c r="F23" s="13">
        <f>'Suivi EAU-ELEC'!E22</f>
        <v>131.29999999998836</v>
      </c>
      <c r="G23" s="14"/>
      <c r="H23" s="168">
        <f t="shared" si="4"/>
        <v>1154.1269999998976</v>
      </c>
      <c r="I23" s="169"/>
      <c r="J23" s="169"/>
      <c r="K23" s="60">
        <v>42291</v>
      </c>
      <c r="L23" s="90">
        <f>'Suivi EAU-ELEC'!G22</f>
        <v>5036</v>
      </c>
      <c r="M23" s="91">
        <f>'Suivi EAU-ELEC'!I22</f>
        <v>8284</v>
      </c>
      <c r="N23" s="91">
        <f>'Suivi EAU-ELEC'!K22</f>
        <v>4067</v>
      </c>
      <c r="O23" s="91">
        <f>L23+M23+N23</f>
        <v>17387</v>
      </c>
      <c r="P23" s="12"/>
      <c r="Q23" s="34">
        <f>L23*0.6985+M23*0.9514+N23*1.3304</f>
        <v>16809.7804</v>
      </c>
      <c r="R23" s="12"/>
      <c r="S23" s="28"/>
      <c r="T23" s="14"/>
      <c r="U23" s="28"/>
      <c r="V23" s="146">
        <f>'Suvi Gaz'!O17</f>
        <v>447.98894000000001</v>
      </c>
      <c r="W23" s="11"/>
      <c r="X23" s="34">
        <f t="shared" si="1"/>
        <v>5707.3790956000003</v>
      </c>
    </row>
    <row r="24" spans="1:24" ht="32.25" customHeight="1">
      <c r="A24" s="2"/>
      <c r="B24" s="6">
        <v>44849</v>
      </c>
      <c r="C24" s="7"/>
      <c r="D24" s="143">
        <v>125</v>
      </c>
      <c r="E24" s="143">
        <v>222</v>
      </c>
      <c r="F24" s="13">
        <f>'Suivi EAU-ELEC'!E23</f>
        <v>147</v>
      </c>
      <c r="G24" s="14"/>
      <c r="H24" s="168">
        <f t="shared" si="4"/>
        <v>1292.1299999999999</v>
      </c>
      <c r="I24" s="169"/>
      <c r="J24" s="169"/>
      <c r="K24" s="60">
        <v>42292</v>
      </c>
      <c r="L24" s="90">
        <f>'Suivi EAU-ELEC'!G23</f>
        <v>5214</v>
      </c>
      <c r="M24" s="91">
        <f>'Suivi EAU-ELEC'!I23</f>
        <v>7779</v>
      </c>
      <c r="N24" s="91">
        <f>'Suivi EAU-ELEC'!K23</f>
        <v>4100</v>
      </c>
      <c r="O24" s="91">
        <f>L24+M24+N24</f>
        <v>17093</v>
      </c>
      <c r="P24" s="12"/>
      <c r="Q24" s="34">
        <f>L24*0.6985+M24*0.9514+N24*1.3304</f>
        <v>16497.559600000001</v>
      </c>
      <c r="R24" s="12"/>
      <c r="S24" s="28"/>
      <c r="T24" s="14"/>
      <c r="U24" s="28"/>
      <c r="V24" s="146">
        <f>'Suvi Gaz'!O18</f>
        <v>383.99052</v>
      </c>
      <c r="W24" s="11"/>
      <c r="X24" s="34">
        <f t="shared" si="1"/>
        <v>4892.0392247999998</v>
      </c>
    </row>
    <row r="25" spans="1:24" ht="32.25" customHeight="1">
      <c r="A25" s="2"/>
      <c r="B25" s="6">
        <v>44850</v>
      </c>
      <c r="C25" s="7"/>
      <c r="D25" s="143">
        <v>113</v>
      </c>
      <c r="E25" s="143">
        <v>192</v>
      </c>
      <c r="F25" s="13">
        <f>'Suivi EAU-ELEC'!E24</f>
        <v>145</v>
      </c>
      <c r="G25" s="14"/>
      <c r="H25" s="168">
        <f t="shared" si="4"/>
        <v>1274.55</v>
      </c>
      <c r="I25" s="169"/>
      <c r="J25" s="169"/>
      <c r="K25" s="60">
        <v>42293</v>
      </c>
      <c r="L25" s="90">
        <f>'Suivi EAU-ELEC'!G24</f>
        <v>5383</v>
      </c>
      <c r="M25" s="91">
        <f>'Suivi EAU-ELEC'!I24</f>
        <v>9128</v>
      </c>
      <c r="N25" s="91">
        <f>'Suivi EAU-ELEC'!K24</f>
        <v>4759</v>
      </c>
      <c r="O25" s="91">
        <f>L25+M25+N25</f>
        <v>19270</v>
      </c>
      <c r="P25" s="12"/>
      <c r="Q25" s="34">
        <f>L25*0.6985+M25*0.9514+N25*1.3304</f>
        <v>18775.778299999998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1"/>
        <v>3669.0294186000001</v>
      </c>
    </row>
    <row r="26" spans="1:24" ht="32.25" customHeight="1">
      <c r="A26" s="2"/>
      <c r="B26" s="6">
        <v>44851</v>
      </c>
      <c r="C26" s="7"/>
      <c r="D26" s="143">
        <v>153</v>
      </c>
      <c r="E26" s="143">
        <v>239</v>
      </c>
      <c r="F26" s="13">
        <f>'Suivi EAU-ELEC'!E25</f>
        <v>136</v>
      </c>
      <c r="G26" s="14"/>
      <c r="H26" s="168">
        <f t="shared" si="4"/>
        <v>1195.4399999999998</v>
      </c>
      <c r="I26" s="169"/>
      <c r="J26" s="169"/>
      <c r="K26" s="60">
        <v>42294</v>
      </c>
      <c r="L26" s="90">
        <f>'Suivi EAU-ELEC'!G25</f>
        <v>4798</v>
      </c>
      <c r="M26" s="91">
        <f>'Suivi EAU-ELEC'!I25</f>
        <v>8052</v>
      </c>
      <c r="N26" s="91">
        <f>'Suivi EAU-ELEC'!K25</f>
        <v>3815</v>
      </c>
      <c r="O26" s="91">
        <f>L26+M26+N26</f>
        <v>16665</v>
      </c>
      <c r="P26" s="14"/>
      <c r="Q26" s="34">
        <f>L26*0.6985+M26*0.9514+N26*1.3304</f>
        <v>16087.551800000001</v>
      </c>
      <c r="R26" s="14"/>
      <c r="S26" s="28"/>
      <c r="T26" s="14"/>
      <c r="U26" s="28"/>
      <c r="V26" s="146">
        <f>'Suvi Gaz'!O20</f>
        <v>255.99368000000001</v>
      </c>
      <c r="W26" s="11"/>
      <c r="X26" s="34">
        <f t="shared" si="1"/>
        <v>3261.3594832000003</v>
      </c>
    </row>
    <row r="27" spans="1:24" ht="32.25" customHeight="1">
      <c r="A27" s="2"/>
      <c r="B27" s="6">
        <v>44852</v>
      </c>
      <c r="C27" s="7"/>
      <c r="D27" s="143">
        <v>158</v>
      </c>
      <c r="E27" s="143">
        <v>235</v>
      </c>
      <c r="F27" s="13">
        <f>'Suivi EAU-ELEC'!E26</f>
        <v>132</v>
      </c>
      <c r="G27" s="14"/>
      <c r="H27" s="168">
        <f t="shared" si="4"/>
        <v>1160.28</v>
      </c>
      <c r="I27" s="169"/>
      <c r="J27" s="169"/>
      <c r="K27" s="60">
        <v>42295</v>
      </c>
      <c r="L27" s="90">
        <f>'Suivi EAU-ELEC'!G26</f>
        <v>4978</v>
      </c>
      <c r="M27" s="91">
        <f>'Suivi EAU-ELEC'!I26</f>
        <v>8111</v>
      </c>
      <c r="N27" s="91">
        <f>'Suivi EAU-ELEC'!K26</f>
        <v>4245</v>
      </c>
      <c r="O27" s="91">
        <f t="shared" si="2"/>
        <v>17334</v>
      </c>
      <c r="P27" s="14"/>
      <c r="Q27" s="34">
        <f t="shared" si="3"/>
        <v>16841.486400000002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1"/>
        <v>6522.7189664000007</v>
      </c>
    </row>
    <row r="28" spans="1:24" ht="32.25" customHeight="1">
      <c r="A28" s="2"/>
      <c r="B28" s="6">
        <v>44853</v>
      </c>
      <c r="C28" s="7"/>
      <c r="D28" s="143"/>
      <c r="E28" s="143"/>
      <c r="F28" s="13">
        <f>'Suivi EAU-ELEC'!E27</f>
        <v>200.39999999999418</v>
      </c>
      <c r="G28" s="11"/>
      <c r="H28" s="168">
        <f t="shared" si="4"/>
        <v>1761.5159999999487</v>
      </c>
      <c r="I28" s="169"/>
      <c r="J28" s="169"/>
      <c r="K28" s="60">
        <v>42296</v>
      </c>
      <c r="L28" s="90">
        <f>'Suivi EAU-ELEC'!G27</f>
        <v>5641</v>
      </c>
      <c r="M28" s="91">
        <f>'Suivi EAU-ELEC'!I27</f>
        <v>8154</v>
      </c>
      <c r="N28" s="91">
        <f>'Suivi EAU-ELEC'!K27</f>
        <v>4006</v>
      </c>
      <c r="O28" s="91">
        <f t="shared" si="2"/>
        <v>17801</v>
      </c>
      <c r="P28" s="11"/>
      <c r="Q28" s="34">
        <f>L28*0.6985+M28*0.9514+N28*1.3304</f>
        <v>17027.536500000002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44854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44855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44856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44857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44858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44859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44860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44861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44862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44863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44864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>L39+M39+N39</f>
        <v>0</v>
      </c>
      <c r="P39" s="11"/>
      <c r="Q39" s="34"/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44865</v>
      </c>
      <c r="C40" s="7"/>
      <c r="D40" s="143"/>
      <c r="E40" s="143"/>
      <c r="F40" s="13"/>
      <c r="G40" s="11"/>
      <c r="H40" s="168">
        <f>F40*8.79</f>
        <v>0</v>
      </c>
      <c r="I40" s="169"/>
      <c r="J40" s="169"/>
      <c r="K40" s="60"/>
      <c r="L40" s="90"/>
      <c r="M40" s="91"/>
      <c r="N40" s="91"/>
      <c r="O40" s="91">
        <f t="shared" ref="O40" si="6">L40+M40+N40</f>
        <v>0</v>
      </c>
      <c r="P40" s="11"/>
      <c r="Q40" s="34">
        <f t="shared" ref="Q40" si="7">L40*0.6985+M40*0.9514+N40*1.3304</f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2366</v>
      </c>
      <c r="E41" s="8">
        <f>SUM(E10:E40)</f>
        <v>3607</v>
      </c>
      <c r="F41" s="152">
        <f>SUM(F10:F40)</f>
        <v>2650.6999999999825</v>
      </c>
      <c r="G41" s="1"/>
      <c r="H41" s="206">
        <f>SUM(H10:H40)</f>
        <v>23299.652999999842</v>
      </c>
      <c r="I41" s="207"/>
      <c r="J41" s="208"/>
      <c r="K41" s="1"/>
      <c r="L41" s="53">
        <f>SUM(L10:L40)</f>
        <v>102947</v>
      </c>
      <c r="M41" s="53">
        <f>SUM(M10:M40)</f>
        <v>156953</v>
      </c>
      <c r="N41" s="54">
        <f>SUM(N10:N40)</f>
        <v>76509</v>
      </c>
      <c r="O41" s="55">
        <f>SUM(O10:O40)</f>
        <v>336409</v>
      </c>
      <c r="P41" s="31"/>
      <c r="Q41" s="34">
        <f t="shared" ref="Q41" si="8">L41*0.6985+M41*0.9514+N41*1.3304</f>
        <v>323021.1373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6464.5662999999995</v>
      </c>
      <c r="W41" s="31"/>
      <c r="X41" s="32">
        <f>SUM(X10:X40)</f>
        <v>82358.574661999999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6" t="s">
        <v>33</v>
      </c>
      <c r="B43" s="187"/>
      <c r="C43" s="187"/>
      <c r="D43" s="187"/>
      <c r="E43" s="187"/>
      <c r="F43" s="188"/>
      <c r="G43" s="26"/>
      <c r="H43" s="27" t="s">
        <v>34</v>
      </c>
      <c r="I43" s="198" t="s">
        <v>35</v>
      </c>
      <c r="J43" s="199"/>
      <c r="K43" s="200"/>
      <c r="L43" s="229" t="s">
        <v>36</v>
      </c>
      <c r="M43" s="230"/>
      <c r="N43" s="186" t="s">
        <v>37</v>
      </c>
      <c r="O43" s="187"/>
      <c r="P43" s="187"/>
      <c r="Q43" s="187"/>
      <c r="R43" s="187"/>
      <c r="S43" s="187"/>
      <c r="T43" s="187"/>
      <c r="U43" s="187"/>
      <c r="V43" s="187"/>
      <c r="W43" s="187"/>
      <c r="X43" s="188"/>
    </row>
    <row r="44" spans="1:24" s="18" customFormat="1" ht="29.25" customHeight="1" thickBot="1">
      <c r="A44" s="223" t="s">
        <v>38</v>
      </c>
      <c r="B44" s="224"/>
      <c r="C44" s="225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0">
        <f>L41</f>
        <v>102947</v>
      </c>
      <c r="J44" s="221"/>
      <c r="K44" s="222"/>
      <c r="L44" s="204">
        <f>I44*H44</f>
        <v>71908.479500000001</v>
      </c>
      <c r="M44" s="205"/>
      <c r="N44" s="177">
        <f>L44+L45+L46</f>
        <v>323021.1373</v>
      </c>
      <c r="O44" s="178"/>
      <c r="P44" s="178"/>
      <c r="Q44" s="178"/>
      <c r="R44" s="178"/>
      <c r="S44" s="178"/>
      <c r="T44" s="178"/>
      <c r="U44" s="178"/>
      <c r="V44" s="178"/>
      <c r="W44" s="178"/>
      <c r="X44" s="179"/>
    </row>
    <row r="45" spans="1:24" s="18" customFormat="1" ht="29.25" customHeight="1" thickBot="1">
      <c r="A45" s="226"/>
      <c r="B45" s="227"/>
      <c r="C45" s="228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0">
        <f>M41</f>
        <v>156953</v>
      </c>
      <c r="J45" s="221"/>
      <c r="K45" s="222"/>
      <c r="L45" s="204">
        <f>I45*H45</f>
        <v>149325.08420000001</v>
      </c>
      <c r="M45" s="205"/>
      <c r="N45" s="180"/>
      <c r="O45" s="181"/>
      <c r="P45" s="181"/>
      <c r="Q45" s="181"/>
      <c r="R45" s="181"/>
      <c r="S45" s="181"/>
      <c r="T45" s="181"/>
      <c r="U45" s="181"/>
      <c r="V45" s="181"/>
      <c r="W45" s="181"/>
      <c r="X45" s="182"/>
    </row>
    <row r="46" spans="1:24" s="18" customFormat="1" ht="24.75" customHeight="1" thickBot="1">
      <c r="A46" s="226"/>
      <c r="B46" s="227"/>
      <c r="C46" s="228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5">
        <f>N41</f>
        <v>76509</v>
      </c>
      <c r="J46" s="196"/>
      <c r="K46" s="197"/>
      <c r="L46" s="204">
        <f>I46*H46</f>
        <v>101787.5736</v>
      </c>
      <c r="M46" s="205"/>
      <c r="N46" s="183"/>
      <c r="O46" s="184"/>
      <c r="P46" s="184"/>
      <c r="Q46" s="184"/>
      <c r="R46" s="184"/>
      <c r="S46" s="184"/>
      <c r="T46" s="184"/>
      <c r="U46" s="184"/>
      <c r="V46" s="184"/>
      <c r="W46" s="184"/>
      <c r="X46" s="18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1">
        <f>N44*1.3</f>
        <v>419927.47849000001</v>
      </c>
      <c r="O47" s="202"/>
      <c r="P47" s="202"/>
      <c r="Q47" s="202"/>
      <c r="R47" s="202"/>
      <c r="S47" s="202"/>
      <c r="T47" s="202"/>
      <c r="U47" s="202"/>
      <c r="V47" s="202"/>
      <c r="W47" s="202"/>
      <c r="X47" s="203"/>
    </row>
    <row r="48" spans="1:24" s="23" customFormat="1" ht="32.25" customHeight="1" thickBot="1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2650.6999999999825</v>
      </c>
      <c r="J48" s="216"/>
      <c r="K48" s="217"/>
      <c r="L48" s="218">
        <f>I48*H48</f>
        <v>23299.652999999846</v>
      </c>
      <c r="M48" s="219"/>
      <c r="N48" s="174">
        <f>L48</f>
        <v>23299.652999999846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6"/>
    </row>
    <row r="49" spans="1:24" s="23" customFormat="1" ht="36.75" customHeight="1">
      <c r="A49" s="189" t="s">
        <v>40</v>
      </c>
      <c r="B49" s="190"/>
      <c r="C49" s="190"/>
      <c r="D49" s="190"/>
      <c r="E49" s="190"/>
      <c r="F49" s="191"/>
      <c r="G49" s="24"/>
      <c r="H49" s="25">
        <v>12.74</v>
      </c>
      <c r="I49" s="192">
        <f>V41</f>
        <v>6464.5662999999995</v>
      </c>
      <c r="J49" s="193"/>
      <c r="K49" s="194"/>
      <c r="L49" s="192">
        <f>I49*H49</f>
        <v>82358.574661999999</v>
      </c>
      <c r="M49" s="194"/>
      <c r="N49" s="171">
        <f>L49</f>
        <v>82358.574661999999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23" activePane="bottomRight" state="frozen"/>
      <selection pane="bottomRight" activeCell="B26" sqref="B26:K2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44835</v>
      </c>
      <c r="B9" s="116">
        <v>2560</v>
      </c>
      <c r="C9" s="115">
        <v>0</v>
      </c>
      <c r="D9" s="57">
        <v>168113</v>
      </c>
      <c r="E9" s="50">
        <v>120.29999999998836</v>
      </c>
      <c r="F9" s="51">
        <v>12469994</v>
      </c>
      <c r="G9" s="50">
        <v>4593</v>
      </c>
      <c r="H9" s="51">
        <v>21361968</v>
      </c>
      <c r="I9" s="50">
        <v>8275</v>
      </c>
      <c r="J9" s="51">
        <v>9342849</v>
      </c>
      <c r="K9" s="50">
        <v>3636</v>
      </c>
    </row>
    <row r="10" spans="1:12" ht="19.5">
      <c r="A10" s="59">
        <v>44836</v>
      </c>
      <c r="B10" s="116">
        <v>2560</v>
      </c>
      <c r="C10" s="115">
        <f>B10-B9</f>
        <v>0</v>
      </c>
      <c r="D10" s="57">
        <v>168252</v>
      </c>
      <c r="E10" s="50">
        <f>D10-D9</f>
        <v>139</v>
      </c>
      <c r="F10" s="51">
        <v>12476629</v>
      </c>
      <c r="G10" s="50">
        <f>F10-F9</f>
        <v>6635</v>
      </c>
      <c r="H10" s="51">
        <v>21370326</v>
      </c>
      <c r="I10" s="50">
        <f>H10-H9</f>
        <v>8358</v>
      </c>
      <c r="J10" s="51">
        <v>9347222</v>
      </c>
      <c r="K10" s="50">
        <f>J10-J9</f>
        <v>4373</v>
      </c>
    </row>
    <row r="11" spans="1:12" ht="19.5">
      <c r="A11" s="59">
        <v>44837</v>
      </c>
      <c r="B11" s="116">
        <v>2560</v>
      </c>
      <c r="C11" s="115">
        <f t="shared" ref="C11:C27" si="0">B11-B10</f>
        <v>0</v>
      </c>
      <c r="D11" s="57">
        <v>168386</v>
      </c>
      <c r="E11" s="50">
        <f t="shared" ref="E11:E27" si="1">D11-D10</f>
        <v>134</v>
      </c>
      <c r="F11" s="51">
        <v>12482017</v>
      </c>
      <c r="G11" s="50">
        <f t="shared" ref="G11:H27" si="2">F11-F10</f>
        <v>5388</v>
      </c>
      <c r="H11" s="51">
        <v>21377728</v>
      </c>
      <c r="I11" s="50">
        <f t="shared" ref="I11:I27" si="3">H11-H10</f>
        <v>7402</v>
      </c>
      <c r="J11" s="51">
        <v>9350842</v>
      </c>
      <c r="K11" s="50">
        <f t="shared" ref="K11:L27" si="4">J11-J10</f>
        <v>3620</v>
      </c>
    </row>
    <row r="12" spans="1:12" ht="19.5">
      <c r="A12" s="59">
        <v>44838</v>
      </c>
      <c r="B12" s="116">
        <v>2560</v>
      </c>
      <c r="C12" s="115">
        <f t="shared" si="0"/>
        <v>0</v>
      </c>
      <c r="D12" s="57">
        <v>168522.5</v>
      </c>
      <c r="E12" s="50">
        <f t="shared" si="1"/>
        <v>136.5</v>
      </c>
      <c r="F12" s="51">
        <v>12487813</v>
      </c>
      <c r="G12" s="50">
        <f t="shared" si="2"/>
        <v>5796</v>
      </c>
      <c r="H12" s="51">
        <v>21386863</v>
      </c>
      <c r="I12" s="50">
        <f t="shared" si="3"/>
        <v>9135</v>
      </c>
      <c r="J12" s="51">
        <v>9355355</v>
      </c>
      <c r="K12" s="50">
        <f t="shared" si="4"/>
        <v>4513</v>
      </c>
    </row>
    <row r="13" spans="1:12" ht="19.5">
      <c r="A13" s="59">
        <v>44839</v>
      </c>
      <c r="B13" s="116">
        <v>2560</v>
      </c>
      <c r="C13" s="115">
        <f t="shared" si="0"/>
        <v>0</v>
      </c>
      <c r="D13" s="57">
        <v>168665.8</v>
      </c>
      <c r="E13" s="50">
        <f t="shared" si="1"/>
        <v>143.29999999998836</v>
      </c>
      <c r="F13" s="51">
        <v>12494016</v>
      </c>
      <c r="G13" s="50">
        <f t="shared" si="2"/>
        <v>6203</v>
      </c>
      <c r="H13" s="51">
        <v>21396435</v>
      </c>
      <c r="I13" s="50">
        <f t="shared" si="3"/>
        <v>9572</v>
      </c>
      <c r="J13" s="51">
        <v>9359997</v>
      </c>
      <c r="K13" s="50">
        <f t="shared" si="4"/>
        <v>4642</v>
      </c>
    </row>
    <row r="14" spans="1:12" ht="19.5">
      <c r="A14" s="59">
        <v>44840</v>
      </c>
      <c r="B14" s="116">
        <v>2569</v>
      </c>
      <c r="C14" s="115">
        <f t="shared" si="0"/>
        <v>9</v>
      </c>
      <c r="D14" s="57">
        <v>168812.4</v>
      </c>
      <c r="E14" s="50">
        <f t="shared" si="1"/>
        <v>146.60000000000582</v>
      </c>
      <c r="F14" s="51">
        <v>12500312</v>
      </c>
      <c r="G14" s="50">
        <f t="shared" si="2"/>
        <v>6296</v>
      </c>
      <c r="H14" s="51">
        <v>21405863</v>
      </c>
      <c r="I14" s="50">
        <f t="shared" si="3"/>
        <v>9428</v>
      </c>
      <c r="J14" s="51">
        <v>9364545</v>
      </c>
      <c r="K14" s="50">
        <f t="shared" si="4"/>
        <v>4548</v>
      </c>
    </row>
    <row r="15" spans="1:12" ht="19.5">
      <c r="A15" s="59">
        <v>44841</v>
      </c>
      <c r="B15" s="116">
        <v>2569</v>
      </c>
      <c r="C15" s="115">
        <f t="shared" si="0"/>
        <v>0</v>
      </c>
      <c r="D15" s="57">
        <v>168962</v>
      </c>
      <c r="E15" s="50">
        <f t="shared" si="1"/>
        <v>149.60000000000582</v>
      </c>
      <c r="F15" s="51">
        <v>12505786</v>
      </c>
      <c r="G15" s="50">
        <f t="shared" si="2"/>
        <v>5474</v>
      </c>
      <c r="H15" s="51">
        <v>21414447</v>
      </c>
      <c r="I15" s="50">
        <f t="shared" si="3"/>
        <v>8584</v>
      </c>
      <c r="J15" s="51">
        <v>9368634</v>
      </c>
      <c r="K15" s="50">
        <f t="shared" si="4"/>
        <v>4089</v>
      </c>
    </row>
    <row r="16" spans="1:12" ht="19.5">
      <c r="A16" s="59">
        <v>44842</v>
      </c>
      <c r="B16" s="116">
        <v>2569</v>
      </c>
      <c r="C16" s="115">
        <f t="shared" si="0"/>
        <v>0</v>
      </c>
      <c r="D16" s="57">
        <v>169093</v>
      </c>
      <c r="E16" s="50">
        <f t="shared" si="1"/>
        <v>131</v>
      </c>
      <c r="F16" s="51">
        <v>12510502</v>
      </c>
      <c r="G16" s="50">
        <f t="shared" si="2"/>
        <v>4716</v>
      </c>
      <c r="H16" s="51">
        <v>21422145</v>
      </c>
      <c r="I16" s="50">
        <f t="shared" si="3"/>
        <v>7698</v>
      </c>
      <c r="J16" s="51">
        <v>9372215</v>
      </c>
      <c r="K16" s="50">
        <f t="shared" si="4"/>
        <v>3581</v>
      </c>
    </row>
    <row r="17" spans="1:29" ht="19.5">
      <c r="A17" s="59">
        <v>44843</v>
      </c>
      <c r="B17" s="116">
        <v>2569</v>
      </c>
      <c r="C17" s="115">
        <f t="shared" si="0"/>
        <v>0</v>
      </c>
      <c r="D17" s="57">
        <v>169217</v>
      </c>
      <c r="E17" s="50">
        <f t="shared" si="1"/>
        <v>124</v>
      </c>
      <c r="F17" s="51">
        <v>12515570</v>
      </c>
      <c r="G17" s="50">
        <f t="shared" si="2"/>
        <v>5068</v>
      </c>
      <c r="H17" s="51">
        <v>21429958</v>
      </c>
      <c r="I17" s="50">
        <f t="shared" si="3"/>
        <v>7813</v>
      </c>
      <c r="J17" s="51">
        <v>9376018</v>
      </c>
      <c r="K17" s="50">
        <f t="shared" si="4"/>
        <v>3803</v>
      </c>
    </row>
    <row r="18" spans="1:29" ht="19.5">
      <c r="A18" s="59">
        <v>44844</v>
      </c>
      <c r="B18" s="116">
        <v>2569</v>
      </c>
      <c r="C18" s="115">
        <f t="shared" si="0"/>
        <v>0</v>
      </c>
      <c r="D18" s="57">
        <v>169343</v>
      </c>
      <c r="E18" s="50">
        <f t="shared" si="1"/>
        <v>126</v>
      </c>
      <c r="F18" s="51">
        <v>12520677</v>
      </c>
      <c r="G18" s="50">
        <f t="shared" si="2"/>
        <v>5107</v>
      </c>
      <c r="H18" s="51">
        <v>21437926</v>
      </c>
      <c r="I18" s="50">
        <f t="shared" si="3"/>
        <v>7968</v>
      </c>
      <c r="J18" s="51">
        <v>9379724</v>
      </c>
      <c r="K18" s="50">
        <f t="shared" si="4"/>
        <v>3706</v>
      </c>
    </row>
    <row r="19" spans="1:29" ht="19.5">
      <c r="A19" s="59">
        <v>44845</v>
      </c>
      <c r="B19" s="116">
        <v>2569</v>
      </c>
      <c r="C19" s="115">
        <f t="shared" si="0"/>
        <v>0</v>
      </c>
      <c r="D19" s="57">
        <v>169466</v>
      </c>
      <c r="E19" s="50">
        <f t="shared" si="1"/>
        <v>123</v>
      </c>
      <c r="F19" s="51">
        <v>12525737</v>
      </c>
      <c r="G19" s="50">
        <f t="shared" si="2"/>
        <v>5060</v>
      </c>
      <c r="H19" s="51">
        <v>21445509</v>
      </c>
      <c r="I19" s="50">
        <f t="shared" si="3"/>
        <v>7583</v>
      </c>
      <c r="J19" s="51">
        <v>9383040</v>
      </c>
      <c r="K19" s="50">
        <f t="shared" si="4"/>
        <v>3316</v>
      </c>
    </row>
    <row r="20" spans="1:29" ht="25.5">
      <c r="A20" s="59">
        <v>44846</v>
      </c>
      <c r="B20" s="116">
        <v>2569</v>
      </c>
      <c r="C20" s="115">
        <f t="shared" si="0"/>
        <v>0</v>
      </c>
      <c r="D20" s="57">
        <v>169619.5</v>
      </c>
      <c r="E20" s="50">
        <f t="shared" si="1"/>
        <v>153.5</v>
      </c>
      <c r="F20" s="51">
        <v>12531317</v>
      </c>
      <c r="G20" s="50">
        <f t="shared" si="2"/>
        <v>5580</v>
      </c>
      <c r="H20" s="51">
        <v>21453072</v>
      </c>
      <c r="I20" s="50">
        <f t="shared" si="3"/>
        <v>7563</v>
      </c>
      <c r="J20" s="51">
        <v>9386708</v>
      </c>
      <c r="K20" s="50">
        <f t="shared" si="4"/>
        <v>3668</v>
      </c>
      <c r="L20" s="117" t="s">
        <v>18</v>
      </c>
      <c r="AC20" t="s">
        <v>56</v>
      </c>
    </row>
    <row r="21" spans="1:29" ht="19.5">
      <c r="A21" s="59">
        <v>44847</v>
      </c>
      <c r="B21" s="116">
        <v>2569</v>
      </c>
      <c r="C21" s="115">
        <f t="shared" si="0"/>
        <v>0</v>
      </c>
      <c r="D21" s="57">
        <v>169751.7</v>
      </c>
      <c r="E21" s="50">
        <f t="shared" si="1"/>
        <v>132.20000000001164</v>
      </c>
      <c r="F21" s="51">
        <v>12537298</v>
      </c>
      <c r="G21" s="50">
        <f t="shared" si="2"/>
        <v>5981</v>
      </c>
      <c r="H21" s="51">
        <v>21461138</v>
      </c>
      <c r="I21" s="50">
        <f t="shared" si="3"/>
        <v>8066</v>
      </c>
      <c r="J21" s="51">
        <v>9390730</v>
      </c>
      <c r="K21" s="50">
        <f t="shared" si="4"/>
        <v>4022</v>
      </c>
    </row>
    <row r="22" spans="1:29" ht="19.5">
      <c r="A22" s="59">
        <v>44848</v>
      </c>
      <c r="B22" s="116">
        <v>2569</v>
      </c>
      <c r="C22" s="115">
        <f t="shared" si="0"/>
        <v>0</v>
      </c>
      <c r="D22" s="57">
        <v>169883</v>
      </c>
      <c r="E22" s="50">
        <f t="shared" si="1"/>
        <v>131.29999999998836</v>
      </c>
      <c r="F22" s="51">
        <v>12542334</v>
      </c>
      <c r="G22" s="50">
        <f t="shared" si="2"/>
        <v>5036</v>
      </c>
      <c r="H22" s="51">
        <v>21469422</v>
      </c>
      <c r="I22" s="50">
        <f t="shared" si="3"/>
        <v>8284</v>
      </c>
      <c r="J22" s="51">
        <v>9394797</v>
      </c>
      <c r="K22" s="50">
        <f t="shared" si="4"/>
        <v>4067</v>
      </c>
    </row>
    <row r="23" spans="1:29" ht="19.5">
      <c r="A23" s="59">
        <v>44849</v>
      </c>
      <c r="B23" s="116">
        <v>2569</v>
      </c>
      <c r="C23" s="115">
        <f t="shared" si="0"/>
        <v>0</v>
      </c>
      <c r="D23" s="57">
        <v>170030</v>
      </c>
      <c r="E23" s="50">
        <f t="shared" si="1"/>
        <v>147</v>
      </c>
      <c r="F23" s="51">
        <v>12547548</v>
      </c>
      <c r="G23" s="50">
        <f t="shared" si="2"/>
        <v>5214</v>
      </c>
      <c r="H23" s="51">
        <v>21477201</v>
      </c>
      <c r="I23" s="50">
        <f t="shared" si="3"/>
        <v>7779</v>
      </c>
      <c r="J23" s="51">
        <v>9398897</v>
      </c>
      <c r="K23" s="50">
        <f t="shared" si="4"/>
        <v>4100</v>
      </c>
    </row>
    <row r="24" spans="1:29" ht="19.5">
      <c r="A24" s="59">
        <v>44850</v>
      </c>
      <c r="B24" s="116">
        <v>2569</v>
      </c>
      <c r="C24" s="115">
        <f t="shared" si="0"/>
        <v>0</v>
      </c>
      <c r="D24" s="57">
        <v>170175</v>
      </c>
      <c r="E24" s="50">
        <f t="shared" si="1"/>
        <v>145</v>
      </c>
      <c r="F24" s="51">
        <v>12552931</v>
      </c>
      <c r="G24" s="50">
        <f t="shared" si="2"/>
        <v>5383</v>
      </c>
      <c r="H24" s="51">
        <v>21486329</v>
      </c>
      <c r="I24" s="50">
        <f t="shared" si="3"/>
        <v>9128</v>
      </c>
      <c r="J24" s="51">
        <v>9403656</v>
      </c>
      <c r="K24" s="50">
        <f t="shared" si="4"/>
        <v>4759</v>
      </c>
    </row>
    <row r="25" spans="1:29" ht="19.5">
      <c r="A25" s="59">
        <v>44851</v>
      </c>
      <c r="B25" s="116">
        <v>2569</v>
      </c>
      <c r="C25" s="115">
        <f t="shared" si="0"/>
        <v>0</v>
      </c>
      <c r="D25" s="57">
        <v>170311</v>
      </c>
      <c r="E25" s="50">
        <f t="shared" si="1"/>
        <v>136</v>
      </c>
      <c r="F25" s="51">
        <v>12557729</v>
      </c>
      <c r="G25" s="50">
        <f t="shared" si="2"/>
        <v>4798</v>
      </c>
      <c r="H25" s="51">
        <v>21494381</v>
      </c>
      <c r="I25" s="50">
        <f t="shared" si="3"/>
        <v>8052</v>
      </c>
      <c r="J25" s="51">
        <v>9407471</v>
      </c>
      <c r="K25" s="50">
        <f t="shared" si="4"/>
        <v>3815</v>
      </c>
    </row>
    <row r="26" spans="1:29" ht="19.5">
      <c r="A26" s="59">
        <v>44852</v>
      </c>
      <c r="B26" s="116">
        <v>2569</v>
      </c>
      <c r="C26" s="115">
        <f t="shared" si="0"/>
        <v>0</v>
      </c>
      <c r="D26" s="57">
        <v>170443</v>
      </c>
      <c r="E26" s="50">
        <f t="shared" si="1"/>
        <v>132</v>
      </c>
      <c r="F26" s="51">
        <v>12562707</v>
      </c>
      <c r="G26" s="50">
        <f t="shared" si="2"/>
        <v>4978</v>
      </c>
      <c r="H26" s="51">
        <v>21502492</v>
      </c>
      <c r="I26" s="50">
        <f t="shared" si="3"/>
        <v>8111</v>
      </c>
      <c r="J26" s="51">
        <v>9411716</v>
      </c>
      <c r="K26" s="50">
        <f t="shared" si="4"/>
        <v>4245</v>
      </c>
    </row>
    <row r="27" spans="1:29" ht="19.5">
      <c r="A27" s="59">
        <v>44853</v>
      </c>
      <c r="B27" s="116">
        <v>2569</v>
      </c>
      <c r="C27" s="115">
        <f t="shared" si="0"/>
        <v>0</v>
      </c>
      <c r="D27" s="57">
        <v>170643.4</v>
      </c>
      <c r="E27" s="50">
        <f t="shared" si="1"/>
        <v>200.39999999999418</v>
      </c>
      <c r="F27" s="51">
        <v>12568348</v>
      </c>
      <c r="G27" s="50">
        <f t="shared" si="2"/>
        <v>5641</v>
      </c>
      <c r="H27" s="51">
        <v>21510646</v>
      </c>
      <c r="I27" s="50">
        <f t="shared" si="3"/>
        <v>8154</v>
      </c>
      <c r="J27" s="51">
        <v>9415722</v>
      </c>
      <c r="K27" s="50">
        <f t="shared" si="4"/>
        <v>4006</v>
      </c>
    </row>
    <row r="28" spans="1:29" ht="19.5">
      <c r="A28" s="59">
        <v>44854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44855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44856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44857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44858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44859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44860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44861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44862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44863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44864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44865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9" activePane="bottomRight" state="frozen"/>
      <selection pane="bottomRight" activeCell="B21" sqref="B21:H2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44835</v>
      </c>
      <c r="B4" s="41">
        <v>81</v>
      </c>
      <c r="C4" s="39">
        <f t="shared" ref="C4" si="0">IF(AC4&gt;0,((B4-R4)+(S4-B5)),IF(B5=0, ,(B4-B5)))</f>
        <v>1</v>
      </c>
      <c r="D4" s="41">
        <v>83</v>
      </c>
      <c r="E4" s="39">
        <f t="shared" ref="E4" si="1">IF(AC4&gt;0,((D4-U4)+(V4-D5)),IF(D5=0, ,(D4-D5)))</f>
        <v>7</v>
      </c>
      <c r="F4" s="41">
        <v>81</v>
      </c>
      <c r="G4" s="39">
        <f t="shared" ref="G4" si="2">IF(AC4&gt;0,((F4-X4)+(Y4-F5)),IF(F5=0, ,(F4-F5)))</f>
        <v>2</v>
      </c>
      <c r="H4" s="41">
        <v>81</v>
      </c>
      <c r="I4" s="39">
        <f>IF(AC4&gt;0,((H4-AA4)+(AB4-H5)),IF(H5=0, ,(H4-H5)))</f>
        <v>5</v>
      </c>
      <c r="J4" s="39">
        <f>B4+D4+F4+H4</f>
        <v>326</v>
      </c>
      <c r="K4" s="39">
        <f>J4/4</f>
        <v>81.5</v>
      </c>
      <c r="L4" s="39">
        <f>IF(AC4&gt;0,((K4-AD4)+(AE4-K5)),IF(K5=0, ,(K4-K5)))</f>
        <v>3.75</v>
      </c>
      <c r="M4" s="149">
        <f t="shared" ref="M4:M7" si="3">6049*4</f>
        <v>24196</v>
      </c>
      <c r="N4" s="39">
        <f>L4*M4/100</f>
        <v>907.35</v>
      </c>
      <c r="O4" s="167">
        <f>N4*0.529</f>
        <v>479.98815000000002</v>
      </c>
      <c r="P4" s="42">
        <f>O4*12.74</f>
        <v>6115.0490310000005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44836</v>
      </c>
      <c r="B5" s="41">
        <v>80</v>
      </c>
      <c r="C5" s="39">
        <f t="shared" ref="C4:C35" si="7">IF(AC5&gt;0,((B5-R5)+(S5-B6)),IF(B6=0, ,(B5-B6)))</f>
        <v>4</v>
      </c>
      <c r="D5" s="41">
        <v>76</v>
      </c>
      <c r="E5" s="39">
        <f t="shared" ref="E4:E35" si="8">IF(AC5&gt;0,((D5-U5)+(V5-D6)),IF(D6=0, ,(D5-D6)))</f>
        <v>3</v>
      </c>
      <c r="F5" s="41">
        <v>79</v>
      </c>
      <c r="G5" s="39">
        <f t="shared" ref="G4:G35" si="9">IF(AC5&gt;0,((F5-X5)+(Y5-F6)),IF(F6=0, ,(F5-F6)))</f>
        <v>3</v>
      </c>
      <c r="H5" s="41">
        <v>76</v>
      </c>
      <c r="I5" s="39">
        <f>IF(AC5&gt;0,((H5-AA5)+(AB5-H6)),IF(H6=0, ,(H5-H6)))</f>
        <v>4</v>
      </c>
      <c r="J5" s="39">
        <f>B5+D5+F5+H5</f>
        <v>311</v>
      </c>
      <c r="K5" s="39">
        <f>J5/4</f>
        <v>77.75</v>
      </c>
      <c r="L5" s="39">
        <f>IF(AC5&gt;0,((K5-AD5)+(AE5-K6)),IF(K6=0, ,(K5-K6)))</f>
        <v>3.5</v>
      </c>
      <c r="M5" s="149">
        <f t="shared" si="3"/>
        <v>24196</v>
      </c>
      <c r="N5" s="39">
        <f>L5*M5/100</f>
        <v>846.86</v>
      </c>
      <c r="O5" s="39">
        <f>N5*0.529</f>
        <v>447.98894000000001</v>
      </c>
      <c r="P5" s="42">
        <f t="shared" ref="P5:P33" si="10">O5*12.74</f>
        <v>5707.3790956000003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44837</v>
      </c>
      <c r="B6" s="41">
        <v>76</v>
      </c>
      <c r="C6" s="39">
        <f t="shared" si="7"/>
        <v>4</v>
      </c>
      <c r="D6" s="41">
        <v>73</v>
      </c>
      <c r="E6" s="39">
        <f t="shared" si="8"/>
        <v>3</v>
      </c>
      <c r="F6" s="41">
        <v>76</v>
      </c>
      <c r="G6" s="39">
        <f t="shared" si="9"/>
        <v>3</v>
      </c>
      <c r="H6" s="41">
        <v>72</v>
      </c>
      <c r="I6" s="39">
        <f t="shared" ref="I6:I36" si="11">IF(AC6&gt;0,((H6-AA6)+(AB6-H7)),IF(H7=0, ,(H6-H7)))</f>
        <v>2</v>
      </c>
      <c r="J6" s="39">
        <f t="shared" ref="J6:J42" si="12">B6+D6+F6+H6</f>
        <v>297</v>
      </c>
      <c r="K6" s="39">
        <f t="shared" ref="K6:K42" si="13">J6/4</f>
        <v>74.25</v>
      </c>
      <c r="L6" s="39">
        <f t="shared" ref="L6:L19" si="14">IF(AC6&gt;0,((K6-AD6)+(AE6-K7)),IF(K7=0, ,(K6-K7)))</f>
        <v>3</v>
      </c>
      <c r="M6" s="149">
        <f t="shared" si="3"/>
        <v>24196</v>
      </c>
      <c r="N6" s="39">
        <f t="shared" ref="N6:N42" si="15">L6*M6/100</f>
        <v>725.88</v>
      </c>
      <c r="O6" s="39">
        <f>N6*0.529</f>
        <v>383.99052</v>
      </c>
      <c r="P6" s="42">
        <f t="shared" si="10"/>
        <v>4892.0392247999998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44838</v>
      </c>
      <c r="B7" s="41">
        <v>72</v>
      </c>
      <c r="C7" s="39">
        <f t="shared" si="7"/>
        <v>3</v>
      </c>
      <c r="D7" s="41">
        <v>70</v>
      </c>
      <c r="E7" s="39">
        <f t="shared" si="8"/>
        <v>2</v>
      </c>
      <c r="F7" s="41">
        <v>73</v>
      </c>
      <c r="G7" s="39">
        <f t="shared" si="9"/>
        <v>5</v>
      </c>
      <c r="H7" s="41">
        <v>70</v>
      </c>
      <c r="I7" s="39">
        <f t="shared" si="11"/>
        <v>2</v>
      </c>
      <c r="J7" s="39">
        <f t="shared" si="12"/>
        <v>285</v>
      </c>
      <c r="K7" s="39">
        <f t="shared" si="13"/>
        <v>71.25</v>
      </c>
      <c r="L7" s="39">
        <f t="shared" si="14"/>
        <v>3</v>
      </c>
      <c r="M7" s="149">
        <f t="shared" si="3"/>
        <v>24196</v>
      </c>
      <c r="N7" s="39">
        <f t="shared" si="15"/>
        <v>725.88</v>
      </c>
      <c r="O7" s="39">
        <f>N7*0.53</f>
        <v>384.71640000000002</v>
      </c>
      <c r="P7" s="42">
        <f t="shared" si="10"/>
        <v>4901.2869360000004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44839</v>
      </c>
      <c r="B8" s="41">
        <v>69</v>
      </c>
      <c r="C8" s="39">
        <f t="shared" si="7"/>
        <v>4</v>
      </c>
      <c r="D8" s="41">
        <v>68</v>
      </c>
      <c r="E8" s="39">
        <f t="shared" si="8"/>
        <v>3</v>
      </c>
      <c r="F8" s="41">
        <v>68</v>
      </c>
      <c r="G8" s="39">
        <f t="shared" si="9"/>
        <v>2</v>
      </c>
      <c r="H8" s="41">
        <v>68</v>
      </c>
      <c r="I8" s="39">
        <f t="shared" si="11"/>
        <v>3</v>
      </c>
      <c r="J8" s="39">
        <f t="shared" si="12"/>
        <v>273</v>
      </c>
      <c r="K8" s="39">
        <f t="shared" si="13"/>
        <v>68.25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4892.0392247999998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44840</v>
      </c>
      <c r="B9" s="41">
        <v>65</v>
      </c>
      <c r="C9" s="39">
        <f t="shared" si="7"/>
        <v>3</v>
      </c>
      <c r="D9" s="41">
        <v>65</v>
      </c>
      <c r="E9" s="39">
        <f t="shared" si="8"/>
        <v>3</v>
      </c>
      <c r="F9" s="41">
        <v>66</v>
      </c>
      <c r="G9" s="39">
        <f t="shared" si="9"/>
        <v>1</v>
      </c>
      <c r="H9" s="41">
        <v>65</v>
      </c>
      <c r="I9" s="39">
        <f t="shared" si="11"/>
        <v>1</v>
      </c>
      <c r="J9" s="39">
        <f t="shared" si="12"/>
        <v>261</v>
      </c>
      <c r="K9" s="39">
        <f t="shared" si="13"/>
        <v>65.25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3261.3594832000003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44841</v>
      </c>
      <c r="B10" s="41">
        <v>62</v>
      </c>
      <c r="C10" s="39">
        <f t="shared" si="7"/>
        <v>2</v>
      </c>
      <c r="D10" s="41">
        <v>62</v>
      </c>
      <c r="E10" s="39">
        <f t="shared" si="8"/>
        <v>2</v>
      </c>
      <c r="F10" s="41">
        <v>65</v>
      </c>
      <c r="G10" s="39">
        <f t="shared" si="9"/>
        <v>5</v>
      </c>
      <c r="H10" s="41">
        <v>64</v>
      </c>
      <c r="I10" s="39">
        <f t="shared" si="11"/>
        <v>4</v>
      </c>
      <c r="J10" s="39">
        <f t="shared" si="12"/>
        <v>253</v>
      </c>
      <c r="K10" s="39">
        <f t="shared" si="13"/>
        <v>63.25</v>
      </c>
      <c r="L10" s="39">
        <f t="shared" si="14"/>
        <v>3.25</v>
      </c>
      <c r="M10" s="149">
        <f t="shared" si="17"/>
        <v>24196</v>
      </c>
      <c r="N10" s="39">
        <f t="shared" si="15"/>
        <v>786.37</v>
      </c>
      <c r="O10" s="148">
        <f t="shared" si="16"/>
        <v>415.98973000000001</v>
      </c>
      <c r="P10" s="42">
        <f t="shared" si="10"/>
        <v>5299.7091602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44842</v>
      </c>
      <c r="B11" s="41">
        <v>60</v>
      </c>
      <c r="C11" s="39">
        <f t="shared" si="7"/>
        <v>2</v>
      </c>
      <c r="D11" s="41">
        <v>60</v>
      </c>
      <c r="E11" s="39">
        <f t="shared" si="8"/>
        <v>2</v>
      </c>
      <c r="F11" s="41">
        <v>60</v>
      </c>
      <c r="G11" s="39">
        <f t="shared" si="9"/>
        <v>4</v>
      </c>
      <c r="H11" s="41">
        <v>60</v>
      </c>
      <c r="I11" s="39">
        <f t="shared" si="11"/>
        <v>3</v>
      </c>
      <c r="J11" s="39">
        <f t="shared" si="12"/>
        <v>240</v>
      </c>
      <c r="K11" s="39">
        <f t="shared" si="13"/>
        <v>60</v>
      </c>
      <c r="L11" s="39">
        <f t="shared" si="14"/>
        <v>2.75</v>
      </c>
      <c r="M11" s="149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4484.3692893999996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44843</v>
      </c>
      <c r="B12" s="41">
        <v>58</v>
      </c>
      <c r="C12" s="39">
        <f t="shared" si="7"/>
        <v>4</v>
      </c>
      <c r="D12" s="41">
        <v>58</v>
      </c>
      <c r="E12" s="39">
        <f t="shared" si="8"/>
        <v>4</v>
      </c>
      <c r="F12" s="41">
        <v>56</v>
      </c>
      <c r="G12" s="39">
        <f t="shared" si="9"/>
        <v>1</v>
      </c>
      <c r="H12" s="41">
        <v>57</v>
      </c>
      <c r="I12" s="39">
        <f t="shared" si="11"/>
        <v>2</v>
      </c>
      <c r="J12" s="39">
        <f t="shared" si="12"/>
        <v>229</v>
      </c>
      <c r="K12" s="39">
        <f t="shared" si="13"/>
        <v>57.25</v>
      </c>
      <c r="L12" s="39">
        <f t="shared" si="14"/>
        <v>2.75</v>
      </c>
      <c r="M12" s="149">
        <f t="shared" si="17"/>
        <v>24196</v>
      </c>
      <c r="N12" s="39">
        <f t="shared" si="15"/>
        <v>665.39</v>
      </c>
      <c r="O12" s="39">
        <f t="shared" si="16"/>
        <v>351.99131</v>
      </c>
      <c r="P12" s="42">
        <f t="shared" si="10"/>
        <v>4484.3692893999996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44844</v>
      </c>
      <c r="B13" s="41">
        <v>54</v>
      </c>
      <c r="C13" s="39">
        <f t="shared" si="7"/>
        <v>5</v>
      </c>
      <c r="D13" s="41">
        <v>54</v>
      </c>
      <c r="E13" s="39">
        <f t="shared" si="8"/>
        <v>3</v>
      </c>
      <c r="F13" s="41">
        <v>55</v>
      </c>
      <c r="G13" s="39">
        <f t="shared" si="9"/>
        <v>2</v>
      </c>
      <c r="H13" s="41">
        <v>55</v>
      </c>
      <c r="I13" s="39">
        <f t="shared" si="11"/>
        <v>3</v>
      </c>
      <c r="J13" s="39">
        <f t="shared" si="12"/>
        <v>218</v>
      </c>
      <c r="K13" s="39">
        <f t="shared" si="13"/>
        <v>54.5</v>
      </c>
      <c r="L13" s="39">
        <f t="shared" si="14"/>
        <v>3.25</v>
      </c>
      <c r="M13" s="149">
        <f t="shared" si="17"/>
        <v>24196</v>
      </c>
      <c r="N13" s="39">
        <f t="shared" si="15"/>
        <v>786.37</v>
      </c>
      <c r="O13" s="39">
        <f t="shared" si="16"/>
        <v>415.98973000000001</v>
      </c>
      <c r="P13" s="42">
        <f t="shared" si="10"/>
        <v>5299.7091602</v>
      </c>
      <c r="Q13" s="39">
        <v>2816</v>
      </c>
      <c r="R13" s="39">
        <v>50</v>
      </c>
      <c r="S13" s="39">
        <v>85</v>
      </c>
      <c r="T13" s="39">
        <v>2656</v>
      </c>
      <c r="U13" s="39">
        <v>52</v>
      </c>
      <c r="V13" s="39">
        <v>85</v>
      </c>
      <c r="W13" s="39">
        <v>2548</v>
      </c>
      <c r="X13" s="39">
        <v>53</v>
      </c>
      <c r="Y13" s="39">
        <v>85</v>
      </c>
      <c r="Z13" s="39">
        <v>2517</v>
      </c>
      <c r="AA13" s="39">
        <v>53</v>
      </c>
      <c r="AB13" s="39">
        <v>85</v>
      </c>
      <c r="AC13" s="39">
        <f t="shared" si="4"/>
        <v>10537</v>
      </c>
      <c r="AD13" s="38">
        <f t="shared" si="5"/>
        <v>52</v>
      </c>
      <c r="AE13" s="38">
        <f t="shared" si="6"/>
        <v>85</v>
      </c>
    </row>
    <row r="14" spans="1:31" ht="32.25" customHeight="1">
      <c r="A14" s="40">
        <v>44845</v>
      </c>
      <c r="B14" s="41">
        <v>84</v>
      </c>
      <c r="C14" s="39">
        <f t="shared" si="7"/>
        <v>2</v>
      </c>
      <c r="D14" s="41">
        <v>84</v>
      </c>
      <c r="E14" s="39">
        <f t="shared" si="8"/>
        <v>2</v>
      </c>
      <c r="F14" s="41">
        <v>85</v>
      </c>
      <c r="G14" s="39">
        <f t="shared" si="9"/>
        <v>2</v>
      </c>
      <c r="H14" s="41">
        <v>84</v>
      </c>
      <c r="I14" s="39">
        <f>IF(AC14&gt;0,((H14-AA14)+(AB14-H15)),IF(H15=0, ,(H14-H15)))</f>
        <v>1</v>
      </c>
      <c r="J14" s="39">
        <f t="shared" si="12"/>
        <v>337</v>
      </c>
      <c r="K14" s="39">
        <f t="shared" si="13"/>
        <v>84.25</v>
      </c>
      <c r="L14" s="39">
        <f t="shared" si="14"/>
        <v>1.75</v>
      </c>
      <c r="M14" s="149">
        <f t="shared" si="17"/>
        <v>24196</v>
      </c>
      <c r="N14" s="39">
        <f t="shared" si="15"/>
        <v>423.43</v>
      </c>
      <c r="O14" s="39">
        <f t="shared" si="16"/>
        <v>223.99447000000001</v>
      </c>
      <c r="P14" s="42">
        <f t="shared" si="10"/>
        <v>2853.6895478000001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44846</v>
      </c>
      <c r="B15" s="41">
        <v>82</v>
      </c>
      <c r="C15" s="39">
        <f t="shared" si="7"/>
        <v>2</v>
      </c>
      <c r="D15" s="41">
        <v>82</v>
      </c>
      <c r="E15" s="39">
        <f t="shared" si="8"/>
        <v>2</v>
      </c>
      <c r="F15" s="41">
        <v>83</v>
      </c>
      <c r="G15" s="39">
        <f t="shared" si="9"/>
        <v>2</v>
      </c>
      <c r="H15" s="41">
        <v>83</v>
      </c>
      <c r="I15" s="39">
        <f>IF(AC15&gt;0,((H15-AA15)+(AB15-H16)),IF(H16=0, ,(H15-H16)))</f>
        <v>1</v>
      </c>
      <c r="J15" s="39">
        <f t="shared" si="12"/>
        <v>330</v>
      </c>
      <c r="K15" s="39">
        <f t="shared" si="13"/>
        <v>82.5</v>
      </c>
      <c r="L15" s="39">
        <f t="shared" si="14"/>
        <v>1.75</v>
      </c>
      <c r="M15" s="149">
        <f t="shared" si="17"/>
        <v>24196</v>
      </c>
      <c r="N15" s="39">
        <f t="shared" si="15"/>
        <v>423.43</v>
      </c>
      <c r="O15" s="39">
        <f t="shared" si="16"/>
        <v>223.99447000000001</v>
      </c>
      <c r="P15" s="42">
        <f t="shared" si="10"/>
        <v>2853.6895478000001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44847</v>
      </c>
      <c r="B16" s="41">
        <v>80</v>
      </c>
      <c r="C16" s="39">
        <f t="shared" si="7"/>
        <v>0</v>
      </c>
      <c r="D16" s="41">
        <v>80</v>
      </c>
      <c r="E16" s="39">
        <f t="shared" si="8"/>
        <v>4</v>
      </c>
      <c r="F16" s="41">
        <v>81</v>
      </c>
      <c r="G16" s="39">
        <f t="shared" si="9"/>
        <v>2</v>
      </c>
      <c r="H16" s="41">
        <v>82</v>
      </c>
      <c r="I16" s="39">
        <f t="shared" si="11"/>
        <v>2</v>
      </c>
      <c r="J16" s="39">
        <f t="shared" si="12"/>
        <v>323</v>
      </c>
      <c r="K16" s="39">
        <f t="shared" si="13"/>
        <v>80.75</v>
      </c>
      <c r="L16" s="39">
        <f t="shared" si="14"/>
        <v>2</v>
      </c>
      <c r="M16" s="149">
        <f t="shared" si="17"/>
        <v>24196</v>
      </c>
      <c r="N16" s="39">
        <f t="shared" si="15"/>
        <v>483.92</v>
      </c>
      <c r="O16" s="39">
        <f t="shared" si="16"/>
        <v>255.99368000000001</v>
      </c>
      <c r="P16" s="42">
        <f t="shared" si="10"/>
        <v>3261.3594832000003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44848</v>
      </c>
      <c r="B17" s="41">
        <v>80</v>
      </c>
      <c r="C17" s="39">
        <f t="shared" si="7"/>
        <v>4</v>
      </c>
      <c r="D17" s="41">
        <v>76</v>
      </c>
      <c r="E17" s="39">
        <f t="shared" si="8"/>
        <v>1</v>
      </c>
      <c r="F17" s="41">
        <v>79</v>
      </c>
      <c r="G17" s="39">
        <f t="shared" si="9"/>
        <v>4</v>
      </c>
      <c r="H17" s="41">
        <v>80</v>
      </c>
      <c r="I17" s="39">
        <f t="shared" si="11"/>
        <v>5</v>
      </c>
      <c r="J17" s="39">
        <f t="shared" si="12"/>
        <v>315</v>
      </c>
      <c r="K17" s="39">
        <f t="shared" si="13"/>
        <v>78.75</v>
      </c>
      <c r="L17" s="39">
        <f t="shared" si="14"/>
        <v>3.5</v>
      </c>
      <c r="M17" s="149">
        <f t="shared" si="17"/>
        <v>24196</v>
      </c>
      <c r="N17" s="39">
        <f t="shared" si="15"/>
        <v>846.86</v>
      </c>
      <c r="O17" s="39">
        <f t="shared" si="16"/>
        <v>447.98894000000001</v>
      </c>
      <c r="P17" s="42">
        <f t="shared" si="10"/>
        <v>5707.3790956000003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44849</v>
      </c>
      <c r="B18" s="41">
        <v>76</v>
      </c>
      <c r="C18" s="39">
        <f t="shared" si="7"/>
        <v>4</v>
      </c>
      <c r="D18" s="41">
        <v>75</v>
      </c>
      <c r="E18" s="39">
        <f t="shared" si="8"/>
        <v>0</v>
      </c>
      <c r="F18" s="41">
        <v>75</v>
      </c>
      <c r="G18" s="39">
        <f t="shared" si="9"/>
        <v>5</v>
      </c>
      <c r="H18" s="41">
        <v>75</v>
      </c>
      <c r="I18" s="39">
        <f t="shared" si="11"/>
        <v>3</v>
      </c>
      <c r="J18" s="39">
        <f t="shared" si="12"/>
        <v>301</v>
      </c>
      <c r="K18" s="39">
        <f t="shared" si="13"/>
        <v>75.25</v>
      </c>
      <c r="L18" s="39">
        <f t="shared" si="14"/>
        <v>3</v>
      </c>
      <c r="M18" s="149">
        <f t="shared" si="17"/>
        <v>24196</v>
      </c>
      <c r="N18" s="39">
        <f t="shared" si="15"/>
        <v>725.88</v>
      </c>
      <c r="O18" s="39">
        <f t="shared" si="16"/>
        <v>383.99052</v>
      </c>
      <c r="P18" s="42">
        <f t="shared" si="10"/>
        <v>4892.0392247999998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44850</v>
      </c>
      <c r="B19" s="41">
        <v>72</v>
      </c>
      <c r="C19" s="39">
        <f t="shared" si="7"/>
        <v>2</v>
      </c>
      <c r="D19" s="41">
        <v>75</v>
      </c>
      <c r="E19" s="39">
        <f t="shared" si="8"/>
        <v>5</v>
      </c>
      <c r="F19" s="41">
        <v>70</v>
      </c>
      <c r="G19" s="39">
        <f t="shared" si="9"/>
        <v>0</v>
      </c>
      <c r="H19" s="41">
        <v>72</v>
      </c>
      <c r="I19" s="39">
        <f t="shared" si="11"/>
        <v>2</v>
      </c>
      <c r="J19" s="39">
        <f t="shared" si="12"/>
        <v>289</v>
      </c>
      <c r="K19" s="39">
        <f t="shared" si="13"/>
        <v>72.25</v>
      </c>
      <c r="L19" s="39">
        <f t="shared" si="14"/>
        <v>2.25</v>
      </c>
      <c r="M19" s="149">
        <f t="shared" si="17"/>
        <v>24196</v>
      </c>
      <c r="N19" s="39">
        <f t="shared" si="15"/>
        <v>544.41</v>
      </c>
      <c r="O19" s="39">
        <f t="shared" si="16"/>
        <v>287.99288999999999</v>
      </c>
      <c r="P19" s="42">
        <f t="shared" si="10"/>
        <v>3669.0294186000001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44851</v>
      </c>
      <c r="B20" s="41">
        <v>70</v>
      </c>
      <c r="C20" s="39">
        <f t="shared" si="7"/>
        <v>2</v>
      </c>
      <c r="D20" s="41">
        <v>70</v>
      </c>
      <c r="E20" s="39">
        <f t="shared" si="8"/>
        <v>5</v>
      </c>
      <c r="F20" s="41">
        <v>70</v>
      </c>
      <c r="G20" s="39">
        <f t="shared" si="9"/>
        <v>0</v>
      </c>
      <c r="H20" s="41">
        <v>70</v>
      </c>
      <c r="I20" s="39">
        <f t="shared" si="11"/>
        <v>1</v>
      </c>
      <c r="J20" s="39">
        <f t="shared" si="12"/>
        <v>280</v>
      </c>
      <c r="K20" s="39">
        <f t="shared" si="13"/>
        <v>70</v>
      </c>
      <c r="L20" s="39">
        <f t="shared" ref="L20:L42" si="18">IF(AC20&gt;0,((K20-AD20)+(AE20-K21)),IF(K21=0, ,(K20-K21)))</f>
        <v>2</v>
      </c>
      <c r="M20" s="149">
        <f t="shared" si="17"/>
        <v>24196</v>
      </c>
      <c r="N20" s="39">
        <f t="shared" si="15"/>
        <v>483.92</v>
      </c>
      <c r="O20" s="39">
        <f t="shared" si="16"/>
        <v>255.99368000000001</v>
      </c>
      <c r="P20" s="42">
        <f t="shared" si="10"/>
        <v>3261.3594832000003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44852</v>
      </c>
      <c r="B21" s="41">
        <v>68</v>
      </c>
      <c r="C21" s="39">
        <f t="shared" si="7"/>
        <v>3</v>
      </c>
      <c r="D21" s="41">
        <v>65</v>
      </c>
      <c r="E21" s="39">
        <f t="shared" si="8"/>
        <v>4</v>
      </c>
      <c r="F21" s="41">
        <v>70</v>
      </c>
      <c r="G21" s="39">
        <f t="shared" si="9"/>
        <v>5</v>
      </c>
      <c r="H21" s="41">
        <v>69</v>
      </c>
      <c r="I21" s="39">
        <f t="shared" si="11"/>
        <v>4</v>
      </c>
      <c r="J21" s="39">
        <f t="shared" si="12"/>
        <v>272</v>
      </c>
      <c r="K21" s="39">
        <f t="shared" si="13"/>
        <v>68</v>
      </c>
      <c r="L21" s="39">
        <f>IF(AC21&gt;0,((K21-AD21)+(AE21-K22)),IF(K22=0, ,(K21-K22)))</f>
        <v>4</v>
      </c>
      <c r="M21" s="149">
        <f t="shared" si="17"/>
        <v>24196</v>
      </c>
      <c r="N21" s="39">
        <f t="shared" si="15"/>
        <v>967.84</v>
      </c>
      <c r="O21" s="39">
        <f t="shared" si="16"/>
        <v>511.98736000000002</v>
      </c>
      <c r="P21" s="42">
        <f t="shared" si="10"/>
        <v>6522.7189664000007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44853</v>
      </c>
      <c r="B22" s="41">
        <v>65</v>
      </c>
      <c r="C22" s="39">
        <f t="shared" si="7"/>
        <v>0</v>
      </c>
      <c r="D22" s="41">
        <v>61</v>
      </c>
      <c r="E22" s="39">
        <f t="shared" si="8"/>
        <v>0</v>
      </c>
      <c r="F22" s="41">
        <v>65</v>
      </c>
      <c r="G22" s="39">
        <f t="shared" si="9"/>
        <v>0</v>
      </c>
      <c r="H22" s="41">
        <v>65</v>
      </c>
      <c r="I22" s="39">
        <f t="shared" si="11"/>
        <v>0</v>
      </c>
      <c r="J22" s="39">
        <f t="shared" si="12"/>
        <v>256</v>
      </c>
      <c r="K22" s="39">
        <f t="shared" si="13"/>
        <v>64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44854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44855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44856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44857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44858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44859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44860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44861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44862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44863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44864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44865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40" si="25">O34*12.84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44866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25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5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5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25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12218.980000000001</v>
      </c>
      <c r="O43" s="39">
        <f>N43*0.529</f>
        <v>6463.8404200000014</v>
      </c>
      <c r="P43" s="42">
        <f>O43*12.74</f>
        <v>82349.326950800023</v>
      </c>
      <c r="Q43" s="286">
        <f>SUM(Q4:Q42)</f>
        <v>2816</v>
      </c>
      <c r="R43" s="287"/>
      <c r="S43" s="288"/>
      <c r="T43" s="289">
        <f>SUM(T4:T42)</f>
        <v>2656</v>
      </c>
      <c r="U43" s="287"/>
      <c r="V43" s="288"/>
      <c r="W43" s="289">
        <f>SUM(W4:W42)</f>
        <v>2548</v>
      </c>
      <c r="X43" s="287"/>
      <c r="Y43" s="288"/>
      <c r="Z43" s="289">
        <f>SUM(Z4:Z42)</f>
        <v>2517</v>
      </c>
      <c r="AA43" s="287"/>
      <c r="AB43" s="288"/>
      <c r="AC43" s="39">
        <f t="shared" si="20"/>
        <v>10537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10537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10537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12218.980000000001</v>
      </c>
      <c r="L47" s="46">
        <f>O43</f>
        <v>6463.8404200000014</v>
      </c>
      <c r="M47" s="46">
        <f>P43</f>
        <v>82349.326950800023</v>
      </c>
    </row>
    <row r="48" spans="1:31" ht="54.75" customHeight="1" thickBot="1">
      <c r="H48" s="282" t="s">
        <v>86</v>
      </c>
      <c r="I48" s="283"/>
      <c r="J48" s="284"/>
      <c r="K48" s="43">
        <f>AC44</f>
        <v>10537</v>
      </c>
      <c r="L48" s="44">
        <f>K48*0.529</f>
        <v>5574.0730000000003</v>
      </c>
      <c r="M48" s="44">
        <f>L48*12.74</f>
        <v>71013.690020000009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5" workbookViewId="0">
      <selection activeCell="G13" sqref="A13:J13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44691</v>
      </c>
      <c r="D8" s="327"/>
      <c r="E8" s="113">
        <v>44722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1319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21405863</v>
      </c>
      <c r="D17" s="66">
        <v>21396435</v>
      </c>
      <c r="E17" s="67">
        <f>MIN(C17-D17)</f>
        <v>9428</v>
      </c>
      <c r="F17" s="67">
        <f>+E17</f>
        <v>9428</v>
      </c>
      <c r="G17" s="341"/>
      <c r="H17" s="342"/>
      <c r="I17" s="341">
        <f>+E17</f>
        <v>9428</v>
      </c>
      <c r="J17" s="342"/>
    </row>
    <row r="18" spans="1:10">
      <c r="A18" s="339" t="s">
        <v>111</v>
      </c>
      <c r="B18" s="340"/>
      <c r="C18" s="66">
        <v>12500312</v>
      </c>
      <c r="D18" s="66">
        <v>12494016</v>
      </c>
      <c r="E18" s="67">
        <f>MIN(C18-D18)</f>
        <v>6296</v>
      </c>
      <c r="F18" s="67">
        <f>+E18</f>
        <v>6296</v>
      </c>
      <c r="G18" s="341"/>
      <c r="H18" s="342"/>
      <c r="I18" s="341">
        <f>+E18</f>
        <v>6296</v>
      </c>
      <c r="J18" s="342"/>
    </row>
    <row r="19" spans="1:10">
      <c r="A19" s="339" t="s">
        <v>112</v>
      </c>
      <c r="B19" s="340"/>
      <c r="C19" s="66">
        <v>9364545</v>
      </c>
      <c r="D19" s="66">
        <v>9359997</v>
      </c>
      <c r="E19" s="67">
        <f>AVERAGE(C19-D19)</f>
        <v>4548</v>
      </c>
      <c r="F19" s="67">
        <f>+E19</f>
        <v>4548</v>
      </c>
      <c r="G19" s="341"/>
      <c r="H19" s="342"/>
      <c r="I19" s="341">
        <f>+E19</f>
        <v>4548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20272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9428</v>
      </c>
      <c r="E25" s="72">
        <v>0.95140000000000002</v>
      </c>
      <c r="F25" s="73">
        <f>PRODUCT(D25*E25)</f>
        <v>8969.7991999999995</v>
      </c>
      <c r="G25" s="151">
        <v>14</v>
      </c>
      <c r="H25" s="65">
        <f>PRODUCT(0.14,F25)</f>
        <v>1255.771888</v>
      </c>
      <c r="I25" s="346">
        <f>SUM(H25,F25)</f>
        <v>10225.571087999999</v>
      </c>
      <c r="J25" s="347"/>
    </row>
    <row r="26" spans="1:10" ht="15">
      <c r="A26" s="348" t="s">
        <v>124</v>
      </c>
      <c r="B26" s="349"/>
      <c r="C26" s="350"/>
      <c r="D26" s="67">
        <f>+E18</f>
        <v>6296</v>
      </c>
      <c r="E26" s="74">
        <v>0.69850000000000001</v>
      </c>
      <c r="F26" s="73">
        <f>PRODUCT(D26*E26)</f>
        <v>4397.7560000000003</v>
      </c>
      <c r="G26">
        <v>14</v>
      </c>
      <c r="H26" s="67">
        <f>PRODUCT(0.14,F26)</f>
        <v>615.6858400000001</v>
      </c>
      <c r="I26" s="346">
        <f t="shared" ref="I26:I31" si="0">SUM(H26,F26)</f>
        <v>5013.4418400000004</v>
      </c>
      <c r="J26" s="347"/>
    </row>
    <row r="27" spans="1:10" ht="15">
      <c r="A27" s="348" t="s">
        <v>125</v>
      </c>
      <c r="B27" s="349"/>
      <c r="C27" s="350"/>
      <c r="D27" s="67">
        <f>+E19</f>
        <v>4548</v>
      </c>
      <c r="E27" s="74">
        <v>1.3304</v>
      </c>
      <c r="F27" s="73">
        <f>PRODUCT(D27*E27)</f>
        <v>6050.6592000000001</v>
      </c>
      <c r="G27">
        <v>14</v>
      </c>
      <c r="H27" s="67">
        <f>PRODUCT(0.14,F27)</f>
        <v>847.09228800000005</v>
      </c>
      <c r="I27" s="346">
        <f>SUM(H27,F27)</f>
        <v>6897.7514879999999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65632.884399999995</v>
      </c>
      <c r="G32" s="85"/>
      <c r="H32" s="86"/>
      <c r="I32" s="375">
        <f>SUM(I25:J31)</f>
        <v>74767.508216000002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E8" sqref="E8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44436</v>
      </c>
      <c r="D8" s="327"/>
      <c r="E8" s="113">
        <v>44832</v>
      </c>
      <c r="F8" s="163" t="s">
        <v>131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1319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21337062</v>
      </c>
      <c r="D17" s="66">
        <v>21031425</v>
      </c>
      <c r="E17" s="67">
        <f>MIN(C17-D17)</f>
        <v>305637</v>
      </c>
      <c r="F17" s="67">
        <f>+E17</f>
        <v>305637</v>
      </c>
      <c r="G17" s="341"/>
      <c r="H17" s="342"/>
      <c r="I17" s="341">
        <f>+E17</f>
        <v>305637</v>
      </c>
      <c r="J17" s="342"/>
    </row>
    <row r="18" spans="1:10">
      <c r="A18" s="339" t="s">
        <v>111</v>
      </c>
      <c r="B18" s="340"/>
      <c r="C18" s="66">
        <v>12451792</v>
      </c>
      <c r="D18" s="66">
        <v>12295980</v>
      </c>
      <c r="E18" s="67">
        <f>MIN(C18-D18)</f>
        <v>155812</v>
      </c>
      <c r="F18" s="67">
        <f>+E18</f>
        <v>155812</v>
      </c>
      <c r="G18" s="341"/>
      <c r="H18" s="342"/>
      <c r="I18" s="341">
        <f>+E18</f>
        <v>155812</v>
      </c>
      <c r="J18" s="342"/>
    </row>
    <row r="19" spans="1:10">
      <c r="A19" s="339" t="s">
        <v>112</v>
      </c>
      <c r="B19" s="340"/>
      <c r="C19" s="66">
        <v>9332095</v>
      </c>
      <c r="D19" s="66">
        <v>9202867</v>
      </c>
      <c r="E19" s="67">
        <f>AVERAGE(C19-D19)</f>
        <v>129228</v>
      </c>
      <c r="F19" s="67">
        <f>+E19</f>
        <v>129228</v>
      </c>
      <c r="G19" s="341"/>
      <c r="H19" s="342"/>
      <c r="I19" s="341">
        <f>+E19</f>
        <v>129228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590677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305637</v>
      </c>
      <c r="E25" s="72">
        <v>0.95140000000000002</v>
      </c>
      <c r="F25" s="73">
        <f>PRODUCT(D25*E25)</f>
        <v>290783.04180000001</v>
      </c>
      <c r="G25" s="151">
        <v>14</v>
      </c>
      <c r="H25" s="65">
        <f>PRODUCT(0.14,F25)</f>
        <v>40709.625852000005</v>
      </c>
      <c r="I25" s="346">
        <f>SUM(H25,F25)</f>
        <v>331492.66765200003</v>
      </c>
      <c r="J25" s="347"/>
    </row>
    <row r="26" spans="1:10" ht="15">
      <c r="A26" s="348" t="s">
        <v>124</v>
      </c>
      <c r="B26" s="349"/>
      <c r="C26" s="350"/>
      <c r="D26" s="67">
        <f>+E18</f>
        <v>155812</v>
      </c>
      <c r="E26" s="74">
        <v>0.69850000000000001</v>
      </c>
      <c r="F26" s="73">
        <f>PRODUCT(D26*E26)</f>
        <v>108834.682</v>
      </c>
      <c r="G26">
        <v>14</v>
      </c>
      <c r="H26" s="67">
        <f>PRODUCT(0.14,F26)</f>
        <v>15236.855480000002</v>
      </c>
      <c r="I26" s="346">
        <f t="shared" ref="I26:I31" si="0">SUM(H26,F26)</f>
        <v>124071.53748</v>
      </c>
      <c r="J26" s="347"/>
    </row>
    <row r="27" spans="1:10" ht="15">
      <c r="A27" s="348" t="s">
        <v>125</v>
      </c>
      <c r="B27" s="349"/>
      <c r="C27" s="350"/>
      <c r="D27" s="67">
        <f>+E19</f>
        <v>129228</v>
      </c>
      <c r="E27" s="74">
        <v>1.3304</v>
      </c>
      <c r="F27" s="73">
        <f>PRODUCT(D27*E27)</f>
        <v>171924.93119999999</v>
      </c>
      <c r="G27">
        <v>14</v>
      </c>
      <c r="H27" s="67">
        <f>PRODUCT(0.14,F27)</f>
        <v>24069.490368000002</v>
      </c>
      <c r="I27" s="346">
        <f>SUM(H27,F27)</f>
        <v>195994.42156799999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319</v>
      </c>
      <c r="E29" s="76">
        <f>E28*1.5</f>
        <v>65.822505000000007</v>
      </c>
      <c r="F29" s="77">
        <f>PRODUCT(D29,E29)</f>
        <v>20997.379095000004</v>
      </c>
      <c r="G29" s="78">
        <v>14</v>
      </c>
      <c r="H29" s="75">
        <f>PRODUCT(0.14,F29)</f>
        <v>2939.6330733000009</v>
      </c>
      <c r="I29" s="379">
        <f t="shared" si="0"/>
        <v>23937.012168300003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638754.70409500005</v>
      </c>
      <c r="G32" s="85"/>
      <c r="H32" s="86"/>
      <c r="I32" s="375">
        <f>SUM(I25:J31)</f>
        <v>728126.38266829995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C9" sqref="C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168665.8</v>
      </c>
      <c r="D8" s="97">
        <v>44805</v>
      </c>
      <c r="E8" s="96">
        <v>168812.4</v>
      </c>
      <c r="F8" s="97">
        <v>44835</v>
      </c>
      <c r="G8" s="98">
        <f>E8-C8</f>
        <v>146.60000000000582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146.60000000000582</v>
      </c>
      <c r="C13" s="396"/>
      <c r="D13" s="396">
        <v>8.7899999999999991</v>
      </c>
      <c r="E13" s="396"/>
      <c r="F13" s="400">
        <f>PRODUCT(D13,B13)</f>
        <v>1288.614000000051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f>G8</f>
        <v>146.60000000000582</v>
      </c>
      <c r="C19" s="396"/>
      <c r="D19" s="396">
        <v>2.61</v>
      </c>
      <c r="E19" s="396"/>
      <c r="F19" s="396">
        <f>PRODUCT(D19,B19)</f>
        <v>382.62600000001515</v>
      </c>
      <c r="G19" s="396"/>
      <c r="H19" s="396"/>
    </row>
    <row r="20" spans="1:8" ht="18.75">
      <c r="A20" s="392" t="s">
        <v>148</v>
      </c>
      <c r="B20" s="393"/>
      <c r="C20" s="393"/>
      <c r="D20" s="393"/>
      <c r="E20" s="394"/>
      <c r="F20" s="395">
        <f>SUM(F11+F13+F16+F17+F18+F19)</f>
        <v>1694.2400000000662</v>
      </c>
      <c r="G20" s="395"/>
      <c r="H20" s="395"/>
    </row>
    <row r="21" spans="1:8" ht="15">
      <c r="A21" s="381" t="s">
        <v>149</v>
      </c>
      <c r="B21" s="382"/>
      <c r="C21" s="382"/>
      <c r="D21" s="382"/>
      <c r="E21" s="383"/>
      <c r="F21" s="396">
        <f>PRODUCT(F20,0.07)</f>
        <v>118.59680000000465</v>
      </c>
      <c r="G21" s="396"/>
      <c r="H21" s="396"/>
    </row>
    <row r="22" spans="1:8" ht="15">
      <c r="A22" s="434" t="s">
        <v>150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151</v>
      </c>
      <c r="B23" s="382"/>
      <c r="C23" s="382"/>
      <c r="D23" s="382"/>
      <c r="E23" s="383"/>
      <c r="F23" s="384">
        <f>SUM(F21:H22)</f>
        <v>326.85680000000463</v>
      </c>
      <c r="G23" s="384"/>
      <c r="H23" s="384"/>
    </row>
    <row r="24" spans="1:8">
      <c r="A24" s="385" t="s">
        <v>152</v>
      </c>
      <c r="B24" s="386"/>
      <c r="C24" s="386"/>
      <c r="D24" s="386"/>
      <c r="E24" s="387"/>
      <c r="F24" s="391">
        <f>SUM(F20,F23)</f>
        <v>2021.0968000000707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132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44839</v>
      </c>
      <c r="E8" s="96">
        <v>153581</v>
      </c>
      <c r="F8" s="97">
        <v>44840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199</v>
      </c>
      <c r="C13" s="396"/>
      <c r="D13" s="396">
        <v>8.5</v>
      </c>
      <c r="E13" s="396"/>
      <c r="F13" s="400">
        <f>PRODUCT(D13,B13)</f>
        <v>1691.5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6">
        <f>G8</f>
        <v>199</v>
      </c>
      <c r="C20" s="396"/>
      <c r="D20" s="396">
        <v>2.54</v>
      </c>
      <c r="E20" s="396"/>
      <c r="F20" s="396">
        <f>PRODUCT(D20,B20)</f>
        <v>505.46</v>
      </c>
      <c r="G20" s="396"/>
      <c r="H20" s="396"/>
    </row>
    <row r="21" spans="1:8" ht="18.75">
      <c r="A21" s="392" t="s">
        <v>148</v>
      </c>
      <c r="B21" s="393"/>
      <c r="C21" s="393"/>
      <c r="D21" s="393"/>
      <c r="E21" s="394"/>
      <c r="F21" s="395">
        <f>SUM(F11+F13+F16+F17+F18+F20)</f>
        <v>2219.96</v>
      </c>
      <c r="G21" s="395"/>
      <c r="H21" s="395"/>
    </row>
    <row r="22" spans="1:8" ht="15">
      <c r="A22" s="381" t="s">
        <v>149</v>
      </c>
      <c r="B22" s="382"/>
      <c r="C22" s="382"/>
      <c r="D22" s="382"/>
      <c r="E22" s="383"/>
      <c r="F22" s="396">
        <f>PRODUCT(F21,0.07)</f>
        <v>155.39720000000003</v>
      </c>
      <c r="G22" s="396"/>
      <c r="H22" s="396"/>
    </row>
    <row r="23" spans="1:8" ht="15">
      <c r="A23" s="434" t="s">
        <v>150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151</v>
      </c>
      <c r="B24" s="382"/>
      <c r="C24" s="382"/>
      <c r="D24" s="382"/>
      <c r="E24" s="383"/>
      <c r="F24" s="384">
        <f>SUM(F22:H23)</f>
        <v>363.65719999999999</v>
      </c>
      <c r="G24" s="384"/>
      <c r="H24" s="384"/>
    </row>
    <row r="25" spans="1:8">
      <c r="A25" s="385" t="s">
        <v>152</v>
      </c>
      <c r="B25" s="386"/>
      <c r="C25" s="386"/>
      <c r="D25" s="386"/>
      <c r="E25" s="387"/>
      <c r="F25" s="391">
        <f>SUM(F21,F24)</f>
        <v>2583.6172000000001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154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44440</v>
      </c>
      <c r="E8" s="96">
        <v>2560</v>
      </c>
      <c r="F8" s="97">
        <v>44835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155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143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147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148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150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152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21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K26" sqref="K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2022-10-19T11:53:01Z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