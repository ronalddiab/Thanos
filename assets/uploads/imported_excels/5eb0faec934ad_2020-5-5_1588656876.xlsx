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<sst xmlns="http://schemas.openxmlformats.org/spreadsheetml/2006/main" count="128" uniqueCount="49">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</sst>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E32" sqref="E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Submetering!R2</f>
        <v>339.55127699999997</v>
      </c>
      <c r="H2" s="11">
        <v>0.52800000000000002</v>
      </c>
      <c r="I2" s="12">
        <f>Hotel!B7</f>
        <v>9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Submetering!R3</f>
        <v>366.04914699999995</v>
      </c>
      <c r="H3" s="11">
        <v>0.52800000000000002</v>
      </c>
      <c r="I3" s="12">
        <f>Hotel!B8</f>
        <v>10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Submetering!R4</f>
        <v>366.80622899999997</v>
      </c>
      <c r="H4" s="11">
        <v>0.52800000000000002</v>
      </c>
      <c r="I4" s="12">
        <f>Hotel!B9</f>
        <v>7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26710</v>
      </c>
      <c r="F5" s="11">
        <v>5.0000000000000001E-3</v>
      </c>
      <c r="G5" s="12">
        <f>Submetering!R5</f>
        <v>155.20180999999999</v>
      </c>
      <c r="H5" s="11">
        <v>0.52800000000000002</v>
      </c>
      <c r="I5" s="12">
        <f>Hotel!B10</f>
        <v>11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5</v>
      </c>
      <c r="D2" s="2"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Hotel!AV7*0.00378541*100</f>
        <v>339.55127699999997</v>
      </c>
      <c r="S2" s="4">
        <f>Hotel!B7</f>
        <v>9</v>
      </c>
    </row>
    <row r="3" spans="1:19" x14ac:dyDescent="0.25">
      <c r="A3" s="21" t="s">
        <v>31</v>
      </c>
      <c r="B3" s="2">
        <f>B2+1</f>
        <v>2</v>
      </c>
      <c r="C3" s="10">
        <v>5</v>
      </c>
      <c r="D3" s="2"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Hotel!AV8*0.00378541*100</f>
        <v>366.04914699999995</v>
      </c>
      <c r="S3" s="4">
        <f>Hotel!B8</f>
        <v>10</v>
      </c>
    </row>
    <row r="4" spans="1:19" x14ac:dyDescent="0.25">
      <c r="A4" s="21" t="s">
        <v>31</v>
      </c>
      <c r="B4" s="2">
        <f t="shared" ref="B4:B29" si="0">B3+1</f>
        <v>3</v>
      </c>
      <c r="C4" s="10">
        <v>5</v>
      </c>
      <c r="D4" s="2"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Hotel!AV9*0.00378541*100</f>
        <v>366.80622899999997</v>
      </c>
      <c r="S4" s="4">
        <f>Hotel!B9</f>
        <v>7</v>
      </c>
    </row>
    <row r="5" spans="1:19" x14ac:dyDescent="0.25">
      <c r="A5" s="21" t="s">
        <v>31</v>
      </c>
      <c r="B5" s="2">
        <f t="shared" si="0"/>
        <v>4</v>
      </c>
      <c r="C5" s="10">
        <v>5</v>
      </c>
      <c r="D5" s="2">
        <v>2020</v>
      </c>
      <c r="E5" s="4">
        <f>Hotel!Q10</f>
        <v>580</v>
      </c>
      <c r="F5" s="4">
        <f>Hotel!R10</f>
        <v>1880</v>
      </c>
      <c r="G5" s="4">
        <f>Hotel!S10</f>
        <v>2850</v>
      </c>
      <c r="H5" s="4">
        <f>Hotel!T10</f>
        <v>1370</v>
      </c>
      <c r="I5" s="4">
        <f>Hotel!U10</f>
        <v>2960</v>
      </c>
      <c r="J5" s="4">
        <f>Hotel!V10</f>
        <v>2010</v>
      </c>
      <c r="K5" s="4">
        <f>Hotel!W10</f>
        <v>2080</v>
      </c>
      <c r="L5" s="4">
        <f>Hotel!X10</f>
        <v>1110</v>
      </c>
      <c r="M5" s="4">
        <f>Hotel!Y10</f>
        <v>1950</v>
      </c>
      <c r="N5" s="4">
        <f>Hotel!Z10</f>
        <v>2280</v>
      </c>
      <c r="O5" s="4">
        <f>Hotel!AA10</f>
        <v>1470</v>
      </c>
      <c r="P5" s="4">
        <f>Hotel!AB10</f>
        <v>3460</v>
      </c>
      <c r="Q5" s="4">
        <f>Hotel!AC10</f>
        <v>2710</v>
      </c>
      <c r="R5" s="4">
        <f>Hotel!AV10*0.00378541*100</f>
        <v>155.20180999999999</v>
      </c>
      <c r="S5" s="4">
        <f>Hotel!B10</f>
        <v>11</v>
      </c>
    </row>
    <row r="6" spans="1:19" x14ac:dyDescent="0.25">
      <c r="A6" s="21" t="s">
        <v>31</v>
      </c>
      <c r="B6" s="2">
        <f t="shared" si="0"/>
        <v>5</v>
      </c>
      <c r="C6" s="10">
        <v>5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5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5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5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5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5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5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5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5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5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5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5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5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5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5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5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5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5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5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5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5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5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5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5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5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5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5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O9" sqref="AO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53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905510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905510</v>
      </c>
    </row>
    <row r="7" spans="1:49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>IF((C7-C2&lt;0), "0",C7-C2)</f>
        <v>590</v>
      </c>
      <c r="R7" s="37">
        <f t="shared" ref="R7:AC7" si="0">IF((D7-D2&lt;0), "0",D7-D2)</f>
        <v>1960</v>
      </c>
      <c r="S7" s="37">
        <f>IF((E7-E2&lt;0), "0",E7-E2)</f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U7" s="47">
        <v>906407</v>
      </c>
      <c r="AV7" s="37">
        <f>IF((AU7-AU6&lt;0),"0",AU7-AU6)</f>
        <v>897</v>
      </c>
      <c r="AW7" s="50">
        <v>0</v>
      </c>
    </row>
    <row r="8" spans="1:49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4">IF((D8-D7&lt;0), "0",D8-D7)</f>
        <v>1880</v>
      </c>
      <c r="S8" s="37">
        <f t="shared" ref="S8:S35" si="15">IF((E8-E7&lt;0), "0",E8-E7)</f>
        <v>2950</v>
      </c>
      <c r="T8" s="37">
        <f t="shared" si="14"/>
        <v>1380</v>
      </c>
      <c r="U8" s="37">
        <f t="shared" si="14"/>
        <v>3050</v>
      </c>
      <c r="V8" s="37">
        <f t="shared" si="14"/>
        <v>2340</v>
      </c>
      <c r="W8" s="37">
        <f t="shared" si="14"/>
        <v>2040</v>
      </c>
      <c r="X8" s="37">
        <f t="shared" si="14"/>
        <v>1190</v>
      </c>
      <c r="Y8" s="37">
        <f t="shared" si="14"/>
        <v>1940</v>
      </c>
      <c r="Z8" s="37">
        <f t="shared" si="14"/>
        <v>2350</v>
      </c>
      <c r="AA8" s="37">
        <f t="shared" si="14"/>
        <v>1460</v>
      </c>
      <c r="AB8" s="37">
        <f t="shared" si="14"/>
        <v>3180</v>
      </c>
      <c r="AC8" s="37">
        <f t="shared" si="14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U8" s="47">
        <v>907374</v>
      </c>
      <c r="AV8" s="37">
        <f>IF((AU8-AU7&lt;0),"0",AU8-AU7)</f>
        <v>967</v>
      </c>
      <c r="AW8" s="35">
        <v>0</v>
      </c>
    </row>
    <row r="9" spans="1:49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16">IF((C9-C8&lt;0), "0",C9-C8)</f>
        <v>560</v>
      </c>
      <c r="R9" s="37">
        <f t="shared" ref="R9:R35" si="17">IF((D9-D8&lt;0), "0",D9-D8)</f>
        <v>1880</v>
      </c>
      <c r="S9" s="37">
        <f t="shared" si="15"/>
        <v>2890</v>
      </c>
      <c r="T9" s="37">
        <f t="shared" ref="T9:T35" si="18">IF((F9-F8&lt;0), "0",F9-F8)</f>
        <v>1370</v>
      </c>
      <c r="U9" s="37">
        <f t="shared" ref="U9:U35" si="19">IF((G9-G8&lt;0), "0",G9-G8)</f>
        <v>3020</v>
      </c>
      <c r="V9" s="37">
        <f t="shared" ref="V9:V35" si="20">IF((H9-H8&lt;0), "0",H9-H8)</f>
        <v>2030</v>
      </c>
      <c r="W9" s="37">
        <f t="shared" ref="W9:W35" si="21">IF((I9-I8&lt;0), "0",I9-I8)</f>
        <v>2080</v>
      </c>
      <c r="X9" s="37">
        <f t="shared" ref="X9:X35" si="22">IF((J9-J8&lt;0), "0",J9-J8)</f>
        <v>1100</v>
      </c>
      <c r="Y9" s="37">
        <f t="shared" ref="Y9:Y35" si="23">IF((K9-K8&lt;0), "0",K9-K8)</f>
        <v>1950</v>
      </c>
      <c r="Z9" s="37">
        <f t="shared" ref="Z9:Z35" si="24">IF((L9-L8&lt;0), "0",L9-L8)</f>
        <v>2310</v>
      </c>
      <c r="AA9" s="37">
        <f t="shared" ref="AA9:AA35" si="25">IF((M9-M8&lt;0), "0",M9-M8)</f>
        <v>1470</v>
      </c>
      <c r="AB9" s="37">
        <f t="shared" ref="AB9:AB37" si="26">IF((N9-N8&lt;0), "0",N9-N8)</f>
        <v>3460</v>
      </c>
      <c r="AC9" s="37">
        <f t="shared" ref="AC9:AC37" si="27">IF((O9-O8&lt;0), "0",O9-O8)</f>
        <v>2650</v>
      </c>
      <c r="AD9" s="35">
        <f t="shared" ref="AD9:AD37" si="28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29">SUM(AF9:AR9)</f>
        <v>133.85</v>
      </c>
      <c r="AU9" s="47">
        <v>908343</v>
      </c>
      <c r="AV9" s="37">
        <f>IF((AU9-AU8&lt;0),"0",AU9-AU8)</f>
        <v>969</v>
      </c>
      <c r="AW9" s="35">
        <f t="shared" ref="AW9:AW35" si="30">AV9*$D$40</f>
        <v>1.9379999999999999</v>
      </c>
    </row>
    <row r="10" spans="1:49" x14ac:dyDescent="0.25">
      <c r="A10" s="23">
        <v>43955</v>
      </c>
      <c r="B10" s="40">
        <v>11</v>
      </c>
      <c r="C10" s="24">
        <v>6006970</v>
      </c>
      <c r="D10" s="24">
        <v>13021480</v>
      </c>
      <c r="E10" s="24">
        <v>1680130</v>
      </c>
      <c r="F10" s="24">
        <v>2823390</v>
      </c>
      <c r="G10" s="24">
        <v>8730680</v>
      </c>
      <c r="H10" s="24">
        <v>4344760</v>
      </c>
      <c r="I10" s="24">
        <v>4170620</v>
      </c>
      <c r="J10" s="24">
        <v>4742890</v>
      </c>
      <c r="K10" s="24">
        <v>7477270</v>
      </c>
      <c r="L10" s="24">
        <v>2832060</v>
      </c>
      <c r="M10" s="24">
        <v>6756960</v>
      </c>
      <c r="N10" s="24">
        <v>9565840</v>
      </c>
      <c r="O10" s="24">
        <v>13029790</v>
      </c>
      <c r="Q10" s="37">
        <f t="shared" si="16"/>
        <v>580</v>
      </c>
      <c r="R10" s="37">
        <f t="shared" si="17"/>
        <v>1880</v>
      </c>
      <c r="S10" s="37">
        <f t="shared" si="15"/>
        <v>2850</v>
      </c>
      <c r="T10" s="37">
        <f t="shared" si="18"/>
        <v>1370</v>
      </c>
      <c r="U10" s="37">
        <f t="shared" si="19"/>
        <v>2960</v>
      </c>
      <c r="V10" s="37">
        <f t="shared" si="20"/>
        <v>2010</v>
      </c>
      <c r="W10" s="37">
        <f t="shared" si="21"/>
        <v>2080</v>
      </c>
      <c r="X10" s="37">
        <f t="shared" si="22"/>
        <v>1110</v>
      </c>
      <c r="Y10" s="37">
        <f t="shared" si="23"/>
        <v>1950</v>
      </c>
      <c r="Z10" s="37">
        <f t="shared" si="24"/>
        <v>2280</v>
      </c>
      <c r="AA10" s="37">
        <f t="shared" si="25"/>
        <v>1470</v>
      </c>
      <c r="AB10" s="37">
        <f t="shared" si="26"/>
        <v>3460</v>
      </c>
      <c r="AC10" s="37">
        <f t="shared" si="27"/>
        <v>2710</v>
      </c>
      <c r="AD10" s="35">
        <f t="shared" si="28"/>
        <v>26710</v>
      </c>
      <c r="AF10" s="20">
        <f t="shared" si="1"/>
        <v>2.9</v>
      </c>
      <c r="AG10" s="20">
        <f t="shared" si="2"/>
        <v>9.4</v>
      </c>
      <c r="AH10" s="20">
        <f t="shared" si="3"/>
        <v>14.25</v>
      </c>
      <c r="AI10" s="20">
        <f t="shared" si="4"/>
        <v>6.8500000000000005</v>
      </c>
      <c r="AJ10" s="20">
        <f t="shared" si="5"/>
        <v>14.8</v>
      </c>
      <c r="AK10" s="20">
        <f t="shared" si="6"/>
        <v>10.050000000000001</v>
      </c>
      <c r="AL10" s="20">
        <f t="shared" si="7"/>
        <v>10.4</v>
      </c>
      <c r="AM10" s="20">
        <f t="shared" si="8"/>
        <v>5.55</v>
      </c>
      <c r="AN10" s="20">
        <f t="shared" si="9"/>
        <v>9.75</v>
      </c>
      <c r="AO10" s="20">
        <f t="shared" si="10"/>
        <v>11.4</v>
      </c>
      <c r="AP10" s="20">
        <f t="shared" si="11"/>
        <v>7.3500000000000005</v>
      </c>
      <c r="AQ10" s="20">
        <f t="shared" si="12"/>
        <v>17.3</v>
      </c>
      <c r="AR10" s="20">
        <f t="shared" si="13"/>
        <v>13.55</v>
      </c>
      <c r="AS10" s="35">
        <f t="shared" si="29"/>
        <v>133.55000000000001</v>
      </c>
      <c r="AU10" s="47">
        <v>908753</v>
      </c>
      <c r="AV10" s="37">
        <f t="shared" ref="AV10:AV26" si="31">IF((AU10-AU9&lt;0),"0",AU10-AU9)</f>
        <v>410</v>
      </c>
      <c r="AW10" s="35">
        <f t="shared" si="30"/>
        <v>0.82000000000000006</v>
      </c>
    </row>
    <row r="11" spans="1:49" x14ac:dyDescent="0.25">
      <c r="A11" s="23">
        <v>43956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43957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43958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43959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43960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43961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43962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43963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43964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43965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43966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43967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43968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43979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43981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43982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2300</v>
      </c>
      <c r="R38" s="30">
        <f t="shared" si="62"/>
        <v>7600</v>
      </c>
      <c r="S38" s="30">
        <f t="shared" si="62"/>
        <v>11780</v>
      </c>
      <c r="T38" s="30">
        <f t="shared" si="62"/>
        <v>5560</v>
      </c>
      <c r="U38" s="30">
        <f t="shared" si="62"/>
        <v>12150</v>
      </c>
      <c r="V38" s="30">
        <f t="shared" si="62"/>
        <v>8680</v>
      </c>
      <c r="W38" s="30">
        <f t="shared" si="62"/>
        <v>8390</v>
      </c>
      <c r="X38" s="30">
        <f t="shared" si="62"/>
        <v>4820</v>
      </c>
      <c r="Y38" s="30">
        <f t="shared" si="62"/>
        <v>7880</v>
      </c>
      <c r="Z38" s="30">
        <f t="shared" si="62"/>
        <v>9350</v>
      </c>
      <c r="AA38" s="30">
        <f t="shared" si="62"/>
        <v>5890</v>
      </c>
      <c r="AB38" s="30">
        <f t="shared" si="62"/>
        <v>14000</v>
      </c>
      <c r="AC38" s="30">
        <f t="shared" si="62"/>
        <v>10920</v>
      </c>
      <c r="AD38" s="35">
        <f t="shared" si="62"/>
        <v>109320</v>
      </c>
      <c r="AF38" s="35">
        <f t="shared" ref="AF38:AS38" si="63">SUM(AF7:AF34)</f>
        <v>11.500000000000002</v>
      </c>
      <c r="AG38" s="35">
        <f t="shared" si="63"/>
        <v>38</v>
      </c>
      <c r="AH38" s="35">
        <f t="shared" si="63"/>
        <v>58.900000000000006</v>
      </c>
      <c r="AI38" s="35">
        <f t="shared" si="63"/>
        <v>27.800000000000004</v>
      </c>
      <c r="AJ38" s="35">
        <f t="shared" si="63"/>
        <v>60.75</v>
      </c>
      <c r="AK38" s="35">
        <f t="shared" si="63"/>
        <v>43.400000000000006</v>
      </c>
      <c r="AL38" s="35">
        <f t="shared" si="63"/>
        <v>41.95</v>
      </c>
      <c r="AM38" s="35">
        <f t="shared" si="63"/>
        <v>24.1</v>
      </c>
      <c r="AN38" s="35">
        <f t="shared" si="63"/>
        <v>39.400000000000006</v>
      </c>
      <c r="AO38" s="35">
        <f t="shared" si="63"/>
        <v>46.75</v>
      </c>
      <c r="AP38" s="35">
        <f t="shared" si="63"/>
        <v>29.450000000000003</v>
      </c>
      <c r="AQ38" s="35">
        <f t="shared" si="63"/>
        <v>70</v>
      </c>
      <c r="AR38" s="35">
        <f t="shared" si="63"/>
        <v>54.599999999999994</v>
      </c>
      <c r="AS38" s="35">
        <f t="shared" si="63"/>
        <v>546.60000000000014</v>
      </c>
      <c r="AU38" s="48"/>
      <c r="AV38" s="35">
        <f>SUM(AV7:AV34)</f>
        <v>3243</v>
      </c>
      <c r="AW38" s="35">
        <f>SUM(AW7:AW34)</f>
        <v>2.758</v>
      </c>
    </row>
    <row r="39" spans="1:49" x14ac:dyDescent="0.25">
      <c r="D39">
        <v>5.0000000000000001E-3</v>
      </c>
      <c r="AV39" s="36">
        <f>AV38*0.00378541*1000</f>
        <v>12276.084629999999</v>
      </c>
    </row>
    <row r="40" spans="1:49" x14ac:dyDescent="0.25">
      <c r="D40">
        <v>2E-3</v>
      </c>
      <c r="AV40">
        <f>AV39/31</f>
        <v>396.00272999999999</v>
      </c>
    </row>
    <row r="41" spans="1:49" x14ac:dyDescent="0.25">
      <c r="AV41">
        <f>AV38*0.00378541</f>
        <v>12.27608463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2020-05-05T05:33:55Z</dcterms:modified>
</cp:coreProperties>
</file>