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3" i="8" l="1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1" i="8"/>
  <c r="G10" i="8"/>
  <c r="G9" i="8"/>
  <c r="G7" i="8"/>
  <c r="G8" i="8"/>
  <c r="G12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<sst xmlns="http://schemas.openxmlformats.org/spreadsheetml/2006/main" count="111" uniqueCount="57">
  <si>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</si>
  <si>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</si>
  <si>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</si>
  <si>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</si>
  <si>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</si>
  <si>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</si>
  <si>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</si>
  <si>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</si>
  <si>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</si>
  <si>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</si>
  <si>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</si>
  <si>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</si>
  <si>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</si>
  <si>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</si>
  <si>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</si>
  <si>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</si>
  <si>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</si>
  <si>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</si>
  <si>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</si>
  <si>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</si>
  <si>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</si>
  <si>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</si>
  <si>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</si>
  <si>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</si>
  <si>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</si>
  <si>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</si>
  <si>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</si>
  <si>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</si>
  <si>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</si>
  <si>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</si>
  <si>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</si>
  <si>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</si>
  <si>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</si>
  <si>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</si>
  <si>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</si>
  <si>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</si>
  <si>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</si>
  <si>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</si>
  <si>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</si>
  <si>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</si>
  <si>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</si>
  <si>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</si>
  <si>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</si>
  <si>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</si>
  <si>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</si>
  <si>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</si>
  <si>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</si>
  <si>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</si>
  <si>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</si>
  <si>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</si>
  <si>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NATURAL GAS CONSUMPTION , JUNE.2021</t>
  </si>
  <si>
    <t>CAPACITIVE / ACTIVE CONSUMPTIONS , JUNE.2021</t>
  </si>
  <si>
    <t>BİRİM FİYAT : 0.75  x 44794,8 =28668,6 TL/Kwh+KDV</t>
  </si>
  <si>
    <t>BİRİM FİYAT : 1.69 TL/m3 + KDV  x 39 = 64.74 TL + KDV</t>
  </si>
  <si>
    <t>ELECTRICITY CONSUMPTION , JUNE.2022</t>
  </si>
  <si>
    <t>REACTIVE / ACTIVE CONSUMPTIONS , JUNE.2022</t>
  </si>
  <si>
    <t>WATER CONSUMPTION , JUNE.2022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</si>
</sst>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5088"/>
        <c:axId val="203135872"/>
      </c:lineChart>
      <c:dateAx>
        <c:axId val="20313508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0313587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0313587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313508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3128"/>
        <c:axId val="203133912"/>
      </c:lineChart>
      <c:dateAx>
        <c:axId val="203133128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912"/>
        <c:crosses val="autoZero"/>
        <c:auto val="0"/>
        <c:lblOffset val="100"/>
        <c:baseTimeUnit val="days"/>
      </c:dateAx>
      <c:valAx>
        <c:axId val="20313391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3128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134696"/>
        <c:axId val="379335480"/>
      </c:lineChart>
      <c:dateAx>
        <c:axId val="203134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9335480"/>
        <c:crosses val="autoZero"/>
        <c:auto val="0"/>
        <c:lblOffset val="100"/>
        <c:baseTimeUnit val="days"/>
        <c:majorUnit val="1"/>
        <c:majorTimeUnit val="days"/>
      </c:dateAx>
      <c:valAx>
        <c:axId val="3793354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313469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/ENG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/ENG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/ENG/Elektrik%20su%20do&#287;algaz%202021/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5"/>
  <sheetViews>
    <sheetView tabSelected="1" zoomScale="110" zoomScaleNormal="110" workbookViewId="0">
      <selection activeCell="D2" sqref="D2:D31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2022</v>
      </c>
      <c r="E2" s="13">
        <f>Electricity!I4</f>
        <v>963.2</v>
      </c>
      <c r="F2" s="3">
        <v>2.1</v>
      </c>
      <c r="G2" s="13">
        <v>0</v>
      </c>
      <c r="H2" s="3">
        <v>4.21</v>
      </c>
      <c r="I2" s="13">
        <v>14</v>
      </c>
      <c r="J2" s="3">
        <v>22.4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2022</v>
      </c>
      <c r="E3" s="13">
        <f>Electricity!I5</f>
        <v>3599.0399999972433</v>
      </c>
      <c r="F3" s="3">
        <v>2.1</v>
      </c>
      <c r="G3" s="13">
        <f>Gas!J5</f>
        <v>120.82755300006829</v>
      </c>
      <c r="H3" s="3">
        <v>4.21</v>
      </c>
      <c r="I3" s="13">
        <v>2</v>
      </c>
      <c r="J3" s="3">
        <v>22.4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2022</v>
      </c>
      <c r="E4" s="13">
        <f>Electricity!I6</f>
        <v>1896.1200000029057</v>
      </c>
      <c r="F4" s="3">
        <v>2.1</v>
      </c>
      <c r="G4" s="13">
        <f>Gas!J6</f>
        <v>12.992210000054911</v>
      </c>
      <c r="H4" s="3">
        <v>4.21</v>
      </c>
      <c r="I4" s="13">
        <v>0</v>
      </c>
      <c r="J4" s="3">
        <v>22.4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2022</v>
      </c>
      <c r="E5" s="13">
        <f>Electricity!I7</f>
        <v>4366.3199999984354</v>
      </c>
      <c r="F5" s="3">
        <v>2.1</v>
      </c>
      <c r="G5" s="13">
        <f>Gas!J7</f>
        <v>190.98548699985258</v>
      </c>
      <c r="H5" s="3">
        <v>4.21</v>
      </c>
      <c r="I5" s="13">
        <f>Water!H7</f>
        <v>30</v>
      </c>
      <c r="J5" s="3">
        <v>22.4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2022</v>
      </c>
      <c r="E6" s="13">
        <f>Electricity!I8</f>
        <v>5163.9600000008941</v>
      </c>
      <c r="F6" s="3">
        <v>2.1</v>
      </c>
      <c r="G6" s="13">
        <f>Gas!J8</f>
        <v>135.11898400005884</v>
      </c>
      <c r="H6" s="3">
        <v>4.21</v>
      </c>
      <c r="I6" s="13">
        <f>Water!H8</f>
        <v>24</v>
      </c>
      <c r="J6" s="3">
        <v>22.4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2022</v>
      </c>
      <c r="E7" s="13">
        <f>Electricity!I9</f>
        <v>4794.1199999991804</v>
      </c>
      <c r="F7" s="3">
        <v>2.1</v>
      </c>
      <c r="G7" s="13">
        <f>Gas!J9</f>
        <v>124.72521600010805</v>
      </c>
      <c r="H7" s="3">
        <v>4.21</v>
      </c>
      <c r="I7" s="13">
        <f>Water!H9</f>
        <v>5</v>
      </c>
      <c r="J7" s="3">
        <v>22.4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2022</v>
      </c>
      <c r="E8" s="13">
        <f>Electricity!I10</f>
        <v>4990.0800000000745</v>
      </c>
      <c r="F8" s="3">
        <v>2.1</v>
      </c>
      <c r="G8" s="13">
        <f>Gas!J10</f>
        <v>115.63066899986006</v>
      </c>
      <c r="H8" s="3">
        <v>4.21</v>
      </c>
      <c r="I8" s="13">
        <f>Water!H10</f>
        <v>31</v>
      </c>
      <c r="J8" s="3">
        <v>22.4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2022</v>
      </c>
      <c r="E9" s="13">
        <f>Electricity!I11</f>
        <v>-13491089.76</v>
      </c>
      <c r="F9" s="3">
        <v>2.1</v>
      </c>
      <c r="G9" s="13">
        <f>Gas!J11</f>
        <v>-1217541.5741719999</v>
      </c>
      <c r="H9" s="3">
        <v>4.21</v>
      </c>
      <c r="I9" s="13">
        <f>Water!H11</f>
        <v>-12825</v>
      </c>
      <c r="J9" s="3">
        <v>22.4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2022</v>
      </c>
      <c r="E10" s="13">
        <f>Electricity!I12</f>
        <v>0</v>
      </c>
      <c r="F10" s="3">
        <v>2.1</v>
      </c>
      <c r="G10" s="13">
        <f>Gas!J12</f>
        <v>0</v>
      </c>
      <c r="H10" s="3">
        <v>4.21</v>
      </c>
      <c r="I10" s="13">
        <f>Water!H12</f>
        <v>0</v>
      </c>
      <c r="J10" s="3">
        <v>22.4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2022</v>
      </c>
      <c r="E11" s="13">
        <f>Electricity!I13</f>
        <v>0</v>
      </c>
      <c r="F11" s="3">
        <v>2.1</v>
      </c>
      <c r="G11" s="13">
        <f>Gas!J13</f>
        <v>0</v>
      </c>
      <c r="H11" s="3">
        <v>4.21</v>
      </c>
      <c r="I11" s="13">
        <f>Water!H13</f>
        <v>0</v>
      </c>
      <c r="J11" s="3">
        <v>22.4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2022</v>
      </c>
      <c r="E12" s="13">
        <f>Electricity!I14</f>
        <v>0</v>
      </c>
      <c r="F12" s="3">
        <v>2.1</v>
      </c>
      <c r="G12" s="13">
        <f>Gas!J14</f>
        <v>0</v>
      </c>
      <c r="H12" s="3">
        <v>4.21</v>
      </c>
      <c r="I12" s="13">
        <f>Water!H14</f>
        <v>0</v>
      </c>
      <c r="J12" s="3">
        <v>22.4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2022</v>
      </c>
      <c r="E13" s="13">
        <f>Electricity!I15</f>
        <v>0</v>
      </c>
      <c r="F13" s="3">
        <v>2.1</v>
      </c>
      <c r="G13" s="13">
        <f>Gas!J15</f>
        <v>0</v>
      </c>
      <c r="H13" s="3">
        <v>4.21</v>
      </c>
      <c r="I13" s="13">
        <f>Water!H15</f>
        <v>0</v>
      </c>
      <c r="J13" s="3">
        <v>22.4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2022</v>
      </c>
      <c r="E14" s="13">
        <f>Electricity!I16</f>
        <v>0</v>
      </c>
      <c r="F14" s="3">
        <v>2.1</v>
      </c>
      <c r="G14" s="13">
        <f>Gas!J16</f>
        <v>0</v>
      </c>
      <c r="H14" s="3">
        <v>4.21</v>
      </c>
      <c r="I14" s="13">
        <f>Water!H16</f>
        <v>0</v>
      </c>
      <c r="J14" s="3">
        <v>22.4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2022</v>
      </c>
      <c r="E15" s="13">
        <f>Electricity!I17</f>
        <v>0</v>
      </c>
      <c r="F15" s="3">
        <v>2.1</v>
      </c>
      <c r="G15" s="13">
        <f>Gas!J17</f>
        <v>0</v>
      </c>
      <c r="H15" s="3">
        <v>4.21</v>
      </c>
      <c r="I15" s="13">
        <f>Water!H17</f>
        <v>0</v>
      </c>
      <c r="J15" s="3">
        <v>22.4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2022</v>
      </c>
      <c r="E16" s="13">
        <f>Electricity!I18</f>
        <v>0</v>
      </c>
      <c r="F16" s="3">
        <v>2.1</v>
      </c>
      <c r="G16" s="13">
        <f>Gas!J18</f>
        <v>0</v>
      </c>
      <c r="H16" s="3">
        <v>4.21</v>
      </c>
      <c r="I16" s="13">
        <f>Water!H18</f>
        <v>0</v>
      </c>
      <c r="J16" s="3">
        <v>22.4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2022</v>
      </c>
      <c r="E17" s="13">
        <f>Electricity!I19</f>
        <v>0</v>
      </c>
      <c r="F17" s="3">
        <v>2.1</v>
      </c>
      <c r="G17" s="13">
        <f>Gas!J19</f>
        <v>0</v>
      </c>
      <c r="H17" s="3">
        <v>4.21</v>
      </c>
      <c r="I17" s="13">
        <f>Water!H19</f>
        <v>0</v>
      </c>
      <c r="J17" s="3">
        <v>22.4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2022</v>
      </c>
      <c r="E18" s="13">
        <f>Electricity!I20</f>
        <v>0</v>
      </c>
      <c r="F18" s="3">
        <v>2.1</v>
      </c>
      <c r="G18" s="13">
        <f>Gas!J20</f>
        <v>0</v>
      </c>
      <c r="H18" s="3">
        <v>4.21</v>
      </c>
      <c r="I18" s="13">
        <f>Water!H20</f>
        <v>0</v>
      </c>
      <c r="J18" s="3">
        <v>22.4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2022</v>
      </c>
      <c r="E19" s="13">
        <f>Electricity!I21</f>
        <v>0</v>
      </c>
      <c r="F19" s="3">
        <v>2.1</v>
      </c>
      <c r="G19" s="13">
        <f>Gas!J21</f>
        <v>0</v>
      </c>
      <c r="H19" s="3">
        <v>4.21</v>
      </c>
      <c r="I19" s="13">
        <f>Water!H21</f>
        <v>0</v>
      </c>
      <c r="J19" s="3">
        <v>22.4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2022</v>
      </c>
      <c r="E20" s="13">
        <f>Electricity!I22</f>
        <v>0</v>
      </c>
      <c r="F20" s="3">
        <v>2.1</v>
      </c>
      <c r="G20" s="13">
        <f>Gas!J22</f>
        <v>0</v>
      </c>
      <c r="H20" s="3">
        <v>4.21</v>
      </c>
      <c r="I20" s="13">
        <f>Water!H22</f>
        <v>0</v>
      </c>
      <c r="J20" s="3">
        <v>22.4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2022</v>
      </c>
      <c r="E21" s="13">
        <f>Electricity!I23</f>
        <v>0</v>
      </c>
      <c r="F21" s="3">
        <v>2.1</v>
      </c>
      <c r="G21" s="13">
        <f>Gas!J23</f>
        <v>0</v>
      </c>
      <c r="H21" s="3">
        <v>4.21</v>
      </c>
      <c r="I21" s="13">
        <f>Water!H23</f>
        <v>0</v>
      </c>
      <c r="J21" s="3">
        <v>22.4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2022</v>
      </c>
      <c r="E22" s="13">
        <f>Electricity!I24</f>
        <v>0</v>
      </c>
      <c r="F22" s="3">
        <v>2.1</v>
      </c>
      <c r="G22" s="13">
        <f>Gas!J24</f>
        <v>0</v>
      </c>
      <c r="H22" s="3">
        <v>4.21</v>
      </c>
      <c r="I22" s="13">
        <f>Water!H24</f>
        <v>0</v>
      </c>
      <c r="J22" s="3">
        <v>22.4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2022</v>
      </c>
      <c r="E23" s="13">
        <f>Electricity!I25</f>
        <v>0</v>
      </c>
      <c r="F23" s="3">
        <v>2.1</v>
      </c>
      <c r="G23" s="13">
        <f>Gas!J25</f>
        <v>0</v>
      </c>
      <c r="H23" s="3">
        <v>4.21</v>
      </c>
      <c r="I23" s="13">
        <f>Water!H25</f>
        <v>0</v>
      </c>
      <c r="J23" s="3">
        <v>22.4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2022</v>
      </c>
      <c r="E24" s="13">
        <f>Electricity!I26</f>
        <v>0</v>
      </c>
      <c r="F24" s="3">
        <v>2.1</v>
      </c>
      <c r="G24" s="13">
        <f>Gas!J26</f>
        <v>0</v>
      </c>
      <c r="H24" s="3">
        <v>4.21</v>
      </c>
      <c r="I24" s="13">
        <f>Water!H26</f>
        <v>0</v>
      </c>
      <c r="J24" s="3">
        <v>22.4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2022</v>
      </c>
      <c r="E25" s="13">
        <f>Electricity!I27</f>
        <v>0</v>
      </c>
      <c r="F25" s="3">
        <v>2.1</v>
      </c>
      <c r="G25" s="13">
        <f>Gas!J27</f>
        <v>0</v>
      </c>
      <c r="H25" s="3">
        <v>4.21</v>
      </c>
      <c r="I25" s="13">
        <f>Water!H27</f>
        <v>0</v>
      </c>
      <c r="J25" s="3">
        <v>22.4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2022</v>
      </c>
      <c r="E26" s="13">
        <f>Electricity!I28</f>
        <v>0</v>
      </c>
      <c r="F26" s="3">
        <v>2.1</v>
      </c>
      <c r="G26" s="13">
        <f>Gas!J28</f>
        <v>0</v>
      </c>
      <c r="H26" s="3">
        <v>4.21</v>
      </c>
      <c r="I26" s="13">
        <f>Water!H28</f>
        <v>0</v>
      </c>
      <c r="J26" s="3">
        <v>22.4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2022</v>
      </c>
      <c r="E27" s="13">
        <f>Electricity!I29</f>
        <v>0</v>
      </c>
      <c r="F27" s="3">
        <v>2.1</v>
      </c>
      <c r="G27" s="13">
        <f>Gas!J29</f>
        <v>0</v>
      </c>
      <c r="H27" s="3">
        <v>4.21</v>
      </c>
      <c r="I27" s="13">
        <f>Water!H29</f>
        <v>0</v>
      </c>
      <c r="J27" s="3">
        <v>22.4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2022</v>
      </c>
      <c r="E28" s="13">
        <f>Electricity!I30</f>
        <v>0</v>
      </c>
      <c r="F28" s="3">
        <v>2.1</v>
      </c>
      <c r="G28" s="13">
        <f>Gas!J30</f>
        <v>0</v>
      </c>
      <c r="H28" s="3">
        <v>4.21</v>
      </c>
      <c r="I28" s="13">
        <f>Water!H30</f>
        <v>0</v>
      </c>
      <c r="J28" s="3">
        <v>22.4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2022</v>
      </c>
      <c r="E29" s="13">
        <f>Electricity!I31</f>
        <v>0</v>
      </c>
      <c r="F29" s="3">
        <v>2.1</v>
      </c>
      <c r="G29" s="13">
        <f>Gas!J31</f>
        <v>0</v>
      </c>
      <c r="H29" s="3">
        <v>4.21</v>
      </c>
      <c r="I29" s="13">
        <f>Water!H31</f>
        <v>0</v>
      </c>
      <c r="J29" s="3">
        <v>22.4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2022</v>
      </c>
      <c r="E30" s="13">
        <f>Electricity!I32</f>
        <v>0</v>
      </c>
      <c r="F30" s="3">
        <v>2.1</v>
      </c>
      <c r="G30" s="13">
        <f>Gas!J32</f>
        <v>0</v>
      </c>
      <c r="H30" s="3">
        <v>4.21</v>
      </c>
      <c r="I30" s="13">
        <f>Water!H32</f>
        <v>0</v>
      </c>
      <c r="J30" s="3">
        <v>22.4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2022</v>
      </c>
      <c r="E31" s="13">
        <f>Electricity!I33</f>
        <v>0</v>
      </c>
      <c r="F31" s="3">
        <v>2.1</v>
      </c>
      <c r="G31" s="13">
        <f>Gas!J33</f>
        <v>0</v>
      </c>
      <c r="H31" s="3">
        <v>4.21</v>
      </c>
      <c r="I31" s="13">
        <f>Water!H33</f>
        <v>0</v>
      </c>
      <c r="J31" s="3">
        <v>22.4</v>
      </c>
      <c r="K31" s="12">
        <v>0</v>
      </c>
    </row>
    <row r="32" spans="1:11" x14ac:dyDescent="0.25">
      <c r="H32" s="3"/>
    </row>
    <row r="33" spans="8:8" x14ac:dyDescent="0.25">
      <c r="H33" s="3"/>
    </row>
    <row r="34" spans="8:8" x14ac:dyDescent="0.25">
      <c r="H34" s="3"/>
    </row>
    <row r="35" spans="8:8" x14ac:dyDescent="0.25">
      <c r="H3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1" sqref="E1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D2" s="107" t="s">
        <v>56</v>
      </c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44713</v>
      </c>
      <c r="E4" s="24">
        <v>12726</v>
      </c>
      <c r="F4" s="24">
        <v>1065</v>
      </c>
      <c r="G4" s="24">
        <f>E4+F4</f>
        <v>13791</v>
      </c>
      <c r="H4" s="25">
        <f>+(G4-[1]May.2021!$G$34)</f>
        <v>3114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44714</v>
      </c>
      <c r="E5" s="24">
        <v>12730</v>
      </c>
      <c r="F5" s="24">
        <v>1065</v>
      </c>
      <c r="G5" s="24">
        <f>E5+F5</f>
        <v>13795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44715</v>
      </c>
      <c r="E6" s="24">
        <v>12735</v>
      </c>
      <c r="F6" s="24">
        <v>1065</v>
      </c>
      <c r="G6" s="24">
        <f t="shared" ref="G6:G33" si="1">E6+F6</f>
        <v>13800</v>
      </c>
      <c r="H6" s="25">
        <f t="shared" si="0"/>
        <v>5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44716</v>
      </c>
      <c r="E7" s="24">
        <v>12765</v>
      </c>
      <c r="F7" s="24">
        <v>1065</v>
      </c>
      <c r="G7" s="24">
        <f t="shared" si="1"/>
        <v>13830</v>
      </c>
      <c r="H7" s="25">
        <f t="shared" si="0"/>
        <v>30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44717</v>
      </c>
      <c r="E8" s="24">
        <v>12789</v>
      </c>
      <c r="F8" s="24">
        <v>1065</v>
      </c>
      <c r="G8" s="24">
        <f t="shared" si="1"/>
        <v>13854</v>
      </c>
      <c r="H8" s="25">
        <f t="shared" si="0"/>
        <v>24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44718</v>
      </c>
      <c r="E9" s="24">
        <v>12794</v>
      </c>
      <c r="F9" s="24">
        <v>1065</v>
      </c>
      <c r="G9" s="24">
        <f t="shared" si="1"/>
        <v>13859</v>
      </c>
      <c r="H9" s="25">
        <f t="shared" si="0"/>
        <v>5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44719</v>
      </c>
      <c r="E10" s="24">
        <v>12825</v>
      </c>
      <c r="F10" s="24">
        <v>1065</v>
      </c>
      <c r="G10" s="24">
        <f t="shared" si="1"/>
        <v>13890</v>
      </c>
      <c r="H10" s="25">
        <f t="shared" si="0"/>
        <v>31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44720</v>
      </c>
      <c r="E11" s="24"/>
      <c r="F11" s="24">
        <v>1065</v>
      </c>
      <c r="G11" s="24">
        <f t="shared" si="1"/>
        <v>1065</v>
      </c>
      <c r="H11" s="25">
        <f t="shared" si="0"/>
        <v>-12825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44721</v>
      </c>
      <c r="E12" s="24"/>
      <c r="F12" s="24">
        <v>1065</v>
      </c>
      <c r="G12" s="24">
        <f t="shared" si="1"/>
        <v>1065</v>
      </c>
      <c r="H12" s="25">
        <f t="shared" si="0"/>
        <v>0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44722</v>
      </c>
      <c r="E13" s="24"/>
      <c r="F13" s="24">
        <v>1065</v>
      </c>
      <c r="G13" s="24">
        <f t="shared" si="1"/>
        <v>1065</v>
      </c>
      <c r="H13" s="25">
        <f t="shared" si="0"/>
        <v>0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44723</v>
      </c>
      <c r="E14" s="24"/>
      <c r="F14" s="24">
        <v>1065</v>
      </c>
      <c r="G14" s="24">
        <f t="shared" si="1"/>
        <v>1065</v>
      </c>
      <c r="H14" s="25">
        <f t="shared" si="0"/>
        <v>0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44724</v>
      </c>
      <c r="E15" s="24"/>
      <c r="F15" s="24">
        <v>1065</v>
      </c>
      <c r="G15" s="24">
        <f t="shared" si="1"/>
        <v>1065</v>
      </c>
      <c r="H15" s="25">
        <f t="shared" si="0"/>
        <v>0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44725</v>
      </c>
      <c r="E16" s="24"/>
      <c r="F16" s="24">
        <v>1065</v>
      </c>
      <c r="G16" s="24">
        <f t="shared" si="1"/>
        <v>1065</v>
      </c>
      <c r="H16" s="25">
        <f t="shared" si="0"/>
        <v>0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44726</v>
      </c>
      <c r="E17" s="24"/>
      <c r="F17" s="24">
        <v>1065</v>
      </c>
      <c r="G17" s="24">
        <f t="shared" si="1"/>
        <v>1065</v>
      </c>
      <c r="H17" s="25">
        <f t="shared" si="0"/>
        <v>0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44727</v>
      </c>
      <c r="E18" s="24"/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44728</v>
      </c>
      <c r="E19" s="24"/>
      <c r="F19" s="24">
        <v>1065</v>
      </c>
      <c r="G19" s="24">
        <f t="shared" si="1"/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44729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44730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44731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44732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44733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44734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44735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44736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44737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44738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44739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44740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44741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44742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1" sqref="F1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50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44713</v>
      </c>
      <c r="E4" s="24">
        <v>764369</v>
      </c>
      <c r="F4" s="24">
        <v>172224</v>
      </c>
      <c r="G4" s="24">
        <f>E4+F4</f>
        <v>936593</v>
      </c>
      <c r="H4" s="18">
        <v>1.299221</v>
      </c>
      <c r="I4" s="24">
        <f t="shared" ref="I4:I33" si="0">H4*G4</f>
        <v>1216841.2940529999</v>
      </c>
      <c r="J4" s="25">
        <f>I4-[2]May.2021!$I$34</f>
        <v>4760.3457440000493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44714</v>
      </c>
      <c r="E5" s="24">
        <v>764459</v>
      </c>
      <c r="F5" s="24">
        <v>172227</v>
      </c>
      <c r="G5" s="24">
        <f t="shared" ref="G5:G33" si="1">E5+F5</f>
        <v>936686</v>
      </c>
      <c r="H5" s="18">
        <v>1.299221</v>
      </c>
      <c r="I5" s="24">
        <f t="shared" si="0"/>
        <v>1216962.121606</v>
      </c>
      <c r="J5" s="25">
        <f t="shared" ref="J5:J31" si="2">I5-I4</f>
        <v>120.82755300006829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44715</v>
      </c>
      <c r="E6" s="24">
        <v>764469</v>
      </c>
      <c r="F6" s="24">
        <v>172227</v>
      </c>
      <c r="G6" s="24">
        <f t="shared" si="1"/>
        <v>936696</v>
      </c>
      <c r="H6" s="18">
        <v>1.299221</v>
      </c>
      <c r="I6" s="24">
        <f t="shared" si="0"/>
        <v>1216975.1138160001</v>
      </c>
      <c r="J6" s="25">
        <f t="shared" si="2"/>
        <v>12.992210000054911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44716</v>
      </c>
      <c r="E7" s="24">
        <v>764615</v>
      </c>
      <c r="F7" s="24">
        <v>172228</v>
      </c>
      <c r="G7" s="24">
        <f t="shared" si="1"/>
        <v>936843</v>
      </c>
      <c r="H7" s="18">
        <v>1.299221</v>
      </c>
      <c r="I7" s="24">
        <f t="shared" si="0"/>
        <v>1217166.0993029999</v>
      </c>
      <c r="J7" s="25">
        <f t="shared" si="2"/>
        <v>190.98548699985258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44717</v>
      </c>
      <c r="E8" s="24">
        <v>764719</v>
      </c>
      <c r="F8" s="24">
        <v>172228</v>
      </c>
      <c r="G8" s="24">
        <f t="shared" si="1"/>
        <v>936947</v>
      </c>
      <c r="H8" s="18">
        <v>1.299221</v>
      </c>
      <c r="I8" s="24">
        <f t="shared" si="0"/>
        <v>1217301.218287</v>
      </c>
      <c r="J8" s="25">
        <f t="shared" si="2"/>
        <v>135.11898400005884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44718</v>
      </c>
      <c r="E9" s="24">
        <v>764814</v>
      </c>
      <c r="F9" s="24">
        <v>172229</v>
      </c>
      <c r="G9" s="24">
        <f t="shared" si="1"/>
        <v>937043</v>
      </c>
      <c r="H9" s="18">
        <v>1.299221</v>
      </c>
      <c r="I9" s="24">
        <f t="shared" si="0"/>
        <v>1217425.9435030001</v>
      </c>
      <c r="J9" s="25">
        <f t="shared" si="2"/>
        <v>124.72521600010805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44719</v>
      </c>
      <c r="E10" s="24">
        <v>764903</v>
      </c>
      <c r="F10" s="24">
        <v>172229</v>
      </c>
      <c r="G10" s="24">
        <f t="shared" si="1"/>
        <v>937132</v>
      </c>
      <c r="H10" s="18">
        <v>1.299221</v>
      </c>
      <c r="I10" s="24">
        <f t="shared" si="0"/>
        <v>1217541.5741719999</v>
      </c>
      <c r="J10" s="25">
        <f t="shared" si="2"/>
        <v>115.63066899986006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44720</v>
      </c>
      <c r="E11" s="24"/>
      <c r="F11" s="24"/>
      <c r="G11" s="24">
        <f t="shared" si="1"/>
        <v>0</v>
      </c>
      <c r="H11" s="18">
        <v>1.299221</v>
      </c>
      <c r="I11" s="24">
        <f t="shared" si="0"/>
        <v>0</v>
      </c>
      <c r="J11" s="25">
        <f t="shared" si="2"/>
        <v>-1217541.5741719999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44721</v>
      </c>
      <c r="E12" s="24"/>
      <c r="F12" s="24"/>
      <c r="G12" s="24">
        <f>E12+F12</f>
        <v>0</v>
      </c>
      <c r="H12" s="18">
        <v>1.299221</v>
      </c>
      <c r="I12" s="24">
        <f t="shared" si="0"/>
        <v>0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44722</v>
      </c>
      <c r="E13" s="24"/>
      <c r="F13" s="24"/>
      <c r="G13" s="24">
        <f>E13+F13</f>
        <v>0</v>
      </c>
      <c r="H13" s="18">
        <v>1.299221</v>
      </c>
      <c r="I13" s="24">
        <f t="shared" si="0"/>
        <v>0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44723</v>
      </c>
      <c r="E14" s="24"/>
      <c r="F14" s="24"/>
      <c r="G14" s="24">
        <f t="shared" si="1"/>
        <v>0</v>
      </c>
      <c r="H14" s="18">
        <v>1.299221</v>
      </c>
      <c r="I14" s="24">
        <f t="shared" si="0"/>
        <v>0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44724</v>
      </c>
      <c r="E15" s="24"/>
      <c r="F15" s="24"/>
      <c r="G15" s="24">
        <f>E15+F15</f>
        <v>0</v>
      </c>
      <c r="H15" s="18">
        <v>1.299221</v>
      </c>
      <c r="I15" s="24">
        <f t="shared" si="0"/>
        <v>0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44725</v>
      </c>
      <c r="E16" s="24"/>
      <c r="F16" s="24"/>
      <c r="G16" s="24">
        <f>E16+F16</f>
        <v>0</v>
      </c>
      <c r="H16" s="18">
        <v>1.299221</v>
      </c>
      <c r="I16" s="24">
        <f t="shared" si="0"/>
        <v>0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44726</v>
      </c>
      <c r="E17" s="24"/>
      <c r="F17" s="24"/>
      <c r="G17" s="24">
        <f t="shared" si="1"/>
        <v>0</v>
      </c>
      <c r="H17" s="18">
        <v>1.299221</v>
      </c>
      <c r="I17" s="24">
        <f t="shared" si="0"/>
        <v>0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44727</v>
      </c>
      <c r="E18" s="24"/>
      <c r="F18" s="24"/>
      <c r="G18" s="24">
        <f t="shared" si="1"/>
        <v>0</v>
      </c>
      <c r="H18" s="18">
        <v>1.299221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44728</v>
      </c>
      <c r="E19" s="24"/>
      <c r="F19" s="24"/>
      <c r="G19" s="24">
        <f t="shared" si="1"/>
        <v>0</v>
      </c>
      <c r="H19" s="18">
        <v>1.299221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44729</v>
      </c>
      <c r="E20" s="24"/>
      <c r="F20" s="24"/>
      <c r="G20" s="24">
        <f t="shared" si="1"/>
        <v>0</v>
      </c>
      <c r="H20" s="18">
        <v>1.299221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44730</v>
      </c>
      <c r="E21" s="24"/>
      <c r="F21" s="24"/>
      <c r="G21" s="24">
        <f t="shared" si="1"/>
        <v>0</v>
      </c>
      <c r="H21" s="18">
        <v>1.299221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44731</v>
      </c>
      <c r="E22" s="24"/>
      <c r="F22" s="24"/>
      <c r="G22" s="24">
        <f t="shared" si="1"/>
        <v>0</v>
      </c>
      <c r="H22" s="18">
        <v>1.299221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44732</v>
      </c>
      <c r="E23" s="24"/>
      <c r="F23" s="24"/>
      <c r="G23" s="24">
        <f t="shared" si="1"/>
        <v>0</v>
      </c>
      <c r="H23" s="18">
        <v>1.299221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44733</v>
      </c>
      <c r="E24" s="24"/>
      <c r="F24" s="24"/>
      <c r="G24" s="24">
        <f t="shared" si="1"/>
        <v>0</v>
      </c>
      <c r="H24" s="18">
        <v>1.299221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44734</v>
      </c>
      <c r="E25" s="24"/>
      <c r="F25" s="24"/>
      <c r="G25" s="24">
        <f t="shared" si="1"/>
        <v>0</v>
      </c>
      <c r="H25" s="18">
        <v>1.299221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44735</v>
      </c>
      <c r="E26" s="24"/>
      <c r="F26" s="24"/>
      <c r="G26" s="24">
        <f t="shared" si="1"/>
        <v>0</v>
      </c>
      <c r="H26" s="18">
        <v>1.299221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44736</v>
      </c>
      <c r="E27" s="24"/>
      <c r="F27" s="24"/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44737</v>
      </c>
      <c r="E28" s="24"/>
      <c r="F28" s="24"/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44738</v>
      </c>
      <c r="E29" s="24"/>
      <c r="F29" s="24"/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44739</v>
      </c>
      <c r="E30" s="24"/>
      <c r="F30" s="24"/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44740</v>
      </c>
      <c r="E31" s="24"/>
      <c r="F31" s="24"/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44741</v>
      </c>
      <c r="E32" s="24"/>
      <c r="F32" s="24"/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44742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1044.0539956000168</v>
      </c>
      <c r="M36" s="17">
        <f>+(L36*31)</f>
        <v>32365.673863600521</v>
      </c>
    </row>
    <row r="37" spans="4:18" ht="12.75" customHeight="1" x14ac:dyDescent="0.25">
      <c r="D37" s="50" t="s">
        <v>53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1" sqref="F11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54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55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47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9" t="s">
        <v>43</v>
      </c>
      <c r="AP3" s="110"/>
      <c r="AQ3" s="109" t="s">
        <v>44</v>
      </c>
      <c r="AR3" s="110"/>
      <c r="AS3" s="109" t="s">
        <v>45</v>
      </c>
      <c r="AT3" s="110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44713</v>
      </c>
      <c r="F4" s="92">
        <v>4879.0870000000004</v>
      </c>
      <c r="G4" s="23">
        <v>2760</v>
      </c>
      <c r="H4" s="24">
        <f>G4*F4</f>
        <v>13466280.120000001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44714</v>
      </c>
      <c r="F5" s="92">
        <v>4880.3909999999996</v>
      </c>
      <c r="G5" s="23">
        <v>2760</v>
      </c>
      <c r="H5" s="24">
        <f t="shared" ref="H5:H33" si="11">G5*F5</f>
        <v>13469879.159999998</v>
      </c>
      <c r="I5" s="25">
        <f>H5-H4</f>
        <v>3599.0399999972433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3599.0399999972433</v>
      </c>
      <c r="W5" s="74">
        <f t="shared" si="2"/>
        <v>-95.081288343631101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3599.0399999972433</v>
      </c>
      <c r="AF5" s="74">
        <f t="shared" si="5"/>
        <v>1.5337423312898418E-2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3599.0399999972433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44715</v>
      </c>
      <c r="F6" s="92">
        <v>4881.0780000000004</v>
      </c>
      <c r="G6" s="23">
        <v>2760</v>
      </c>
      <c r="H6" s="24">
        <f t="shared" si="11"/>
        <v>13471775.280000001</v>
      </c>
      <c r="I6" s="25">
        <f t="shared" ref="I6:I32" si="18">H6-H5</f>
        <v>1896.1200000029057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1896.1200000029057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1896.1200000029057</v>
      </c>
      <c r="AF6" s="74">
        <f t="shared" si="5"/>
        <v>2.7656477438126371E-2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1896.1200000029057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44716</v>
      </c>
      <c r="F7" s="92">
        <v>4882.66</v>
      </c>
      <c r="G7" s="23">
        <v>2760</v>
      </c>
      <c r="H7" s="24">
        <f t="shared" si="11"/>
        <v>13476141.6</v>
      </c>
      <c r="I7" s="25">
        <f t="shared" si="18"/>
        <v>4366.3199999984354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4366.3199999984354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4366.3199999984354</v>
      </c>
      <c r="AF7" s="74">
        <f t="shared" si="5"/>
        <v>-104.10429835654806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4366.3199999984354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44717</v>
      </c>
      <c r="F8" s="92">
        <v>4884.5309999999999</v>
      </c>
      <c r="G8" s="23">
        <v>2760</v>
      </c>
      <c r="H8" s="24">
        <f t="shared" si="11"/>
        <v>13481305.560000001</v>
      </c>
      <c r="I8" s="25">
        <f t="shared" si="18"/>
        <v>5163.9600000008941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5163.9600000008941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5163.9600000008941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5163.9600000008941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44718</v>
      </c>
      <c r="F9" s="92">
        <v>4886.268</v>
      </c>
      <c r="G9" s="23">
        <v>2760</v>
      </c>
      <c r="H9" s="24">
        <f t="shared" si="11"/>
        <v>13486099.68</v>
      </c>
      <c r="I9" s="25">
        <f t="shared" si="18"/>
        <v>4794.1199999991804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4794.1199999991804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4794.1199999991804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4794.1199999991804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44719</v>
      </c>
      <c r="F10" s="92">
        <v>4888.076</v>
      </c>
      <c r="G10" s="23">
        <v>2760</v>
      </c>
      <c r="H10" s="24">
        <f t="shared" si="11"/>
        <v>13491089.76</v>
      </c>
      <c r="I10" s="25">
        <f t="shared" si="18"/>
        <v>4990.0800000000745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4990.0800000000745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4990.0800000000745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4990.0800000000745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44720</v>
      </c>
      <c r="F11" s="92"/>
      <c r="G11" s="23">
        <v>2760</v>
      </c>
      <c r="H11" s="24">
        <f t="shared" si="11"/>
        <v>0</v>
      </c>
      <c r="I11" s="25">
        <f t="shared" si="18"/>
        <v>-13491089.76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-13491089.76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-13491089.76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-13491089.76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44721</v>
      </c>
      <c r="F12" s="92"/>
      <c r="G12" s="23">
        <v>2760</v>
      </c>
      <c r="H12" s="24">
        <f t="shared" si="11"/>
        <v>0</v>
      </c>
      <c r="I12" s="25">
        <f t="shared" si="18"/>
        <v>0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0</v>
      </c>
      <c r="W12" s="74" t="e">
        <f t="shared" si="2"/>
        <v>#DIV/0!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0</v>
      </c>
      <c r="AF12" s="74" t="e">
        <f>AD12/AE12</f>
        <v>#DIV/0!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44722</v>
      </c>
      <c r="F13" s="92"/>
      <c r="G13" s="23">
        <v>2760</v>
      </c>
      <c r="H13" s="24">
        <f t="shared" si="11"/>
        <v>0</v>
      </c>
      <c r="I13" s="25">
        <f t="shared" si="18"/>
        <v>0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0</v>
      </c>
      <c r="W13" s="74" t="e">
        <f t="shared" si="2"/>
        <v>#DIV/0!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0</v>
      </c>
      <c r="AF13" s="74" t="e">
        <f>AD13/AE13</f>
        <v>#DIV/0!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44723</v>
      </c>
      <c r="F14" s="92"/>
      <c r="G14" s="23">
        <v>2760</v>
      </c>
      <c r="H14" s="24">
        <f t="shared" si="11"/>
        <v>0</v>
      </c>
      <c r="I14" s="25">
        <f t="shared" si="18"/>
        <v>0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0</v>
      </c>
      <c r="W14" s="74" t="e">
        <f t="shared" si="2"/>
        <v>#DIV/0!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0</v>
      </c>
      <c r="AF14" s="74" t="e">
        <f>AD14/AE14</f>
        <v>#DIV/0!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44724</v>
      </c>
      <c r="F15" s="92"/>
      <c r="G15" s="23">
        <v>2760</v>
      </c>
      <c r="H15" s="24">
        <f t="shared" si="11"/>
        <v>0</v>
      </c>
      <c r="I15" s="25">
        <f t="shared" si="18"/>
        <v>0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0</v>
      </c>
      <c r="W15" s="81" t="e">
        <f t="shared" si="2"/>
        <v>#DIV/0!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0</v>
      </c>
      <c r="AF15" s="74" t="e">
        <f t="shared" ref="AF15:AF35" si="25">AD15/AE15</f>
        <v>#DIV/0!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0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44725</v>
      </c>
      <c r="F16" s="92"/>
      <c r="G16" s="23">
        <v>2760</v>
      </c>
      <c r="H16" s="24">
        <f t="shared" si="11"/>
        <v>0</v>
      </c>
      <c r="I16" s="25">
        <f t="shared" si="18"/>
        <v>0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0</v>
      </c>
      <c r="W16" s="81" t="e">
        <f t="shared" si="2"/>
        <v>#DIV/0!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0</v>
      </c>
      <c r="AF16" s="74" t="e">
        <f t="shared" si="25"/>
        <v>#DIV/0!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0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44726</v>
      </c>
      <c r="F17" s="92"/>
      <c r="G17" s="23">
        <v>2760</v>
      </c>
      <c r="H17" s="24">
        <f t="shared" si="11"/>
        <v>0</v>
      </c>
      <c r="I17" s="25">
        <f t="shared" si="18"/>
        <v>0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0</v>
      </c>
      <c r="W17" s="74" t="e">
        <f t="shared" si="2"/>
        <v>#DIV/0!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0</v>
      </c>
      <c r="AF17" s="74" t="e">
        <f t="shared" si="25"/>
        <v>#DIV/0!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0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44727</v>
      </c>
      <c r="F18" s="92"/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44728</v>
      </c>
      <c r="F19" s="92"/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44729</v>
      </c>
      <c r="F20" s="92"/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44730</v>
      </c>
      <c r="F21" s="92"/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44731</v>
      </c>
      <c r="F22" s="92"/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44732</v>
      </c>
      <c r="F23" s="92"/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44733</v>
      </c>
      <c r="F24" s="92"/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44734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44735</v>
      </c>
      <c r="F26" s="92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44736</v>
      </c>
      <c r="F27" s="92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44737</v>
      </c>
      <c r="F28" s="92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44738</v>
      </c>
      <c r="F29" s="92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44739</v>
      </c>
      <c r="F30" s="92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44740</v>
      </c>
      <c r="F31" s="92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44741</v>
      </c>
      <c r="F32" s="92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44742</v>
      </c>
      <c r="F33" s="92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-13465316.920000002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-13465316.920000002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-13465316.920000002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-13465316.920000002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2022-06-07T03:37:08Z</dcterms:modified>
</cp:coreProperties>
</file>